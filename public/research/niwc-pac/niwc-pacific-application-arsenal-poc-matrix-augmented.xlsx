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IWC PAC Contact Matrix" sheetId="1" state="visible" r:id="rId1"/>
  </sheets>
  <definedNames>
    <definedName name="_xlnm._FilterDatabase" localSheetId="0" hidden="1">'NIWC PAC Contact Matrix'!$A$7:$T$152</definedName>
  </definedNames>
</workbook>
</file>

<file path=xl/styles.xml><?xml version="1.0" encoding="utf-8"?>
<styleSheet xmlns="http://schemas.openxmlformats.org/spreadsheetml/2006/main">
  <numFmts count="0"/>
  <fonts count="13">
    <font>
      <name val="Carlito"/>
      <sz val="11"/>
    </font>
    <font>
      <name val="Carlito"/>
      <b val="1"/>
      <color rgb="FFFFFFFF"/>
      <sz val="20"/>
    </font>
    <font>
      <name val="Carlito"/>
      <color rgb="FFD9F3F2"/>
      <sz val="10"/>
    </font>
    <font>
      <name val="Carlito"/>
      <color rgb="FF071D33"/>
      <sz val="9"/>
    </font>
    <font>
      <name val="Carlito"/>
      <b val="1"/>
      <color rgb="FF071D33"/>
      <sz val="9"/>
    </font>
    <font>
      <name val="Carlito"/>
      <b val="1"/>
      <color rgb="FFFFFFFF"/>
      <sz val="12"/>
    </font>
    <font>
      <name val="Carlito"/>
      <b val="1"/>
      <color rgb="FF6C5411"/>
      <sz val="9"/>
    </font>
    <font>
      <name val="Carlito"/>
      <i val="1"/>
      <color rgb="FF40586D"/>
      <sz val="9"/>
    </font>
    <font>
      <name val="Carlito"/>
      <b val="1"/>
      <color rgb="FFFFFFFF"/>
      <sz val="9"/>
    </font>
    <font>
      <name val="Carlito"/>
      <color rgb="FF152431"/>
      <sz val="9"/>
    </font>
    <font>
      <name val="Carlito"/>
      <b val="1"/>
      <color rgb="FF0D2C47"/>
      <sz val="9"/>
    </font>
    <font>
      <name val="Carlito"/>
      <color rgb="FF155B85"/>
      <sz val="8"/>
    </font>
    <font>
      <name val="Carlito"/>
      <color rgb="FF0B6E69"/>
      <sz val="8"/>
    </font>
  </fonts>
  <fills count="8">
    <fill>
      <patternFill/>
    </fill>
    <fill>
      <patternFill patternType="gray125"/>
    </fill>
    <fill>
      <patternFill patternType="solid">
        <fgColor rgb="FF071D33"/>
      </patternFill>
    </fill>
    <fill>
      <patternFill patternType="solid">
        <fgColor rgb="FF0D2C47"/>
      </patternFill>
    </fill>
    <fill>
      <patternFill patternType="solid">
        <fgColor rgb="FFE7F7FC"/>
      </patternFill>
    </fill>
    <fill>
      <patternFill patternType="solid">
        <fgColor rgb="FF0AA7A0"/>
      </patternFill>
    </fill>
    <fill>
      <patternFill patternType="solid">
        <fgColor rgb="FFFFF6D8"/>
      </patternFill>
    </fill>
    <fill>
      <patternFill patternType="solid">
        <fgColor rgb="FFF2F6F8"/>
      </patternFill>
    </fill>
  </fills>
  <borders count="15">
    <border/>
    <border>
      <right style="thin">
        <color rgb="FFDCE5EB"/>
      </right>
    </border>
    <border>
      <left style="thin">
        <color rgb="FFDCE5EB"/>
      </left>
      <right style="thin">
        <color rgb="FFDCE5EB"/>
      </right>
    </border>
    <border>
      <left style="thin">
        <color rgb="FFDCE5EB"/>
      </left>
    </border>
    <border>
      <left style="thin">
        <color rgb="FFE8C660"/>
      </left>
      <top style="thin">
        <color rgb="FFE8C660"/>
      </top>
      <bottom style="thin">
        <color rgb="FFE8C660"/>
      </bottom>
    </border>
    <border>
      <top style="thin">
        <color rgb="FFE8C660"/>
      </top>
      <bottom style="thin">
        <color rgb="FFE8C660"/>
      </bottom>
    </border>
    <border>
      <right style="thin">
        <color rgb="FFE8C660"/>
      </right>
      <top style="thin">
        <color rgb="FFE8C660"/>
      </top>
      <bottom style="thin">
        <color rgb="FFE8C660"/>
      </bottom>
    </border>
    <border>
      <bottom style="medium">
        <color rgb="FF0AA7A0"/>
      </bottom>
    </border>
    <border>
      <bottom style="thin">
        <color rgb="FFE6EDF1"/>
      </bottom>
    </border>
    <border>
      <top style="thin">
        <color rgb="FFE6EDF1"/>
      </top>
      <bottom style="thin">
        <color rgb="FFE6EDF1"/>
      </bottom>
    </border>
    <border>
      <top style="thin">
        <color rgb="FFE6EDF1"/>
      </top>
    </border>
    <border>
      <top style="thin">
        <color rgb="FFE6EDF1"/>
      </top>
      <bottom style="medium">
        <color rgb="FF0AA7A0"/>
      </bottom>
    </border>
    <border>
      <left style="thin">
        <color rgb="FFE8C660"/>
      </left>
      <right style="thin">
        <color rgb="FFE8C660"/>
      </right>
      <top style="thin">
        <color rgb="FFE8C660"/>
      </top>
      <bottom style="thin">
        <color rgb="FFE8C660"/>
      </bottom>
    </border>
    <border>
      <top style="thin">
        <color rgb="FFE8C660"/>
      </top>
    </border>
    <border>
      <right style="thin">
        <color rgb="FFE8C660"/>
      </right>
      <top style="thin">
        <color rgb="FFE8C660"/>
      </top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 wrapText="1"/>
    </xf>
    <xf numFmtId="0" fontId="0" fillId="6" borderId="0" pivotButton="0" quotePrefix="0" xfId="0"/>
    <xf numFmtId="0" fontId="6" fillId="6" borderId="0" pivotButton="0" quotePrefix="0" xfId="0"/>
    <xf numFmtId="0" fontId="6" fillId="6" borderId="4" pivotButton="0" quotePrefix="0" xfId="0"/>
    <xf numFmtId="0" fontId="6" fillId="6" borderId="5" pivotButton="0" quotePrefix="0" xfId="0"/>
    <xf numFmtId="0" fontId="6" fillId="6" borderId="6" pivotButton="0" quotePrefix="0" xfId="0"/>
    <xf numFmtId="0" fontId="6" fillId="6" borderId="4" applyAlignment="1" pivotButton="0" quotePrefix="0" xfId="0">
      <alignment wrapText="1"/>
    </xf>
    <xf numFmtId="0" fontId="6" fillId="6" borderId="5" applyAlignment="1" pivotButton="0" quotePrefix="0" xfId="0">
      <alignment wrapText="1"/>
    </xf>
    <xf numFmtId="0" fontId="6" fillId="6" borderId="6" applyAlignment="1" pivotButton="0" quotePrefix="0" xfId="0">
      <alignment wrapText="1"/>
    </xf>
    <xf numFmtId="0" fontId="6" fillId="6" borderId="4" applyAlignment="1" pivotButton="0" quotePrefix="0" xfId="0">
      <alignment vertical="center" wrapText="1"/>
    </xf>
    <xf numFmtId="0" fontId="6" fillId="6" borderId="5" applyAlignment="1" pivotButton="0" quotePrefix="0" xfId="0">
      <alignment vertical="center" wrapText="1"/>
    </xf>
    <xf numFmtId="0" fontId="6" fillId="6" borderId="6" applyAlignment="1" pivotButton="0" quotePrefix="0" xfId="0">
      <alignment vertical="center"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vertical="center" wrapText="1"/>
    </xf>
    <xf numFmtId="0" fontId="8" fillId="2" borderId="0" pivotButton="0" quotePrefix="0" xfId="0"/>
    <xf numFmtId="0" fontId="8" fillId="2" borderId="7" pivotButton="0" quotePrefix="0" xfId="0"/>
    <xf numFmtId="0" fontId="8" fillId="2" borderId="7" applyAlignment="1" pivotButton="0" quotePrefix="0" xfId="0">
      <alignment wrapText="1"/>
    </xf>
    <xf numFmtId="0" fontId="8" fillId="2" borderId="7" applyAlignment="1" pivotButton="0" quotePrefix="0" xfId="0">
      <alignment horizontal="left" wrapText="1"/>
    </xf>
    <xf numFmtId="0" fontId="8" fillId="2" borderId="7" applyAlignment="1" pivotButton="0" quotePrefix="0" xfId="0">
      <alignment horizontal="left" vertical="center" wrapText="1"/>
    </xf>
    <xf numFmtId="0" fontId="9" fillId="0" borderId="0" pivotButton="0" quotePrefix="0" xfId="0"/>
    <xf numFmtId="0" fontId="9" fillId="0" borderId="8" pivotButton="0" quotePrefix="0" xfId="0"/>
    <xf numFmtId="0" fontId="9" fillId="0" borderId="9" pivotButton="0" quotePrefix="0" xfId="0"/>
    <xf numFmtId="0" fontId="9" fillId="0" borderId="10" pivotButton="0" quotePrefix="0" xfId="0"/>
    <xf numFmtId="0" fontId="9" fillId="0" borderId="8" applyAlignment="1" pivotButton="0" quotePrefix="0" xfId="0">
      <alignment wrapText="1"/>
    </xf>
    <xf numFmtId="0" fontId="9" fillId="0" borderId="9" applyAlignment="1" pivotButton="0" quotePrefix="0" xfId="0">
      <alignment wrapText="1"/>
    </xf>
    <xf numFmtId="0" fontId="9" fillId="0" borderId="10" applyAlignment="1" pivotButton="0" quotePrefix="0" xfId="0">
      <alignment wrapText="1"/>
    </xf>
    <xf numFmtId="0" fontId="9" fillId="0" borderId="8" applyAlignment="1" pivotButton="0" quotePrefix="0" xfId="0">
      <alignment vertical="top" wrapText="1"/>
    </xf>
    <xf numFmtId="0" fontId="9" fillId="0" borderId="9" applyAlignment="1" pivotButton="0" quotePrefix="0" xfId="0">
      <alignment vertical="top" wrapText="1"/>
    </xf>
    <xf numFmtId="0" fontId="9" fillId="0" borderId="10" applyAlignment="1" pivotButton="0" quotePrefix="0" xfId="0">
      <alignment vertical="top" wrapText="1"/>
    </xf>
    <xf numFmtId="0" fontId="9" fillId="0" borderId="8" applyAlignment="1" pivotButton="0" quotePrefix="0" xfId="0">
      <alignment horizontal="center" vertical="top" wrapText="1"/>
    </xf>
    <xf numFmtId="0" fontId="9" fillId="0" borderId="9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top" wrapText="1"/>
    </xf>
    <xf numFmtId="0" fontId="10" fillId="0" borderId="8" applyAlignment="1" pivotButton="0" quotePrefix="0" xfId="0">
      <alignment vertical="top" wrapText="1"/>
    </xf>
    <xf numFmtId="0" fontId="10" fillId="0" borderId="9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4" fillId="0" borderId="8" applyAlignment="1" pivotButton="0" quotePrefix="0" xfId="0">
      <alignment vertical="top" wrapText="1"/>
    </xf>
    <xf numFmtId="0" fontId="4" fillId="0" borderId="9" applyAlignment="1" pivotButton="0" quotePrefix="0" xfId="0">
      <alignment vertical="top" wrapText="1"/>
    </xf>
    <xf numFmtId="0" fontId="4" fillId="0" borderId="10" applyAlignment="1" pivotButton="0" quotePrefix="0" xfId="0">
      <alignment vertical="top" wrapText="1"/>
    </xf>
    <xf numFmtId="0" fontId="11" fillId="0" borderId="8" applyAlignment="1" pivotButton="0" quotePrefix="0" xfId="0">
      <alignment vertical="top" wrapText="1"/>
    </xf>
    <xf numFmtId="0" fontId="11" fillId="0" borderId="9" applyAlignment="1" pivotButton="0" quotePrefix="0" xfId="0">
      <alignment vertical="top" wrapText="1"/>
    </xf>
    <xf numFmtId="0" fontId="11" fillId="0" borderId="10" applyAlignment="1" pivotButton="0" quotePrefix="0" xfId="0">
      <alignment vertical="top" wrapText="1"/>
    </xf>
    <xf numFmtId="0" fontId="12" fillId="0" borderId="8" applyAlignment="1" pivotButton="0" quotePrefix="0" xfId="0">
      <alignment vertical="top" wrapText="1"/>
    </xf>
    <xf numFmtId="0" fontId="12" fillId="0" borderId="9" applyAlignment="1" pivotButton="0" quotePrefix="0" xfId="0">
      <alignment vertical="top" wrapText="1"/>
    </xf>
    <xf numFmtId="0" fontId="12" fillId="0" borderId="10" applyAlignment="1" pivotButton="0" quotePrefix="0" xfId="0">
      <alignment vertical="top" wrapText="1"/>
    </xf>
    <xf numFmtId="0" fontId="8" fillId="2" borderId="8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center" vertical="top" wrapText="1"/>
    </xf>
    <xf numFmtId="0" fontId="9" fillId="0" borderId="11" applyAlignment="1" pivotButton="0" quotePrefix="0" xfId="0">
      <alignment vertical="top" wrapText="1"/>
    </xf>
    <xf numFmtId="0" fontId="10" fillId="0" borderId="11" applyAlignment="1" pivotButton="0" quotePrefix="0" xfId="0">
      <alignment vertical="top" wrapText="1"/>
    </xf>
    <xf numFmtId="0" fontId="4" fillId="0" borderId="11" applyAlignment="1" pivotButton="0" quotePrefix="0" xfId="0">
      <alignment vertical="top" wrapText="1"/>
    </xf>
    <xf numFmtId="0" fontId="11" fillId="0" borderId="11" applyAlignment="1" pivotButton="0" quotePrefix="0" xfId="0">
      <alignment vertical="top" wrapText="1"/>
    </xf>
    <xf numFmtId="0" fontId="12" fillId="0" borderId="11" applyAlignment="1" pivotButton="0" quotePrefix="0" xfId="0">
      <alignment vertical="top" wrapText="1"/>
    </xf>
    <xf numFmtId="0" fontId="0" fillId="0" borderId="1" pivotButton="0" quotePrefix="0" xfId="0"/>
    <xf numFmtId="0" fontId="6" fillId="6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/>
  </cellStyles>
  <dxfs count="13">
    <dxf>
      <font>
        <b val="1"/>
        <color rgb="FF166C4F"/>
      </font>
      <fill>
        <patternFill patternType="solid">
          <bgColor rgb="FFE8F6F0"/>
        </patternFill>
      </fill>
    </dxf>
    <dxf>
      <font>
        <i val="1"/>
        <color rgb="FF6D7E8D"/>
      </font>
      <fill>
        <patternFill patternType="solid">
          <bgColor rgb="FFF2F6F8"/>
        </patternFill>
      </fill>
    </dxf>
    <dxf>
      <font>
        <color rgb="FF8A4F20"/>
      </font>
      <fill>
        <patternFill patternType="solid">
          <bgColor rgb="FFFFF0E4"/>
        </patternFill>
      </fill>
    </dxf>
    <dxf>
      <font>
        <b val="1"/>
        <color rgb="FF6C5411"/>
      </font>
      <fill>
        <patternFill patternType="solid">
          <bgColor rgb="FFFFF6D8"/>
        </patternFill>
      </fill>
    </dxf>
    <dxf>
      <font>
        <b val="1"/>
        <color rgb="FF8E2F2F"/>
      </font>
      <fill>
        <patternFill patternType="solid">
          <bgColor rgb="FFFBEAEA"/>
        </patternFill>
      </fill>
    </dxf>
    <dxf>
      <font>
        <b val="1"/>
        <color rgb="FF8E2F2F"/>
      </font>
      <fill>
        <patternFill patternType="solid">
          <bgColor rgb="FFFBEAEA"/>
        </patternFill>
      </fill>
    </dxf>
    <dxf>
      <font>
        <b val="1"/>
        <color rgb="FF075D69"/>
      </font>
      <fill>
        <patternFill patternType="solid">
          <bgColor rgb="FFE7F7FC"/>
        </patternFill>
      </fill>
    </dxf>
    <dxf>
      <font>
        <b val="1"/>
        <color rgb="FF075D69"/>
      </font>
      <fill>
        <patternFill patternType="solid">
          <bgColor rgb="FFE7F7FC"/>
        </patternFill>
      </fill>
    </dxf>
    <dxf>
      <font>
        <b val="1"/>
        <color rgb="FF8E2F2F"/>
      </font>
      <fill>
        <patternFill patternType="solid">
          <bgColor rgb="FFFBEAEA"/>
        </patternFill>
      </fill>
    </dxf>
    <dxf>
      <font>
        <b val="1"/>
        <color rgb="FF6C5411"/>
      </font>
      <fill>
        <patternFill patternType="solid">
          <bgColor rgb="FFFFF6D8"/>
        </patternFill>
      </fill>
    </dxf>
    <dxf>
      <font>
        <b val="1"/>
        <color rgb="FF166C4F"/>
      </font>
      <fill>
        <patternFill patternType="solid">
          <bgColor rgb="FFE8F6F0"/>
        </patternFill>
      </fill>
    </dxf>
    <dxf>
      <font>
        <color rgb="FF6C5411"/>
      </font>
      <fill>
        <patternFill patternType="solid">
          <bgColor rgb="FFFFF6D8"/>
        </patternFill>
      </fill>
    </dxf>
    <dxf>
      <font>
        <color rgb="FF8E2F2F"/>
      </font>
      <fill>
        <patternFill patternType="solid">
          <bgColor rgb="FFFBEAE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NIWCPacificContactMatrix" displayName="NIWCPacificContactMatrix" ref="A7:T152" headerRowCount="1" totalsRowCount="0" totalsRowShown="0">
  <autoFilter ref="A7:T135"/>
  <tableColumns count="20">
    <tableColumn id="1" name="ID"/>
    <tableColumn id="2" name="Structure Domain"/>
    <tableColumn id="3" name="Hierarchy Path"/>
    <tableColumn id="4" name="Org Level"/>
    <tableColumn id="5" name="Org Code"/>
    <tableColumn id="6" name="Organization / Unit"/>
    <tableColumn id="7" name="Name / Public Node"/>
    <tableColumn id="8" name="Exact Public Role"/>
    <tableColumn id="9" name="Status Class"/>
    <tableColumn id="10" name="Status As Of"/>
    <tableColumn id="11" name="AA Relationship"/>
    <tableColumn id="12" name="Specific Application Arsenal Relevance"/>
    <tableColumn id="13" name="Authority / Engagement Posture"/>
    <tableColumn id="14" name="Public Email"/>
    <tableColumn id="15" name="Public Phone"/>
    <tableColumn id="16" name="Confidence"/>
    <tableColumn id="17" name="Primary Source URL"/>
    <tableColumn id="18" name="Secondary Source URL"/>
    <tableColumn id="19" name="Source Date"/>
    <tableColumn id="20" name="Validation / Cave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dvidshub.net/news/565973/niwc-pacific-welcomes-de-soto-bids-farewell-mckenna" TargetMode="External" Id="rId1" /><Relationship Type="http://schemas.openxmlformats.org/officeDocument/2006/relationships/hyperlink" Target="https://www.dvidshub.net/image/9702435/niwc-pacific-welcomes-de-soto-bids-farewell-mckenna" TargetMode="External" Id="rId2" /><Relationship Type="http://schemas.openxmlformats.org/officeDocument/2006/relationships/hyperlink" Target="https://www.dvidshub.net/image/9702430/niwc-pacific-welcomes-de-soto-bids-farewell-mckenna" TargetMode="External" Id="rId3" /><Relationship Type="http://schemas.openxmlformats.org/officeDocument/2006/relationships/hyperlink" Target="https://www.ndia-sd.org/wp-content/uploads/2026/05/NDIA-7-May-2026-Combined-video-embedded.pdf" TargetMode="External" Id="rId4" /><Relationship Type="http://schemas.openxmlformats.org/officeDocument/2006/relationships/hyperlink" Target="https://www.dvidshub.net/podcast/618/next-level-podcast" TargetMode="External" Id="rId5" /><Relationship Type="http://schemas.openxmlformats.org/officeDocument/2006/relationships/hyperlink" Target="https://www.dvidshub.net/image/9702439/niwc-pacific-welcomes-de-soto-bids-farewell-mckenna" TargetMode="External" Id="rId6" /><Relationship Type="http://schemas.openxmlformats.org/officeDocument/2006/relationships/hyperlink" Target="https://www.niwcpacific.navy.mil/Bob-P-TEST-Page/" TargetMode="External" Id="rId7" /><Relationship Type="http://schemas.openxmlformats.org/officeDocument/2006/relationships/hyperlink" Target="https://www.westconference.org/WEST26/Public/sessions.aspx?ID=116691&amp;View=Sessions" TargetMode="External" Id="rId8" /><Relationship Type="http://schemas.openxmlformats.org/officeDocument/2006/relationships/hyperlink" Target="https://www.niwcpacific.navy.mil/About/Office-of-the-Chief-Engineer/" TargetMode="External" Id="rId9" /><Relationship Type="http://schemas.openxmlformats.org/officeDocument/2006/relationships/hyperlink" Target="https://www.niwcpacific.navy.mil/About/Office-of-the-Chief-Engineer/" TargetMode="External" Id="rId10" /><Relationship Type="http://schemas.openxmlformats.org/officeDocument/2006/relationships/hyperlink" Target="https://www.ndia-sd.org/wp-content/uploads/2026/05/NDIA-7-May-2026-Combined-video-embedded.pdf" TargetMode="External" Id="rId11" /><Relationship Type="http://schemas.openxmlformats.org/officeDocument/2006/relationships/hyperlink" Target="https://sam.gov/opp/88afa0891a314aa2ae6b0c68d9afff90/view" TargetMode="External" Id="rId12" /><Relationship Type="http://schemas.openxmlformats.org/officeDocument/2006/relationships/hyperlink" Target="https://www.niwcpacific.navy.mil/Contact/Inspector-General/" TargetMode="External" Id="rId13" /><Relationship Type="http://schemas.openxmlformats.org/officeDocument/2006/relationships/hyperlink" Target="https://www.niwcpacific.navy.mil/About/" TargetMode="External" Id="rId14" /><Relationship Type="http://schemas.openxmlformats.org/officeDocument/2006/relationships/hyperlink" Target="mailto:sharon.m.pritchard.civ@us.navy.mil" TargetMode="External" Id="rId15" /><Relationship Type="http://schemas.openxmlformats.org/officeDocument/2006/relationships/hyperlink" Target="https://www.ndia-sd.org/wp-content/uploads/2026/05/NDIA-7-May-2026-Combined-video-embedded.pdf" TargetMode="External" Id="rId16" /><Relationship Type="http://schemas.openxmlformats.org/officeDocument/2006/relationships/hyperlink" Target="https://sam.gov/opp/9b41ad1bb80c4c0185f42811866b291b/view" TargetMode="External" Id="rId17" /><Relationship Type="http://schemas.openxmlformats.org/officeDocument/2006/relationships/hyperlink" Target="mailto:jose.m.neto.civ@us.navy.mil" TargetMode="External" Id="rId18" /><Relationship Type="http://schemas.openxmlformats.org/officeDocument/2006/relationships/hyperlink" Target="https://sam.gov/opp/b97c5c5becf542398697517bff5e0be2/view" TargetMode="External" Id="rId19" /><Relationship Type="http://schemas.openxmlformats.org/officeDocument/2006/relationships/hyperlink" Target="https://www.ndia-sd.org/wp-content/uploads/2026/05/NDIA-7-May-2026-Combined-video-embedded.pdf" TargetMode="External" Id="rId20" /><Relationship Type="http://schemas.openxmlformats.org/officeDocument/2006/relationships/hyperlink" Target="https://www.dvidshub.net/news/546685/navwar-fosters-collaboration-and-engagement-with-small-business-2025-gold-coast-conference" TargetMode="External" Id="rId21" /><Relationship Type="http://schemas.openxmlformats.org/officeDocument/2006/relationships/hyperlink" Target="mailto:darian.wilson.civ@us.navy.mil" TargetMode="External" Id="rId22" /><Relationship Type="http://schemas.openxmlformats.org/officeDocument/2006/relationships/hyperlink" Target="https://www.dvidshub.net/news/565973/niwc-pacific-welcomes-de-soto-bids-farewell-mckenna" TargetMode="External" Id="rId23" /><Relationship Type="http://schemas.openxmlformats.org/officeDocument/2006/relationships/hyperlink" Target="https://www.ndia-sd.org/event/niwc-pac-executive-networking-forum-september-2026/" TargetMode="External" Id="rId24" /><Relationship Type="http://schemas.openxmlformats.org/officeDocument/2006/relationships/hyperlink" Target="https://www.niwcpacific.navy.mil/Connect/Visitors/" TargetMode="External" Id="rId25" /><Relationship Type="http://schemas.openxmlformats.org/officeDocument/2006/relationships/hyperlink" Target="mailto:niwc_pac_visitrequest@us.navy.mil" TargetMode="External" Id="rId26" /><Relationship Type="http://schemas.openxmlformats.org/officeDocument/2006/relationships/hyperlink" Target="https://www.niwcpacific.navy.mil/Connect/Visitors/" TargetMode="External" Id="rId27" /><Relationship Type="http://schemas.openxmlformats.org/officeDocument/2006/relationships/hyperlink" Target="https://www.niwcpacific.navy.mil/contact/" TargetMode="External" Id="rId28" /><Relationship Type="http://schemas.openxmlformats.org/officeDocument/2006/relationships/hyperlink" Target="https://www.ndia-sd.org/wp-content/uploads/2026/05/NDIA-7-May-2026-Combined-video-embedded.pdf" TargetMode="External" Id="rId29" /><Relationship Type="http://schemas.openxmlformats.org/officeDocument/2006/relationships/hyperlink" Target="https://www.ndia-sd.org/wp-content/uploads/2026/06/532-Overview-Brief.pdf" TargetMode="External" Id="rId30" /><Relationship Type="http://schemas.openxmlformats.org/officeDocument/2006/relationships/hyperlink" Target="https://www.ndia-sd.org/event/sb-committee-meeting-may-20/" TargetMode="External" Id="rId31" /><Relationship Type="http://schemas.openxmlformats.org/officeDocument/2006/relationships/hyperlink" Target="https://electrical.sdsu.edu/about/industry-advisory-board" TargetMode="External" Id="rId32" /><Relationship Type="http://schemas.openxmlformats.org/officeDocument/2006/relationships/hyperlink" Target="https://www.linkedin.com/in/johnwoodphd" TargetMode="External" Id="rId33" /><Relationship Type="http://schemas.openxmlformats.org/officeDocument/2006/relationships/hyperlink" Target="https://www.ndia-sd.org/wp-content/uploads/2026/06/532-Overview-Brief.pdf" TargetMode="External" Id="rId34" /><Relationship Type="http://schemas.openxmlformats.org/officeDocument/2006/relationships/hyperlink" Target="https://sam.gov/opp/b97c5c5becf542398697517bff5e0be2/view" TargetMode="External" Id="rId35" /><Relationship Type="http://schemas.openxmlformats.org/officeDocument/2006/relationships/hyperlink" Target="https://sam.gov/opp/b97c5c5becf542398697517bff5e0be2/view" TargetMode="External" Id="rId36" /><Relationship Type="http://schemas.openxmlformats.org/officeDocument/2006/relationships/hyperlink" Target="https://www.ndia-sd.org/wp-content/uploads/2026/06/532-Overview-Brief.pdf" TargetMode="External" Id="rId37" /><Relationship Type="http://schemas.openxmlformats.org/officeDocument/2006/relationships/hyperlink" Target="https://www.ndia-sd.org/wp-content/uploads/2026/06/532-Overview-Brief.pdf" TargetMode="External" Id="rId38" /><Relationship Type="http://schemas.openxmlformats.org/officeDocument/2006/relationships/hyperlink" Target="https://www.ndia-sd.org/wp-content/uploads/2026/06/532-Overview-Brief.pdf" TargetMode="External" Id="rId39" /><Relationship Type="http://schemas.openxmlformats.org/officeDocument/2006/relationships/hyperlink" Target="mailto:OSA_Concierge@us.navy.mil" TargetMode="External" Id="rId40" /><Relationship Type="http://schemas.openxmlformats.org/officeDocument/2006/relationships/hyperlink" Target="https://www.niwcpacific.navy.mil/Technology/Overmatch-Software-Armory/" TargetMode="External" Id="rId41" /><Relationship Type="http://schemas.openxmlformats.org/officeDocument/2006/relationships/hyperlink" Target="https://www.dvidshub.net/news/483389/navwar-empowers-fleet-sailors-and-first-responders-with-custom-systems-training" TargetMode="External" Id="rId42" /><Relationship Type="http://schemas.openxmlformats.org/officeDocument/2006/relationships/hyperlink" Target="https://www.niwcpacific.navy.mil/Media/Press-Releases/Article-Display/Article/3707748/niwc-pacific-empowers-sailors-to-perform-first-sailor-capable-install/" TargetMode="External" Id="rId43" /><Relationship Type="http://schemas.openxmlformats.org/officeDocument/2006/relationships/hyperlink" Target="https://www.dvidshub.net/news/printable/321208" TargetMode="External" Id="rId44" /><Relationship Type="http://schemas.openxmlformats.org/officeDocument/2006/relationships/hyperlink" Target="https://www.westconference.org/WEST26/Public/sessions.aspx?ID=116691&amp;View=Sessions" TargetMode="External" Id="rId45" /><Relationship Type="http://schemas.openxmlformats.org/officeDocument/2006/relationships/hyperlink" Target="https://www.dair.nps.edu/bitstream/123456789/4857/1/SYM-AM-23-088.pdf" TargetMode="External" Id="rId46" /><Relationship Type="http://schemas.openxmlformats.org/officeDocument/2006/relationships/hyperlink" Target="https://www.niwcpacific.navy.mil/Media/Press-Releases/Article-Display/Article/3707748/niwc-pacific-empowers-sailors-to-perform-first-sailor-capable-install/" TargetMode="External" Id="rId47" /><Relationship Type="http://schemas.openxmlformats.org/officeDocument/2006/relationships/hyperlink" Target="https://www.dair.nps.edu/bitstream/123456789/4857/1/SYM-AM-23-088.pdf" TargetMode="External" Id="rId48" /><Relationship Type="http://schemas.openxmlformats.org/officeDocument/2006/relationships/hyperlink" Target="https://www.navy.mil/DesktopModules/ArticleCS/Print.aspx?Article=2710817&amp;ModuleId=523&amp;PortalId=1" TargetMode="External" Id="rId49" /><Relationship Type="http://schemas.openxmlformats.org/officeDocument/2006/relationships/hyperlink" Target="https://www.dvidshub.net/image/6753882/navwar-launches-first-secret-level-devsecops-pipeline" TargetMode="External" Id="rId50" /><Relationship Type="http://schemas.openxmlformats.org/officeDocument/2006/relationships/hyperlink" Target="https://www.dvidshub.net/image/6753882/navwar-launches-first-secret-level-devsecops-pipeline" TargetMode="External" Id="rId51" /><Relationship Type="http://schemas.openxmlformats.org/officeDocument/2006/relationships/hyperlink" Target="https://nara.getarchive.net/media/supporting-a-diverse-navy-requires-a-diverse-workforce-75a7d8" TargetMode="External" Id="rId52" /><Relationship Type="http://schemas.openxmlformats.org/officeDocument/2006/relationships/hyperlink" Target="https://www.linkedin.com/in/bridgetrushton" TargetMode="External" Id="rId53" /><Relationship Type="http://schemas.openxmlformats.org/officeDocument/2006/relationships/hyperlink" Target="https://dair.nps.edu/bitstream/123456789/497/1/SYM-AM-11-095.pdf" TargetMode="External" Id="rId54" /><Relationship Type="http://schemas.openxmlformats.org/officeDocument/2006/relationships/hyperlink" Target="https://www.dodccrp.org/events/16th_iccrts_2011/papers/033.pdf" TargetMode="External" Id="rId55" /><Relationship Type="http://schemas.openxmlformats.org/officeDocument/2006/relationships/hyperlink" Target="https://www.navwar.navy.mil/Portals/93/Images/Documents/NAVWAR_LRAE_Report.xlsx?ver=3bKfCbGtYWA36Jvgb1i6Qw%3D%3D" TargetMode="External" Id="rId56" /><Relationship Type="http://schemas.openxmlformats.org/officeDocument/2006/relationships/hyperlink" Target="https://www.navwar.navy.mil/Portals/93/Images/Documents/NAVWAR_LRAE_Report.xlsx?ver=3bKfCbGtYWA36Jvgb1i6Qw%3D%3D" TargetMode="External" Id="rId57" /><Relationship Type="http://schemas.openxmlformats.org/officeDocument/2006/relationships/hyperlink" Target="https://www.navwar.navy.mil/Portals/93/Images/Documents/NAVWAR_LRAE_Report.xlsx?ver=3bKfCbGtYWA36Jvgb1i6Qw%3D%3D" TargetMode="External" Id="rId58" /><Relationship Type="http://schemas.openxmlformats.org/officeDocument/2006/relationships/hyperlink" Target="https://www.navwar.navy.mil/Portals/93/Images/Documents/NAVWAR_LRAE_Report.xlsx?ver=3bKfCbGtYWA36Jvgb1i6Qw%3D%3D" TargetMode="External" Id="rId59" /><Relationship Type="http://schemas.openxmlformats.org/officeDocument/2006/relationships/hyperlink" Target="https://www.navwar.navy.mil/Portals/93/Images/Documents/NAVWAR_LRAE_Report.xlsx?ver=3bKfCbGtYWA36Jvgb1i6Qw%3D%3D" TargetMode="External" Id="rId60" /><Relationship Type="http://schemas.openxmlformats.org/officeDocument/2006/relationships/hyperlink" Target="https://www.niwcpacific.navy.mil/About/Departments/Fleet-Installation-Engineering-and-Logistics/" TargetMode="External" Id="rId61" /><Relationship Type="http://schemas.openxmlformats.org/officeDocument/2006/relationships/hyperlink" Target="https://www.ndia-sd.org/wp-content/uploads/2026/05/NDIA-7-May-2026-Combined-video-embedded.pdf" TargetMode="External" Id="rId62" /><Relationship Type="http://schemas.openxmlformats.org/officeDocument/2006/relationships/hyperlink" Target="https://www.navwar.navy.mil/Portals/93/Images/Documents/NAVWAR_LRAE_Report.xlsx?ver=3bKfCbGtYWA36Jvgb1i6Qw%3D%3D" TargetMode="External" Id="rId63" /><Relationship Type="http://schemas.openxmlformats.org/officeDocument/2006/relationships/hyperlink" Target="https://sam.gov/opp/b7b6bdc8d54c4328b26df24948ce6371/view" TargetMode="External" Id="rId64" /><Relationship Type="http://schemas.openxmlformats.org/officeDocument/2006/relationships/hyperlink" Target="https://sam.gov/opp/613111b2abac4afb850f68bbbda474c5/view" TargetMode="External" Id="rId65" /><Relationship Type="http://schemas.openxmlformats.org/officeDocument/2006/relationships/hyperlink" Target="https://www.niwcpacific.navy.mil/Media/Press-Releases/Article/4224215/niwc-pacific-teams-enhance-joint-capabilities-at-balikatan-2025/" TargetMode="External" Id="rId66" /><Relationship Type="http://schemas.openxmlformats.org/officeDocument/2006/relationships/hyperlink" Target="https://sam.gov/opp/613111b2abac4afb850f68bbbda474c5/view" TargetMode="External" Id="rId67" /><Relationship Type="http://schemas.openxmlformats.org/officeDocument/2006/relationships/hyperlink" Target="https://www.usajobs.gov/job/875297200" TargetMode="External" Id="rId68" /><Relationship Type="http://schemas.openxmlformats.org/officeDocument/2006/relationships/hyperlink" Target="https://www.niwcpacific.navy.mil/About/Departments/Communications-and-Networks/" TargetMode="External" Id="rId69" /><Relationship Type="http://schemas.openxmlformats.org/officeDocument/2006/relationships/hyperlink" Target="https://www.ndia-sd.org/wp-content/uploads/2018/01/NDIA-Luncheon-Jan-2018_Hartzog_FINALv2_web.pdf" TargetMode="External" Id="rId70" /><Relationship Type="http://schemas.openxmlformats.org/officeDocument/2006/relationships/hyperlink" Target="https://www.westconference.org/WEST26/Public/sessions.aspx?ID=116691&amp;View=Sessions" TargetMode="External" Id="rId71" /><Relationship Type="http://schemas.openxmlformats.org/officeDocument/2006/relationships/hyperlink" Target="https://www.highergov.com/contract-opportunity/afloat-network-design-architecture-network-test-in-n66001-19-r-0036-p-0336d/" TargetMode="External" Id="rId72" /><Relationship Type="http://schemas.openxmlformats.org/officeDocument/2006/relationships/hyperlink" Target="https://www.highergov.com/contract-opportunity/afloat-network-design-architecture-network-test-in-n66001-19-r-0036-p-0336d/" TargetMode="External" Id="rId73" /><Relationship Type="http://schemas.openxmlformats.org/officeDocument/2006/relationships/hyperlink" Target="https://www.ndia-sd.org/wp-content/uploads/2018/01/NDIA-Luncheon-Jan-2018_Hartzog_FINALv2_web.pdf" TargetMode="External" Id="rId74" /><Relationship Type="http://schemas.openxmlformats.org/officeDocument/2006/relationships/hyperlink" Target="https://www.jtnc.mil/About/Leadership/Bio-Article-View/Article/2176691/mr-william-j-brickner-jr/" TargetMode="External" Id="rId75" /><Relationship Type="http://schemas.openxmlformats.org/officeDocument/2006/relationships/hyperlink" Target="https://sam.gov/workspace/contract/opp/f6faec7233fa475dba6ee9f89499ddf0/view" TargetMode="External" Id="rId76" /><Relationship Type="http://schemas.openxmlformats.org/officeDocument/2006/relationships/hyperlink" Target="https://www.ndia-sd.org/wp-content/uploads/2018/01/NDIA-Luncheon-Jan-2018_Hartzog_FINALv2_web.pdf" TargetMode="External" Id="rId77" /><Relationship Type="http://schemas.openxmlformats.org/officeDocument/2006/relationships/hyperlink" Target="https://sam.gov/workspace/contract/opp/f6faec7233fa475dba6ee9f89499ddf0/view" TargetMode="External" Id="rId78" /><Relationship Type="http://schemas.openxmlformats.org/officeDocument/2006/relationships/hyperlink" Target="https://sam.gov/workspace/contract/opp/f490ecc547b84209b15172a68af685e6/view" TargetMode="External" Id="rId79" /><Relationship Type="http://schemas.openxmlformats.org/officeDocument/2006/relationships/hyperlink" Target="https://sam.gov/workspace/contract/opp/f6faec7233fa475dba6ee9f89499ddf0/view" TargetMode="External" Id="rId80" /><Relationship Type="http://schemas.openxmlformats.org/officeDocument/2006/relationships/hyperlink" Target="https://sam.gov/workspace/contract/opp/f6faec7233fa475dba6ee9f89499ddf0/view" TargetMode="External" Id="rId81" /><Relationship Type="http://schemas.openxmlformats.org/officeDocument/2006/relationships/hyperlink" Target="https://sam.gov/workspace/contract/opp/f6faec7233fa475dba6ee9f89499ddf0/view" TargetMode="External" Id="rId82" /><Relationship Type="http://schemas.openxmlformats.org/officeDocument/2006/relationships/hyperlink" Target="https://lists.spdx.org/g/Spdx-legal/messages?expanded=1&amp;msgnum=3088" TargetMode="External" Id="rId83" /><Relationship Type="http://schemas.openxmlformats.org/officeDocument/2006/relationships/hyperlink" Target="https://www.academia.edu/98691186/Implementation_and_Testing_of_the_JANUS_Standard_with_SSC_Pacifics_Software_Defined_Acoustic_Modem" TargetMode="External" Id="rId84" /><Relationship Type="http://schemas.openxmlformats.org/officeDocument/2006/relationships/hyperlink" Target="https://www.linkedin.com/in/nicole-stone-a4155121a" TargetMode="External" Id="rId85" /><Relationship Type="http://schemas.openxmlformats.org/officeDocument/2006/relationships/hyperlink" Target="https://www.dvidshub.net/news/printable/457727" TargetMode="External" Id="rId86" /><Relationship Type="http://schemas.openxmlformats.org/officeDocument/2006/relationships/hyperlink" Target="https://www.westconference.org/WEST26/Public/sessions.aspx?ID=116691&amp;View=Sessions" TargetMode="External" Id="rId87" /><Relationship Type="http://schemas.openxmlformats.org/officeDocument/2006/relationships/hyperlink" Target="https://www.afcea.org/signal-media/naval-applications-machine-learning-workshop-advances-ai-adoption" TargetMode="External" Id="rId88" /><Relationship Type="http://schemas.openxmlformats.org/officeDocument/2006/relationships/hyperlink" Target="https://scispace.com/pdf/convolutional-neural-network-on-embedded-linux-trademark-30632opybn.pdf" TargetMode="External" Id="rId89" /><Relationship Type="http://schemas.openxmlformats.org/officeDocument/2006/relationships/hyperlink" Target="https://www.academia.edu/98691186/Implementation_and_Testing_of_the_JANUS_Standard_with_SSC_Pacifics_Software_Defined_Acoustic_Modem" TargetMode="External" Id="rId90" /><Relationship Type="http://schemas.openxmlformats.org/officeDocument/2006/relationships/hyperlink" Target="https://www.studocu.vn/vn/document/royal-melbourne-institute-of-technology-vietnam/engineering-science/ly-thuyet-ma-cuc-2-ly-thuyet-ma-cuc/110340291" TargetMode="External" Id="rId91" /><Relationship Type="http://schemas.openxmlformats.org/officeDocument/2006/relationships/hyperlink" Target="https://evonexus.org/virtual-reality-beyond-the-hype/" TargetMode="External" Id="rId92" /><Relationship Type="http://schemas.openxmlformats.org/officeDocument/2006/relationships/hyperlink" Target="https://www.moesol.com/copy-of-phoenix-1" TargetMode="External" Id="rId93" /><Relationship Type="http://schemas.openxmlformats.org/officeDocument/2006/relationships/hyperlink" Target="https://www.studocu.vn/vn/document/royal-melbourne-institute-of-technology-vietnam/engineering-science/ly-thuyet-ma-cuc-2-ly-thuyet-ma-cuc/110340291" TargetMode="External" Id="rId94" /><Relationship Type="http://schemas.openxmlformats.org/officeDocument/2006/relationships/hyperlink" Target="mailto:austin.j.mroczek2.civ@us.navy.mil" TargetMode="External" Id="rId95" /><Relationship Type="http://schemas.openxmlformats.org/officeDocument/2006/relationships/hyperlink" Target="https://www.ndia-sd.org/wp-content/uploads/2026/05/NDIA-7-May-2026-Combined-video-embedded.pdf" TargetMode="External" Id="rId96" /><Relationship Type="http://schemas.openxmlformats.org/officeDocument/2006/relationships/hyperlink" Target="https://www.dvidshub.net/video/941624/next-level-podcast-episode-3" TargetMode="External" Id="rId97" /><Relationship Type="http://schemas.openxmlformats.org/officeDocument/2006/relationships/hyperlink" Target="https://sam.gov/opp/38353d270a4b681e6230bd48614648e2/view" TargetMode="External" Id="rId98" /><Relationship Type="http://schemas.openxmlformats.org/officeDocument/2006/relationships/hyperlink" Target="https://s3.us-gov-west-1.amazonaws.com/sepub-demo-0001-124733793621-us-gov-west-1/s3fs-public/2023-05%2FRC-201704%20Final%20Report.pdf" TargetMode="External" Id="rId99" /><Relationship Type="http://schemas.openxmlformats.org/officeDocument/2006/relationships/hyperlink" Target="https://www.navymarinespeciesmonitoring.us/index.php/download_file/view/3083/" TargetMode="External" Id="rId100" /><Relationship Type="http://schemas.openxmlformats.org/officeDocument/2006/relationships/hyperlink" Target="https://www.navymarinespeciesmonitoring.us/index.php/download_file/view/3083/" TargetMode="External" Id="rId101" /><Relationship Type="http://schemas.openxmlformats.org/officeDocument/2006/relationships/hyperlink" Target="https://www.linkedin.com/in/carly-jackson-8074804" TargetMode="External" Id="rId102" /><Relationship Type="http://schemas.openxmlformats.org/officeDocument/2006/relationships/hyperlink" Target="https://www.linkedin.com/posts/navwar_niwcpacific-oceans2021-navwar-activity-6849489810462187520-a5NZ" TargetMode="External" Id="rId103" /><Relationship Type="http://schemas.openxmlformats.org/officeDocument/2006/relationships/hyperlink" Target="https://www.linkedin.com/in/mark-berry-59603112" TargetMode="External" Id="rId104" /><Relationship Type="http://schemas.openxmlformats.org/officeDocument/2006/relationships/hyperlink" Target="https://www.researchgate.net/publication/397844112_Biological_Brain_Microtubules_Interfaced_with_Semiconductor_Qubits" TargetMode="External" Id="rId105" /><Relationship Type="http://schemas.openxmlformats.org/officeDocument/2006/relationships/hyperlink" Target="https://www.academia.edu/98691186/Implementation_and_Testing_of_the_JANUS_Standard_with_SSC_Pacifics_Software_Defined_Acoustic_Modem" TargetMode="External" Id="rId106" /><Relationship Type="http://schemas.openxmlformats.org/officeDocument/2006/relationships/hyperlink" Target="https://www.academia.edu/98691186/Implementation_and_Testing_of_the_JANUS_Standard_with_SSC_Pacifics_Software_Defined_Acoustic_Modem" TargetMode="External" Id="rId107" /><Relationship Type="http://schemas.openxmlformats.org/officeDocument/2006/relationships/hyperlink" Target="mailto:gunther.rosen@navy.mil" TargetMode="External" Id="rId108" /><Relationship Type="http://schemas.openxmlformats.org/officeDocument/2006/relationships/hyperlink" Target="https://nepis.epa.gov/Exe/ZyPURL.cgi?Dockey=P100FBJ8.TXT" TargetMode="External" Id="rId109" /><Relationship Type="http://schemas.openxmlformats.org/officeDocument/2006/relationships/hyperlink" Target="https://www.niwcpacific.navy.mil/Media/Press-Releases/Article/4333885/niwc-pacific-advances-work-on-quantum-enhanced-fiber-optic-gyroscopes/" TargetMode="External" Id="rId110" /><Relationship Type="http://schemas.openxmlformats.org/officeDocument/2006/relationships/hyperlink" Target="https://www.dvidshub.net/news/547732/operation-shoehorn-securing-5g-for-tactical-advantage" TargetMode="External" Id="rId111" /><Relationship Type="http://schemas.openxmlformats.org/officeDocument/2006/relationships/hyperlink" Target="https://www.dvidshub.net/podcast/618/next-level-podcast" TargetMode="External" Id="rId112" /><Relationship Type="http://schemas.openxmlformats.org/officeDocument/2006/relationships/hyperlink" Target="https://www.ndia-sd.org/wp-content/uploads/2026/05/NDIA-7-May-2026-Combined-video-embedded.pdf" TargetMode="External" Id="rId113" /><Relationship Type="http://schemas.openxmlformats.org/officeDocument/2006/relationships/hyperlink" Target="https://www.navwar.navy.mil/Portals/93/Images/Documents/NAVWAR_LRAE_Report.xlsx?ver=3bKfCbGtYWA36Jvgb1i6Qw%3D%3D" TargetMode="External" Id="rId114" /><Relationship Type="http://schemas.openxmlformats.org/officeDocument/2006/relationships/hyperlink" Target="https://www.niwcpacific.navy.mil/About/Departments/Indo-Pacific/" TargetMode="External" Id="rId115" /><Relationship Type="http://schemas.openxmlformats.org/officeDocument/2006/relationships/hyperlink" Target="https://www.niwcpacific.navy.mil/About/Business-Portfolios/" TargetMode="External" Id="rId116" /><Relationship Type="http://schemas.openxmlformats.org/officeDocument/2006/relationships/hyperlink" Target="https://www.niwcpacific.navy.mil/Media/Press-Releases/Article-Display/Article/3403227/niwc-atlantic-and-niwc-pacific-collaborate-with-university-of-hawaii-to-create/" TargetMode="External" Id="rId117" /><Relationship Type="http://schemas.openxmlformats.org/officeDocument/2006/relationships/hyperlink" Target="https://www.dvidshub.net/news/476354/niwc-pacific-conducts-change-charge-guam" TargetMode="External" Id="rId118" /><Relationship Type="http://schemas.openxmlformats.org/officeDocument/2006/relationships/hyperlink" Target="mailto:paul.shigley@navy.mil" TargetMode="External" Id="rId119" /><Relationship Type="http://schemas.openxmlformats.org/officeDocument/2006/relationships/hyperlink" Target="https://arcticdomainawarenesscenter.org/Downloads/ICE-PPR/NAVWAR%20ICO%20brief%202020.pdf" TargetMode="External" Id="rId120" /><Relationship Type="http://schemas.openxmlformats.org/officeDocument/2006/relationships/hyperlink" Target="mailto:shirley.pacheco@navy.mil" TargetMode="External" Id="rId121" /><Relationship Type="http://schemas.openxmlformats.org/officeDocument/2006/relationships/hyperlink" Target="https://arcticdomainawarenesscenter.org/Downloads/ICE-PPR/NAVWAR%20ICO%20brief%202020.pdf" TargetMode="External" Id="rId122" /><Relationship Type="http://schemas.openxmlformats.org/officeDocument/2006/relationships/hyperlink" Target="mailto:michael.morgan@navy.mil" TargetMode="External" Id="rId123" /><Relationship Type="http://schemas.openxmlformats.org/officeDocument/2006/relationships/hyperlink" Target="https://arcticdomainawarenesscenter.org/Downloads/ICE-PPR/NAVWAR%20ICO%20brief%202020.pdf" TargetMode="External" Id="rId124" /><Relationship Type="http://schemas.openxmlformats.org/officeDocument/2006/relationships/hyperlink" Target="mailto:corbin.c.walters.civ@us.navy.mil" TargetMode="External" Id="rId125" /><Relationship Type="http://schemas.openxmlformats.org/officeDocument/2006/relationships/hyperlink" Target="https://sam.gov/opp/b97c5c5becf542398697517bff5e0be2/view" TargetMode="External" Id="rId126" /><Relationship Type="http://schemas.openxmlformats.org/officeDocument/2006/relationships/hyperlink" Target="https://www.highergov.com/contract-opportunity/market-survey-for-software-engineering-services-n66001-26-r-3507-r-b1b6b/" TargetMode="External" Id="rId127" /><Relationship Type="http://schemas.openxmlformats.org/officeDocument/2006/relationships/hyperlink" Target="mailto:richard.l.anderson4.civ@us.navy.mil" TargetMode="External" Id="rId128" /><Relationship Type="http://schemas.openxmlformats.org/officeDocument/2006/relationships/hyperlink" Target="https://www.navwar.navy.mil/Portals/93/Images/Documents/NAVWAR_LRAE_Report.xlsx?ver=3bKfCbGtYWA36Jvgb1i6Qw%3D%3D" TargetMode="External" Id="rId129" /><Relationship Type="http://schemas.openxmlformats.org/officeDocument/2006/relationships/hyperlink" Target="https://sam.gov/opp/9b41ad1bb80c4c0185f42811866b291b/view" TargetMode="External" Id="rId130" /><Relationship Type="http://schemas.openxmlformats.org/officeDocument/2006/relationships/hyperlink" Target="https://sam.gov/opp/7fdb61d8b1d24ab8b4489068221433c8/view" TargetMode="External" Id="rId131" /><Relationship Type="http://schemas.openxmlformats.org/officeDocument/2006/relationships/hyperlink" Target="https://www.navwar.navy.mil/Portals/93/Images/Documents/NAVWAR_LRAE_Report.xlsx?ver=3bKfCbGtYWA36Jvgb1i6Qw%3D%3D" TargetMode="External" Id="rId132" /><Relationship Type="http://schemas.openxmlformats.org/officeDocument/2006/relationships/hyperlink" Target="mailto:aica.m.dizon.civ@us.navy.mil" TargetMode="External" Id="rId133" /><Relationship Type="http://schemas.openxmlformats.org/officeDocument/2006/relationships/hyperlink" Target="https://sam.gov/opp/8a9e542eb98d4679a04b6c31416e288d/view" TargetMode="External" Id="rId134" /><Relationship Type="http://schemas.openxmlformats.org/officeDocument/2006/relationships/hyperlink" Target="mailto:emily.f.green.civ@us.navy.mil" TargetMode="External" Id="rId135" /><Relationship Type="http://schemas.openxmlformats.org/officeDocument/2006/relationships/hyperlink" Target="https://sam.gov/opp/8a9e542eb98d4679a04b6c31416e288d/view" TargetMode="External" Id="rId136" /><Relationship Type="http://schemas.openxmlformats.org/officeDocument/2006/relationships/hyperlink" Target="https://sam.gov/opp/2287fe684e02406fa563695eb849e7b3/view" TargetMode="External" Id="rId137" /><Relationship Type="http://schemas.openxmlformats.org/officeDocument/2006/relationships/hyperlink" Target="mailto:tessa.l.wastun2.civ@us.navy.mil" TargetMode="External" Id="rId138" /><Relationship Type="http://schemas.openxmlformats.org/officeDocument/2006/relationships/hyperlink" Target="https://sam.gov/opp/2287fe684e02406fa563695eb849e7b3/view" TargetMode="External" Id="rId139" /><Relationship Type="http://schemas.openxmlformats.org/officeDocument/2006/relationships/hyperlink" Target="mailto:norman.p.julien@navy.mil" TargetMode="External" Id="rId140" /><Relationship Type="http://schemas.openxmlformats.org/officeDocument/2006/relationships/hyperlink" Target="https://www.navwar.navy.mil/Portals/93/Images/Documents/NAVWAR_LRAE_Report.xlsx?ver=3bKfCbGtYWA36Jvgb1i6Qw%3D%3D" TargetMode="External" Id="rId141" /><Relationship Type="http://schemas.openxmlformats.org/officeDocument/2006/relationships/hyperlink" Target="mailto:bryan.f.mansfield.civ@us.navy.mil" TargetMode="External" Id="rId142" /><Relationship Type="http://schemas.openxmlformats.org/officeDocument/2006/relationships/hyperlink" Target="https://www.navwar.navy.mil/Portals/93/Images/Documents/NAVWAR_LRAE_Report.xlsx?ver=3bKfCbGtYWA36Jvgb1i6Qw%3D%3D" TargetMode="External" Id="rId143" /><Relationship Type="http://schemas.openxmlformats.org/officeDocument/2006/relationships/hyperlink" Target="mailto:jacob.p.ward.civ@us.navy.mil" TargetMode="External" Id="rId144" /><Relationship Type="http://schemas.openxmlformats.org/officeDocument/2006/relationships/hyperlink" Target="https://www.navwar.navy.mil/Portals/93/Images/Documents/NAVWAR_LRAE_Report.xlsx?ver=3bKfCbGtYWA36Jvgb1i6Qw%3D%3D" TargetMode="External" Id="rId145" /><Relationship Type="http://schemas.openxmlformats.org/officeDocument/2006/relationships/hyperlink" Target="mailto:Susana.L.Wiker.civ@us.navy.mil" TargetMode="External" Id="rId146" /><Relationship Type="http://schemas.openxmlformats.org/officeDocument/2006/relationships/hyperlink" Target="https://www.navwar.navy.mil/Portals/93/Images/Documents/NAVWAR_LRAE_Report.xlsx?ver=3bKfCbGtYWA36Jvgb1i6Qw%3D%3D" TargetMode="External" Id="rId147" /><Relationship Type="http://schemas.openxmlformats.org/officeDocument/2006/relationships/hyperlink" Target="mailto:sheela.casper2.civ@us.navy.mil" TargetMode="External" Id="rId148" /><Relationship Type="http://schemas.openxmlformats.org/officeDocument/2006/relationships/hyperlink" Target="https://www.navwar.navy.mil/Portals/93/Images/Documents/NAVWAR_LRAE_Report.xlsx?ver=3bKfCbGtYWA36Jvgb1i6Qw%3D%3D" TargetMode="External" Id="rId149" /><Relationship Type="http://schemas.openxmlformats.org/officeDocument/2006/relationships/hyperlink" Target="mailto:david.m.roden2.civ@us.navy.mil" TargetMode="External" Id="rId150" /><Relationship Type="http://schemas.openxmlformats.org/officeDocument/2006/relationships/hyperlink" Target="https://sam.gov/opp/e8176359f96a40a5b6ed0301a026cdf4/view" TargetMode="External" Id="rId151" /><Relationship Type="http://schemas.openxmlformats.org/officeDocument/2006/relationships/hyperlink" Target="https://www.mynavyhr.navy.mil/Portals/55/Messages/NAVADMIN/NAV2026/NAV26204.pdf?ver=Z0SgLUjWKMJuHZr8CPoubQ%3D%3D" TargetMode="External" Id="rId152" /><Relationship Type="http://schemas.openxmlformats.org/officeDocument/2006/relationships/hyperlink" Target="https://www.mynavyhr.navy.mil/Portals/55/Messages/NAVADMIN/NAV2026/NAV26123.pdf?ver=t6jdXYHcASmJJFJn31N1-g%3D%3D" TargetMode="External" Id="rId153" /><Relationship Type="http://schemas.openxmlformats.org/officeDocument/2006/relationships/hyperlink" Target="https://www.navy.mil/Leadership/Flag-Officer-Biographies/BioDisplay/Article/2322704/rear-admiral-susan-bryerjoyner/" TargetMode="External" Id="rId154" /><Relationship Type="http://schemas.openxmlformats.org/officeDocument/2006/relationships/hyperlink" Target="https://www.mynavyhr.navy.mil/Portals/55/Messages/NAVADMIN/NAV2026/NAV26123.pdf?ver=t6jdXYHcASmJJFJn31N1-g%3D%3D" TargetMode="External" Id="rId155" /><Relationship Type="http://schemas.openxmlformats.org/officeDocument/2006/relationships/hyperlink" Target="https://www.linkedin.com/in/ericdobson101" TargetMode="External" Id="rId156" /><Relationship Type="http://schemas.openxmlformats.org/officeDocument/2006/relationships/hyperlink" Target="https://www.mynavyhr.navy.mil/Portals/55/Messages/NAVADMIN/NAV2026/NAV26123.pdf?ver=t6jdXYHcASmJJFJn31N1-g%3D%3D" TargetMode="External" Id="rId157" /><Relationship Type="http://schemas.openxmlformats.org/officeDocument/2006/relationships/hyperlink" Target="https://www.navy.mil/Press-Office/Press-Releases/display-pressreleases/Article/4483312/navy-advances-acquisition-reform-strategy-appoints-three-new-portfolio-acquisit/" TargetMode="External" Id="rId158" /><Relationship Type="http://schemas.openxmlformats.org/officeDocument/2006/relationships/hyperlink" Target="https://www.navy.mil/Press-Office/News-Stories/display-news/Article/4483389/department-of-the-navy-launches-pae-mission-systems-to-accelerate-warfighting-c/" TargetMode="External" Id="rId159" /><Relationship Type="http://schemas.openxmlformats.org/officeDocument/2006/relationships/hyperlink" Target="https://www.navsea.navy.mil/Home/Warfare-Centers/NSWC-Crane/Partnerships/Contracts/APBI/" TargetMode="External" Id="rId160" /><Relationship Type="http://schemas.openxmlformats.org/officeDocument/2006/relationships/hyperlink" Target="https://www.dvidshub.net/image/8619319/pmw-160-change-command" TargetMode="External" Id="rId161" /><Relationship Type="http://schemas.openxmlformats.org/officeDocument/2006/relationships/hyperlink" Target="https://www.linkedin.com/in/jeffmyers2" TargetMode="External" Id="rId162" /><Relationship Type="http://schemas.openxmlformats.org/officeDocument/2006/relationships/hyperlink" Target="https://www.ticketsource.com/pmw-160/pmw-160-industry-day/e-beyzjd" TargetMode="External" Id="rId163" /><Relationship Type="http://schemas.openxmlformats.org/officeDocument/2006/relationships/hyperlink" Target="https://www.navy.mil/Leadership/Flag-Officer-Biographies/Article/2236520/rear-admiral-j-kurt-rothenhaus/" TargetMode="External" Id="rId164" /><Relationship Type="http://schemas.openxmlformats.org/officeDocument/2006/relationships/hyperlink" Target="https://www.linkedin.com/posts/pae-mission-systems_paemissionsystems-cybersecurity-zerotrust-activity-7490439563929247744-kYqM" TargetMode="External" Id="rId165" /><Relationship Type="http://schemas.openxmlformats.org/officeDocument/2006/relationships/hyperlink" Target="https://www.dvidshub.net/image/8619315/pmw-160-change-command" TargetMode="External" Id="rId166" /><Relationship Type="http://schemas.openxmlformats.org/officeDocument/2006/relationships/hyperlink" Target="https://www.linkedin.com/posts/dave-arellano-0b020575_im-happy-to-announce-that-im-starting-a-activity-7430779375911870464-wHmP" TargetMode="External" Id="rId167" /><Relationship Type="http://schemas.openxmlformats.org/officeDocument/2006/relationships/hyperlink" Target="https://www.linkedin.com/in/dave-arellano-0b020575" TargetMode="External" Id="rId168" /><Relationship Type="http://schemas.openxmlformats.org/officeDocument/2006/relationships/hyperlink" Target="https://www.linkedin.com/in/rachelbondi" TargetMode="External" Id="rId169" /><Relationship Type="http://schemas.openxmlformats.org/officeDocument/2006/relationships/hyperlink" Target="https://ismg.events/summit/otsec-world-2026/" TargetMode="External" Id="rId170" /><Relationship Type="http://schemas.openxmlformats.org/officeDocument/2006/relationships/hyperlink" Target="https://www.linkedin.com/posts/program-executive-office-command-control-communications-computers-and-intelligence_peoc4i-seabedtospace-teamappreciation-activity-7275238401975472128-o3DM" TargetMode="External" Id="rId171" /><Relationship Type="http://schemas.openxmlformats.org/officeDocument/2006/relationships/hyperlink" Target="https://www.ticketsource.com/pmw-160/pmw-160-industry-day/e-beyzjd" TargetMode="External" Id="rId172" /><Relationship Type="http://schemas.openxmlformats.org/officeDocument/2006/relationships/hyperlink" Target="https://www.ticketsource.com/pmw-160/pmw-160-industry-day/e-beyzjd" TargetMode="External" Id="rId173" /><Relationship Type="http://schemas.openxmlformats.org/officeDocument/2006/relationships/hyperlink" Target="https://nslab.cloud/" TargetMode="External" Id="rId174" /><Relationship Type="http://schemas.openxmlformats.org/officeDocument/2006/relationships/hyperlink" Target="https://nslab.cloud/" TargetMode="External" Id="rId175" /><Relationship Type="http://schemas.openxmlformats.org/officeDocument/2006/relationships/hyperlink" Target="https://nslab.cloud/" TargetMode="External" Id="rId176" /><Relationship Type="http://schemas.openxmlformats.org/officeDocument/2006/relationships/hyperlink" Target="https://www.navy.mil/Press-Office/Press-Releases/display-pressreleases/Article/4576025/acting-secretary-of-the-navy-appoints-m-barry-tanner-as-chief-information-offic/" TargetMode="External" Id="rId177" /><Relationship Type="http://schemas.openxmlformats.org/officeDocument/2006/relationships/hyperlink" Target="https://www.doncio.navy.mil/ContentView.aspx?id=20502" TargetMode="External" Id="rId178" /><Relationship Type="http://schemas.openxmlformats.org/officeDocument/2006/relationships/hyperlink" Target="https://www.doncio.navy.mil/ContentView.aspx?id=20505" TargetMode="External" Id="rId179" /><Relationship Type="http://schemas.openxmlformats.org/officeDocument/2006/relationships/hyperlink" Target="https://fedgovtoday.com/innovation-in-govt/from-devsecops-sprawl-to-enterprise-scale-at-the-department-of-the-navy" TargetMode="External" Id="rId180" /><Relationship Type="http://schemas.openxmlformats.org/officeDocument/2006/relationships/hyperlink" Target="https://www.dvidshub.net/news/483389/navwar-empowers-fleet-sailors-and-first-responders-with-custom-systems-training" TargetMode="External" Id="rId181" /><Relationship Type="http://schemas.openxmlformats.org/officeDocument/2006/relationships/hyperlink" Target="https://www.navy.mil/Press-Office/News-Stories/Article/2735561/navwar-deploys-the-navys-first-application-arsenal/" TargetMode="External" Id="rId182" /><Relationship Type="http://schemas.openxmlformats.org/officeDocument/2006/relationships/hyperlink" Target="https://www.dvidshub.net/image/8619315/pmw-160-change-command" TargetMode="External" Id="rId183" /><Relationship Type="http://schemas.openxmlformats.org/officeDocument/2006/relationships/hyperlink" Target="https://www.navy.mil/Press-Office/News-Stories/Article/2735561/navwar-deploys-the-navys-first-application-arsenal/" TargetMode="External" Id="rId184" /><Relationship Type="http://schemas.openxmlformats.org/officeDocument/2006/relationships/hyperlink" Target="https://www.navy.mil/DesktopModules/ArticleCS/Print.aspx?Article=2240143&amp;ModuleId=523&amp;PortalId=1" TargetMode="External" Id="rId185" /><Relationship Type="http://schemas.openxmlformats.org/officeDocument/2006/relationships/hyperlink" Target="https://www.navy.mil/Press-Office/News-Stories/Article/2248847/working-group-promotes-navy-application-modernization-and-accelerated-delivery/" TargetMode="External" Id="rId186" /><Relationship Type="http://schemas.openxmlformats.org/officeDocument/2006/relationships/hyperlink" Target="https://www.navy.mil/Press-Office/News-Stories/Article/2735561/navwar-deploys-the-navys-first-application-arsenal/" TargetMode="External" Id="rId187" /><Relationship Type="http://schemas.openxmlformats.org/officeDocument/2006/relationships/hyperlink" Target="https://www.navy.mil/Press-Office/News-Stories/Article/2710817/navwar-launches-first-secret-level-devsecops-pipeline/" TargetMode="External" Id="rId188" /><Relationship Type="http://schemas.openxmlformats.org/officeDocument/2006/relationships/table" Target="/xl/tables/table1.xml" Id="rId18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D1" sqref="D1"/>
      <selection pane="bottomLeft" activeCell="A8" sqref="A8"/>
      <selection pane="bottomRight" activeCell="D8" sqref="D8"/>
    </sheetView>
  </sheetViews>
  <sheetFormatPr baseColWidth="8" defaultRowHeight="15"/>
  <cols>
    <col width="6" customWidth="1" min="1" max="1"/>
    <col width="23" customWidth="1" min="2" max="2"/>
    <col width="49" customWidth="1" min="3" max="3"/>
    <col width="19" customWidth="1" min="4" max="4"/>
    <col width="18" customWidth="1" min="5" max="5"/>
    <col width="31" customWidth="1" min="6" max="6"/>
    <col width="29" customWidth="1" min="7" max="7"/>
    <col width="42" customWidth="1" min="8" max="8"/>
    <col width="26" customWidth="1" min="9" max="9"/>
    <col width="17" customWidth="1" min="10" max="10"/>
    <col width="25" customWidth="1" min="11" max="11"/>
    <col width="61" customWidth="1" min="12" max="12"/>
    <col width="58" customWidth="1" min="13" max="13"/>
    <col width="37" customWidth="1" min="14" max="14"/>
    <col width="22" customWidth="1" min="15" max="15"/>
    <col width="20" customWidth="1" min="16" max="16"/>
    <col width="58" customWidth="1" min="17" max="17"/>
    <col width="58" customWidth="1" min="18" max="18"/>
    <col width="20" customWidth="1" min="19" max="19"/>
    <col width="65" customWidth="1" min="20" max="20"/>
  </cols>
  <sheetData>
    <row r="1" ht="32" customHeight="1">
      <c r="A1" s="3" t="inlineStr">
        <is>
          <t>NIWC Pacific · Application Arsenal Government POC &amp; Deep-Code Matrix</t>
        </is>
      </c>
    </row>
    <row r="2" ht="29" customHeight="1">
      <c r="A2" s="7" t="inlineStr">
        <is>
          <t>Public-source organizational spine, current decision/influence nodes, deepest supported codes, official channels, historical lineage, and explicit public gaps · As of 2 September 2026</t>
        </is>
      </c>
    </row>
    <row r="3" ht="34" customHeight="1">
      <c r="A3" s="19" t="inlineStr">
        <is>
          <t>Rows</t>
        </is>
      </c>
      <c r="B3" s="23">
        <f>COUNTA($A$8:$A$152)</f>
        <v/>
      </c>
      <c r="C3" s="20" t="inlineStr">
        <is>
          <t>As of</t>
        </is>
      </c>
      <c r="D3" s="20" t="inlineStr">
        <is>
          <t>2026-09-02</t>
        </is>
      </c>
      <c r="E3" s="20" t="inlineStr">
        <is>
          <t>Deepest current AA code</t>
        </is>
      </c>
      <c r="F3" s="20" t="inlineStr">
        <is>
          <t>53200</t>
        </is>
      </c>
      <c r="G3" s="20" t="inlineStr">
        <is>
          <t>Official AA RFP POCs</t>
        </is>
      </c>
      <c r="H3" s="20" t="n">
        <v>2</v>
      </c>
      <c r="I3" s="17" t="inlineStr">
        <is>
          <t>Augmented pass added 17 rows: portfolios/Code H, C2 role mailbox, OSA/RAISE component gaps, NAVAL UX/UCD contacts, NAVWAR OSBP interface contacts, DON RCO overlay, and public-affairs SME route. No public current AA PM, COR, TCA lead, or child code below 53200 was found.</t>
        </is>
      </c>
      <c r="T3" s="76" t="n"/>
    </row>
    <row r="4" ht="30" customHeight="1">
      <c r="A4" s="77" t="inlineStr">
        <is>
          <t>Current public AA depth: Code 53 -&gt; Code 532 / 53200 -&gt; Navy Digital Ecosystem -&gt; OSA components (OSA Tools, ACS, Collaborative Staging Environments, AA, RAISE/accreditation). No current numeric child under 53200 or named AA/OSA component lead is public; Code 53210 is historical.</t>
        </is>
      </c>
      <c r="B4" s="78" t="n"/>
      <c r="C4" s="78" t="n"/>
      <c r="D4" s="78" t="n"/>
      <c r="E4" s="78" t="n"/>
      <c r="F4" s="78" t="n"/>
      <c r="G4" s="78" t="n"/>
      <c r="H4" s="78" t="n"/>
      <c r="I4" s="78" t="n"/>
      <c r="J4" s="78" t="n"/>
      <c r="K4" s="78" t="n"/>
      <c r="L4" s="78" t="n"/>
      <c r="M4" s="78" t="n"/>
      <c r="N4" s="78" t="n"/>
      <c r="O4" s="78" t="n"/>
      <c r="P4" s="78" t="n"/>
      <c r="Q4" s="78" t="n"/>
      <c r="R4" s="78" t="n"/>
      <c r="S4" s="78" t="n"/>
      <c r="T4" s="79" t="n"/>
    </row>
    <row r="5" ht="28" customHeight="1">
      <c r="A5" s="38" t="inlineStr">
        <is>
          <t>Scope and hygiene: Structure Domain separates NIWC PAC reporting hierarchy from external program/acquisition/sponsor chains and adjacent interfaces. Do not infer cross-domain reporting. Public professional roles and official channels only; blanks were not guessed. Rows added in the augmentation pass are caveated in the final column.</t>
        </is>
      </c>
    </row>
    <row r="7" ht="38" customHeight="1">
      <c r="A7" s="69" t="inlineStr">
        <is>
          <t>ID</t>
        </is>
      </c>
      <c r="B7" s="69" t="inlineStr">
        <is>
          <t>Structure Domain</t>
        </is>
      </c>
      <c r="C7" s="69" t="inlineStr">
        <is>
          <t>Hierarchy Path</t>
        </is>
      </c>
      <c r="D7" s="69" t="inlineStr">
        <is>
          <t>Org Level</t>
        </is>
      </c>
      <c r="E7" s="69" t="inlineStr">
        <is>
          <t>Org Code</t>
        </is>
      </c>
      <c r="F7" s="69" t="inlineStr">
        <is>
          <t>Organization / Unit</t>
        </is>
      </c>
      <c r="G7" s="69" t="inlineStr">
        <is>
          <t>Name / Public Node</t>
        </is>
      </c>
      <c r="H7" s="69" t="inlineStr">
        <is>
          <t>Exact Public Role</t>
        </is>
      </c>
      <c r="I7" s="69" t="inlineStr">
        <is>
          <t>Status Class</t>
        </is>
      </c>
      <c r="J7" s="69" t="inlineStr">
        <is>
          <t>Status As Of</t>
        </is>
      </c>
      <c r="K7" s="69" t="inlineStr">
        <is>
          <t>AA Relationship</t>
        </is>
      </c>
      <c r="L7" s="69" t="inlineStr">
        <is>
          <t>Specific Application Arsenal Relevance</t>
        </is>
      </c>
      <c r="M7" s="69" t="inlineStr">
        <is>
          <t>Authority / Engagement Posture</t>
        </is>
      </c>
      <c r="N7" s="69" t="inlineStr">
        <is>
          <t>Public Email</t>
        </is>
      </c>
      <c r="O7" s="69" t="inlineStr">
        <is>
          <t>Public Phone</t>
        </is>
      </c>
      <c r="P7" s="69" t="inlineStr">
        <is>
          <t>Confidence</t>
        </is>
      </c>
      <c r="Q7" s="69" t="inlineStr">
        <is>
          <t>Primary Source URL</t>
        </is>
      </c>
      <c r="R7" s="69" t="inlineStr">
        <is>
          <t>Secondary Source URL</t>
        </is>
      </c>
      <c r="S7" s="69" t="inlineStr">
        <is>
          <t>Source Date</t>
        </is>
      </c>
      <c r="T7" s="69" t="inlineStr">
        <is>
          <t>Validation / Caveat</t>
        </is>
      </c>
    </row>
    <row r="8" ht="49" customHeight="1">
      <c r="A8" s="55" t="n">
        <v>1</v>
      </c>
      <c r="B8" s="52" t="inlineStr">
        <is>
          <t>NIWC PAC core hierarchy</t>
        </is>
      </c>
      <c r="C8" s="52" t="inlineStr">
        <is>
          <t>NAVWAR &gt; NIWC Pacific</t>
        </is>
      </c>
      <c r="D8" s="52" t="inlineStr">
        <is>
          <t>Command</t>
        </is>
      </c>
      <c r="E8" s="58" t="str"/>
      <c r="F8" s="52" t="inlineStr">
        <is>
          <t>NIWC Pacific</t>
        </is>
      </c>
      <c r="G8" s="61" t="inlineStr">
        <is>
          <t>CAPT Kris De Soto, USN</t>
        </is>
      </c>
      <c r="H8" s="52" t="inlineStr">
        <is>
          <t>Commanding Officer</t>
        </is>
      </c>
      <c r="I8" s="52" t="inlineStr">
        <is>
          <t>Current</t>
        </is>
      </c>
      <c r="J8" s="52" t="inlineStr">
        <is>
          <t>2026-05-21</t>
        </is>
      </c>
      <c r="K8" s="52" t="inlineStr">
        <is>
          <t>Executive / indirect</t>
        </is>
      </c>
      <c r="L8" s="52" t="inlineStr">
        <is>
          <t>Command authority, priorities, resources, and center accountability above the AA engineering organization.</t>
        </is>
      </c>
      <c r="M8" s="52" t="inlineStr">
        <is>
          <t>Not an RFP contact; use only formal, permitted executive engagement.</t>
        </is>
      </c>
      <c r="N8" s="64" t="str"/>
      <c r="O8" s="64" t="str"/>
      <c r="P8" s="52" t="inlineStr">
        <is>
          <t>A / High</t>
        </is>
      </c>
      <c r="Q8" s="67" t="inlineStr">
        <is>
          <t>https://www.dvidshub.net/news/565973/niwc-pacific-welcomes-de-soto-bids-farewell-mckenna</t>
        </is>
      </c>
      <c r="R8" s="67" t="str"/>
      <c r="S8" s="52" t="inlineStr">
        <is>
          <t>2026-05-21</t>
        </is>
      </c>
      <c r="T8" s="52" t="inlineStr">
        <is>
          <t>Supersedes CAPT Patrick McKenna; the NIWC homepage leadership module was stale during review.</t>
        </is>
      </c>
    </row>
    <row r="9" ht="49" customHeight="1">
      <c r="A9" s="55" t="n">
        <v>2</v>
      </c>
      <c r="B9" s="52" t="inlineStr">
        <is>
          <t>NIWC PAC core hierarchy</t>
        </is>
      </c>
      <c r="C9" s="52" t="inlineStr">
        <is>
          <t>NAVWAR &gt; NIWC Pacific</t>
        </is>
      </c>
      <c r="D9" s="52" t="inlineStr">
        <is>
          <t>Command</t>
        </is>
      </c>
      <c r="E9" s="58" t="str"/>
      <c r="F9" s="52" t="inlineStr">
        <is>
          <t>NIWC Pacific</t>
        </is>
      </c>
      <c r="G9" s="61" t="inlineStr">
        <is>
          <t>CAPT Joseph Houser, USN</t>
        </is>
      </c>
      <c r="H9" s="52" t="inlineStr">
        <is>
          <t>Executive Officer; second-in-command for day-to-day management</t>
        </is>
      </c>
      <c r="I9" s="52" t="inlineStr">
        <is>
          <t>Current</t>
        </is>
      </c>
      <c r="J9" s="52" t="inlineStr">
        <is>
          <t>2026-05-21</t>
        </is>
      </c>
      <c r="K9" s="52" t="inlineStr">
        <is>
          <t>Executive / indirect</t>
        </is>
      </c>
      <c r="L9" s="52" t="inlineStr">
        <is>
          <t>Operational command management and execution oversight; no published AA-specific assignment.</t>
        </is>
      </c>
      <c r="M9" s="52" t="inlineStr">
        <is>
          <t>Not an RFP contact.</t>
        </is>
      </c>
      <c r="N9" s="64" t="str"/>
      <c r="O9" s="64" t="str"/>
      <c r="P9" s="52" t="inlineStr">
        <is>
          <t>A / High</t>
        </is>
      </c>
      <c r="Q9" s="67" t="inlineStr">
        <is>
          <t>https://www.dvidshub.net/image/9702435/niwc-pacific-welcomes-de-soto-bids-farewell-mckenna</t>
        </is>
      </c>
      <c r="R9" s="67" t="str"/>
      <c r="S9" s="52" t="inlineStr">
        <is>
          <t>2026-05-21</t>
        </is>
      </c>
      <c r="T9" s="52" t="str"/>
    </row>
    <row r="10" ht="49" customHeight="1">
      <c r="A10" s="55" t="n">
        <v>3</v>
      </c>
      <c r="B10" s="52" t="inlineStr">
        <is>
          <t>NIWC PAC core hierarchy</t>
        </is>
      </c>
      <c r="C10" s="52" t="inlineStr">
        <is>
          <t>NAVWAR &gt; NIWC Pacific</t>
        </is>
      </c>
      <c r="D10" s="52" t="inlineStr">
        <is>
          <t>Command</t>
        </is>
      </c>
      <c r="E10" s="58" t="str"/>
      <c r="F10" s="52" t="inlineStr">
        <is>
          <t>NIWC Pacific</t>
        </is>
      </c>
      <c r="G10" s="61" t="inlineStr">
        <is>
          <t>Michael “Spock” McMillan</t>
        </is>
      </c>
      <c r="H10" s="52" t="inlineStr">
        <is>
          <t>Executive Director; senior civilian co-lead</t>
        </is>
      </c>
      <c r="I10" s="52" t="inlineStr">
        <is>
          <t>Current</t>
        </is>
      </c>
      <c r="J10" s="52" t="inlineStr">
        <is>
          <t>2026-05-21</t>
        </is>
      </c>
      <c r="K10" s="52" t="inlineStr">
        <is>
          <t>Executive / indirect</t>
        </is>
      </c>
      <c r="L10" s="52" t="inlineStr">
        <is>
          <t>Senior civilian influence over strategy, workforce, resources, and technical-business direction across the center.</t>
        </is>
      </c>
      <c r="M10" s="52" t="inlineStr">
        <is>
          <t>Not an RFP contact.</t>
        </is>
      </c>
      <c r="N10" s="64" t="str"/>
      <c r="O10" s="64" t="str"/>
      <c r="P10" s="52" t="inlineStr">
        <is>
          <t>A / High</t>
        </is>
      </c>
      <c r="Q10" s="67" t="inlineStr">
        <is>
          <t>https://www.dvidshub.net/image/9702430/niwc-pacific-welcomes-de-soto-bids-farewell-mckenna</t>
        </is>
      </c>
      <c r="R10" s="67" t="inlineStr">
        <is>
          <t>https://www.ndia-sd.org/wp-content/uploads/2026/05/NDIA-7-May-2026-Combined-video-embedded.pdf</t>
        </is>
      </c>
      <c r="S10" s="52" t="inlineStr">
        <is>
          <t>2026-05-21</t>
        </is>
      </c>
      <c r="T10" s="52" t="str"/>
    </row>
    <row r="11" ht="49" customHeight="1">
      <c r="A11" s="55" t="n">
        <v>4</v>
      </c>
      <c r="B11" s="52" t="inlineStr">
        <is>
          <t>NIWC PAC core hierarchy</t>
        </is>
      </c>
      <c r="C11" s="52" t="inlineStr">
        <is>
          <t>NAVWAR &gt; NIWC Pacific</t>
        </is>
      </c>
      <c r="D11" s="52" t="inlineStr">
        <is>
          <t>Command technical leadership</t>
        </is>
      </c>
      <c r="E11" s="58" t="str"/>
      <c r="F11" s="52" t="inlineStr">
        <is>
          <t>NIWC Pacific</t>
        </is>
      </c>
      <c r="G11" s="61" t="inlineStr">
        <is>
          <t>Chris Raney</t>
        </is>
      </c>
      <c r="H11" s="52" t="inlineStr">
        <is>
          <t>Deputy Executive Director and Technical Director</t>
        </is>
      </c>
      <c r="I11" s="52" t="inlineStr">
        <is>
          <t>Dated / revalidate</t>
        </is>
      </c>
      <c r="J11" s="52" t="inlineStr">
        <is>
          <t>2024-10-11</t>
        </is>
      </c>
      <c r="K11" s="52" t="inlineStr">
        <is>
          <t>Technical governance</t>
        </is>
      </c>
      <c r="L11" s="52" t="inlineStr">
        <is>
          <t>Cross-center technical vision, engineering policy, and standards relevant to DevSecOps and systems integration.</t>
        </is>
      </c>
      <c r="M11" s="52" t="inlineStr">
        <is>
          <t>Technical leadership; not an RFP contact.</t>
        </is>
      </c>
      <c r="N11" s="64" t="str"/>
      <c r="O11" s="64" t="str"/>
      <c r="P11" s="52" t="inlineStr">
        <is>
          <t>B / Medium</t>
        </is>
      </c>
      <c r="Q11" s="67" t="inlineStr">
        <is>
          <t>https://www.dvidshub.net/podcast/618/next-level-podcast</t>
        </is>
      </c>
      <c r="R11" s="67" t="str"/>
      <c r="S11" s="52" t="inlineStr">
        <is>
          <t>2024-10-11</t>
        </is>
      </c>
      <c r="T11" s="52" t="inlineStr">
        <is>
          <t>Status detail: Current-likely; revalidate. No successor found, but no 2025–26 explicit role confirmation located.</t>
        </is>
      </c>
    </row>
    <row r="12" ht="49" customHeight="1">
      <c r="A12" s="55" t="n">
        <v>5</v>
      </c>
      <c r="B12" s="52" t="inlineStr">
        <is>
          <t>NIWC PAC core hierarchy</t>
        </is>
      </c>
      <c r="C12" s="52" t="inlineStr">
        <is>
          <t>NAVWAR &gt; NIWC Pacific</t>
        </is>
      </c>
      <c r="D12" s="52" t="inlineStr">
        <is>
          <t>Command</t>
        </is>
      </c>
      <c r="E12" s="58" t="str"/>
      <c r="F12" s="52" t="inlineStr">
        <is>
          <t>NIWC Pacific</t>
        </is>
      </c>
      <c r="G12" s="61" t="inlineStr">
        <is>
          <t>MCIT Frank R. Flores II</t>
        </is>
      </c>
      <c r="H12" s="52" t="inlineStr">
        <is>
          <t>Command Master Chief</t>
        </is>
      </c>
      <c r="I12" s="52" t="inlineStr">
        <is>
          <t>Current</t>
        </is>
      </c>
      <c r="J12" s="52" t="inlineStr">
        <is>
          <t>2026-05-21</t>
        </is>
      </c>
      <c r="K12" s="52" t="inlineStr">
        <is>
          <t>Fleet/workforce / indirect</t>
        </is>
      </c>
      <c r="L12" s="52" t="inlineStr">
        <is>
          <t>Enlisted and Sailor perspective; indirect relevance to usability, training, and fleet adoption.</t>
        </is>
      </c>
      <c r="M12" s="52" t="inlineStr">
        <is>
          <t>Not acquisition authority.</t>
        </is>
      </c>
      <c r="N12" s="64" t="str"/>
      <c r="O12" s="64" t="str"/>
      <c r="P12" s="52" t="inlineStr">
        <is>
          <t>A / High</t>
        </is>
      </c>
      <c r="Q12" s="67" t="inlineStr">
        <is>
          <t>https://www.dvidshub.net/image/9702439/niwc-pacific-welcomes-de-soto-bids-farewell-mckenna</t>
        </is>
      </c>
      <c r="R12" s="67" t="inlineStr">
        <is>
          <t>https://www.niwcpacific.navy.mil/Bob-P-TEST-Page/</t>
        </is>
      </c>
      <c r="S12" s="52" t="inlineStr">
        <is>
          <t>2026-05-21</t>
        </is>
      </c>
      <c r="T12" s="52" t="str"/>
    </row>
    <row r="13" ht="49" customHeight="1">
      <c r="A13" s="55" t="n">
        <v>6</v>
      </c>
      <c r="B13" s="52" t="inlineStr">
        <is>
          <t>NIWC PAC core hierarchy</t>
        </is>
      </c>
      <c r="C13" s="52" t="inlineStr">
        <is>
          <t>NIWC Pacific &gt; Office of the Chief Engineer</t>
        </is>
      </c>
      <c r="D13" s="52" t="inlineStr">
        <is>
          <t>Center staff office</t>
        </is>
      </c>
      <c r="E13" s="58" t="str"/>
      <c r="F13" s="52" t="inlineStr">
        <is>
          <t>Office of the Chief Engineer</t>
        </is>
      </c>
      <c r="G13" s="61" t="inlineStr">
        <is>
          <t>Susan Lai</t>
        </is>
      </c>
      <c r="H13" s="52" t="inlineStr">
        <is>
          <t>Acting Chief Engineer as of February 2026</t>
        </is>
      </c>
      <c r="I13" s="52" t="inlineStr">
        <is>
          <t>Dated / revalidate</t>
        </is>
      </c>
      <c r="J13" s="52" t="inlineStr">
        <is>
          <t>2026-02-11</t>
        </is>
      </c>
      <c r="K13" s="52" t="inlineStr">
        <is>
          <t>Technical governance</t>
        </is>
      </c>
      <c r="L13" s="52" t="inlineStr">
        <is>
          <t>Center-level systems, software, service, digital engineering, open architecture, APIs, and user-centered design governance.</t>
        </is>
      </c>
      <c r="M13" s="52" t="inlineStr">
        <is>
          <t>Technical authority context; not an RFP contact.</t>
        </is>
      </c>
      <c r="N13" s="64" t="str"/>
      <c r="O13" s="64" t="str"/>
      <c r="P13" s="52" t="inlineStr">
        <is>
          <t>B / Medium-high</t>
        </is>
      </c>
      <c r="Q13" s="67" t="inlineStr">
        <is>
          <t>https://www.westconference.org/WEST26/Public/sessions.aspx?ID=116691&amp;View=Sessions</t>
        </is>
      </c>
      <c r="R13" s="67" t="inlineStr">
        <is>
          <t>https://www.niwcpacific.navy.mil/About/Office-of-the-Chief-Engineer/</t>
        </is>
      </c>
      <c r="S13" s="52" t="inlineStr">
        <is>
          <t>2026-02-11</t>
        </is>
      </c>
      <c r="T13" s="52" t="inlineStr">
        <is>
          <t>Status detail: Dated acting role. Acting designation was public in February; September incumbent remains unresolved and is represented separately below.</t>
        </is>
      </c>
    </row>
    <row r="14" ht="49" customHeight="1">
      <c r="A14" s="55" t="n">
        <v>7</v>
      </c>
      <c r="B14" s="52" t="inlineStr">
        <is>
          <t>NIWC PAC core hierarchy</t>
        </is>
      </c>
      <c r="C14" s="52" t="inlineStr">
        <is>
          <t>NIWC Pacific &gt; Office of the Chief Engineer</t>
        </is>
      </c>
      <c r="D14" s="52" t="inlineStr">
        <is>
          <t>Center staff office</t>
        </is>
      </c>
      <c r="E14" s="58" t="str"/>
      <c r="F14" s="52" t="inlineStr">
        <is>
          <t>Office of the Chief Engineer</t>
        </is>
      </c>
      <c r="G14" s="61" t="inlineStr">
        <is>
          <t>Public gap — September incumbent not identified</t>
        </is>
      </c>
      <c r="H14" s="52" t="inlineStr">
        <is>
          <t>Chief Engineer</t>
        </is>
      </c>
      <c r="I14" s="52" t="inlineStr">
        <is>
          <t>Public gap</t>
        </is>
      </c>
      <c r="J14" s="52" t="inlineStr">
        <is>
          <t>2026-09-02</t>
        </is>
      </c>
      <c r="K14" s="52" t="inlineStr">
        <is>
          <t>Technical governance</t>
        </is>
      </c>
      <c r="L14" s="52" t="inlineStr">
        <is>
          <t>Potentially material to AA architecture and engineering rigor, but the current named incumbent is not defensibly public.</t>
        </is>
      </c>
      <c r="M14" s="52" t="inlineStr">
        <is>
          <t>Do not infer a person or direct solicitation authority.</t>
        </is>
      </c>
      <c r="N14" s="64" t="str"/>
      <c r="O14" s="64" t="str"/>
      <c r="P14" s="52" t="inlineStr">
        <is>
          <t>A / High for office; gap for person</t>
        </is>
      </c>
      <c r="Q14" s="67" t="inlineStr">
        <is>
          <t>https://www.niwcpacific.navy.mil/About/Office-of-the-Chief-Engineer/</t>
        </is>
      </c>
      <c r="R14" s="67" t="str"/>
      <c r="S14" s="52" t="inlineStr">
        <is>
          <t>Accessed 2026-09-02</t>
        </is>
      </c>
      <c r="T14" s="52" t="inlineStr">
        <is>
          <t>Status detail: Current function / incumbent unresolved.</t>
        </is>
      </c>
    </row>
    <row r="15" ht="49" customHeight="1">
      <c r="A15" s="55" t="n">
        <v>8</v>
      </c>
      <c r="B15" s="52" t="inlineStr">
        <is>
          <t>NIWC PAC core hierarchy</t>
        </is>
      </c>
      <c r="C15" s="52" t="inlineStr">
        <is>
          <t>NIWC Pacific &gt; Finance / Comptroller</t>
        </is>
      </c>
      <c r="D15" s="52" t="inlineStr">
        <is>
          <t>Department</t>
        </is>
      </c>
      <c r="E15" s="58" t="inlineStr">
        <is>
          <t>1.0 / 10000</t>
        </is>
      </c>
      <c r="F15" s="52" t="inlineStr">
        <is>
          <t>Finance Department / Comptroller</t>
        </is>
      </c>
      <c r="G15" s="61" t="inlineStr">
        <is>
          <t>Public gap — incumbent not identified</t>
        </is>
      </c>
      <c r="H15" s="52" t="inlineStr">
        <is>
          <t>Comptroller / Finance Department head</t>
        </is>
      </c>
      <c r="I15" s="52" t="inlineStr">
        <is>
          <t>Public gap</t>
        </is>
      </c>
      <c r="J15" s="52" t="inlineStr">
        <is>
          <t>2026-09-02</t>
        </is>
      </c>
      <c r="K15" s="52" t="inlineStr">
        <is>
          <t>Administrative / indirect</t>
        </is>
      </c>
      <c r="L15" s="52" t="inlineStr">
        <is>
          <t>Funding, audit, and financial controls; no named current head found.</t>
        </is>
      </c>
      <c r="M15" s="52" t="inlineStr">
        <is>
          <t>Not a capture engagement target or RFP channel.</t>
        </is>
      </c>
      <c r="N15" s="64" t="str"/>
      <c r="O15" s="64" t="str"/>
      <c r="P15" s="52" t="inlineStr">
        <is>
          <t>A / High for unit</t>
        </is>
      </c>
      <c r="Q15" s="67" t="inlineStr">
        <is>
          <t>https://www.ndia-sd.org/wp-content/uploads/2026/05/NDIA-7-May-2026-Combined-video-embedded.pdf</t>
        </is>
      </c>
      <c r="R15" s="67" t="inlineStr">
        <is>
          <t>https://sam.gov/opp/88afa0891a314aa2ae6b0c68d9afff90/view</t>
        </is>
      </c>
      <c r="S15" s="52" t="inlineStr">
        <is>
          <t>2026-05 / 2026</t>
        </is>
      </c>
      <c r="T15" s="52" t="inlineStr">
        <is>
          <t>Status detail: Current function / incumbent unresolved.</t>
        </is>
      </c>
    </row>
    <row r="16" ht="49" customHeight="1">
      <c r="A16" s="55" t="n">
        <v>9</v>
      </c>
      <c r="B16" s="52" t="inlineStr">
        <is>
          <t>NIWC PAC core hierarchy</t>
        </is>
      </c>
      <c r="C16" s="52" t="inlineStr">
        <is>
          <t>NIWC Pacific &gt; Inspector General</t>
        </is>
      </c>
      <c r="D16" s="52" t="inlineStr">
        <is>
          <t>Center staff office</t>
        </is>
      </c>
      <c r="E16" s="58" t="inlineStr">
        <is>
          <t>00I00</t>
        </is>
      </c>
      <c r="F16" s="52" t="inlineStr">
        <is>
          <t>Inspector General</t>
        </is>
      </c>
      <c r="G16" s="61" t="inlineStr">
        <is>
          <t>Public gap — incumbent not identified</t>
        </is>
      </c>
      <c r="H16" s="52" t="inlineStr">
        <is>
          <t>Inspector General</t>
        </is>
      </c>
      <c r="I16" s="52" t="inlineStr">
        <is>
          <t>Public gap</t>
        </is>
      </c>
      <c r="J16" s="52" t="inlineStr">
        <is>
          <t>2026-09-02</t>
        </is>
      </c>
      <c r="K16" s="52" t="inlineStr">
        <is>
          <t>Oversight / none</t>
        </is>
      </c>
      <c r="L16" s="52" t="inlineStr">
        <is>
          <t>Oversight and reporting function; no direct AA capture relevance.</t>
        </is>
      </c>
      <c r="M16" s="52" t="inlineStr">
        <is>
          <t>Not a capture engagement target.</t>
        </is>
      </c>
      <c r="N16" s="64" t="str"/>
      <c r="O16" s="64" t="str"/>
      <c r="P16" s="52" t="inlineStr">
        <is>
          <t>A / High for office</t>
        </is>
      </c>
      <c r="Q16" s="67" t="inlineStr">
        <is>
          <t>https://www.niwcpacific.navy.mil/Contact/Inspector-General/</t>
        </is>
      </c>
      <c r="R16" s="67" t="str"/>
      <c r="S16" s="52" t="inlineStr">
        <is>
          <t>Accessed 2026-09-02</t>
        </is>
      </c>
      <c r="T16" s="52" t="inlineStr">
        <is>
          <t>Status detail: Current function / incumbent unresolved.</t>
        </is>
      </c>
    </row>
    <row r="17" ht="49" customHeight="1">
      <c r="A17" s="55" t="n">
        <v>10</v>
      </c>
      <c r="B17" s="52" t="inlineStr">
        <is>
          <t>NIWC PAC core hierarchy</t>
        </is>
      </c>
      <c r="C17" s="52" t="inlineStr">
        <is>
          <t>NIWC Pacific &gt; Office of Counsel</t>
        </is>
      </c>
      <c r="D17" s="52" t="inlineStr">
        <is>
          <t>Center staff office</t>
        </is>
      </c>
      <c r="E17" s="58" t="str"/>
      <c r="F17" s="52" t="inlineStr">
        <is>
          <t>Office of Counsel</t>
        </is>
      </c>
      <c r="G17" s="61" t="inlineStr">
        <is>
          <t>Public gap — chief counsel not identified</t>
        </is>
      </c>
      <c r="H17" s="52" t="inlineStr">
        <is>
          <t>Chief Counsel / legal review</t>
        </is>
      </c>
      <c r="I17" s="52" t="inlineStr">
        <is>
          <t>Public gap</t>
        </is>
      </c>
      <c r="J17" s="52" t="inlineStr">
        <is>
          <t>2026-09-02</t>
        </is>
      </c>
      <c r="K17" s="52" t="inlineStr">
        <is>
          <t>Legal / indirect</t>
        </is>
      </c>
      <c r="L17" s="52" t="inlineStr">
        <is>
          <t>Procurement-integrity and legal review context; no named current chief found.</t>
        </is>
      </c>
      <c r="M17" s="52" t="inlineStr">
        <is>
          <t>Not an engagement target for the active competition.</t>
        </is>
      </c>
      <c r="N17" s="64" t="str"/>
      <c r="O17" s="64" t="str"/>
      <c r="P17" s="52" t="inlineStr">
        <is>
          <t>B / Medium for office</t>
        </is>
      </c>
      <c r="Q17" s="67" t="inlineStr">
        <is>
          <t>https://www.niwcpacific.navy.mil/About/</t>
        </is>
      </c>
      <c r="R17" s="67" t="str"/>
      <c r="S17" s="52" t="inlineStr">
        <is>
          <t>Accessed 2026-09-02</t>
        </is>
      </c>
      <c r="T17" s="52" t="inlineStr">
        <is>
          <t>Status detail: Current function / incumbent unresolved.</t>
        </is>
      </c>
    </row>
    <row r="18" ht="49" customHeight="1">
      <c r="A18" s="55" t="n">
        <v>11</v>
      </c>
      <c r="B18" s="52" t="inlineStr">
        <is>
          <t>NIWC PAC acquisition</t>
        </is>
      </c>
      <c r="C18" s="52" t="inlineStr">
        <is>
          <t>NIWC Pacific &gt; Contracts</t>
        </is>
      </c>
      <c r="D18" s="52" t="inlineStr">
        <is>
          <t>Department / function</t>
        </is>
      </c>
      <c r="E18" s="58" t="str"/>
      <c r="F18" s="52" t="inlineStr">
        <is>
          <t>Contracts</t>
        </is>
      </c>
      <c r="G18" s="61" t="inlineStr">
        <is>
          <t>Sharon M. Pritchard</t>
        </is>
      </c>
      <c r="H18" s="52" t="inlineStr">
        <is>
          <t>Head of Contracts</t>
        </is>
      </c>
      <c r="I18" s="52" t="inlineStr">
        <is>
          <t>Current</t>
        </is>
      </c>
      <c r="J18" s="52" t="inlineStr">
        <is>
          <t>2026-08-31</t>
        </is>
      </c>
      <c r="K18" s="52" t="inlineStr">
        <is>
          <t>Direct – procurement oversight</t>
        </is>
      </c>
      <c r="L18" s="52" t="inlineStr">
        <is>
          <t>Senior NIWC Pacific contracting policy and portfolio lead; not listed as an AA RFP POC.</t>
        </is>
      </c>
      <c r="M18" s="52" t="inlineStr">
        <is>
          <t>Do not route AA questions here unless the solicitation team redirects them.</t>
        </is>
      </c>
      <c r="N18" s="64" t="inlineStr">
        <is>
          <t>sharon.m.pritchard.civ@us.navy.mil</t>
        </is>
      </c>
      <c r="O18" s="64" t="inlineStr">
        <is>
          <t>619-553-4492</t>
        </is>
      </c>
      <c r="P18" s="52" t="inlineStr">
        <is>
          <t>A / High</t>
        </is>
      </c>
      <c r="Q18" s="67" t="inlineStr">
        <is>
          <t>https://www.ndia-sd.org/wp-content/uploads/2026/05/NDIA-7-May-2026-Combined-video-embedded.pdf</t>
        </is>
      </c>
      <c r="R18" s="67" t="inlineStr">
        <is>
          <t>https://sam.gov/opp/9b41ad1bb80c4c0185f42811866b291b/view</t>
        </is>
      </c>
      <c r="S18" s="52" t="inlineStr">
        <is>
          <t>2026-05-07 / 2026-08-31</t>
        </is>
      </c>
      <c r="T18" s="52" t="inlineStr">
        <is>
          <t>Email/phone were published for the NIWC PAC CSO, not the AA RFP.</t>
        </is>
      </c>
    </row>
    <row r="19" ht="49" customHeight="1">
      <c r="A19" s="55" t="n">
        <v>12</v>
      </c>
      <c r="B19" s="52" t="inlineStr">
        <is>
          <t>NIWC PAC acquisition</t>
        </is>
      </c>
      <c r="C19" s="52" t="inlineStr">
        <is>
          <t>NIWC Pacific &gt; Office of Small Business Programs / AA acquisition team</t>
        </is>
      </c>
      <c r="D19" s="52" t="inlineStr">
        <is>
          <t>Advisory + solicitation POC</t>
        </is>
      </c>
      <c r="E19" s="58" t="str"/>
      <c r="F19" s="52" t="inlineStr">
        <is>
          <t>OSBP / N66001-26-R-3507</t>
        </is>
      </c>
      <c r="G19" s="61" t="inlineStr">
        <is>
          <t>Jose M. Neto</t>
        </is>
      </c>
      <c r="H19" s="52" t="inlineStr">
        <is>
          <t>Acting OSBP / Small Business Professional (May 2026); secondary AA RFP POC</t>
        </is>
      </c>
      <c r="I19" s="52" t="inlineStr">
        <is>
          <t>Current</t>
        </is>
      </c>
      <c r="J19" s="52" t="inlineStr">
        <is>
          <t>2026-08-31</t>
        </is>
      </c>
      <c r="K19" s="52" t="inlineStr">
        <is>
          <t>Direct – procurement</t>
        </is>
      </c>
      <c r="L19" s="52" t="inlineStr">
        <is>
          <t>Published secondary POC for the active AA solicitation and small-business context.</t>
        </is>
      </c>
      <c r="M19" s="52" t="inlineStr">
        <is>
          <t>Authorized secondary RFP contact; follow SAM/PIEE and final Section L.</t>
        </is>
      </c>
      <c r="N19" s="64" t="inlineStr">
        <is>
          <t>jose.m.neto.civ@us.navy.mil</t>
        </is>
      </c>
      <c r="O19" s="64" t="inlineStr">
        <is>
          <t>619-553-6415</t>
        </is>
      </c>
      <c r="P19" s="52" t="inlineStr">
        <is>
          <t>A / High for RFP POC; B for OSBP title</t>
        </is>
      </c>
      <c r="Q19" s="67" t="inlineStr">
        <is>
          <t>https://sam.gov/opp/b97c5c5becf542398697517bff5e0be2/view</t>
        </is>
      </c>
      <c r="R19" s="67" t="inlineStr">
        <is>
          <t>https://www.ndia-sd.org/wp-content/uploads/2026/05/NDIA-7-May-2026-Combined-video-embedded.pdf</t>
        </is>
      </c>
      <c r="S19" s="52" t="inlineStr">
        <is>
          <t>2026-08-31 / 2026-05-07</t>
        </is>
      </c>
      <c r="T19" s="52" t="inlineStr">
        <is>
          <t>Status detail: Current (RFP channel); OSBP title needs revalidation.</t>
        </is>
      </c>
    </row>
    <row r="20" ht="49" customHeight="1">
      <c r="A20" s="55" t="n">
        <v>13</v>
      </c>
      <c r="B20" s="52" t="inlineStr">
        <is>
          <t>NIWC PAC industry interface</t>
        </is>
      </c>
      <c r="C20" s="52" t="inlineStr">
        <is>
          <t>NIWC Pacific &gt; Office of Small Business Programs</t>
        </is>
      </c>
      <c r="D20" s="52" t="inlineStr">
        <is>
          <t>Advisory office</t>
        </is>
      </c>
      <c r="E20" s="58" t="str"/>
      <c r="F20" s="52" t="inlineStr">
        <is>
          <t>OSBP</t>
        </is>
      </c>
      <c r="G20" s="61" t="inlineStr">
        <is>
          <t>Nick Giacalone</t>
        </is>
      </c>
      <c r="H20" s="52" t="inlineStr">
        <is>
          <t>Deputy Director, NIWC Pacific Office of Small Business Programs</t>
        </is>
      </c>
      <c r="I20" s="52" t="inlineStr">
        <is>
          <t>Dated / revalidate</t>
        </is>
      </c>
      <c r="J20" s="52" t="inlineStr">
        <is>
          <t>2025-08-27</t>
        </is>
      </c>
      <c r="K20" s="52" t="inlineStr">
        <is>
          <t>Industry interface / indirect</t>
        </is>
      </c>
      <c r="L20" s="52" t="inlineStr">
        <is>
          <t>Permissible general industry and small-business engagement path; no published AA procurement authority.</t>
        </is>
      </c>
      <c r="M20" s="52" t="inlineStr">
        <is>
          <t>Not a substitute for RFP Q&amp;A.</t>
        </is>
      </c>
      <c r="N20" s="64" t="str"/>
      <c r="O20" s="64" t="str"/>
      <c r="P20" s="52" t="inlineStr">
        <is>
          <t>B / Medium</t>
        </is>
      </c>
      <c r="Q20" s="67" t="inlineStr">
        <is>
          <t>https://www.dvidshub.net/news/546685/navwar-fosters-collaboration-and-engagement-with-small-business-2025-gold-coast-conference</t>
        </is>
      </c>
      <c r="R20" s="67" t="str"/>
      <c r="S20" s="52" t="inlineStr">
        <is>
          <t>2025-08-27</t>
        </is>
      </c>
      <c r="T20" s="52" t="inlineStr">
        <is>
          <t>Status detail: Current-recent; revalidate.</t>
        </is>
      </c>
    </row>
    <row r="21" ht="49" customHeight="1">
      <c r="A21" s="55" t="n">
        <v>14</v>
      </c>
      <c r="B21" s="52" t="inlineStr">
        <is>
          <t>NIWC PAC public interface</t>
        </is>
      </c>
      <c r="C21" s="52" t="inlineStr">
        <is>
          <t>NIWC Pacific &gt; Corporate Communications</t>
        </is>
      </c>
      <c r="D21" s="52" t="inlineStr">
        <is>
          <t>Center staff office</t>
        </is>
      </c>
      <c r="E21" s="58" t="str"/>
      <c r="F21" s="52" t="inlineStr">
        <is>
          <t>Public Affairs</t>
        </is>
      </c>
      <c r="G21" s="61" t="inlineStr">
        <is>
          <t>Darian L. Wilson</t>
        </is>
      </c>
      <c r="H21" s="52" t="inlineStr">
        <is>
          <t>Corporate Communications and Public Affairs Director</t>
        </is>
      </c>
      <c r="I21" s="52" t="inlineStr">
        <is>
          <t>Current</t>
        </is>
      </c>
      <c r="J21" s="52" t="inlineStr">
        <is>
          <t>2026-05-21</t>
        </is>
      </c>
      <c r="K21" s="52" t="inlineStr">
        <is>
          <t>Public information / indirect</t>
        </is>
      </c>
      <c r="L21" s="52" t="inlineStr">
        <is>
          <t>Public-information and media channel; not technical, program, or procurement authority.</t>
        </is>
      </c>
      <c r="M21" s="52" t="inlineStr">
        <is>
          <t>Use only for public affairs / media requests.</t>
        </is>
      </c>
      <c r="N21" s="64" t="inlineStr">
        <is>
          <t>darian.wilson.civ@us.navy.mil</t>
        </is>
      </c>
      <c r="O21" s="64" t="inlineStr">
        <is>
          <t>619-306-8663</t>
        </is>
      </c>
      <c r="P21" s="52" t="inlineStr">
        <is>
          <t>A / High</t>
        </is>
      </c>
      <c r="Q21" s="67" t="inlineStr">
        <is>
          <t>https://www.dvidshub.net/news/565973/niwc-pacific-welcomes-de-soto-bids-farewell-mckenna</t>
        </is>
      </c>
      <c r="R21" s="67" t="str"/>
      <c r="S21" s="52" t="inlineStr">
        <is>
          <t>2026-05-21</t>
        </is>
      </c>
      <c r="T21" s="52" t="str"/>
    </row>
    <row r="22" ht="49" customHeight="1">
      <c r="A22" s="55" t="n">
        <v>15</v>
      </c>
      <c r="B22" s="52" t="inlineStr">
        <is>
          <t>NIWC PAC public interface</t>
        </is>
      </c>
      <c r="C22" s="52" t="inlineStr">
        <is>
          <t>NIWC Pacific &gt; Corporate Operations &gt; Protocol / Command Visits</t>
        </is>
      </c>
      <c r="D22" s="52" t="inlineStr">
        <is>
          <t>Branch / office</t>
        </is>
      </c>
      <c r="E22" s="58" t="inlineStr">
        <is>
          <t>85400</t>
        </is>
      </c>
      <c r="F22" s="52" t="inlineStr">
        <is>
          <t>Protocol / Command Visits</t>
        </is>
      </c>
      <c r="G22" s="61" t="inlineStr">
        <is>
          <t>Charissa Newkirk</t>
        </is>
      </c>
      <c r="H22" s="52" t="inlineStr">
        <is>
          <t>Protocol Officer / Command Visits</t>
        </is>
      </c>
      <c r="I22" s="52" t="inlineStr">
        <is>
          <t>Current</t>
        </is>
      </c>
      <c r="J22" s="52" t="inlineStr">
        <is>
          <t>2026-09-02</t>
        </is>
      </c>
      <c r="K22" s="52" t="inlineStr">
        <is>
          <t>Administrative access / none</t>
        </is>
      </c>
      <c r="L22" s="52" t="inlineStr">
        <is>
          <t>Senior-visitor protocol and command-visit administration only.</t>
        </is>
      </c>
      <c r="M22" s="52" t="inlineStr">
        <is>
          <t>Not a technical or procurement contact.</t>
        </is>
      </c>
      <c r="N22" s="64" t="str"/>
      <c r="O22" s="64" t="inlineStr">
        <is>
          <t>619-553-2722</t>
        </is>
      </c>
      <c r="P22" s="52" t="inlineStr">
        <is>
          <t>A / High</t>
        </is>
      </c>
      <c r="Q22" s="67" t="inlineStr">
        <is>
          <t>https://www.ndia-sd.org/event/niwc-pac-executive-networking-forum-september-2026/</t>
        </is>
      </c>
      <c r="R22" s="67" t="inlineStr">
        <is>
          <t>https://www.niwcpacific.navy.mil/Connect/Visitors/</t>
        </is>
      </c>
      <c r="S22" s="52" t="inlineStr">
        <is>
          <t>2026-09-02</t>
        </is>
      </c>
      <c r="T22" s="52" t="str"/>
    </row>
    <row r="23" ht="49" customHeight="1">
      <c r="A23" s="55" t="n">
        <v>16</v>
      </c>
      <c r="B23" s="52" t="inlineStr">
        <is>
          <t>NIWC PAC public interface</t>
        </is>
      </c>
      <c r="C23" s="52" t="inlineStr">
        <is>
          <t>NIWC Pacific &gt; Visitor Center</t>
        </is>
      </c>
      <c r="D23" s="52" t="inlineStr">
        <is>
          <t>Role mailbox</t>
        </is>
      </c>
      <c r="E23" s="58" t="str"/>
      <c r="F23" s="52" t="inlineStr">
        <is>
          <t>Visitor Center</t>
        </is>
      </c>
      <c r="G23" s="61" t="inlineStr">
        <is>
          <t>NIWC PAC Visit Request</t>
        </is>
      </c>
      <c r="H23" s="52" t="inlineStr">
        <is>
          <t>Official visitor-access mailbox</t>
        </is>
      </c>
      <c r="I23" s="52" t="inlineStr">
        <is>
          <t>Official channel</t>
        </is>
      </c>
      <c r="J23" s="52" t="inlineStr">
        <is>
          <t>2026-09-02</t>
        </is>
      </c>
      <c r="K23" s="52" t="inlineStr">
        <is>
          <t>Administrative access / none</t>
        </is>
      </c>
      <c r="L23" s="52" t="inlineStr">
        <is>
          <t>Base-access administration; coordinate only after a Government host authorizes a visit.</t>
        </is>
      </c>
      <c r="M23" s="52" t="inlineStr">
        <is>
          <t>Not an engagement or procurement channel.</t>
        </is>
      </c>
      <c r="N23" s="64" t="inlineStr">
        <is>
          <t>niwc_pac_visitrequest@us.navy.mil</t>
        </is>
      </c>
      <c r="O23" s="64" t="inlineStr">
        <is>
          <t>619-553-3203 option 3</t>
        </is>
      </c>
      <c r="P23" s="52" t="inlineStr">
        <is>
          <t>A / High</t>
        </is>
      </c>
      <c r="Q23" s="67" t="inlineStr">
        <is>
          <t>https://www.niwcpacific.navy.mil/Connect/Visitors/</t>
        </is>
      </c>
      <c r="R23" s="67" t="str"/>
      <c r="S23" s="52" t="inlineStr">
        <is>
          <t>Accessed 2026-09-02</t>
        </is>
      </c>
      <c r="T23" s="52" t="inlineStr">
        <is>
          <t>Status detail: Role mailbox.</t>
        </is>
      </c>
    </row>
    <row r="24" ht="49" customHeight="1">
      <c r="A24" s="55" t="n">
        <v>17</v>
      </c>
      <c r="B24" s="52" t="inlineStr">
        <is>
          <t>NIWC PAC public interface</t>
        </is>
      </c>
      <c r="C24" s="52" t="inlineStr">
        <is>
          <t>NIWC Pacific</t>
        </is>
      </c>
      <c r="D24" s="52" t="inlineStr">
        <is>
          <t>Role channel</t>
        </is>
      </c>
      <c r="E24" s="58" t="str"/>
      <c r="F24" s="52" t="inlineStr">
        <is>
          <t>General Information</t>
        </is>
      </c>
      <c r="G24" s="61" t="inlineStr">
        <is>
          <t>NIWC Pacific General Information</t>
        </is>
      </c>
      <c r="H24" s="52" t="inlineStr">
        <is>
          <t>Public switchboard</t>
        </is>
      </c>
      <c r="I24" s="52" t="inlineStr">
        <is>
          <t>Official channel</t>
        </is>
      </c>
      <c r="J24" s="52" t="inlineStr">
        <is>
          <t>2026-09-02</t>
        </is>
      </c>
      <c r="K24" s="52" t="inlineStr">
        <is>
          <t>Administrative / none</t>
        </is>
      </c>
      <c r="L24" s="52" t="inlineStr">
        <is>
          <t>General routing only; no AA authority.</t>
        </is>
      </c>
      <c r="M24" s="52" t="inlineStr">
        <is>
          <t>Not an RFP Q&amp;A channel.</t>
        </is>
      </c>
      <c r="N24" s="64" t="str"/>
      <c r="O24" s="64" t="inlineStr">
        <is>
          <t>619-553-2717</t>
        </is>
      </c>
      <c r="P24" s="52" t="inlineStr">
        <is>
          <t>A / High</t>
        </is>
      </c>
      <c r="Q24" s="67" t="inlineStr">
        <is>
          <t>https://www.niwcpacific.navy.mil/contact/</t>
        </is>
      </c>
      <c r="R24" s="67" t="str"/>
      <c r="S24" s="52" t="inlineStr">
        <is>
          <t>Accessed 2026-09-02</t>
        </is>
      </c>
      <c r="T24" s="52" t="inlineStr">
        <is>
          <t>Status detail: Role channel.</t>
        </is>
      </c>
    </row>
    <row r="25" ht="49" customHeight="1">
      <c r="A25" s="55" t="n">
        <v>18</v>
      </c>
      <c r="B25" s="52" t="inlineStr">
        <is>
          <t>AA chain &amp; adjacent ecosystem</t>
        </is>
      </c>
      <c r="C25" s="52" t="inlineStr">
        <is>
          <t>NIWC Pacific &gt; Command &amp; Control Department</t>
        </is>
      </c>
      <c r="D25" s="52" t="inlineStr">
        <is>
          <t>Department</t>
        </is>
      </c>
      <c r="E25" s="58" t="inlineStr">
        <is>
          <t>53</t>
        </is>
      </c>
      <c r="F25" s="52" t="inlineStr">
        <is>
          <t>Command &amp; Control Department</t>
        </is>
      </c>
      <c r="G25" s="61" t="inlineStr">
        <is>
          <t>Scott Crellin</t>
        </is>
      </c>
      <c r="H25" s="52" t="inlineStr">
        <is>
          <t>Command and Control Department Head</t>
        </is>
      </c>
      <c r="I25" s="52" t="inlineStr">
        <is>
          <t>Current</t>
        </is>
      </c>
      <c r="J25" s="52" t="inlineStr">
        <is>
          <t>2026-05-07</t>
        </is>
      </c>
      <c r="K25" s="52" t="inlineStr">
        <is>
          <t>Direct – technical chain</t>
        </is>
      </c>
      <c r="L25" s="52" t="inlineStr">
        <is>
          <t>Highest publicly named NIWC Pacific department leader above AA; the 2026 acquisition deck places the AA RFP in Department 53.</t>
        </is>
      </c>
      <c r="M25" s="52" t="inlineStr">
        <is>
          <t>Technical/executive influence; not named solicitation authority.</t>
        </is>
      </c>
      <c r="N25" s="64" t="str"/>
      <c r="O25" s="64" t="str"/>
      <c r="P25" s="52" t="inlineStr">
        <is>
          <t>A / High</t>
        </is>
      </c>
      <c r="Q25" s="67" t="inlineStr">
        <is>
          <t>https://www.ndia-sd.org/wp-content/uploads/2026/05/NDIA-7-May-2026-Combined-video-embedded.pdf</t>
        </is>
      </c>
      <c r="R25" s="67" t="str"/>
      <c r="S25" s="52" t="inlineStr">
        <is>
          <t>2026-05-07</t>
        </is>
      </c>
      <c r="T25" s="52" t="str"/>
    </row>
    <row r="26" ht="49" customHeight="1">
      <c r="A26" s="55" t="n">
        <v>19</v>
      </c>
      <c r="B26" s="52" t="inlineStr">
        <is>
          <t>AA chain &amp; adjacent ecosystem</t>
        </is>
      </c>
      <c r="C26" s="52" t="inlineStr">
        <is>
          <t>NIWC Pacific &gt; Code 53 &gt; Command and Control Systems Division</t>
        </is>
      </c>
      <c r="D26" s="52" t="inlineStr">
        <is>
          <t>Division</t>
        </is>
      </c>
      <c r="E26" s="58" t="inlineStr">
        <is>
          <t>532 / 53200</t>
        </is>
      </c>
      <c r="F26" s="52" t="inlineStr">
        <is>
          <t>Command and Control Systems Division</t>
        </is>
      </c>
      <c r="G26" s="61" t="inlineStr">
        <is>
          <t>John Barrie</t>
        </is>
      </c>
      <c r="H26" s="52" t="inlineStr">
        <is>
          <t>Division Head, Code 532</t>
        </is>
      </c>
      <c r="I26" s="52" t="inlineStr">
        <is>
          <t>Current</t>
        </is>
      </c>
      <c r="J26" s="52" t="inlineStr">
        <is>
          <t>2026-05-20</t>
        </is>
      </c>
      <c r="K26" s="52" t="inlineStr">
        <is>
          <t>Direct – technical chain</t>
        </is>
      </c>
      <c r="L26" s="52" t="inlineStr">
        <is>
          <t>Closest publicly named current technical leader; the division portfolio explicitly includes AA, OSA, MAGIC, TAF, GALATEA/OPE, and related digital-ecosystem capabilities.</t>
        </is>
      </c>
      <c r="M26" s="52" t="inlineStr">
        <is>
          <t>Technical division leader; not an authorized RFP contact unless an amendment says otherwise.</t>
        </is>
      </c>
      <c r="N26" s="64" t="str"/>
      <c r="O26" s="64" t="str"/>
      <c r="P26" s="52" t="inlineStr">
        <is>
          <t>A / Very high</t>
        </is>
      </c>
      <c r="Q26" s="67" t="inlineStr">
        <is>
          <t>https://www.ndia-sd.org/wp-content/uploads/2026/06/532-Overview-Brief.pdf</t>
        </is>
      </c>
      <c r="R26" s="67" t="inlineStr">
        <is>
          <t>https://www.ndia-sd.org/event/sb-committee-meeting-may-20/</t>
        </is>
      </c>
      <c r="S26" s="52" t="inlineStr">
        <is>
          <t>2026-05-20</t>
        </is>
      </c>
      <c r="T26" s="52" t="str"/>
    </row>
    <row r="27" ht="49" customHeight="1">
      <c r="A27" s="55" t="n">
        <v>20</v>
      </c>
      <c r="B27" s="52" t="inlineStr">
        <is>
          <t>AA chain &amp; adjacent ecosystem</t>
        </is>
      </c>
      <c r="C27" s="52" t="inlineStr">
        <is>
          <t>NIWC Pacific &gt; Code 53 &gt; Engineering staff</t>
        </is>
      </c>
      <c r="D27" s="52" t="inlineStr">
        <is>
          <t>Department technical staff</t>
        </is>
      </c>
      <c r="E27" s="58" t="inlineStr">
        <is>
          <t>53</t>
        </is>
      </c>
      <c r="F27" s="52" t="inlineStr">
        <is>
          <t>Command &amp; Control Department</t>
        </is>
      </c>
      <c r="G27" s="61" t="inlineStr">
        <is>
          <t>John Wood, PhD</t>
        </is>
      </c>
      <c r="H27" s="52" t="inlineStr">
        <is>
          <t>Command and Control Department Lead Systems Engineer</t>
        </is>
      </c>
      <c r="I27" s="52" t="inlineStr">
        <is>
          <t>Current</t>
        </is>
      </c>
      <c r="J27" s="52" t="inlineStr">
        <is>
          <t>2026-07-22</t>
        </is>
      </c>
      <c r="K27" s="52" t="inlineStr">
        <is>
          <t>Technical governance</t>
        </is>
      </c>
      <c r="L27" s="52" t="inlineStr">
        <is>
          <t>Department-wide systems-engineering context; no public source ties him specifically to AA.</t>
        </is>
      </c>
      <c r="M27" s="52" t="inlineStr">
        <is>
          <t>Technical-context contact; not an RFP decision-maker.</t>
        </is>
      </c>
      <c r="N27" s="64" t="str"/>
      <c r="O27" s="64" t="str"/>
      <c r="P27" s="52" t="inlineStr">
        <is>
          <t>A for title; C for AA specificity</t>
        </is>
      </c>
      <c r="Q27" s="67" t="inlineStr">
        <is>
          <t>https://electrical.sdsu.edu/about/industry-advisory-board</t>
        </is>
      </c>
      <c r="R27" s="67" t="inlineStr">
        <is>
          <t>https://www.linkedin.com/in/johnwoodphd</t>
        </is>
      </c>
      <c r="S27" s="52" t="inlineStr">
        <is>
          <t>Page current 2026-07-22</t>
        </is>
      </c>
      <c r="T27" s="52" t="str"/>
    </row>
    <row r="28" ht="49" customHeight="1">
      <c r="A28" s="55" t="n">
        <v>21</v>
      </c>
      <c r="B28" s="52" t="inlineStr">
        <is>
          <t>AA chain &amp; adjacent ecosystem</t>
        </is>
      </c>
      <c r="C28" s="52" t="inlineStr">
        <is>
          <t>Code 53200 &gt; Navy Digital Ecosystem &gt; Application Arsenal</t>
        </is>
      </c>
      <c r="D28" s="52" t="inlineStr">
        <is>
          <t>Program / project</t>
        </is>
      </c>
      <c r="E28" s="58" t="inlineStr">
        <is>
          <t>53200 functional; child code not public</t>
        </is>
      </c>
      <c r="F28" s="52" t="inlineStr">
        <is>
          <t>Application Arsenal</t>
        </is>
      </c>
      <c r="G28" s="61" t="inlineStr">
        <is>
          <t>Public gap — current AA Program Manager not identified</t>
        </is>
      </c>
      <c r="H28" s="52" t="inlineStr">
        <is>
          <t>AA Program / Project Manager</t>
        </is>
      </c>
      <c r="I28" s="52" t="inlineStr">
        <is>
          <t>Public gap</t>
        </is>
      </c>
      <c r="J28" s="52" t="inlineStr">
        <is>
          <t>2026-09-02</t>
        </is>
      </c>
      <c r="K28" s="52" t="inlineStr">
        <is>
          <t>Direct – technical chain</t>
        </is>
      </c>
      <c r="L28" s="52" t="inlineStr">
        <is>
          <t>Day-to-day Government program ownership would be highly material, but no current public source names the individual.</t>
        </is>
      </c>
      <c r="M28" s="52" t="inlineStr">
        <is>
          <t>Do not infer from incumbent personnel, historical PMs, or adjacent programs.</t>
        </is>
      </c>
      <c r="N28" s="64" t="str"/>
      <c r="O28" s="64" t="str"/>
      <c r="P28" s="52" t="inlineStr">
        <is>
          <t>A / High for gap</t>
        </is>
      </c>
      <c r="Q28" s="67" t="inlineStr">
        <is>
          <t>https://www.ndia-sd.org/wp-content/uploads/2026/06/532-Overview-Brief.pdf</t>
        </is>
      </c>
      <c r="R28" s="67" t="inlineStr">
        <is>
          <t>https://sam.gov/opp/b97c5c5becf542398697517bff5e0be2/view</t>
        </is>
      </c>
      <c r="S28" s="52" t="inlineStr">
        <is>
          <t>2026-05-20 / 2026-08-31</t>
        </is>
      </c>
      <c r="T28" s="52" t="inlineStr">
        <is>
          <t>Status detail: Current function / incumbent unresolved.</t>
        </is>
      </c>
    </row>
    <row r="29" ht="49" customHeight="1">
      <c r="A29" s="55" t="n">
        <v>22</v>
      </c>
      <c r="B29" s="52" t="inlineStr">
        <is>
          <t>AA chain &amp; adjacent ecosystem</t>
        </is>
      </c>
      <c r="C29" s="52" t="inlineStr">
        <is>
          <t>Code 53200 &gt; Application Arsenal</t>
        </is>
      </c>
      <c r="D29" s="52" t="inlineStr">
        <is>
          <t>Contract oversight</t>
        </is>
      </c>
      <c r="E29" s="58" t="inlineStr">
        <is>
          <t>53200</t>
        </is>
      </c>
      <c r="F29" s="52" t="inlineStr">
        <is>
          <t>Application Arsenal</t>
        </is>
      </c>
      <c r="G29" s="61" t="inlineStr">
        <is>
          <t>Public gap — current AA COR not identified</t>
        </is>
      </c>
      <c r="H29" s="52" t="inlineStr">
        <is>
          <t>Contracting Officer’s Representative</t>
        </is>
      </c>
      <c r="I29" s="52" t="inlineStr">
        <is>
          <t>Public gap</t>
        </is>
      </c>
      <c r="J29" s="52" t="inlineStr">
        <is>
          <t>2026-09-02</t>
        </is>
      </c>
      <c r="K29" s="52" t="inlineStr">
        <is>
          <t>Direct – contract execution</t>
        </is>
      </c>
      <c r="L29" s="52" t="inlineStr">
        <is>
          <t>Current COR would govern post-award technical administration, but the public RFP record does not identify the person.</t>
        </is>
      </c>
      <c r="M29" s="52" t="inlineStr">
        <is>
          <t>Do not infer or approach candidates as the COR.</t>
        </is>
      </c>
      <c r="N29" s="64" t="str"/>
      <c r="O29" s="64" t="str"/>
      <c r="P29" s="52" t="inlineStr">
        <is>
          <t>A / High for gap</t>
        </is>
      </c>
      <c r="Q29" s="67" t="inlineStr">
        <is>
          <t>https://sam.gov/opp/b97c5c5becf542398697517bff5e0be2/view</t>
        </is>
      </c>
      <c r="R29" s="67" t="str"/>
      <c r="S29" s="52" t="inlineStr">
        <is>
          <t>2026-08-31</t>
        </is>
      </c>
      <c r="T29" s="52" t="inlineStr">
        <is>
          <t>Status detail: Current function / incumbent unresolved.</t>
        </is>
      </c>
    </row>
    <row r="30" ht="49" customHeight="1">
      <c r="A30" s="55" t="n">
        <v>23</v>
      </c>
      <c r="B30" s="52" t="inlineStr">
        <is>
          <t>AA chain &amp; adjacent ecosystem</t>
        </is>
      </c>
      <c r="C30" s="52" t="inlineStr">
        <is>
          <t>Code 53200 &gt; Navy Digital Ecosystem</t>
        </is>
      </c>
      <c r="D30" s="52" t="inlineStr">
        <is>
          <t>Technical Capability Area</t>
        </is>
      </c>
      <c r="E30" s="58" t="inlineStr">
        <is>
          <t>No public numeric child</t>
        </is>
      </c>
      <c r="F30" s="52" t="inlineStr">
        <is>
          <t>Navy Digital Ecosystem</t>
        </is>
      </c>
      <c r="G30" s="61" t="inlineStr">
        <is>
          <t>Public gap — TCA lead not published</t>
        </is>
      </c>
      <c r="H30" s="52" t="inlineStr">
        <is>
          <t>Functional TCA covering NRD&amp;E, GALATEA/COSMOS, OSA, OPE, AA, MAGIC, TAF, SMIO, and UNACORN</t>
        </is>
      </c>
      <c r="I30" s="52" t="inlineStr">
        <is>
          <t>Public gap</t>
        </is>
      </c>
      <c r="J30" s="52" t="inlineStr">
        <is>
          <t>2026-05-20</t>
        </is>
      </c>
      <c r="K30" s="52" t="inlineStr">
        <is>
          <t>Direct – technical chain</t>
        </is>
      </c>
      <c r="L30" s="52" t="inlineStr">
        <is>
          <t>Current functional home for AA in the Code 532 overview.</t>
        </is>
      </c>
      <c r="M30" s="52" t="inlineStr">
        <is>
          <t>Do not assign a numeric subcode or named lead without new evidence.</t>
        </is>
      </c>
      <c r="N30" s="64" t="str"/>
      <c r="O30" s="64" t="str"/>
      <c r="P30" s="52" t="inlineStr">
        <is>
          <t>A / High</t>
        </is>
      </c>
      <c r="Q30" s="67" t="inlineStr">
        <is>
          <t>https://www.ndia-sd.org/wp-content/uploads/2026/06/532-Overview-Brief.pdf</t>
        </is>
      </c>
      <c r="R30" s="67" t="str"/>
      <c r="S30" s="52" t="inlineStr">
        <is>
          <t>2026-05-20</t>
        </is>
      </c>
      <c r="T30" s="52" t="inlineStr">
        <is>
          <t>Status detail: Current function / incumbent unresolved.</t>
        </is>
      </c>
    </row>
    <row r="31" ht="49" customHeight="1">
      <c r="A31" s="55" t="n">
        <v>24</v>
      </c>
      <c r="B31" s="52" t="inlineStr">
        <is>
          <t>AA chain &amp; adjacent ecosystem</t>
        </is>
      </c>
      <c r="C31" s="52" t="inlineStr">
        <is>
          <t>Code 53200 &gt; C2 Maritime System Lifecycle Engineering</t>
        </is>
      </c>
      <c r="D31" s="52" t="inlineStr">
        <is>
          <t>Technical Capability Area</t>
        </is>
      </c>
      <c r="E31" s="58" t="inlineStr">
        <is>
          <t>No public numeric child</t>
        </is>
      </c>
      <c r="F31" s="52" t="inlineStr">
        <is>
          <t>C2 Maritime System Lifecycle Engineering</t>
        </is>
      </c>
      <c r="G31" s="61" t="inlineStr">
        <is>
          <t>Public gap — TCA lead not published</t>
        </is>
      </c>
      <c r="H31" s="52" t="inlineStr">
        <is>
          <t>Functional TCA covering MTC2 and other C2 systems</t>
        </is>
      </c>
      <c r="I31" s="52" t="inlineStr">
        <is>
          <t>Public gap</t>
        </is>
      </c>
      <c r="J31" s="52" t="inlineStr">
        <is>
          <t>2026-05-20</t>
        </is>
      </c>
      <c r="K31" s="52" t="inlineStr">
        <is>
          <t>Adjacent interface</t>
        </is>
      </c>
      <c r="L31" s="52" t="inlineStr">
        <is>
          <t>MTC2 and related OTA application-deployment work create a direct delivery/integration seam with AA.</t>
        </is>
      </c>
      <c r="M31" s="52" t="inlineStr">
        <is>
          <t>Technical adjacency; no procurement authority inferred.</t>
        </is>
      </c>
      <c r="N31" s="64" t="str"/>
      <c r="O31" s="64" t="str"/>
      <c r="P31" s="52" t="inlineStr">
        <is>
          <t>A / High</t>
        </is>
      </c>
      <c r="Q31" s="67" t="inlineStr">
        <is>
          <t>https://www.ndia-sd.org/wp-content/uploads/2026/06/532-Overview-Brief.pdf</t>
        </is>
      </c>
      <c r="R31" s="67" t="str"/>
      <c r="S31" s="52" t="inlineStr">
        <is>
          <t>2026-05-20</t>
        </is>
      </c>
      <c r="T31" s="52" t="inlineStr">
        <is>
          <t>Status detail: Current function / incumbent unresolved.</t>
        </is>
      </c>
    </row>
    <row r="32" ht="49" customHeight="1">
      <c r="A32" s="55" t="n">
        <v>25</v>
      </c>
      <c r="B32" s="52" t="inlineStr">
        <is>
          <t>AA chain &amp; adjacent ecosystem</t>
        </is>
      </c>
      <c r="C32" s="52" t="inlineStr">
        <is>
          <t>Code 53200 &gt; C2 Multi-Level Security Systems</t>
        </is>
      </c>
      <c r="D32" s="52" t="inlineStr">
        <is>
          <t>Technical Capability Area</t>
        </is>
      </c>
      <c r="E32" s="58" t="inlineStr">
        <is>
          <t>No public numeric child</t>
        </is>
      </c>
      <c r="F32" s="52" t="inlineStr">
        <is>
          <t>C2 Multi-Level Security Systems</t>
        </is>
      </c>
      <c r="G32" s="61" t="inlineStr">
        <is>
          <t>Public gap — TCA lead not published</t>
        </is>
      </c>
      <c r="H32" s="52" t="inlineStr">
        <is>
          <t>Functional TCA covering PDAS, NESA, and JCDX</t>
        </is>
      </c>
      <c r="I32" s="52" t="inlineStr">
        <is>
          <t>Public gap</t>
        </is>
      </c>
      <c r="J32" s="52" t="inlineStr">
        <is>
          <t>2026-05-20</t>
        </is>
      </c>
      <c r="K32" s="52" t="inlineStr">
        <is>
          <t>Security / adjacent</t>
        </is>
      </c>
      <c r="L32" s="52" t="inlineStr">
        <is>
          <t>Cross-domain and multi-level-security dependencies can constrain AA distribution and integration.</t>
        </is>
      </c>
      <c r="M32" s="52" t="inlineStr">
        <is>
          <t>Technical adjacency; no procurement authority inferred.</t>
        </is>
      </c>
      <c r="N32" s="64" t="str"/>
      <c r="O32" s="64" t="str"/>
      <c r="P32" s="52" t="inlineStr">
        <is>
          <t>A / High</t>
        </is>
      </c>
      <c r="Q32" s="67" t="inlineStr">
        <is>
          <t>https://www.ndia-sd.org/wp-content/uploads/2026/06/532-Overview-Brief.pdf</t>
        </is>
      </c>
      <c r="R32" s="67" t="str"/>
      <c r="S32" s="52" t="inlineStr">
        <is>
          <t>2026-05-20</t>
        </is>
      </c>
      <c r="T32" s="52" t="inlineStr">
        <is>
          <t>Status detail: Current function / incumbent unresolved.</t>
        </is>
      </c>
    </row>
    <row r="33" ht="49" customHeight="1">
      <c r="A33" s="55" t="n">
        <v>26</v>
      </c>
      <c r="B33" s="52" t="inlineStr">
        <is>
          <t>AA chain &amp; adjacent ecosystem</t>
        </is>
      </c>
      <c r="C33" s="52" t="inlineStr">
        <is>
          <t>Code 53200 &gt; Navy Digital Ecosystem &gt; OSA</t>
        </is>
      </c>
      <c r="D33" s="52" t="inlineStr">
        <is>
          <t>Role mailbox</t>
        </is>
      </c>
      <c r="E33" s="58" t="inlineStr">
        <is>
          <t>53200 functional</t>
        </is>
      </c>
      <c r="F33" s="52" t="inlineStr">
        <is>
          <t>Overmatch Software Armory</t>
        </is>
      </c>
      <c r="G33" s="61" t="inlineStr">
        <is>
          <t>OSA Concierge</t>
        </is>
      </c>
      <c r="H33" s="52" t="inlineStr">
        <is>
          <t>Official OSA information and onboarding mailbox</t>
        </is>
      </c>
      <c r="I33" s="52" t="inlineStr">
        <is>
          <t>Official channel</t>
        </is>
      </c>
      <c r="J33" s="52" t="inlineStr">
        <is>
          <t>2026-09-02</t>
        </is>
      </c>
      <c r="K33" s="52" t="inlineStr">
        <is>
          <t>Direct – technical ecosystem</t>
        </is>
      </c>
      <c r="L33" s="52" t="inlineStr">
        <is>
          <t>Best current public team-level contact; OSA officially comprises OSA Tools, ACS, staging environments, and Application Arsenal.</t>
        </is>
      </c>
      <c r="M33" s="52" t="inlineStr">
        <is>
          <t>Functional information contact only; not acquisition authority.</t>
        </is>
      </c>
      <c r="N33" s="64" t="inlineStr">
        <is>
          <t>OSA_Concierge@us.navy.mil</t>
        </is>
      </c>
      <c r="O33" s="64" t="str"/>
      <c r="P33" s="52" t="inlineStr">
        <is>
          <t>A / Very high</t>
        </is>
      </c>
      <c r="Q33" s="67" t="inlineStr">
        <is>
          <t>https://www.niwcpacific.navy.mil/Technology/Overmatch-Software-Armory/</t>
        </is>
      </c>
      <c r="R33" s="67" t="str"/>
      <c r="S33" s="52" t="inlineStr">
        <is>
          <t>Accessed 2026-09-02</t>
        </is>
      </c>
      <c r="T33" s="52" t="inlineStr">
        <is>
          <t>Status detail: Role mailbox.</t>
        </is>
      </c>
    </row>
    <row r="34" ht="49" customHeight="1">
      <c r="A34" s="55" t="n">
        <v>27</v>
      </c>
      <c r="B34" s="52" t="inlineStr">
        <is>
          <t>AA chain &amp; adjacent ecosystem</t>
        </is>
      </c>
      <c r="C34" s="52" t="inlineStr">
        <is>
          <t>Code 53200 &gt; ACS / Fleet Integration</t>
        </is>
      </c>
      <c r="D34" s="52" t="inlineStr">
        <is>
          <t>Technical SME</t>
        </is>
      </c>
      <c r="E34" s="58" t="inlineStr">
        <is>
          <t>532 functional</t>
        </is>
      </c>
      <c r="F34" s="52" t="inlineStr">
        <is>
          <t>Agile Core Services</t>
        </is>
      </c>
      <c r="G34" s="61" t="inlineStr">
        <is>
          <t>Johnathan Gorbea</t>
        </is>
      </c>
      <c r="H34" s="52" t="inlineStr">
        <is>
          <t>NIWC Pacific IT specialist and Agile Core Services subject-matter expert</t>
        </is>
      </c>
      <c r="I34" s="52" t="inlineStr">
        <is>
          <t>Dated / revalidate</t>
        </is>
      </c>
      <c r="J34" s="52" t="inlineStr">
        <is>
          <t>2024-10-17</t>
        </is>
      </c>
      <c r="K34" s="52" t="inlineStr">
        <is>
          <t>Direct – technical ecosystem</t>
        </is>
      </c>
      <c r="L34" s="52" t="inlineStr">
        <is>
          <t>Publicly identified ACS expert for fleet training and implementation; ACS is a sibling/core dependency of AA within OSA.</t>
        </is>
      </c>
      <c r="M34" s="52" t="inlineStr">
        <is>
          <t>Technical influencer; not an RFP channel.</t>
        </is>
      </c>
      <c r="N34" s="64" t="str"/>
      <c r="O34" s="64" t="str"/>
      <c r="P34" s="52" t="inlineStr">
        <is>
          <t>A / High dated</t>
        </is>
      </c>
      <c r="Q34" s="67" t="inlineStr">
        <is>
          <t>https://www.dvidshub.net/news/483389/navwar-empowers-fleet-sailors-and-first-responders-with-custom-systems-training</t>
        </is>
      </c>
      <c r="R34" s="67" t="str"/>
      <c r="S34" s="52" t="inlineStr">
        <is>
          <t>2024-10-17</t>
        </is>
      </c>
      <c r="T34" s="52" t="inlineStr">
        <is>
          <t>Status detail: Dated role; revalidate.</t>
        </is>
      </c>
    </row>
    <row r="35" ht="49" customHeight="1">
      <c r="A35" s="55" t="n">
        <v>28</v>
      </c>
      <c r="B35" s="52" t="inlineStr">
        <is>
          <t>AA chain &amp; adjacent ecosystem</t>
        </is>
      </c>
      <c r="C35" s="52" t="inlineStr">
        <is>
          <t>Code 53200 &gt; C2 Maritime SLE &gt; MTC2</t>
        </is>
      </c>
      <c r="D35" s="52" t="inlineStr">
        <is>
          <t>Lead engineer</t>
        </is>
      </c>
      <c r="E35" s="58" t="inlineStr">
        <is>
          <t>532 functional</t>
        </is>
      </c>
      <c r="F35" s="52" t="inlineStr">
        <is>
          <t>Maritime Tactical Command and Control</t>
        </is>
      </c>
      <c r="G35" s="61" t="inlineStr">
        <is>
          <t>Michael Lee</t>
        </is>
      </c>
      <c r="H35" s="52" t="inlineStr">
        <is>
          <t>NIWC Pacific MTC2 Lead Engineer</t>
        </is>
      </c>
      <c r="I35" s="52" t="inlineStr">
        <is>
          <t>Dated / revalidate</t>
        </is>
      </c>
      <c r="J35" s="52" t="inlineStr">
        <is>
          <t>2024-03-14</t>
        </is>
      </c>
      <c r="K35" s="52" t="inlineStr">
        <is>
          <t>Adjacent interface</t>
        </is>
      </c>
      <c r="L35" s="52" t="inlineStr">
        <is>
          <t>Led adjacent over-the-air application deployment work with PMW 150/160; strong AA delivery-interface knowledge.</t>
        </is>
      </c>
      <c r="M35" s="52" t="inlineStr">
        <is>
          <t>Technical influencer; not an RFP channel.</t>
        </is>
      </c>
      <c r="N35" s="64" t="str"/>
      <c r="O35" s="64" t="str"/>
      <c r="P35" s="52" t="inlineStr">
        <is>
          <t>A / High dated</t>
        </is>
      </c>
      <c r="Q35" s="67" t="inlineStr">
        <is>
          <t>https://www.niwcpacific.navy.mil/Media/Press-Releases/Article-Display/Article/3707748/niwc-pacific-empowers-sailors-to-perform-first-sailor-capable-install/</t>
        </is>
      </c>
      <c r="R35" s="67" t="str"/>
      <c r="S35" s="52" t="inlineStr">
        <is>
          <t>2024-03-14</t>
        </is>
      </c>
      <c r="T35" s="52" t="inlineStr">
        <is>
          <t>Status detail: Dated role; revalidate.</t>
        </is>
      </c>
    </row>
    <row r="36" ht="49" customHeight="1">
      <c r="A36" s="55" t="n">
        <v>29</v>
      </c>
      <c r="B36" s="52" t="inlineStr">
        <is>
          <t>AA chain &amp; adjacent ecosystem</t>
        </is>
      </c>
      <c r="C36" s="52" t="inlineStr">
        <is>
          <t>NIWC Pacific &gt; Digital transformation / CSA lineage</t>
        </is>
      </c>
      <c r="D36" s="52" t="inlineStr">
        <is>
          <t>Technical lead</t>
        </is>
      </c>
      <c r="E36" s="58" t="str"/>
      <c r="F36" s="52" t="inlineStr">
        <is>
          <t>Digital Transformation / Collaborative Software Armory lineage</t>
        </is>
      </c>
      <c r="G36" s="61" t="inlineStr">
        <is>
          <t>Garret Okamoto</t>
        </is>
      </c>
      <c r="H36" s="52" t="inlineStr">
        <is>
          <t>NIWC Pacific digital transformation lead; public CSA demonstration lead</t>
        </is>
      </c>
      <c r="I36" s="52" t="inlineStr">
        <is>
          <t>Historical</t>
        </is>
      </c>
      <c r="J36" s="52" t="inlineStr">
        <is>
          <t>2019-05-20</t>
        </is>
      </c>
      <c r="K36" s="52" t="inlineStr">
        <is>
          <t>Historical lineage</t>
        </is>
      </c>
      <c r="L36" s="52" t="inlineStr">
        <is>
          <t>Public Government node in the automation and software-armory lineage that matured into OSA/ACS/AA.</t>
        </is>
      </c>
      <c r="M36" s="52" t="inlineStr">
        <is>
          <t>Historical technical context only.</t>
        </is>
      </c>
      <c r="N36" s="64" t="str"/>
      <c r="O36" s="64" t="str"/>
      <c r="P36" s="52" t="inlineStr">
        <is>
          <t>A / High historical</t>
        </is>
      </c>
      <c r="Q36" s="67" t="inlineStr">
        <is>
          <t>https://www.dvidshub.net/news/printable/321208</t>
        </is>
      </c>
      <c r="R36" s="67" t="str"/>
      <c r="S36" s="52" t="inlineStr">
        <is>
          <t>2019-05-20</t>
        </is>
      </c>
      <c r="T36" s="52" t="inlineStr">
        <is>
          <t>Status detail: Historical / lineage.</t>
        </is>
      </c>
    </row>
    <row r="37" ht="49" customHeight="1">
      <c r="A37" s="55" t="n">
        <v>30</v>
      </c>
      <c r="B37" s="52" t="inlineStr">
        <is>
          <t>AA chain &amp; adjacent ecosystem</t>
        </is>
      </c>
      <c r="C37" s="52" t="inlineStr">
        <is>
          <t>Code 53200 &gt; GALATEA / COSMOS</t>
        </is>
      </c>
      <c r="D37" s="52" t="inlineStr">
        <is>
          <t>Project</t>
        </is>
      </c>
      <c r="E37" s="58" t="inlineStr">
        <is>
          <t>53200 functional</t>
        </is>
      </c>
      <c r="F37" s="52" t="inlineStr">
        <is>
          <t>COSMOS</t>
        </is>
      </c>
      <c r="G37" s="61" t="inlineStr">
        <is>
          <t>Stephen Pease</t>
        </is>
      </c>
      <c r="H37" s="52" t="inlineStr">
        <is>
          <t>Project Manager, NIWC Pacific COSMOS</t>
        </is>
      </c>
      <c r="I37" s="52" t="inlineStr">
        <is>
          <t>Current</t>
        </is>
      </c>
      <c r="J37" s="52" t="inlineStr">
        <is>
          <t>2026-02-11</t>
        </is>
      </c>
      <c r="K37" s="52" t="inlineStr">
        <is>
          <t>Adjacent technical ecosystem</t>
        </is>
      </c>
      <c r="L37" s="52" t="inlineStr">
        <is>
          <t>COSMOS/GALATEA is in the current Navy Digital Ecosystem portfolio alongside AA and OSA.</t>
        </is>
      </c>
      <c r="M37" s="52" t="inlineStr">
        <is>
          <t>Adjacent project lead; not AA procurement authority.</t>
        </is>
      </c>
      <c r="N37" s="64" t="str"/>
      <c r="O37" s="64" t="str"/>
      <c r="P37" s="52" t="inlineStr">
        <is>
          <t>A / High</t>
        </is>
      </c>
      <c r="Q37" s="67" t="inlineStr">
        <is>
          <t>https://www.westconference.org/WEST26/Public/sessions.aspx?ID=116691&amp;View=Sessions</t>
        </is>
      </c>
      <c r="R37" s="67" t="str"/>
      <c r="S37" s="52" t="inlineStr">
        <is>
          <t>2026-02-11</t>
        </is>
      </c>
      <c r="T37" s="52" t="str"/>
    </row>
    <row r="38" ht="49" customHeight="1">
      <c r="A38" s="55" t="n">
        <v>31</v>
      </c>
      <c r="B38" s="52" t="inlineStr">
        <is>
          <t>Code 532 lineage</t>
        </is>
      </c>
      <c r="C38" s="52" t="inlineStr">
        <is>
          <t>Code 53 &gt; Command and Control Systems Division</t>
        </is>
      </c>
      <c r="D38" s="52" t="inlineStr">
        <is>
          <t>Division</t>
        </is>
      </c>
      <c r="E38" s="58" t="inlineStr">
        <is>
          <t>532</t>
        </is>
      </c>
      <c r="F38" s="52" t="inlineStr">
        <is>
          <t>Command and Control Systems Division</t>
        </is>
      </c>
      <c r="G38" s="61" t="inlineStr">
        <is>
          <t>Chris Johnson</t>
        </is>
      </c>
      <c r="H38" s="52" t="inlineStr">
        <is>
          <t>Former division head; led Collaborative Software Armory / OSA lineage</t>
        </is>
      </c>
      <c r="I38" s="52" t="inlineStr">
        <is>
          <t>Historical</t>
        </is>
      </c>
      <c r="J38" s="52" t="inlineStr">
        <is>
          <t>2024-03-14</t>
        </is>
      </c>
      <c r="K38" s="52" t="inlineStr">
        <is>
          <t>Historical lineage</t>
        </is>
      </c>
      <c r="L38" s="52" t="inlineStr">
        <is>
          <t>Direct OSA and division leadership continuity; superseded by John Barrie by May 2026.</t>
        </is>
      </c>
      <c r="M38" s="52" t="inlineStr">
        <is>
          <t>Historical technical context only.</t>
        </is>
      </c>
      <c r="N38" s="64" t="str"/>
      <c r="O38" s="64" t="str"/>
      <c r="P38" s="52" t="inlineStr">
        <is>
          <t>A / Very high historical</t>
        </is>
      </c>
      <c r="Q38" s="67" t="inlineStr">
        <is>
          <t>https://www.dair.nps.edu/bitstream/123456789/4857/1/SYM-AM-23-088.pdf</t>
        </is>
      </c>
      <c r="R38" s="67" t="inlineStr">
        <is>
          <t>https://www.niwcpacific.navy.mil/Media/Press-Releases/Article-Display/Article/3707748/niwc-pacific-empowers-sailors-to-perform-first-sailor-capable-install/</t>
        </is>
      </c>
      <c r="S38" s="52" t="inlineStr">
        <is>
          <t>2023-04-30 / 2024-03-14</t>
        </is>
      </c>
      <c r="T38" s="52" t="inlineStr">
        <is>
          <t>Status detail: Historical / superseded.</t>
        </is>
      </c>
    </row>
    <row r="39" ht="49" customHeight="1">
      <c r="A39" s="55" t="n">
        <v>32</v>
      </c>
      <c r="B39" s="52" t="inlineStr">
        <is>
          <t>Code 532 lineage</t>
        </is>
      </c>
      <c r="C39" s="52" t="inlineStr">
        <is>
          <t>Code 53 &gt; Code 532</t>
        </is>
      </c>
      <c r="D39" s="52" t="inlineStr">
        <is>
          <t>Division staff</t>
        </is>
      </c>
      <c r="E39" s="58" t="inlineStr">
        <is>
          <t>532</t>
        </is>
      </c>
      <c r="F39" s="52" t="inlineStr">
        <is>
          <t>Command and Control Systems Division</t>
        </is>
      </c>
      <c r="G39" s="61" t="inlineStr">
        <is>
          <t>David Jenkins</t>
        </is>
      </c>
      <c r="H39" s="52" t="inlineStr">
        <is>
          <t>Deputy for Business Development; earlier Deputy for Project Development</t>
        </is>
      </c>
      <c r="I39" s="52" t="inlineStr">
        <is>
          <t>Historical</t>
        </is>
      </c>
      <c r="J39" s="52" t="inlineStr">
        <is>
          <t>2023-04-30</t>
        </is>
      </c>
      <c r="K39" s="52" t="inlineStr">
        <is>
          <t>Historical technical ecosystem</t>
        </is>
      </c>
      <c r="L39" s="52" t="inlineStr">
        <is>
          <t>Publicly discussed OSA IL6 cloud use and C2 software-system development.</t>
        </is>
      </c>
      <c r="M39" s="52" t="inlineStr">
        <is>
          <t>Business-development title does not establish contracting authority.</t>
        </is>
      </c>
      <c r="N39" s="64" t="str"/>
      <c r="O39" s="64" t="str"/>
      <c r="P39" s="52" t="inlineStr">
        <is>
          <t>A / High historical</t>
        </is>
      </c>
      <c r="Q39" s="67" t="inlineStr">
        <is>
          <t>https://www.dair.nps.edu/bitstream/123456789/4857/1/SYM-AM-23-088.pdf</t>
        </is>
      </c>
      <c r="R39" s="67" t="inlineStr">
        <is>
          <t>https://www.navy.mil/DesktopModules/ArticleCS/Print.aspx?Article=2710817&amp;ModuleId=523&amp;PortalId=1</t>
        </is>
      </c>
      <c r="S39" s="52" t="inlineStr">
        <is>
          <t>2023-04-30 / 2021-07-28</t>
        </is>
      </c>
      <c r="T39" s="52" t="inlineStr">
        <is>
          <t>Status detail: Historical / last verified 2023.</t>
        </is>
      </c>
    </row>
    <row r="40" ht="49" customHeight="1">
      <c r="A40" s="55" t="n">
        <v>33</v>
      </c>
      <c r="B40" s="52" t="inlineStr">
        <is>
          <t>Code 532 lineage</t>
        </is>
      </c>
      <c r="C40" s="52" t="inlineStr">
        <is>
          <t>Code 532 &gt; Navy Digital Ecosystem &gt; OSA Tools</t>
        </is>
      </c>
      <c r="D40" s="52" t="inlineStr">
        <is>
          <t>Project</t>
        </is>
      </c>
      <c r="E40" s="58" t="inlineStr">
        <is>
          <t>532 functional</t>
        </is>
      </c>
      <c r="F40" s="52" t="inlineStr">
        <is>
          <t>OSA Tools</t>
        </is>
      </c>
      <c r="G40" s="61" t="inlineStr">
        <is>
          <t>Matt O’Neil</t>
        </is>
      </c>
      <c r="H40" s="52" t="inlineStr">
        <is>
          <t>Project Manager, Overmatch Software Armory Tools</t>
        </is>
      </c>
      <c r="I40" s="52" t="inlineStr">
        <is>
          <t>Historical</t>
        </is>
      </c>
      <c r="J40" s="52" t="inlineStr">
        <is>
          <t>2021-07-28</t>
        </is>
      </c>
      <c r="K40" s="52" t="inlineStr">
        <is>
          <t>Historical technical ecosystem</t>
        </is>
      </c>
      <c r="L40" s="52" t="inlineStr">
        <is>
          <t>Direct OSA toolchain; AA and ACS are sibling OSA components.</t>
        </is>
      </c>
      <c r="M40" s="52" t="inlineStr">
        <is>
          <t>Historical technical context only.</t>
        </is>
      </c>
      <c r="N40" s="64" t="str"/>
      <c r="O40" s="64" t="str"/>
      <c r="P40" s="52" t="inlineStr">
        <is>
          <t>A / High historical</t>
        </is>
      </c>
      <c r="Q40" s="67" t="inlineStr">
        <is>
          <t>https://www.dvidshub.net/image/6753882/navwar-launches-first-secret-level-devsecops-pipeline</t>
        </is>
      </c>
      <c r="R40" s="67" t="str"/>
      <c r="S40" s="52" t="inlineStr">
        <is>
          <t>2021-07-28</t>
        </is>
      </c>
      <c r="T40" s="52" t="inlineStr">
        <is>
          <t>Status detail: Historical / last verified 2021.</t>
        </is>
      </c>
    </row>
    <row r="41" ht="49" customHeight="1">
      <c r="A41" s="55" t="n">
        <v>34</v>
      </c>
      <c r="B41" s="52" t="inlineStr">
        <is>
          <t>Code 532 lineage</t>
        </is>
      </c>
      <c r="C41" s="52" t="inlineStr">
        <is>
          <t>Code 532 &gt; CSA / MAGIC / Application Arsenal</t>
        </is>
      </c>
      <c r="D41" s="52" t="inlineStr">
        <is>
          <t>Project management</t>
        </is>
      </c>
      <c r="E41" s="58" t="inlineStr">
        <is>
          <t>532 functional</t>
        </is>
      </c>
      <c r="F41" s="52" t="inlineStr">
        <is>
          <t>CSA / MAGIC / Application Arsenal</t>
        </is>
      </c>
      <c r="G41" s="61" t="inlineStr">
        <is>
          <t>Johanna L. Flores</t>
        </is>
      </c>
      <c r="H41" s="52" t="inlineStr">
        <is>
          <t>Deputy Project Manager for Collaborative Software Armory, MAGIC, and Application Arsenal</t>
        </is>
      </c>
      <c r="I41" s="52" t="inlineStr">
        <is>
          <t>Historical</t>
        </is>
      </c>
      <c r="J41" s="52" t="inlineStr">
        <is>
          <t>2021-07-23</t>
        </is>
      </c>
      <c r="K41" s="52" t="inlineStr">
        <is>
          <t>Historical – direct AA</t>
        </is>
      </c>
      <c r="L41" s="52" t="inlineStr">
        <is>
          <t>Direct historical Government AA/OSA project-management continuity.</t>
        </is>
      </c>
      <c r="M41" s="52" t="inlineStr">
        <is>
          <t>Historical context; not evidence of a current role.</t>
        </is>
      </c>
      <c r="N41" s="64" t="str"/>
      <c r="O41" s="64" t="str"/>
      <c r="P41" s="52" t="inlineStr">
        <is>
          <t>A / High historical</t>
        </is>
      </c>
      <c r="Q41" s="67" t="inlineStr">
        <is>
          <t>https://www.dvidshub.net/image/6753882/navwar-launches-first-secret-level-devsecops-pipeline</t>
        </is>
      </c>
      <c r="R41" s="67" t="inlineStr">
        <is>
          <t>https://nara.getarchive.net/media/supporting-a-diverse-navy-requires-a-diverse-workforce-75a7d8</t>
        </is>
      </c>
      <c r="S41" s="52" t="inlineStr">
        <is>
          <t>2021-07-23 / 2020-06-29</t>
        </is>
      </c>
      <c r="T41" s="52" t="str"/>
    </row>
    <row r="42" ht="49" customHeight="1">
      <c r="A42" s="55" t="n">
        <v>35</v>
      </c>
      <c r="B42" s="52" t="inlineStr">
        <is>
          <t>Code 532 lineage</t>
        </is>
      </c>
      <c r="C42" s="52" t="inlineStr">
        <is>
          <t>Code 532 &gt; Application Arsenal</t>
        </is>
      </c>
      <c r="D42" s="52" t="inlineStr">
        <is>
          <t>Project management</t>
        </is>
      </c>
      <c r="E42" s="58" t="inlineStr">
        <is>
          <t>532 functional</t>
        </is>
      </c>
      <c r="F42" s="52" t="inlineStr">
        <is>
          <t>Application Arsenal</t>
        </is>
      </c>
      <c r="G42" s="61" t="inlineStr">
        <is>
          <t>Bridget Lee</t>
        </is>
      </c>
      <c r="H42" s="52" t="inlineStr">
        <is>
          <t>Former Deputy Project Manager to Senior Program Manager for Application Arsenal (self-reported)</t>
        </is>
      </c>
      <c r="I42" s="52" t="inlineStr">
        <is>
          <t>Historical</t>
        </is>
      </c>
      <c r="J42" s="52" t="inlineStr">
        <is>
          <t>Profile accessed 2026-09</t>
        </is>
      </c>
      <c r="K42" s="52" t="inlineStr">
        <is>
          <t>Historical – direct AA</t>
        </is>
      </c>
      <c r="L42" s="52" t="inlineStr">
        <is>
          <t>Direct historical AA project-management experience.</t>
        </is>
      </c>
      <c r="M42" s="52" t="inlineStr">
        <is>
          <t>Secondary/self-reported evidence; not a current Government POC.</t>
        </is>
      </c>
      <c r="N42" s="64" t="str"/>
      <c r="O42" s="64" t="str"/>
      <c r="P42" s="52" t="inlineStr">
        <is>
          <t>B / Medium</t>
        </is>
      </c>
      <c r="Q42" s="67" t="inlineStr">
        <is>
          <t>https://www.linkedin.com/in/bridgetrushton</t>
        </is>
      </c>
      <c r="R42" s="67" t="str"/>
      <c r="S42" s="52" t="inlineStr">
        <is>
          <t>Accessed 2026-09</t>
        </is>
      </c>
      <c r="T42" s="52" t="inlineStr">
        <is>
          <t>Do not treat as current Government authority.</t>
        </is>
      </c>
    </row>
    <row r="43" ht="49" customHeight="1">
      <c r="A43" s="55" t="n">
        <v>36</v>
      </c>
      <c r="B43" s="52" t="inlineStr">
        <is>
          <t>Code 532 lineage</t>
        </is>
      </c>
      <c r="C43" s="52" t="inlineStr">
        <is>
          <t>SSC Pacific &gt; Command &amp; Intelligence Division</t>
        </is>
      </c>
      <c r="D43" s="52" t="inlineStr">
        <is>
          <t>Historical division</t>
        </is>
      </c>
      <c r="E43" s="58" t="inlineStr">
        <is>
          <t>53210 (historical only)</t>
        </is>
      </c>
      <c r="F43" s="52" t="inlineStr">
        <is>
          <t>Command and Intelligence Division</t>
        </is>
      </c>
      <c r="G43" s="61" t="inlineStr">
        <is>
          <t>Ron Lambrecht</t>
        </is>
      </c>
      <c r="H43" s="52" t="inlineStr">
        <is>
          <t>Deputy for Program Development, SSC Pacific Code 532</t>
        </is>
      </c>
      <c r="I43" s="52" t="inlineStr">
        <is>
          <t>Historical</t>
        </is>
      </c>
      <c r="J43" s="52" t="inlineStr">
        <is>
          <t>2011</t>
        </is>
      </c>
      <c r="K43" s="52" t="inlineStr">
        <is>
          <t>Historical C2/CANES antecedent</t>
        </is>
      </c>
      <c r="L43" s="52" t="inlineStr">
        <is>
          <t>C2RPC/CANES modernization antecedent; no direct AA claim.</t>
        </is>
      </c>
      <c r="M43" s="52" t="inlineStr">
        <is>
          <t>Historical only; do not map 53210 onto the current Code 53200 organization.</t>
        </is>
      </c>
      <c r="N43" s="64" t="str"/>
      <c r="O43" s="64" t="str"/>
      <c r="P43" s="52" t="inlineStr">
        <is>
          <t>A / High historical</t>
        </is>
      </c>
      <c r="Q43" s="67" t="inlineStr">
        <is>
          <t>https://dair.nps.edu/bitstream/123456789/497/1/SYM-AM-11-095.pdf</t>
        </is>
      </c>
      <c r="R43" s="67" t="inlineStr">
        <is>
          <t>https://www.dodccrp.org/events/16th_iccrts_2011/papers/033.pdf</t>
        </is>
      </c>
      <c r="S43" s="52" t="inlineStr">
        <is>
          <t>2011</t>
        </is>
      </c>
      <c r="T43" s="52" t="str"/>
    </row>
    <row r="44" ht="49" customHeight="1">
      <c r="A44" s="55" t="n">
        <v>37</v>
      </c>
      <c r="B44" s="52" t="inlineStr">
        <is>
          <t>NIWC PAC deep-code map</t>
        </is>
      </c>
      <c r="C44" s="52" t="inlineStr">
        <is>
          <t>Code 53 &gt; Enterprise Engineering / T&amp;E / Certification</t>
        </is>
      </c>
      <c r="D44" s="52" t="inlineStr">
        <is>
          <t>Division / competency</t>
        </is>
      </c>
      <c r="E44" s="58" t="inlineStr">
        <is>
          <t>531</t>
        </is>
      </c>
      <c r="F44" s="52" t="inlineStr">
        <is>
          <t>Enterprise Engineering, Test, Evaluation, and Certification competency</t>
        </is>
      </c>
      <c r="G44" s="61" t="inlineStr">
        <is>
          <t>Public gap — leader/currentness not established</t>
        </is>
      </c>
      <c r="H44" s="52" t="inlineStr">
        <is>
          <t>Division / competency lead</t>
        </is>
      </c>
      <c r="I44" s="52" t="inlineStr">
        <is>
          <t>Forecast / dated</t>
        </is>
      </c>
      <c r="J44" s="52" t="inlineStr">
        <is>
          <t>Workbook metadata 2023</t>
        </is>
      </c>
      <c r="K44" s="52" t="inlineStr">
        <is>
          <t>Adjacent technical interface</t>
        </is>
      </c>
      <c r="L44" s="52" t="inlineStr">
        <is>
          <t>Cross-system engineering, test, IV&amp;V, and certification can affect AA integration and acceptance.</t>
        </is>
      </c>
      <c r="M44" s="52" t="inlineStr">
        <is>
          <t>Forecast structure only; no person or AA authority inferred.</t>
        </is>
      </c>
      <c r="N44" s="64" t="str"/>
      <c r="O44" s="64" t="str"/>
      <c r="P44" s="52" t="inlineStr">
        <is>
          <t>B / Medium</t>
        </is>
      </c>
      <c r="Q44" s="67" t="inlineStr">
        <is>
          <t>https://www.navwar.navy.mil/Portals/93/Images/Documents/NAVWAR_LRAE_Report.xlsx?ver=3bKfCbGtYWA36Jvgb1i6Qw%3D%3D</t>
        </is>
      </c>
      <c r="R44" s="67" t="str"/>
      <c r="S44" s="52" t="inlineStr">
        <is>
          <t>Workbook metadata dated 2023</t>
        </is>
      </c>
      <c r="T44" s="52" t="inlineStr">
        <is>
          <t>Status detail: Dated forecast function / incumbent unresolved. Downloaded in 2026, but the workbook metadata is dated; not a current org chart.</t>
        </is>
      </c>
    </row>
    <row r="45" ht="49" customHeight="1">
      <c r="A45" s="55" t="n">
        <v>38</v>
      </c>
      <c r="B45" s="52" t="inlineStr">
        <is>
          <t>NIWC PAC deep-code map</t>
        </is>
      </c>
      <c r="C45" s="52" t="inlineStr">
        <is>
          <t>Code 53 &gt; Business / Enterprise Systems</t>
        </is>
      </c>
      <c r="D45" s="52" t="inlineStr">
        <is>
          <t>Division</t>
        </is>
      </c>
      <c r="E45" s="58" t="inlineStr">
        <is>
          <t>534</t>
        </is>
      </c>
      <c r="F45" s="52" t="inlineStr">
        <is>
          <t>Business / Enterprise Systems lineage</t>
        </is>
      </c>
      <c r="G45" s="61" t="inlineStr">
        <is>
          <t>Public gap — leader/currentness not established</t>
        </is>
      </c>
      <c r="H45" s="52" t="inlineStr">
        <is>
          <t>Division lead</t>
        </is>
      </c>
      <c r="I45" s="52" t="inlineStr">
        <is>
          <t>Forecast / dated</t>
        </is>
      </c>
      <c r="J45" s="52" t="inlineStr">
        <is>
          <t>Workbook metadata 2023</t>
        </is>
      </c>
      <c r="K45" s="52" t="inlineStr">
        <is>
          <t>Low AA adjacency</t>
        </is>
      </c>
      <c r="L45" s="52" t="inlineStr">
        <is>
          <t>Enterprise/business systems code appears in a dated forecast workbook; no direct AA ownership evidenced.</t>
        </is>
      </c>
      <c r="M45" s="52" t="inlineStr">
        <is>
          <t>Do not infer a current title or leader beyond the dated code.</t>
        </is>
      </c>
      <c r="N45" s="64" t="str"/>
      <c r="O45" s="64" t="str"/>
      <c r="P45" s="52" t="inlineStr">
        <is>
          <t>B / Medium</t>
        </is>
      </c>
      <c r="Q45" s="67" t="inlineStr">
        <is>
          <t>https://www.navwar.navy.mil/Portals/93/Images/Documents/NAVWAR_LRAE_Report.xlsx?ver=3bKfCbGtYWA36Jvgb1i6Qw%3D%3D</t>
        </is>
      </c>
      <c r="R45" s="67" t="str"/>
      <c r="S45" s="52" t="inlineStr">
        <is>
          <t>Workbook metadata dated 2023</t>
        </is>
      </c>
      <c r="T45" s="52" t="inlineStr">
        <is>
          <t>Status detail: Dated forecast function / incumbent unresolved.</t>
        </is>
      </c>
    </row>
    <row r="46" ht="49" customHeight="1">
      <c r="A46" s="55" t="n">
        <v>39</v>
      </c>
      <c r="B46" s="52" t="inlineStr">
        <is>
          <t>NIWC PAC deep-code map</t>
        </is>
      </c>
      <c r="C46" s="52" t="inlineStr">
        <is>
          <t>Code 53 &gt; Tactical Systems Integration &amp; Interoperability</t>
        </is>
      </c>
      <c r="D46" s="52" t="inlineStr">
        <is>
          <t>Division</t>
        </is>
      </c>
      <c r="E46" s="58" t="inlineStr">
        <is>
          <t>535</t>
        </is>
      </c>
      <c r="F46" s="52" t="inlineStr">
        <is>
          <t>Tactical Systems Integration &amp; Interoperability</t>
        </is>
      </c>
      <c r="G46" s="61" t="inlineStr">
        <is>
          <t>Public gap — leader/currentness not established</t>
        </is>
      </c>
      <c r="H46" s="52" t="inlineStr">
        <is>
          <t>Division lead</t>
        </is>
      </c>
      <c r="I46" s="52" t="inlineStr">
        <is>
          <t>Forecast / dated</t>
        </is>
      </c>
      <c r="J46" s="52" t="inlineStr">
        <is>
          <t>Workbook metadata 2023</t>
        </is>
      </c>
      <c r="K46" s="52" t="inlineStr">
        <is>
          <t>Adjacent technical interface</t>
        </is>
      </c>
      <c r="L46" s="52" t="inlineStr">
        <is>
          <t>Data links, testing, integration, and interoperability are downstream/adjacent seams for AA-delivered applications.</t>
        </is>
      </c>
      <c r="M46" s="52" t="inlineStr">
        <is>
          <t>Dated forecast structure; no AA authority inferred.</t>
        </is>
      </c>
      <c r="N46" s="64" t="str"/>
      <c r="O46" s="64" t="str"/>
      <c r="P46" s="52" t="inlineStr">
        <is>
          <t>B / Medium</t>
        </is>
      </c>
      <c r="Q46" s="67" t="inlineStr">
        <is>
          <t>https://www.navwar.navy.mil/Portals/93/Images/Documents/NAVWAR_LRAE_Report.xlsx?ver=3bKfCbGtYWA36Jvgb1i6Qw%3D%3D</t>
        </is>
      </c>
      <c r="R46" s="67" t="str"/>
      <c r="S46" s="52" t="inlineStr">
        <is>
          <t>Workbook metadata dated 2023</t>
        </is>
      </c>
      <c r="T46" s="52" t="inlineStr">
        <is>
          <t>Status detail: Dated forecast function / incumbent unresolved.</t>
        </is>
      </c>
    </row>
    <row r="47" ht="49" customHeight="1">
      <c r="A47" s="55" t="n">
        <v>40</v>
      </c>
      <c r="B47" s="52" t="inlineStr">
        <is>
          <t>NIWC PAC deep-code map</t>
        </is>
      </c>
      <c r="C47" s="52" t="inlineStr">
        <is>
          <t>Code 53 &gt; Code 535 &gt; Command and Control Processor</t>
        </is>
      </c>
      <c r="D47" s="52" t="inlineStr">
        <is>
          <t>Branch / unit</t>
        </is>
      </c>
      <c r="E47" s="58" t="inlineStr">
        <is>
          <t>53523</t>
        </is>
      </c>
      <c r="F47" s="52" t="inlineStr">
        <is>
          <t>Command and Control Processor software engineering</t>
        </is>
      </c>
      <c r="G47" s="61" t="inlineStr">
        <is>
          <t>Public gap — lead/currentness not established</t>
        </is>
      </c>
      <c r="H47" s="52" t="inlineStr">
        <is>
          <t>Branch / unit lead</t>
        </is>
      </c>
      <c r="I47" s="52" t="inlineStr">
        <is>
          <t>Forecast / dated</t>
        </is>
      </c>
      <c r="J47" s="52" t="inlineStr">
        <is>
          <t>Workbook metadata 2023</t>
        </is>
      </c>
      <c r="K47" s="52" t="inlineStr">
        <is>
          <t>Adjacent technical interface</t>
        </is>
      </c>
      <c r="L47" s="52" t="inlineStr">
        <is>
          <t>Deep numbered C2 subunit found in the dated LRAE outside 532; adjacent tactical C2 software environment, not AA owner.</t>
        </is>
      </c>
      <c r="M47" s="52" t="inlineStr">
        <is>
          <t>Dated forecast structure; validate against a live action.</t>
        </is>
      </c>
      <c r="N47" s="64" t="str"/>
      <c r="O47" s="64" t="str"/>
      <c r="P47" s="52" t="inlineStr">
        <is>
          <t>A for dated code; currentness unverified</t>
        </is>
      </c>
      <c r="Q47" s="67" t="inlineStr">
        <is>
          <t>https://www.navwar.navy.mil/Portals/93/Images/Documents/NAVWAR_LRAE_Report.xlsx?ver=3bKfCbGtYWA36Jvgb1i6Qw%3D%3D</t>
        </is>
      </c>
      <c r="R47" s="67" t="str"/>
      <c r="S47" s="52" t="inlineStr">
        <is>
          <t>Workbook metadata dated 2023</t>
        </is>
      </c>
      <c r="T47" s="52" t="inlineStr">
        <is>
          <t>Status detail: Dated forecast function / incumbent unresolved.</t>
        </is>
      </c>
    </row>
    <row r="48" ht="49" customHeight="1">
      <c r="A48" s="55" t="n">
        <v>41</v>
      </c>
      <c r="B48" s="52" t="inlineStr">
        <is>
          <t>NIWC PAC deep-code map</t>
        </is>
      </c>
      <c r="C48" s="52" t="inlineStr">
        <is>
          <t>Code 53 &gt; C2 Technology &amp; Experimentation</t>
        </is>
      </c>
      <c r="D48" s="52" t="inlineStr">
        <is>
          <t>Division</t>
        </is>
      </c>
      <c r="E48" s="58" t="inlineStr">
        <is>
          <t>536</t>
        </is>
      </c>
      <c r="F48" s="52" t="inlineStr">
        <is>
          <t>C2 Technology &amp; Experimentation lineage</t>
        </is>
      </c>
      <c r="G48" s="61" t="inlineStr">
        <is>
          <t>Public gap — leader/currentness not established</t>
        </is>
      </c>
      <c r="H48" s="52" t="inlineStr">
        <is>
          <t>Division lead</t>
        </is>
      </c>
      <c r="I48" s="52" t="inlineStr">
        <is>
          <t>Forecast / dated</t>
        </is>
      </c>
      <c r="J48" s="52" t="inlineStr">
        <is>
          <t>Workbook metadata 2023</t>
        </is>
      </c>
      <c r="K48" s="52" t="inlineStr">
        <is>
          <t>Adjacent technical interface</t>
        </is>
      </c>
      <c r="L48" s="52" t="inlineStr">
        <is>
          <t>Command-center design, engineering, and experimentation are adjacent to AA operational environments.</t>
        </is>
      </c>
      <c r="M48" s="52" t="inlineStr">
        <is>
          <t>Do not infer a current title, reporting line, or AA authority.</t>
        </is>
      </c>
      <c r="N48" s="64" t="str"/>
      <c r="O48" s="64" t="str"/>
      <c r="P48" s="52" t="inlineStr">
        <is>
          <t>B / Medium</t>
        </is>
      </c>
      <c r="Q48" s="67" t="inlineStr">
        <is>
          <t>https://www.navwar.navy.mil/Portals/93/Images/Documents/NAVWAR_LRAE_Report.xlsx?ver=3bKfCbGtYWA36Jvgb1i6Qw%3D%3D</t>
        </is>
      </c>
      <c r="R48" s="67" t="str"/>
      <c r="S48" s="52" t="inlineStr">
        <is>
          <t>Workbook metadata dated 2023</t>
        </is>
      </c>
      <c r="T48" s="52" t="inlineStr">
        <is>
          <t>Status detail: Dated forecast function / incumbent unresolved.</t>
        </is>
      </c>
    </row>
    <row r="49" ht="49" customHeight="1">
      <c r="A49" s="55" t="n">
        <v>42</v>
      </c>
      <c r="B49" s="52" t="inlineStr">
        <is>
          <t>NIWC PAC deep-code map</t>
        </is>
      </c>
      <c r="C49" s="52" t="inlineStr">
        <is>
          <t>NIWC Pacific &gt; FIELD</t>
        </is>
      </c>
      <c r="D49" s="52" t="inlineStr">
        <is>
          <t>Department</t>
        </is>
      </c>
      <c r="E49" s="58" t="inlineStr">
        <is>
          <t>40</t>
        </is>
      </c>
      <c r="F49" s="52" t="inlineStr">
        <is>
          <t>Fleet Installation, Engineering and Logistics</t>
        </is>
      </c>
      <c r="G49" s="61" t="inlineStr">
        <is>
          <t>Public gap — current department head not identified</t>
        </is>
      </c>
      <c r="H49" s="52" t="inlineStr">
        <is>
          <t>FIELD Department Head</t>
        </is>
      </c>
      <c r="I49" s="52" t="inlineStr">
        <is>
          <t>Public gap</t>
        </is>
      </c>
      <c r="J49" s="52" t="inlineStr">
        <is>
          <t>2026-09-02</t>
        </is>
      </c>
      <c r="K49" s="52" t="inlineStr">
        <is>
          <t>Fleet deployment / adjacent</t>
        </is>
      </c>
      <c r="L49" s="52" t="inlineStr">
        <is>
          <t>Installation, in-service engineering, logistics, and sustainment are critical downstream interfaces for AA deployment.</t>
        </is>
      </c>
      <c r="M49" s="52" t="inlineStr">
        <is>
          <t>Not an RFP channel.</t>
        </is>
      </c>
      <c r="N49" s="64" t="str"/>
      <c r="O49" s="64" t="str"/>
      <c r="P49" s="52" t="inlineStr">
        <is>
          <t>A / High for unit</t>
        </is>
      </c>
      <c r="Q49" s="67" t="inlineStr">
        <is>
          <t>https://www.niwcpacific.navy.mil/About/Departments/Fleet-Installation-Engineering-and-Logistics/</t>
        </is>
      </c>
      <c r="R49" s="67" t="inlineStr">
        <is>
          <t>https://www.ndia-sd.org/wp-content/uploads/2026/05/NDIA-7-May-2026-Combined-video-embedded.pdf</t>
        </is>
      </c>
      <c r="S49" s="52" t="inlineStr">
        <is>
          <t>2026-05 / accessed 2026-09-02</t>
        </is>
      </c>
      <c r="T49" s="52" t="inlineStr">
        <is>
          <t>Status detail: Current function / incumbent unresolved.</t>
        </is>
      </c>
    </row>
    <row r="50" ht="49" customHeight="1">
      <c r="A50" s="55" t="n">
        <v>43</v>
      </c>
      <c r="B50" s="52" t="inlineStr">
        <is>
          <t>NIWC PAC deep-code map</t>
        </is>
      </c>
      <c r="C50" s="52" t="inlineStr">
        <is>
          <t>Code 40 &gt; Fleet Modernization &amp; Installation</t>
        </is>
      </c>
      <c r="D50" s="52" t="inlineStr">
        <is>
          <t>Division / unit</t>
        </is>
      </c>
      <c r="E50" s="58" t="inlineStr">
        <is>
          <t>42100</t>
        </is>
      </c>
      <c r="F50" s="52" t="inlineStr">
        <is>
          <t>Fleet Modernization &amp; Installation</t>
        </is>
      </c>
      <c r="G50" s="61" t="inlineStr">
        <is>
          <t>Public gap — leader not identified</t>
        </is>
      </c>
      <c r="H50" s="52" t="inlineStr">
        <is>
          <t>Division / unit lead</t>
        </is>
      </c>
      <c r="I50" s="52" t="inlineStr">
        <is>
          <t>Forecast / dated</t>
        </is>
      </c>
      <c r="J50" s="52" t="inlineStr">
        <is>
          <t>2025</t>
        </is>
      </c>
      <c r="K50" s="52" t="inlineStr">
        <is>
          <t>Fleet deployment / adjacent</t>
        </is>
      </c>
      <c r="L50" s="52" t="inlineStr">
        <is>
          <t>Fleet modernization and installation interface for AA-hosted capabilities.</t>
        </is>
      </c>
      <c r="M50" s="52" t="inlineStr">
        <is>
          <t>Structure only; no AA authority inferred.</t>
        </is>
      </c>
      <c r="N50" s="64" t="str"/>
      <c r="O50" s="64" t="str"/>
      <c r="P50" s="52" t="inlineStr">
        <is>
          <t>B / Medium-high</t>
        </is>
      </c>
      <c r="Q50" s="67" t="inlineStr">
        <is>
          <t>https://www.navwar.navy.mil/Portals/93/Images/Documents/NAVWAR_LRAE_Report.xlsx?ver=3bKfCbGtYWA36Jvgb1i6Qw%3D%3D</t>
        </is>
      </c>
      <c r="R50" s="67" t="str"/>
      <c r="S50" s="52" t="inlineStr">
        <is>
          <t>2025 forecast</t>
        </is>
      </c>
      <c r="T50" s="52" t="inlineStr">
        <is>
          <t>Status detail: Current forecast function / incumbent unresolved.</t>
        </is>
      </c>
    </row>
    <row r="51" ht="49" customHeight="1">
      <c r="A51" s="55" t="n">
        <v>44</v>
      </c>
      <c r="B51" s="52" t="inlineStr">
        <is>
          <t>NIWC PAC deep-code map</t>
        </is>
      </c>
      <c r="C51" s="52" t="inlineStr">
        <is>
          <t>Code 40 &gt; 42100 &gt; Product &amp; Systems Production</t>
        </is>
      </c>
      <c r="D51" s="52" t="inlineStr">
        <is>
          <t>Branch</t>
        </is>
      </c>
      <c r="E51" s="58" t="inlineStr">
        <is>
          <t>42150</t>
        </is>
      </c>
      <c r="F51" s="52" t="inlineStr">
        <is>
          <t>Product &amp; Systems Production Branch / NIEF</t>
        </is>
      </c>
      <c r="G51" s="61" t="inlineStr">
        <is>
          <t>Public gap — branch lead not identified</t>
        </is>
      </c>
      <c r="H51" s="52" t="inlineStr">
        <is>
          <t>Branch lead</t>
        </is>
      </c>
      <c r="I51" s="52" t="inlineStr">
        <is>
          <t>Public gap</t>
        </is>
      </c>
      <c r="J51" s="52" t="inlineStr">
        <is>
          <t>2025-05</t>
        </is>
      </c>
      <c r="K51" s="52" t="inlineStr">
        <is>
          <t>Fleet deployment / adjacent</t>
        </is>
      </c>
      <c r="L51" s="52" t="inlineStr">
        <is>
          <t>Production, PITCO/GAT, and NIEF work are adjacent to CANES/AA installation and integration.</t>
        </is>
      </c>
      <c r="M51" s="52" t="inlineStr">
        <is>
          <t>Structure only; not AA procurement authority.</t>
        </is>
      </c>
      <c r="N51" s="64" t="str"/>
      <c r="O51" s="64" t="str"/>
      <c r="P51" s="52" t="inlineStr">
        <is>
          <t>A / High</t>
        </is>
      </c>
      <c r="Q51" s="67" t="inlineStr">
        <is>
          <t>https://sam.gov/opp/b7b6bdc8d54c4328b26df24948ce6371/view</t>
        </is>
      </c>
      <c r="R51" s="67" t="str"/>
      <c r="S51" s="52" t="inlineStr">
        <is>
          <t>2025-04/05</t>
        </is>
      </c>
      <c r="T51" s="52" t="inlineStr">
        <is>
          <t>Status detail: Current function / incumbent unresolved.</t>
        </is>
      </c>
    </row>
    <row r="52" ht="49" customHeight="1">
      <c r="A52" s="55" t="n">
        <v>45</v>
      </c>
      <c r="B52" s="52" t="inlineStr">
        <is>
          <t>NIWC PAC deep-code map</t>
        </is>
      </c>
      <c r="C52" s="52" t="inlineStr">
        <is>
          <t>Code 40 &gt; Systems Support &amp; Logistics</t>
        </is>
      </c>
      <c r="D52" s="52" t="inlineStr">
        <is>
          <t>Division / unit</t>
        </is>
      </c>
      <c r="E52" s="58" t="inlineStr">
        <is>
          <t>431</t>
        </is>
      </c>
      <c r="F52" s="52" t="inlineStr">
        <is>
          <t>Systems Support &amp; Logistics</t>
        </is>
      </c>
      <c r="G52" s="61" t="inlineStr">
        <is>
          <t>Public gap — current leader not identified</t>
        </is>
      </c>
      <c r="H52" s="52" t="inlineStr">
        <is>
          <t>Division / unit lead</t>
        </is>
      </c>
      <c r="I52" s="52" t="inlineStr">
        <is>
          <t>Public gap</t>
        </is>
      </c>
      <c r="J52" s="52" t="inlineStr">
        <is>
          <t>2020</t>
        </is>
      </c>
      <c r="K52" s="52" t="inlineStr">
        <is>
          <t>Fleet sustainment / adjacent</t>
        </is>
      </c>
      <c r="L52" s="52" t="inlineStr">
        <is>
          <t>Parent structure for the restoration/sustainment branch that supports fleet hardware environments adjacent to AA.</t>
        </is>
      </c>
      <c r="M52" s="52" t="inlineStr">
        <is>
          <t>Dated structure only; no current leader or AA authority inferred.</t>
        </is>
      </c>
      <c r="N52" s="64" t="str"/>
      <c r="O52" s="64" t="str"/>
      <c r="P52" s="52" t="inlineStr">
        <is>
          <t>A for dated code; currentness unverified</t>
        </is>
      </c>
      <c r="Q52" s="67" t="inlineStr">
        <is>
          <t>https://sam.gov/opp/613111b2abac4afb850f68bbbda474c5/view</t>
        </is>
      </c>
      <c r="R52" s="67" t="str"/>
      <c r="S52" s="52" t="inlineStr">
        <is>
          <t>2020</t>
        </is>
      </c>
      <c r="T52" s="52" t="inlineStr">
        <is>
          <t>Status detail: Dated structure / incumbent unresolved.</t>
        </is>
      </c>
    </row>
    <row r="53" ht="49" customHeight="1">
      <c r="A53" s="55" t="n">
        <v>46</v>
      </c>
      <c r="B53" s="52" t="inlineStr">
        <is>
          <t>NIWC PAC deep-code map</t>
        </is>
      </c>
      <c r="C53" s="52" t="inlineStr">
        <is>
          <t>Code 40 &gt; Systems Support &amp; Logistics &gt; Restoration Branch</t>
        </is>
      </c>
      <c r="D53" s="52" t="inlineStr">
        <is>
          <t>Branch / laboratory</t>
        </is>
      </c>
      <c r="E53" s="58" t="inlineStr">
        <is>
          <t>43140</t>
        </is>
      </c>
      <c r="F53" s="52" t="inlineStr">
        <is>
          <t>Restoration Branch / RESTORE Lab</t>
        </is>
      </c>
      <c r="G53" s="61" t="inlineStr">
        <is>
          <t>Ray Provost</t>
        </is>
      </c>
      <c r="H53" s="52" t="inlineStr">
        <is>
          <t>RESTORE Lab Director</t>
        </is>
      </c>
      <c r="I53" s="52" t="inlineStr">
        <is>
          <t>Dated / revalidate</t>
        </is>
      </c>
      <c r="J53" s="52" t="inlineStr">
        <is>
          <t>2025-06-24</t>
        </is>
      </c>
      <c r="K53" s="52" t="inlineStr">
        <is>
          <t>Fleet sustainment / adjacent</t>
        </is>
      </c>
      <c r="L53" s="52" t="inlineStr">
        <is>
          <t>Hardware restoration and sustainment adjacency; no direct AA role.</t>
        </is>
      </c>
      <c r="M53" s="52" t="inlineStr">
        <is>
          <t>Adjacent technical contact; not AA procurement authority.</t>
        </is>
      </c>
      <c r="N53" s="64" t="str"/>
      <c r="O53" s="64" t="str"/>
      <c r="P53" s="52" t="inlineStr">
        <is>
          <t>A for role; B for code mapping</t>
        </is>
      </c>
      <c r="Q53" s="67" t="inlineStr">
        <is>
          <t>https://www.niwcpacific.navy.mil/Media/Press-Releases/Article/4224215/niwc-pacific-teams-enhance-joint-capabilities-at-balikatan-2025/</t>
        </is>
      </c>
      <c r="R53" s="67" t="inlineStr">
        <is>
          <t>https://sam.gov/opp/613111b2abac4afb850f68bbbda474c5/view</t>
        </is>
      </c>
      <c r="S53" s="52" t="inlineStr">
        <is>
          <t>2025-06-24 / 2020</t>
        </is>
      </c>
      <c r="T53" s="52" t="inlineStr">
        <is>
          <t>Status detail: Current-recent.</t>
        </is>
      </c>
    </row>
    <row r="54" ht="49" customHeight="1">
      <c r="A54" s="55" t="n">
        <v>47</v>
      </c>
      <c r="B54" s="52" t="inlineStr">
        <is>
          <t>NIWC PAC deep-code map</t>
        </is>
      </c>
      <c r="C54" s="52" t="inlineStr">
        <is>
          <t>NIWC Pacific &gt; Communications &amp; Networks</t>
        </is>
      </c>
      <c r="D54" s="52" t="inlineStr">
        <is>
          <t>Department</t>
        </is>
      </c>
      <c r="E54" s="58" t="inlineStr">
        <is>
          <t>55</t>
        </is>
      </c>
      <c r="F54" s="52" t="inlineStr">
        <is>
          <t>Communications and Networks</t>
        </is>
      </c>
      <c r="G54" s="61" t="inlineStr">
        <is>
          <t>No permanent head publicly named</t>
        </is>
      </c>
      <c r="H54" s="52" t="inlineStr">
        <is>
          <t>C&amp;N Department Head</t>
        </is>
      </c>
      <c r="I54" s="52" t="inlineStr">
        <is>
          <t>Public gap</t>
        </is>
      </c>
      <c r="J54" s="52" t="inlineStr">
        <is>
          <t>2026-07-17</t>
        </is>
      </c>
      <c r="K54" s="52" t="inlineStr">
        <is>
          <t>CANES/network adjacency</t>
        </is>
      </c>
      <c r="L54" s="52" t="inlineStr">
        <is>
          <t>Owns communications, tactical and enterprise networks, and PNT capabilities that form upstream/downstream interfaces to CANES and AA.</t>
        </is>
      </c>
      <c r="M54" s="52" t="inlineStr">
        <is>
          <t>Do not treat a former head or applicant as current.</t>
        </is>
      </c>
      <c r="N54" s="64" t="str"/>
      <c r="O54" s="64" t="str"/>
      <c r="P54" s="52" t="inlineStr">
        <is>
          <t>A / High for vacancy</t>
        </is>
      </c>
      <c r="Q54" s="67" t="inlineStr">
        <is>
          <t>https://www.usajobs.gov/job/875297200</t>
        </is>
      </c>
      <c r="R54" s="67" t="inlineStr">
        <is>
          <t>https://www.niwcpacific.navy.mil/About/Departments/Communications-and-Networks/</t>
        </is>
      </c>
      <c r="S54" s="52" t="inlineStr">
        <is>
          <t>Position advertised 2026-07-02 to 2026-07-17</t>
        </is>
      </c>
      <c r="T54" s="52" t="inlineStr">
        <is>
          <t>Status detail: Vacancy / selection not public.</t>
        </is>
      </c>
    </row>
    <row r="55" ht="49" customHeight="1">
      <c r="A55" s="55" t="n">
        <v>48</v>
      </c>
      <c r="B55" s="52" t="inlineStr">
        <is>
          <t>NIWC PAC deep-code map</t>
        </is>
      </c>
      <c r="C55" s="52" t="inlineStr">
        <is>
          <t>Code 55 &gt; Tactical Networks Division</t>
        </is>
      </c>
      <c r="D55" s="52" t="inlineStr">
        <is>
          <t>Division</t>
        </is>
      </c>
      <c r="E55" s="58" t="inlineStr">
        <is>
          <t>551</t>
        </is>
      </c>
      <c r="F55" s="52" t="inlineStr">
        <is>
          <t>Tactical Networks Division</t>
        </is>
      </c>
      <c r="G55" s="61" t="inlineStr">
        <is>
          <t>Michael Winslow</t>
        </is>
      </c>
      <c r="H55" s="52" t="inlineStr">
        <is>
          <t>Historical Tactical Networks Division Head</t>
        </is>
      </c>
      <c r="I55" s="52" t="inlineStr">
        <is>
          <t>Historical</t>
        </is>
      </c>
      <c r="J55" s="52" t="inlineStr">
        <is>
          <t>2018</t>
        </is>
      </c>
      <c r="K55" s="52" t="inlineStr">
        <is>
          <t>CANES/network adjacency</t>
        </is>
      </c>
      <c r="L55" s="52" t="inlineStr">
        <is>
          <t>Historical tactical-network leadership; WEST 2026 lists him as a FIELD engagement representative but not as current 551 head.</t>
        </is>
      </c>
      <c r="M55" s="52" t="inlineStr">
        <is>
          <t>Do not present as current division head.</t>
        </is>
      </c>
      <c r="N55" s="64" t="str"/>
      <c r="O55" s="64" t="str"/>
      <c r="P55" s="52" t="inlineStr">
        <is>
          <t>A / High historical</t>
        </is>
      </c>
      <c r="Q55" s="67" t="inlineStr">
        <is>
          <t>https://www.ndia-sd.org/wp-content/uploads/2018/01/NDIA-Luncheon-Jan-2018_Hartzog_FINALv2_web.pdf</t>
        </is>
      </c>
      <c r="R55" s="67" t="inlineStr">
        <is>
          <t>https://www.westconference.org/WEST26/Public/sessions.aspx?ID=116691&amp;View=Sessions</t>
        </is>
      </c>
      <c r="S55" s="52" t="inlineStr">
        <is>
          <t>2018 / 2026-02</t>
        </is>
      </c>
      <c r="T55" s="52" t="str"/>
    </row>
    <row r="56" ht="49" customHeight="1">
      <c r="A56" s="55" t="n">
        <v>49</v>
      </c>
      <c r="B56" s="52" t="inlineStr">
        <is>
          <t>NIWC PAC deep-code map</t>
        </is>
      </c>
      <c r="C56" s="52" t="inlineStr">
        <is>
          <t>Code 55 &gt; 551 &gt; Afloat Network Design &amp; Architecture</t>
        </is>
      </c>
      <c r="D56" s="52" t="inlineStr">
        <is>
          <t>Branch</t>
        </is>
      </c>
      <c r="E56" s="58" t="inlineStr">
        <is>
          <t>55130</t>
        </is>
      </c>
      <c r="F56" s="52" t="inlineStr">
        <is>
          <t>Afloat Network Design &amp; Architecture</t>
        </is>
      </c>
      <c r="G56" s="61" t="inlineStr">
        <is>
          <t>Public gap — branch lead not identified</t>
        </is>
      </c>
      <c r="H56" s="52" t="inlineStr">
        <is>
          <t>Branch lead</t>
        </is>
      </c>
      <c r="I56" s="52" t="inlineStr">
        <is>
          <t>Public gap</t>
        </is>
      </c>
      <c r="J56" s="52" t="inlineStr">
        <is>
          <t>2019</t>
        </is>
      </c>
      <c r="K56" s="52" t="inlineStr">
        <is>
          <t>CANES/network adjacency</t>
        </is>
      </c>
      <c r="L56" s="52" t="inlineStr">
        <is>
          <t>Afloat network architecture is an upstream host-environment dependency for AA.</t>
        </is>
      </c>
      <c r="M56" s="52" t="inlineStr">
        <is>
          <t>Historical/datetime-limited structure; no current leader inferred.</t>
        </is>
      </c>
      <c r="N56" s="64" t="str"/>
      <c r="O56" s="64" t="str"/>
      <c r="P56" s="52" t="inlineStr">
        <is>
          <t>B / Medium-high dated</t>
        </is>
      </c>
      <c r="Q56" s="67" t="inlineStr">
        <is>
          <t>https://www.highergov.com/contract-opportunity/afloat-network-design-architecture-network-test-in-n66001-19-r-0036-p-0336d/</t>
        </is>
      </c>
      <c r="R56" s="67" t="str"/>
      <c r="S56" s="52" t="inlineStr">
        <is>
          <t>2019</t>
        </is>
      </c>
      <c r="T56" s="52" t="inlineStr">
        <is>
          <t>Status detail: Dated structure / incumbent unresolved.</t>
        </is>
      </c>
    </row>
    <row r="57" ht="49" customHeight="1">
      <c r="A57" s="55" t="n">
        <v>50</v>
      </c>
      <c r="B57" s="52" t="inlineStr">
        <is>
          <t>NIWC PAC deep-code map</t>
        </is>
      </c>
      <c r="C57" s="52" t="inlineStr">
        <is>
          <t>Code 55 &gt; 551 &gt; Network Test &amp; Integration</t>
        </is>
      </c>
      <c r="D57" s="52" t="inlineStr">
        <is>
          <t>Branch</t>
        </is>
      </c>
      <c r="E57" s="58" t="inlineStr">
        <is>
          <t>55190</t>
        </is>
      </c>
      <c r="F57" s="52" t="inlineStr">
        <is>
          <t>Network Test &amp; Integration</t>
        </is>
      </c>
      <c r="G57" s="61" t="inlineStr">
        <is>
          <t>Public gap — branch lead not identified</t>
        </is>
      </c>
      <c r="H57" s="52" t="inlineStr">
        <is>
          <t>Branch lead</t>
        </is>
      </c>
      <c r="I57" s="52" t="inlineStr">
        <is>
          <t>Public gap</t>
        </is>
      </c>
      <c r="J57" s="52" t="inlineStr">
        <is>
          <t>2019</t>
        </is>
      </c>
      <c r="K57" s="52" t="inlineStr">
        <is>
          <t>CANES/network adjacency</t>
        </is>
      </c>
      <c r="L57" s="52" t="inlineStr">
        <is>
          <t>Network test and integration are direct host-environment seams for AA-delivered software.</t>
        </is>
      </c>
      <c r="M57" s="52" t="inlineStr">
        <is>
          <t>Historical/datetime-limited structure; no current leader inferred.</t>
        </is>
      </c>
      <c r="N57" s="64" t="str"/>
      <c r="O57" s="64" t="str"/>
      <c r="P57" s="52" t="inlineStr">
        <is>
          <t>B / Medium-high dated</t>
        </is>
      </c>
      <c r="Q57" s="67" t="inlineStr">
        <is>
          <t>https://www.highergov.com/contract-opportunity/afloat-network-design-architecture-network-test-in-n66001-19-r-0036-p-0336d/</t>
        </is>
      </c>
      <c r="R57" s="67" t="str"/>
      <c r="S57" s="52" t="inlineStr">
        <is>
          <t>2019</t>
        </is>
      </c>
      <c r="T57" s="52" t="inlineStr">
        <is>
          <t>Status detail: Dated structure / incumbent unresolved.</t>
        </is>
      </c>
    </row>
    <row r="58" ht="49" customHeight="1">
      <c r="A58" s="55" t="n">
        <v>51</v>
      </c>
      <c r="B58" s="52" t="inlineStr">
        <is>
          <t>NIWC PAC deep-code map</t>
        </is>
      </c>
      <c r="C58" s="52" t="inlineStr">
        <is>
          <t>Code 55 &gt; Communications Division</t>
        </is>
      </c>
      <c r="D58" s="52" t="inlineStr">
        <is>
          <t>Division</t>
        </is>
      </c>
      <c r="E58" s="58" t="inlineStr">
        <is>
          <t>552</t>
        </is>
      </c>
      <c r="F58" s="52" t="inlineStr">
        <is>
          <t>Communications Division</t>
        </is>
      </c>
      <c r="G58" s="61" t="inlineStr">
        <is>
          <t>Phillip Juarez</t>
        </is>
      </c>
      <c r="H58" s="52" t="inlineStr">
        <is>
          <t>Historical Communications Division Head</t>
        </is>
      </c>
      <c r="I58" s="52" t="inlineStr">
        <is>
          <t>Historical</t>
        </is>
      </c>
      <c r="J58" s="52" t="inlineStr">
        <is>
          <t>2018</t>
        </is>
      </c>
      <c r="K58" s="52" t="inlineStr">
        <is>
          <t>Network adjacency</t>
        </is>
      </c>
      <c r="L58" s="52" t="inlineStr">
        <is>
          <t>Historical division leadership; no direct AA role.</t>
        </is>
      </c>
      <c r="M58" s="52" t="inlineStr">
        <is>
          <t>Historical only.</t>
        </is>
      </c>
      <c r="N58" s="64" t="str"/>
      <c r="O58" s="64" t="str"/>
      <c r="P58" s="52" t="inlineStr">
        <is>
          <t>A / High historical</t>
        </is>
      </c>
      <c r="Q58" s="67" t="inlineStr">
        <is>
          <t>https://www.ndia-sd.org/wp-content/uploads/2018/01/NDIA-Luncheon-Jan-2018_Hartzog_FINALv2_web.pdf</t>
        </is>
      </c>
      <c r="R58" s="67" t="str"/>
      <c r="S58" s="52" t="inlineStr">
        <is>
          <t>2018</t>
        </is>
      </c>
      <c r="T58" s="52" t="str"/>
    </row>
    <row r="59" ht="49" customHeight="1">
      <c r="A59" s="55" t="n">
        <v>52</v>
      </c>
      <c r="B59" s="52" t="inlineStr">
        <is>
          <t>NIWC PAC deep-code map</t>
        </is>
      </c>
      <c r="C59" s="52" t="inlineStr">
        <is>
          <t>Code 55 &gt; 552 &gt; Software Defined Radios</t>
        </is>
      </c>
      <c r="D59" s="52" t="inlineStr">
        <is>
          <t>Branch</t>
        </is>
      </c>
      <c r="E59" s="58" t="inlineStr">
        <is>
          <t>55260</t>
        </is>
      </c>
      <c r="F59" s="52" t="inlineStr">
        <is>
          <t>Software Defined Radios Branch</t>
        </is>
      </c>
      <c r="G59" s="61" t="inlineStr">
        <is>
          <t>William J. Brickner Jr.</t>
        </is>
      </c>
      <c r="H59" s="52" t="inlineStr">
        <is>
          <t>Historical Branch Head</t>
        </is>
      </c>
      <c r="I59" s="52" t="inlineStr">
        <is>
          <t>Historical</t>
        </is>
      </c>
      <c r="J59" s="52" t="inlineStr">
        <is>
          <t>2019</t>
        </is>
      </c>
      <c r="K59" s="52" t="inlineStr">
        <is>
          <t>Low AA adjacency</t>
        </is>
      </c>
      <c r="L59" s="52" t="inlineStr">
        <is>
          <t>Radio/networking lineage only; no direct AA role.</t>
        </is>
      </c>
      <c r="M59" s="52" t="inlineStr">
        <is>
          <t>Historical only.</t>
        </is>
      </c>
      <c r="N59" s="64" t="str"/>
      <c r="O59" s="64" t="str"/>
      <c r="P59" s="52" t="inlineStr">
        <is>
          <t>A / High historical</t>
        </is>
      </c>
      <c r="Q59" s="67" t="inlineStr">
        <is>
          <t>https://www.jtnc.mil/About/Leadership/Bio-Article-View/Article/2176691/mr-william-j-brickner-jr/</t>
        </is>
      </c>
      <c r="R59" s="67" t="str"/>
      <c r="S59" s="52" t="inlineStr">
        <is>
          <t>2019</t>
        </is>
      </c>
      <c r="T59" s="52" t="str"/>
    </row>
    <row r="60" ht="49" customHeight="1">
      <c r="A60" s="55" t="n">
        <v>53</v>
      </c>
      <c r="B60" s="52" t="inlineStr">
        <is>
          <t>NIWC PAC deep-code map</t>
        </is>
      </c>
      <c r="C60" s="52" t="inlineStr">
        <is>
          <t>Code 55 &gt; Enterprise Communications &amp; Networks Division</t>
        </is>
      </c>
      <c r="D60" s="52" t="inlineStr">
        <is>
          <t>Division</t>
        </is>
      </c>
      <c r="E60" s="58" t="inlineStr">
        <is>
          <t>553</t>
        </is>
      </c>
      <c r="F60" s="52" t="inlineStr">
        <is>
          <t>Enterprise Communications &amp; Networks Division</t>
        </is>
      </c>
      <c r="G60" s="61" t="inlineStr">
        <is>
          <t>Public gap — current division head not identified</t>
        </is>
      </c>
      <c r="H60" s="52" t="inlineStr">
        <is>
          <t>Division Head</t>
        </is>
      </c>
      <c r="I60" s="52" t="inlineStr">
        <is>
          <t>Public gap</t>
        </is>
      </c>
      <c r="J60" s="52" t="inlineStr">
        <is>
          <t>2026</t>
        </is>
      </c>
      <c r="K60" s="52" t="inlineStr">
        <is>
          <t>Enterprise network adjacency</t>
        </is>
      </c>
      <c r="L60" s="52" t="inlineStr">
        <is>
          <t>Enterprise network engineering and services may support shore/enterprise interfaces to AA and OSA.</t>
        </is>
      </c>
      <c r="M60" s="52" t="inlineStr">
        <is>
          <t>Current procurement proves structure, not current leader.</t>
        </is>
      </c>
      <c r="N60" s="64" t="str"/>
      <c r="O60" s="64" t="str"/>
      <c r="P60" s="52" t="inlineStr">
        <is>
          <t>A / High for unit</t>
        </is>
      </c>
      <c r="Q60" s="67" t="inlineStr">
        <is>
          <t>https://sam.gov/workspace/contract/opp/f6faec7233fa475dba6ee9f89499ddf0/view</t>
        </is>
      </c>
      <c r="R60" s="67" t="str"/>
      <c r="S60" s="52" t="inlineStr">
        <is>
          <t>2025–2026</t>
        </is>
      </c>
      <c r="T60" s="52" t="inlineStr">
        <is>
          <t>Status detail: Current function / incumbent unresolved.</t>
        </is>
      </c>
    </row>
    <row r="61" ht="49" customHeight="1">
      <c r="A61" s="55" t="n">
        <v>54</v>
      </c>
      <c r="B61" s="52" t="inlineStr">
        <is>
          <t>NIWC PAC deep-code map</t>
        </is>
      </c>
      <c r="C61" s="52" t="inlineStr">
        <is>
          <t>Code 55 &gt; Enterprise Communications &amp; Networks Division</t>
        </is>
      </c>
      <c r="D61" s="52" t="inlineStr">
        <is>
          <t>Historical division leadership</t>
        </is>
      </c>
      <c r="E61" s="58" t="inlineStr">
        <is>
          <t>553</t>
        </is>
      </c>
      <c r="F61" s="52" t="inlineStr">
        <is>
          <t>Enterprise Communications &amp; Networks Division</t>
        </is>
      </c>
      <c r="G61" s="61" t="inlineStr">
        <is>
          <t>Clark Hendrickson</t>
        </is>
      </c>
      <c r="H61" s="52" t="inlineStr">
        <is>
          <t>Historical Enterprise Communications &amp; Networks Division Head</t>
        </is>
      </c>
      <c r="I61" s="52" t="inlineStr">
        <is>
          <t>Historical</t>
        </is>
      </c>
      <c r="J61" s="52" t="inlineStr">
        <is>
          <t>2018</t>
        </is>
      </c>
      <c r="K61" s="52" t="inlineStr">
        <is>
          <t>Enterprise network adjacency</t>
        </is>
      </c>
      <c r="L61" s="52" t="inlineStr">
        <is>
          <t>Historical Code 553 leadership; included for parity with the same-source 551 and 552 lineage.</t>
        </is>
      </c>
      <c r="M61" s="52" t="inlineStr">
        <is>
          <t>Historical only; do not present as current.</t>
        </is>
      </c>
      <c r="N61" s="64" t="str"/>
      <c r="O61" s="64" t="str"/>
      <c r="P61" s="52" t="inlineStr">
        <is>
          <t>A / High historical</t>
        </is>
      </c>
      <c r="Q61" s="67" t="inlineStr">
        <is>
          <t>https://www.ndia-sd.org/wp-content/uploads/2018/01/NDIA-Luncheon-Jan-2018_Hartzog_FINALv2_web.pdf</t>
        </is>
      </c>
      <c r="R61" s="67" t="str"/>
      <c r="S61" s="52" t="inlineStr">
        <is>
          <t>2018</t>
        </is>
      </c>
      <c r="T61" s="52" t="str"/>
    </row>
    <row r="62" ht="49" customHeight="1">
      <c r="A62" s="55" t="n">
        <v>55</v>
      </c>
      <c r="B62" s="52" t="inlineStr">
        <is>
          <t>NIWC PAC deep-code map</t>
        </is>
      </c>
      <c r="C62" s="52" t="inlineStr">
        <is>
          <t>Code 55 &gt; 553 &gt; Technical Staff</t>
        </is>
      </c>
      <c r="D62" s="52" t="inlineStr">
        <is>
          <t>Technical staff code</t>
        </is>
      </c>
      <c r="E62" s="58" t="inlineStr">
        <is>
          <t>55306</t>
        </is>
      </c>
      <c r="F62" s="52" t="inlineStr">
        <is>
          <t>Enterprise C&amp;N Technical Staff</t>
        </is>
      </c>
      <c r="G62" s="61" t="inlineStr">
        <is>
          <t>Public gap — lead not identified</t>
        </is>
      </c>
      <c r="H62" s="52" t="inlineStr">
        <is>
          <t>Technical staff lead</t>
        </is>
      </c>
      <c r="I62" s="52" t="inlineStr">
        <is>
          <t>Public gap</t>
        </is>
      </c>
      <c r="J62" s="52" t="inlineStr">
        <is>
          <t>2026</t>
        </is>
      </c>
      <c r="K62" s="52" t="inlineStr">
        <is>
          <t>Enterprise network adjacency</t>
        </is>
      </c>
      <c r="L62" s="52" t="inlineStr">
        <is>
          <t>Division technical governance; indirect AA relevance.</t>
        </is>
      </c>
      <c r="M62" s="52" t="inlineStr">
        <is>
          <t>No person or AA authority inferred.</t>
        </is>
      </c>
      <c r="N62" s="64" t="str"/>
      <c r="O62" s="64" t="str"/>
      <c r="P62" s="52" t="inlineStr">
        <is>
          <t>A / High for unit</t>
        </is>
      </c>
      <c r="Q62" s="67" t="inlineStr">
        <is>
          <t>https://sam.gov/workspace/contract/opp/f6faec7233fa475dba6ee9f89499ddf0/view</t>
        </is>
      </c>
      <c r="R62" s="67" t="str"/>
      <c r="S62" s="52" t="inlineStr">
        <is>
          <t>2025–2026</t>
        </is>
      </c>
      <c r="T62" s="52" t="inlineStr">
        <is>
          <t>Status detail: Current function / incumbent unresolved.</t>
        </is>
      </c>
    </row>
    <row r="63" ht="49" customHeight="1">
      <c r="A63" s="55" t="n">
        <v>56</v>
      </c>
      <c r="B63" s="52" t="inlineStr">
        <is>
          <t>NIWC PAC deep-code map</t>
        </is>
      </c>
      <c r="C63" s="52" t="inlineStr">
        <is>
          <t>Code 55 &gt; 553 &gt; Wireless Communications</t>
        </is>
      </c>
      <c r="D63" s="52" t="inlineStr">
        <is>
          <t>Branch</t>
        </is>
      </c>
      <c r="E63" s="58" t="inlineStr">
        <is>
          <t>55310</t>
        </is>
      </c>
      <c r="F63" s="52" t="inlineStr">
        <is>
          <t>Wireless Communications Branch</t>
        </is>
      </c>
      <c r="G63" s="61" t="inlineStr">
        <is>
          <t>Public gap — branch head not identified</t>
        </is>
      </c>
      <c r="H63" s="52" t="inlineStr">
        <is>
          <t>Branch Head</t>
        </is>
      </c>
      <c r="I63" s="52" t="inlineStr">
        <is>
          <t>Public gap</t>
        </is>
      </c>
      <c r="J63" s="52" t="inlineStr">
        <is>
          <t>2026</t>
        </is>
      </c>
      <c r="K63" s="52" t="inlineStr">
        <is>
          <t>Communications adjacency</t>
        </is>
      </c>
      <c r="L63" s="52" t="inlineStr">
        <is>
          <t>Wireless transport is a potential constrained-distribution dependency for tactical-edge software delivery.</t>
        </is>
      </c>
      <c r="M63" s="52" t="inlineStr">
        <is>
          <t>No person or AA authority inferred.</t>
        </is>
      </c>
      <c r="N63" s="64" t="str"/>
      <c r="O63" s="64" t="str"/>
      <c r="P63" s="52" t="inlineStr">
        <is>
          <t>A / High for unit</t>
        </is>
      </c>
      <c r="Q63" s="67" t="inlineStr">
        <is>
          <t>https://sam.gov/workspace/contract/opp/f490ecc547b84209b15172a68af685e6/view</t>
        </is>
      </c>
      <c r="R63" s="67" t="str"/>
      <c r="S63" s="52" t="inlineStr">
        <is>
          <t>2025–2026</t>
        </is>
      </c>
      <c r="T63" s="52" t="inlineStr">
        <is>
          <t>Status detail: Current function / incumbent unresolved.</t>
        </is>
      </c>
    </row>
    <row r="64" ht="49" customHeight="1">
      <c r="A64" s="55" t="n">
        <v>57</v>
      </c>
      <c r="B64" s="52" t="inlineStr">
        <is>
          <t>NIWC PAC deep-code map</t>
        </is>
      </c>
      <c r="C64" s="52" t="inlineStr">
        <is>
          <t>Code 55 &gt; 553 &gt; Enterprise Network Solutions</t>
        </is>
      </c>
      <c r="D64" s="52" t="inlineStr">
        <is>
          <t>Branch</t>
        </is>
      </c>
      <c r="E64" s="58" t="inlineStr">
        <is>
          <t>55321</t>
        </is>
      </c>
      <c r="F64" s="52" t="inlineStr">
        <is>
          <t>Enterprise Network Solutions</t>
        </is>
      </c>
      <c r="G64" s="61" t="inlineStr">
        <is>
          <t>Public gap — branch lead not identified</t>
        </is>
      </c>
      <c r="H64" s="52" t="inlineStr">
        <is>
          <t>Branch lead</t>
        </is>
      </c>
      <c r="I64" s="52" t="inlineStr">
        <is>
          <t>Public gap</t>
        </is>
      </c>
      <c r="J64" s="52" t="inlineStr">
        <is>
          <t>2026</t>
        </is>
      </c>
      <c r="K64" s="52" t="inlineStr">
        <is>
          <t>Enterprise network adjacency</t>
        </is>
      </c>
      <c r="L64" s="52" t="inlineStr">
        <is>
          <t>Enterprise network solution architecture; indirect interface to OSA/AA.</t>
        </is>
      </c>
      <c r="M64" s="52" t="inlineStr">
        <is>
          <t>No person or AA authority inferred.</t>
        </is>
      </c>
      <c r="N64" s="64" t="str"/>
      <c r="O64" s="64" t="str"/>
      <c r="P64" s="52" t="inlineStr">
        <is>
          <t>A / High for unit</t>
        </is>
      </c>
      <c r="Q64" s="67" t="inlineStr">
        <is>
          <t>https://sam.gov/workspace/contract/opp/f6faec7233fa475dba6ee9f89499ddf0/view</t>
        </is>
      </c>
      <c r="R64" s="67" t="str"/>
      <c r="S64" s="52" t="inlineStr">
        <is>
          <t>2025–2026</t>
        </is>
      </c>
      <c r="T64" s="52" t="inlineStr">
        <is>
          <t>Status detail: Current function / incumbent unresolved.</t>
        </is>
      </c>
    </row>
    <row r="65" ht="49" customHeight="1">
      <c r="A65" s="55" t="n">
        <v>58</v>
      </c>
      <c r="B65" s="52" t="inlineStr">
        <is>
          <t>NIWC PAC deep-code map</t>
        </is>
      </c>
      <c r="C65" s="52" t="inlineStr">
        <is>
          <t>Code 55 &gt; 553 &gt; Enterprise Technology Solutions</t>
        </is>
      </c>
      <c r="D65" s="52" t="inlineStr">
        <is>
          <t>Branch</t>
        </is>
      </c>
      <c r="E65" s="58" t="inlineStr">
        <is>
          <t>55322</t>
        </is>
      </c>
      <c r="F65" s="52" t="inlineStr">
        <is>
          <t>Enterprise Technology Solutions</t>
        </is>
      </c>
      <c r="G65" s="61" t="inlineStr">
        <is>
          <t>Public gap — branch lead not identified</t>
        </is>
      </c>
      <c r="H65" s="52" t="inlineStr">
        <is>
          <t>Branch lead</t>
        </is>
      </c>
      <c r="I65" s="52" t="inlineStr">
        <is>
          <t>Public gap</t>
        </is>
      </c>
      <c r="J65" s="52" t="inlineStr">
        <is>
          <t>2026</t>
        </is>
      </c>
      <c r="K65" s="52" t="inlineStr">
        <is>
          <t>Enterprise technology adjacency</t>
        </is>
      </c>
      <c r="L65" s="52" t="inlineStr">
        <is>
          <t>Enterprise technology implementation; indirect interface to OSA/AA.</t>
        </is>
      </c>
      <c r="M65" s="52" t="inlineStr">
        <is>
          <t>No person or AA authority inferred.</t>
        </is>
      </c>
      <c r="N65" s="64" t="str"/>
      <c r="O65" s="64" t="str"/>
      <c r="P65" s="52" t="inlineStr">
        <is>
          <t>A / High for unit</t>
        </is>
      </c>
      <c r="Q65" s="67" t="inlineStr">
        <is>
          <t>https://sam.gov/workspace/contract/opp/f6faec7233fa475dba6ee9f89499ddf0/view</t>
        </is>
      </c>
      <c r="R65" s="67" t="str"/>
      <c r="S65" s="52" t="inlineStr">
        <is>
          <t>2025–2026</t>
        </is>
      </c>
      <c r="T65" s="52" t="inlineStr">
        <is>
          <t>Status detail: Current function / incumbent unresolved.</t>
        </is>
      </c>
    </row>
    <row r="66" ht="49" customHeight="1">
      <c r="A66" s="55" t="n">
        <v>59</v>
      </c>
      <c r="B66" s="52" t="inlineStr">
        <is>
          <t>NIWC PAC deep-code map</t>
        </is>
      </c>
      <c r="C66" s="52" t="inlineStr">
        <is>
          <t>Code 55 &gt; 553 &gt; Enterprise Network Services</t>
        </is>
      </c>
      <c r="D66" s="52" t="inlineStr">
        <is>
          <t>Branch</t>
        </is>
      </c>
      <c r="E66" s="58" t="inlineStr">
        <is>
          <t>55323</t>
        </is>
      </c>
      <c r="F66" s="52" t="inlineStr">
        <is>
          <t>Enterprise Network Services</t>
        </is>
      </c>
      <c r="G66" s="61" t="inlineStr">
        <is>
          <t>Public gap — branch lead not identified</t>
        </is>
      </c>
      <c r="H66" s="52" t="inlineStr">
        <is>
          <t>Branch lead</t>
        </is>
      </c>
      <c r="I66" s="52" t="inlineStr">
        <is>
          <t>Public gap</t>
        </is>
      </c>
      <c r="J66" s="52" t="inlineStr">
        <is>
          <t>2026</t>
        </is>
      </c>
      <c r="K66" s="52" t="inlineStr">
        <is>
          <t>Enterprise network adjacency</t>
        </is>
      </c>
      <c r="L66" s="52" t="inlineStr">
        <is>
          <t>Enterprise network service operations; indirect interface to OSA/AA.</t>
        </is>
      </c>
      <c r="M66" s="52" t="inlineStr">
        <is>
          <t>No person or AA authority inferred.</t>
        </is>
      </c>
      <c r="N66" s="64" t="str"/>
      <c r="O66" s="64" t="str"/>
      <c r="P66" s="52" t="inlineStr">
        <is>
          <t>A / High for unit</t>
        </is>
      </c>
      <c r="Q66" s="67" t="inlineStr">
        <is>
          <t>https://sam.gov/workspace/contract/opp/f6faec7233fa475dba6ee9f89499ddf0/view</t>
        </is>
      </c>
      <c r="R66" s="67" t="str"/>
      <c r="S66" s="52" t="inlineStr">
        <is>
          <t>2025–2026</t>
        </is>
      </c>
      <c r="T66" s="52" t="inlineStr">
        <is>
          <t>Status detail: Current function / incumbent unresolved.</t>
        </is>
      </c>
    </row>
    <row r="67" ht="49" customHeight="1">
      <c r="A67" s="55" t="n">
        <v>60</v>
      </c>
      <c r="B67" s="52" t="inlineStr">
        <is>
          <t>NIWC PAC deep-code map</t>
        </is>
      </c>
      <c r="C67" s="52" t="inlineStr">
        <is>
          <t>Code 55 &gt; 553 &gt; Mobile Systems Engineering &amp; Solutions</t>
        </is>
      </c>
      <c r="D67" s="52" t="inlineStr">
        <is>
          <t>Branch</t>
        </is>
      </c>
      <c r="E67" s="58" t="inlineStr">
        <is>
          <t>55340</t>
        </is>
      </c>
      <c r="F67" s="52" t="inlineStr">
        <is>
          <t>Mobile Systems Engineering &amp; Solutions</t>
        </is>
      </c>
      <c r="G67" s="61" t="inlineStr">
        <is>
          <t>Michael A. August</t>
        </is>
      </c>
      <c r="H67" s="52" t="inlineStr">
        <is>
          <t>Publicly identified Code 55340 engineer; not verified as branch head</t>
        </is>
      </c>
      <c r="I67" s="52" t="inlineStr">
        <is>
          <t>Dated / revalidate</t>
        </is>
      </c>
      <c r="J67" s="52" t="inlineStr">
        <is>
          <t>2021–2022</t>
        </is>
      </c>
      <c r="K67" s="52" t="inlineStr">
        <is>
          <t>Communications adjacency</t>
        </is>
      </c>
      <c r="L67" s="52" t="inlineStr">
        <is>
          <t>Mobile systems engineering context; no direct AA role.</t>
        </is>
      </c>
      <c r="M67" s="52" t="inlineStr">
        <is>
          <t>Do not elevate to branch head without new evidence.</t>
        </is>
      </c>
      <c r="N67" s="64" t="str"/>
      <c r="O67" s="64" t="str"/>
      <c r="P67" s="52" t="inlineStr">
        <is>
          <t>B / Medium</t>
        </is>
      </c>
      <c r="Q67" s="67" t="inlineStr">
        <is>
          <t>https://lists.spdx.org/g/Spdx-legal/messages?expanded=1&amp;msgnum=3088</t>
        </is>
      </c>
      <c r="R67" s="67" t="str"/>
      <c r="S67" s="52" t="inlineStr">
        <is>
          <t>2021–2022</t>
        </is>
      </c>
      <c r="T67" s="52" t="inlineStr">
        <is>
          <t>Status detail: Dated role.</t>
        </is>
      </c>
    </row>
    <row r="68" ht="49" customHeight="1">
      <c r="A68" s="55" t="n">
        <v>61</v>
      </c>
      <c r="B68" s="52" t="inlineStr">
        <is>
          <t>NIWC PAC deep-code map</t>
        </is>
      </c>
      <c r="C68" s="52" t="inlineStr">
        <is>
          <t>Code 55 &gt; 553 &gt; Advanced Photonic Technologies</t>
        </is>
      </c>
      <c r="D68" s="52" t="inlineStr">
        <is>
          <t>Branch</t>
        </is>
      </c>
      <c r="E68" s="58" t="inlineStr">
        <is>
          <t>55360</t>
        </is>
      </c>
      <c r="F68" s="52" t="inlineStr">
        <is>
          <t>Advanced Photonic Technologies Branch</t>
        </is>
      </c>
      <c r="G68" s="61" t="inlineStr">
        <is>
          <t>Sarah Lauff</t>
        </is>
      </c>
      <c r="H68" s="52" t="inlineStr">
        <is>
          <t>Historical Branch Head</t>
        </is>
      </c>
      <c r="I68" s="52" t="inlineStr">
        <is>
          <t>Historical</t>
        </is>
      </c>
      <c r="J68" s="52" t="inlineStr">
        <is>
          <t>2017-12</t>
        </is>
      </c>
      <c r="K68" s="52" t="inlineStr">
        <is>
          <t>None / remote adjacency</t>
        </is>
      </c>
      <c r="L68" s="52" t="inlineStr">
        <is>
          <t>Deep-code validation; no material AA role.</t>
        </is>
      </c>
      <c r="M68" s="52" t="inlineStr">
        <is>
          <t>Historical only.</t>
        </is>
      </c>
      <c r="N68" s="64" t="str"/>
      <c r="O68" s="64" t="str"/>
      <c r="P68" s="52" t="inlineStr">
        <is>
          <t>A / High historical</t>
        </is>
      </c>
      <c r="Q68" s="67" t="inlineStr">
        <is>
          <t>https://www.academia.edu/98691186/Implementation_and_Testing_of_the_JANUS_Standard_with_SSC_Pacifics_Software_Defined_Acoustic_Modem</t>
        </is>
      </c>
      <c r="R68" s="67" t="str"/>
      <c r="S68" s="52" t="inlineStr">
        <is>
          <t>2017-12</t>
        </is>
      </c>
      <c r="T68" s="52" t="str"/>
    </row>
    <row r="69" ht="49" customHeight="1">
      <c r="A69" s="55" t="n">
        <v>62</v>
      </c>
      <c r="B69" s="52" t="inlineStr">
        <is>
          <t>NIWC PAC deep-code map</t>
        </is>
      </c>
      <c r="C69" s="52" t="inlineStr">
        <is>
          <t>NIWC Pacific &gt; Intelligence, Surveillance &amp; Reconnaissance</t>
        </is>
      </c>
      <c r="D69" s="52" t="inlineStr">
        <is>
          <t>Department</t>
        </is>
      </c>
      <c r="E69" s="58" t="inlineStr">
        <is>
          <t>56 / 56000</t>
        </is>
      </c>
      <c r="F69" s="52" t="inlineStr">
        <is>
          <t>ISR Department</t>
        </is>
      </c>
      <c r="G69" s="61" t="inlineStr">
        <is>
          <t>Nicole Stone</t>
        </is>
      </c>
      <c r="H69" s="52" t="inlineStr">
        <is>
          <t>Intelligence, Surveillance and Reconnaissance Department Head</t>
        </is>
      </c>
      <c r="I69" s="52" t="inlineStr">
        <is>
          <t>Dated / revalidate</t>
        </is>
      </c>
      <c r="J69" s="52" t="inlineStr">
        <is>
          <t>Since 2023-11</t>
        </is>
      </c>
      <c r="K69" s="52" t="inlineStr">
        <is>
          <t>Adjacent mission/data interface</t>
        </is>
      </c>
      <c r="L69" s="52" t="inlineStr">
        <is>
          <t>ISR data, applications, and mission systems can be producers/consumers of AA-delivered software.</t>
        </is>
      </c>
      <c r="M69" s="52" t="inlineStr">
        <is>
          <t>Department leadership; not an RFP channel.</t>
        </is>
      </c>
      <c r="N69" s="64" t="str"/>
      <c r="O69" s="64" t="str"/>
      <c r="P69" s="52" t="inlineStr">
        <is>
          <t>B / Medium</t>
        </is>
      </c>
      <c r="Q69" s="67" t="inlineStr">
        <is>
          <t>https://www.linkedin.com/in/nicole-stone-a4155121a</t>
        </is>
      </c>
      <c r="R69" s="67" t="inlineStr">
        <is>
          <t>https://www.dvidshub.net/news/printable/457727</t>
        </is>
      </c>
      <c r="S69" s="52" t="inlineStr">
        <is>
          <t>Current profile / 2023 corroboration</t>
        </is>
      </c>
      <c r="T69" s="52" t="inlineStr">
        <is>
          <t>Status detail: Current-likely; self-reported.</t>
        </is>
      </c>
    </row>
    <row r="70" ht="49" customHeight="1">
      <c r="A70" s="55" t="n">
        <v>63</v>
      </c>
      <c r="B70" s="52" t="inlineStr">
        <is>
          <t>NIWC PAC deep-code map</t>
        </is>
      </c>
      <c r="C70" s="52" t="inlineStr">
        <is>
          <t>Code 56 &gt; ISR Science &amp; Technology</t>
        </is>
      </c>
      <c r="D70" s="52" t="inlineStr">
        <is>
          <t>Department S&amp;T leadership</t>
        </is>
      </c>
      <c r="E70" s="58" t="inlineStr">
        <is>
          <t>56</t>
        </is>
      </c>
      <c r="F70" s="52" t="inlineStr">
        <is>
          <t>ISR Department</t>
        </is>
      </c>
      <c r="G70" s="61" t="inlineStr">
        <is>
          <t>Katie Rainey, PhD</t>
        </is>
      </c>
      <c r="H70" s="52" t="inlineStr">
        <is>
          <t>Director of Science and Technology, ISR Department</t>
        </is>
      </c>
      <c r="I70" s="52" t="inlineStr">
        <is>
          <t>Current</t>
        </is>
      </c>
      <c r="J70" s="52" t="inlineStr">
        <is>
          <t>2026-02-10</t>
        </is>
      </c>
      <c r="K70" s="52" t="inlineStr">
        <is>
          <t>Adjacent data/AI interface</t>
        </is>
      </c>
      <c r="L70" s="52" t="inlineStr">
        <is>
          <t>AI/ML and data-science leadership may influence future application workloads and assurance, but no direct AA ownership is public.</t>
        </is>
      </c>
      <c r="M70" s="52" t="inlineStr">
        <is>
          <t>Technical influencer; not an RFP channel.</t>
        </is>
      </c>
      <c r="N70" s="64" t="str"/>
      <c r="O70" s="64" t="str"/>
      <c r="P70" s="52" t="inlineStr">
        <is>
          <t>A / High</t>
        </is>
      </c>
      <c r="Q70" s="67" t="inlineStr">
        <is>
          <t>https://www.westconference.org/WEST26/Public/sessions.aspx?ID=116691&amp;View=Sessions</t>
        </is>
      </c>
      <c r="R70" s="67" t="inlineStr">
        <is>
          <t>https://www.afcea.org/signal-media/naval-applications-machine-learning-workshop-advances-ai-adoption</t>
        </is>
      </c>
      <c r="S70" s="52" t="inlineStr">
        <is>
          <t>2026-02-10</t>
        </is>
      </c>
      <c r="T70" s="52" t="str"/>
    </row>
    <row r="71" ht="49" customHeight="1">
      <c r="A71" s="55" t="n">
        <v>64</v>
      </c>
      <c r="B71" s="52" t="inlineStr">
        <is>
          <t>NIWC PAC deep-code map</t>
        </is>
      </c>
      <c r="C71" s="52" t="inlineStr">
        <is>
          <t>Code 56 &gt; division 561 unresolved &gt; IO Support to National Security</t>
        </is>
      </c>
      <c r="D71" s="52" t="inlineStr">
        <is>
          <t>Historical branch</t>
        </is>
      </c>
      <c r="E71" s="58" t="inlineStr">
        <is>
          <t>56120</t>
        </is>
      </c>
      <c r="F71" s="52" t="inlineStr">
        <is>
          <t>IO Support to National Security Branch</t>
        </is>
      </c>
      <c r="G71" s="61" t="inlineStr">
        <is>
          <t>Public gap — historical branch lead not identified</t>
        </is>
      </c>
      <c r="H71" s="52" t="inlineStr">
        <is>
          <t>Branch lead</t>
        </is>
      </c>
      <c r="I71" s="52" t="inlineStr">
        <is>
          <t>Historical</t>
        </is>
      </c>
      <c r="J71" s="52" t="inlineStr">
        <is>
          <t>Public-release technical report</t>
        </is>
      </c>
      <c r="K71" s="52" t="inlineStr">
        <is>
          <t>Mission software / low adjacency</t>
        </is>
      </c>
      <c r="L71" s="52" t="inlineStr">
        <is>
          <t>Historical ISR software/embedded-computing branch; included for deepest-code completeness, not as a current AA node.</t>
        </is>
      </c>
      <c r="M71" s="52" t="inlineStr">
        <is>
          <t>Historical structure only.</t>
        </is>
      </c>
      <c r="N71" s="64" t="str"/>
      <c r="O71" s="64" t="str"/>
      <c r="P71" s="52" t="inlineStr">
        <is>
          <t>A for historical code; currentness unresolved</t>
        </is>
      </c>
      <c r="Q71" s="67" t="inlineStr">
        <is>
          <t>https://scispace.com/pdf/convolutional-neural-network-on-embedded-linux-trademark-30632opybn.pdf</t>
        </is>
      </c>
      <c r="R71" s="67" t="str"/>
      <c r="S71" s="52" t="inlineStr">
        <is>
          <t>Historical public-release report</t>
        </is>
      </c>
      <c r="T71" s="52" t="inlineStr">
        <is>
          <t>Status detail: Historical structure / currentness unresolved.</t>
        </is>
      </c>
    </row>
    <row r="72" ht="49" customHeight="1">
      <c r="A72" s="55" t="n">
        <v>65</v>
      </c>
      <c r="B72" s="52" t="inlineStr">
        <is>
          <t>NIWC PAC deep-code map</t>
        </is>
      </c>
      <c r="C72" s="52" t="inlineStr">
        <is>
          <t>Code 56 &gt; division 561 unresolved &gt; Mission Systems Engineering</t>
        </is>
      </c>
      <c r="D72" s="52" t="inlineStr">
        <is>
          <t>Historical branch</t>
        </is>
      </c>
      <c r="E72" s="58" t="inlineStr">
        <is>
          <t>56170</t>
        </is>
      </c>
      <c r="F72" s="52" t="inlineStr">
        <is>
          <t>Mission Systems Engineering Branch</t>
        </is>
      </c>
      <c r="G72" s="61" t="inlineStr">
        <is>
          <t>Public gap — historical branch lead not identified</t>
        </is>
      </c>
      <c r="H72" s="52" t="inlineStr">
        <is>
          <t>Branch lead</t>
        </is>
      </c>
      <c r="I72" s="52" t="inlineStr">
        <is>
          <t>Historical</t>
        </is>
      </c>
      <c r="J72" s="52" t="inlineStr">
        <is>
          <t>2017-12</t>
        </is>
      </c>
      <c r="K72" s="52" t="inlineStr">
        <is>
          <t>Mission software / low adjacency</t>
        </is>
      </c>
      <c r="L72" s="52" t="inlineStr">
        <is>
          <t>Historical mission-systems engineering structure; no direct AA ownership.</t>
        </is>
      </c>
      <c r="M72" s="52" t="inlineStr">
        <is>
          <t>Historical structure only.</t>
        </is>
      </c>
      <c r="N72" s="64" t="str"/>
      <c r="O72" s="64" t="str"/>
      <c r="P72" s="52" t="inlineStr">
        <is>
          <t>A / High historical</t>
        </is>
      </c>
      <c r="Q72" s="67" t="inlineStr">
        <is>
          <t>https://www.academia.edu/98691186/Implementation_and_Testing_of_the_JANUS_Standard_with_SSC_Pacifics_Software_Defined_Acoustic_Modem</t>
        </is>
      </c>
      <c r="R72" s="67" t="str"/>
      <c r="S72" s="52" t="inlineStr">
        <is>
          <t>2017-12</t>
        </is>
      </c>
      <c r="T72" s="52" t="inlineStr">
        <is>
          <t>Status detail: Historical structure / currentness unresolved.</t>
        </is>
      </c>
    </row>
    <row r="73" ht="49" customHeight="1">
      <c r="A73" s="55" t="n">
        <v>66</v>
      </c>
      <c r="B73" s="52" t="inlineStr">
        <is>
          <t>NIWC PAC deep-code map</t>
        </is>
      </c>
      <c r="C73" s="52" t="inlineStr">
        <is>
          <t>Code 56 &gt; ISR Division</t>
        </is>
      </c>
      <c r="D73" s="52" t="inlineStr">
        <is>
          <t>Historical division</t>
        </is>
      </c>
      <c r="E73" s="58" t="inlineStr">
        <is>
          <t>56200</t>
        </is>
      </c>
      <c r="F73" s="52" t="inlineStr">
        <is>
          <t>ISR Division</t>
        </is>
      </c>
      <c r="G73" s="61" t="inlineStr">
        <is>
          <t>C. A. Wilgenbusch</t>
        </is>
      </c>
      <c r="H73" s="52" t="inlineStr">
        <is>
          <t>Historical ISR Division Head</t>
        </is>
      </c>
      <c r="I73" s="52" t="inlineStr">
        <is>
          <t>Historical</t>
        </is>
      </c>
      <c r="J73" s="52" t="inlineStr">
        <is>
          <t>2014-12</t>
        </is>
      </c>
      <c r="K73" s="52" t="inlineStr">
        <is>
          <t>ISR/data adjacency</t>
        </is>
      </c>
      <c r="L73" s="52" t="inlineStr">
        <is>
          <t>Historical parent division for several deep ISR branches; no direct AA authority.</t>
        </is>
      </c>
      <c r="M73" s="52" t="inlineStr">
        <is>
          <t>Historical only.</t>
        </is>
      </c>
      <c r="N73" s="64" t="str"/>
      <c r="O73" s="64" t="str"/>
      <c r="P73" s="52" t="inlineStr">
        <is>
          <t>A / High historical</t>
        </is>
      </c>
      <c r="Q73" s="67" t="inlineStr">
        <is>
          <t>https://www.studocu.vn/vn/document/royal-melbourne-institute-of-technology-vietnam/engineering-science/ly-thuyet-ma-cuc-2-ly-thuyet-ma-cuc/110340291</t>
        </is>
      </c>
      <c r="R73" s="67" t="str"/>
      <c r="S73" s="52" t="inlineStr">
        <is>
          <t>2014-12</t>
        </is>
      </c>
      <c r="T73" s="52" t="str"/>
    </row>
    <row r="74" ht="49" customHeight="1">
      <c r="A74" s="55" t="n">
        <v>67</v>
      </c>
      <c r="B74" s="52" t="inlineStr">
        <is>
          <t>NIWC PAC deep-code map</t>
        </is>
      </c>
      <c r="C74" s="52" t="inlineStr">
        <is>
          <t>Code 56 &gt; 56200 &gt; Advanced Analysis Systems</t>
        </is>
      </c>
      <c r="D74" s="52" t="inlineStr">
        <is>
          <t>Historical branch</t>
        </is>
      </c>
      <c r="E74" s="58" t="inlineStr">
        <is>
          <t>56220</t>
        </is>
      </c>
      <c r="F74" s="52" t="inlineStr">
        <is>
          <t>Advanced Analysis Systems Branch</t>
        </is>
      </c>
      <c r="G74" s="61" t="inlineStr">
        <is>
          <t>Heidi L. Buck</t>
        </is>
      </c>
      <c r="H74" s="52" t="inlineStr">
        <is>
          <t>AIA/BEMR technical lead; not confirmed as branch head</t>
        </is>
      </c>
      <c r="I74" s="52" t="inlineStr">
        <is>
          <t>Historical</t>
        </is>
      </c>
      <c r="J74" s="52" t="inlineStr">
        <is>
          <t>2016-10</t>
        </is>
      </c>
      <c r="K74" s="52" t="inlineStr">
        <is>
          <t>Analytics / adjacent</t>
        </is>
      </c>
      <c r="L74" s="52" t="inlineStr">
        <is>
          <t>Historical advanced-analysis capability; no direct AA ownership.</t>
        </is>
      </c>
      <c r="M74" s="52" t="inlineStr">
        <is>
          <t>Do not elevate to branch head or current authority.</t>
        </is>
      </c>
      <c r="N74" s="64" t="str"/>
      <c r="O74" s="64" t="str"/>
      <c r="P74" s="52" t="inlineStr">
        <is>
          <t>B / Medium historical</t>
        </is>
      </c>
      <c r="Q74" s="67" t="inlineStr">
        <is>
          <t>https://evonexus.org/virtual-reality-beyond-the-hype/</t>
        </is>
      </c>
      <c r="R74" s="67" t="str"/>
      <c r="S74" s="52" t="inlineStr">
        <is>
          <t>2016-10</t>
        </is>
      </c>
      <c r="T74" s="52" t="inlineStr">
        <is>
          <t>Status detail: Historical / dated.</t>
        </is>
      </c>
    </row>
    <row r="75" ht="49" customHeight="1">
      <c r="A75" s="55" t="n">
        <v>68</v>
      </c>
      <c r="B75" s="52" t="inlineStr">
        <is>
          <t>NIWC PAC deep-code map</t>
        </is>
      </c>
      <c r="C75" s="52" t="inlineStr">
        <is>
          <t>Code 56 &gt; 56200 &gt; Intelligence Collection Tools</t>
        </is>
      </c>
      <c r="D75" s="52" t="inlineStr">
        <is>
          <t>Historical branch</t>
        </is>
      </c>
      <c r="E75" s="58" t="inlineStr">
        <is>
          <t>56250</t>
        </is>
      </c>
      <c r="F75" s="52" t="inlineStr">
        <is>
          <t>Intelligence Collection Tools Branch</t>
        </is>
      </c>
      <c r="G75" s="61" t="inlineStr">
        <is>
          <t>Public gap — historical branch lead not identified</t>
        </is>
      </c>
      <c r="H75" s="52" t="inlineStr">
        <is>
          <t>Branch lead</t>
        </is>
      </c>
      <c r="I75" s="52" t="inlineStr">
        <is>
          <t>Historical</t>
        </is>
      </c>
      <c r="J75" s="52" t="inlineStr">
        <is>
          <t>Dated procurement lineage</t>
        </is>
      </c>
      <c r="K75" s="52" t="inlineStr">
        <is>
          <t>C2/ISR software adjacency</t>
        </is>
      </c>
      <c r="L75" s="52" t="inlineStr">
        <is>
          <t>Historical software-development branch tied to C2RPC, CTM, PMW 150, and CANES environments; no current AA ownership.</t>
        </is>
      </c>
      <c r="M75" s="52" t="inlineStr">
        <is>
          <t>Historical structure only.</t>
        </is>
      </c>
      <c r="N75" s="64" t="str"/>
      <c r="O75" s="64" t="str"/>
      <c r="P75" s="52" t="inlineStr">
        <is>
          <t>B / Medium historical</t>
        </is>
      </c>
      <c r="Q75" s="67" t="inlineStr">
        <is>
          <t>https://www.moesol.com/copy-of-phoenix-1</t>
        </is>
      </c>
      <c r="R75" s="67" t="str"/>
      <c r="S75" s="52" t="inlineStr">
        <is>
          <t>Dated procurement synopsis</t>
        </is>
      </c>
      <c r="T75" s="52" t="inlineStr">
        <is>
          <t>Status detail: Historical structure / currentness unresolved.</t>
        </is>
      </c>
    </row>
    <row r="76" ht="49" customHeight="1">
      <c r="A76" s="55" t="n">
        <v>69</v>
      </c>
      <c r="B76" s="52" t="inlineStr">
        <is>
          <t>NIWC PAC deep-code map</t>
        </is>
      </c>
      <c r="C76" s="52" t="inlineStr">
        <is>
          <t>Code 56 &gt; 56200 &gt; Space Systems</t>
        </is>
      </c>
      <c r="D76" s="52" t="inlineStr">
        <is>
          <t>Historical branch</t>
        </is>
      </c>
      <c r="E76" s="58" t="inlineStr">
        <is>
          <t>56270</t>
        </is>
      </c>
      <c r="F76" s="52" t="inlineStr">
        <is>
          <t>Space Systems Branch</t>
        </is>
      </c>
      <c r="G76" s="61" t="inlineStr">
        <is>
          <t>Austin M. Mroczek</t>
        </is>
      </c>
      <c r="H76" s="52" t="inlineStr">
        <is>
          <t>Historical Space Systems Branch Head</t>
        </is>
      </c>
      <c r="I76" s="52" t="inlineStr">
        <is>
          <t>Historical</t>
        </is>
      </c>
      <c r="J76" s="52" t="inlineStr">
        <is>
          <t>2014</t>
        </is>
      </c>
      <c r="K76" s="52" t="inlineStr">
        <is>
          <t>Space/ISR adjacency</t>
        </is>
      </c>
      <c r="L76" s="52" t="inlineStr">
        <is>
          <t>Deep-code lineage only; the current RPED role is represented separately and must not be mapped to 56270.</t>
        </is>
      </c>
      <c r="M76" s="52" t="inlineStr">
        <is>
          <t>Historical only.</t>
        </is>
      </c>
      <c r="N76" s="64" t="str"/>
      <c r="O76" s="64" t="str"/>
      <c r="P76" s="52" t="inlineStr">
        <is>
          <t>A / High historical</t>
        </is>
      </c>
      <c r="Q76" s="67" t="inlineStr">
        <is>
          <t>https://www.studocu.vn/vn/document/royal-melbourne-institute-of-technology-vietnam/engineering-science/ly-thuyet-ma-cuc-2-ly-thuyet-ma-cuc/110340291</t>
        </is>
      </c>
      <c r="R76" s="67" t="str"/>
      <c r="S76" s="52" t="inlineStr">
        <is>
          <t>2014</t>
        </is>
      </c>
      <c r="T76" s="52" t="str"/>
    </row>
    <row r="77" ht="49" customHeight="1">
      <c r="A77" s="55" t="n">
        <v>70</v>
      </c>
      <c r="B77" s="52" t="inlineStr">
        <is>
          <t>NIWC PAC innovation interface</t>
        </is>
      </c>
      <c r="C77" s="52" t="inlineStr">
        <is>
          <t>NIWC Pacific &gt; Rapid Prototyping, Experimentation &amp; Demonstration</t>
        </is>
      </c>
      <c r="D77" s="52" t="inlineStr">
        <is>
          <t>Center innovation lead</t>
        </is>
      </c>
      <c r="E77" s="58" t="inlineStr">
        <is>
          <t>Code not public in 2026 source</t>
        </is>
      </c>
      <c r="F77" s="52" t="inlineStr">
        <is>
          <t>Rapid Prototyping, Experimentation &amp; Demonstration</t>
        </is>
      </c>
      <c r="G77" s="61" t="inlineStr">
        <is>
          <t>Austin M. Mroczek</t>
        </is>
      </c>
      <c r="H77" s="52" t="inlineStr">
        <is>
          <t>NIWC Pacific RPED Lead</t>
        </is>
      </c>
      <c r="I77" s="52" t="inlineStr">
        <is>
          <t>Current</t>
        </is>
      </c>
      <c r="J77" s="52" t="inlineStr">
        <is>
          <t>2026-05-07</t>
        </is>
      </c>
      <c r="K77" s="52" t="inlineStr">
        <is>
          <t>Innovation / adjacent</t>
        </is>
      </c>
      <c r="L77" s="52" t="inlineStr">
        <is>
          <t>Rapid prototyping and experimentation may feed technologies toward production pathways; no direct AA ownership.</t>
        </is>
      </c>
      <c r="M77" s="52" t="inlineStr">
        <is>
          <t>Innovation contact; not an RFP channel.</t>
        </is>
      </c>
      <c r="N77" s="64" t="inlineStr">
        <is>
          <t>austin.j.mroczek2.civ@us.navy.mil</t>
        </is>
      </c>
      <c r="O77" s="64" t="str"/>
      <c r="P77" s="52" t="inlineStr">
        <is>
          <t>A / High</t>
        </is>
      </c>
      <c r="Q77" s="67" t="inlineStr">
        <is>
          <t>https://www.ndia-sd.org/wp-content/uploads/2026/05/NDIA-7-May-2026-Combined-video-embedded.pdf</t>
        </is>
      </c>
      <c r="R77" s="67" t="str"/>
      <c r="S77" s="52" t="inlineStr">
        <is>
          <t>2026-05-07</t>
        </is>
      </c>
      <c r="T77" s="52" t="inlineStr">
        <is>
          <t>Do not map this current role to historical Code 56270.</t>
        </is>
      </c>
    </row>
    <row r="78" ht="49" customHeight="1">
      <c r="A78" s="55" t="n">
        <v>71</v>
      </c>
      <c r="B78" s="52" t="inlineStr">
        <is>
          <t>NIWC PAC deep-code map</t>
        </is>
      </c>
      <c r="C78" s="52" t="inlineStr">
        <is>
          <t>Code 56 &gt; Maritime Systems / Autonomous Technologies</t>
        </is>
      </c>
      <c r="D78" s="52" t="inlineStr">
        <is>
          <t>Division</t>
        </is>
      </c>
      <c r="E78" s="58" t="inlineStr">
        <is>
          <t>56400 lineage</t>
        </is>
      </c>
      <c r="F78" s="52" t="inlineStr">
        <is>
          <t>Autonomous Technologies Division</t>
        </is>
      </c>
      <c r="G78" s="61" t="inlineStr">
        <is>
          <t>Spencer Koroly</t>
        </is>
      </c>
      <c r="H78" s="52" t="inlineStr">
        <is>
          <t>Project Manager, Autonomous Technologies Division</t>
        </is>
      </c>
      <c r="I78" s="52" t="inlineStr">
        <is>
          <t>Dated / revalidate</t>
        </is>
      </c>
      <c r="J78" s="52" t="inlineStr">
        <is>
          <t>2024-10</t>
        </is>
      </c>
      <c r="K78" s="52" t="inlineStr">
        <is>
          <t>Adjacent mission software</t>
        </is>
      </c>
      <c r="L78" s="52" t="inlineStr">
        <is>
          <t>Autonomy software and tactical integration may use shared deployment/integration patterns; no direct AA ownership.</t>
        </is>
      </c>
      <c r="M78" s="52" t="inlineStr">
        <is>
          <t>Adjacent technical contact.</t>
        </is>
      </c>
      <c r="N78" s="64" t="str"/>
      <c r="O78" s="64" t="str"/>
      <c r="P78" s="52" t="inlineStr">
        <is>
          <t>B / Medium dated</t>
        </is>
      </c>
      <c r="Q78" s="67" t="inlineStr">
        <is>
          <t>https://www.dvidshub.net/video/941624/next-level-podcast-episode-3</t>
        </is>
      </c>
      <c r="R78" s="67" t="inlineStr">
        <is>
          <t>https://sam.gov/opp/38353d270a4b681e6230bd48614648e2/view</t>
        </is>
      </c>
      <c r="S78" s="52" t="inlineStr">
        <is>
          <t>2024-10 / dated code lineage</t>
        </is>
      </c>
      <c r="T78" s="52" t="inlineStr">
        <is>
          <t>Status detail: Dated role; revalidate.</t>
        </is>
      </c>
    </row>
    <row r="79" ht="49" customHeight="1">
      <c r="A79" s="55" t="n">
        <v>72</v>
      </c>
      <c r="B79" s="52" t="inlineStr">
        <is>
          <t>NIWC PAC deep-code map</t>
        </is>
      </c>
      <c r="C79" s="52" t="inlineStr">
        <is>
          <t>Code 56 &gt; 56400 &gt; Littoral Engineering</t>
        </is>
      </c>
      <c r="D79" s="52" t="inlineStr">
        <is>
          <t>Branch</t>
        </is>
      </c>
      <c r="E79" s="58" t="inlineStr">
        <is>
          <t>56430</t>
        </is>
      </c>
      <c r="F79" s="52" t="inlineStr">
        <is>
          <t>Littoral Engineering Branch</t>
        </is>
      </c>
      <c r="G79" s="61" t="inlineStr">
        <is>
          <t>Cheryl Ann Cooke</t>
        </is>
      </c>
      <c r="H79" s="52" t="inlineStr">
        <is>
          <t>ESTCP project point of contact; not verified as branch head</t>
        </is>
      </c>
      <c r="I79" s="52" t="inlineStr">
        <is>
          <t>Dated / revalidate</t>
        </is>
      </c>
      <c r="J79" s="52" t="inlineStr">
        <is>
          <t>2023-05</t>
        </is>
      </c>
      <c r="K79" s="52" t="inlineStr">
        <is>
          <t>Low AA adjacency</t>
        </is>
      </c>
      <c r="L79" s="52" t="inlineStr">
        <is>
          <t>Deep-code validation; no direct AA role.</t>
        </is>
      </c>
      <c r="M79" s="52" t="inlineStr">
        <is>
          <t>Project POC only; do not infer branch leadership.</t>
        </is>
      </c>
      <c r="N79" s="64" t="str"/>
      <c r="O79" s="64" t="str"/>
      <c r="P79" s="52" t="inlineStr">
        <is>
          <t>A for code; B for currentness</t>
        </is>
      </c>
      <c r="Q79" s="67" t="inlineStr">
        <is>
          <t>https://s3.us-gov-west-1.amazonaws.com/sepub-demo-0001-124733793621-us-gov-west-1/s3fs-public/2023-05%2FRC-201704%20Final%20Report.pdf</t>
        </is>
      </c>
      <c r="R79" s="67" t="str"/>
      <c r="S79" s="52" t="inlineStr">
        <is>
          <t>2023-05</t>
        </is>
      </c>
      <c r="T79" s="52" t="inlineStr">
        <is>
          <t>Status detail: Dated role.</t>
        </is>
      </c>
    </row>
    <row r="80" ht="49" customHeight="1">
      <c r="A80" s="55" t="n">
        <v>73</v>
      </c>
      <c r="B80" s="52" t="inlineStr">
        <is>
          <t>NIWC PAC deep-code map</t>
        </is>
      </c>
      <c r="C80" s="52" t="inlineStr">
        <is>
          <t>Code 56 &gt; Reconnaissance &amp; Interdiction Division</t>
        </is>
      </c>
      <c r="D80" s="52" t="inlineStr">
        <is>
          <t>Division</t>
        </is>
      </c>
      <c r="E80" s="58" t="inlineStr">
        <is>
          <t>56700</t>
        </is>
      </c>
      <c r="F80" s="52" t="inlineStr">
        <is>
          <t>Reconnaissance &amp; Interdiction Division</t>
        </is>
      </c>
      <c r="G80" s="61" t="inlineStr">
        <is>
          <t>Mark Xitco</t>
        </is>
      </c>
      <c r="H80" s="52" t="inlineStr">
        <is>
          <t>Division Head</t>
        </is>
      </c>
      <c r="I80" s="52" t="inlineStr">
        <is>
          <t>Dated / revalidate</t>
        </is>
      </c>
      <c r="J80" s="52" t="inlineStr">
        <is>
          <t>2023-09</t>
        </is>
      </c>
      <c r="K80" s="52" t="inlineStr">
        <is>
          <t>None / remote adjacency</t>
        </is>
      </c>
      <c r="L80" s="52" t="inlineStr">
        <is>
          <t>Deep-code validation; no material AA role identified.</t>
        </is>
      </c>
      <c r="M80" s="52" t="inlineStr">
        <is>
          <t>Not an AA engagement target.</t>
        </is>
      </c>
      <c r="N80" s="64" t="str"/>
      <c r="O80" s="64" t="str"/>
      <c r="P80" s="52" t="inlineStr">
        <is>
          <t>A / High dated</t>
        </is>
      </c>
      <c r="Q80" s="67" t="inlineStr">
        <is>
          <t>https://www.navymarinespeciesmonitoring.us/index.php/download_file/view/3083/</t>
        </is>
      </c>
      <c r="R80" s="67" t="str"/>
      <c r="S80" s="52" t="inlineStr">
        <is>
          <t>2023-09</t>
        </is>
      </c>
      <c r="T80" s="52" t="inlineStr">
        <is>
          <t>Status detail: Dated role; revalidate.</t>
        </is>
      </c>
    </row>
    <row r="81" ht="49" customHeight="1">
      <c r="A81" s="55" t="n">
        <v>74</v>
      </c>
      <c r="B81" s="52" t="inlineStr">
        <is>
          <t>NIWC PAC deep-code map</t>
        </is>
      </c>
      <c r="C81" s="52" t="inlineStr">
        <is>
          <t>Code 56 &gt; 56700 &gt; Environmental Readiness</t>
        </is>
      </c>
      <c r="D81" s="52" t="inlineStr">
        <is>
          <t>Branch</t>
        </is>
      </c>
      <c r="E81" s="58" t="inlineStr">
        <is>
          <t>56720</t>
        </is>
      </c>
      <c r="F81" s="52" t="inlineStr">
        <is>
          <t>Environmental Readiness Branch</t>
        </is>
      </c>
      <c r="G81" s="61" t="inlineStr">
        <is>
          <t>Public gap — branch head not identified</t>
        </is>
      </c>
      <c r="H81" s="52" t="inlineStr">
        <is>
          <t>Branch Head</t>
        </is>
      </c>
      <c r="I81" s="52" t="inlineStr">
        <is>
          <t>Public gap</t>
        </is>
      </c>
      <c r="J81" s="52" t="inlineStr">
        <is>
          <t>2023-09</t>
        </is>
      </c>
      <c r="K81" s="52" t="inlineStr">
        <is>
          <t>None</t>
        </is>
      </c>
      <c r="L81" s="52" t="inlineStr">
        <is>
          <t>Deep-code validation only.</t>
        </is>
      </c>
      <c r="M81" s="52" t="inlineStr">
        <is>
          <t>No AA relevance established.</t>
        </is>
      </c>
      <c r="N81" s="64" t="str"/>
      <c r="O81" s="64" t="str"/>
      <c r="P81" s="52" t="inlineStr">
        <is>
          <t>A / High for code</t>
        </is>
      </c>
      <c r="Q81" s="67" t="inlineStr">
        <is>
          <t>https://www.navymarinespeciesmonitoring.us/index.php/download_file/view/3083/</t>
        </is>
      </c>
      <c r="R81" s="67" t="str"/>
      <c r="S81" s="52" t="inlineStr">
        <is>
          <t>2023-09</t>
        </is>
      </c>
      <c r="T81" s="52" t="inlineStr">
        <is>
          <t>Status detail: Dated structure / incumbent unresolved.</t>
        </is>
      </c>
    </row>
    <row r="82" ht="49" customHeight="1">
      <c r="A82" s="55" t="n">
        <v>75</v>
      </c>
      <c r="B82" s="52" t="inlineStr">
        <is>
          <t>NIWC PAC deep-code map</t>
        </is>
      </c>
      <c r="C82" s="52" t="inlineStr">
        <is>
          <t>NIWC Pacific &gt; Cyber / Science &amp; Technology</t>
        </is>
      </c>
      <c r="D82" s="52" t="inlineStr">
        <is>
          <t>Department</t>
        </is>
      </c>
      <c r="E82" s="58" t="inlineStr">
        <is>
          <t>70</t>
        </is>
      </c>
      <c r="F82" s="52" t="inlineStr">
        <is>
          <t>Cyber/S&amp;T Department</t>
        </is>
      </c>
      <c r="G82" s="61" t="inlineStr">
        <is>
          <t>Carly Jackson</t>
        </is>
      </c>
      <c r="H82" s="52" t="inlineStr">
        <is>
          <t>Cyber/S&amp;T Department Head; dual-hatted NAVWAR CTO (self-reported current)</t>
        </is>
      </c>
      <c r="I82" s="52" t="inlineStr">
        <is>
          <t>Dated / revalidate</t>
        </is>
      </c>
      <c r="J82" s="52" t="inlineStr">
        <is>
          <t>2026</t>
        </is>
      </c>
      <c r="K82" s="52" t="inlineStr">
        <is>
          <t>Cyber/technical governance</t>
        </is>
      </c>
      <c r="L82" s="52" t="inlineStr">
        <is>
          <t>Cyber, software assurance, and S&amp;T influence the security context for AA and OSA.</t>
        </is>
      </c>
      <c r="M82" s="52" t="inlineStr">
        <is>
          <t>Technical leader; not an RFP channel.</t>
        </is>
      </c>
      <c r="N82" s="64" t="str"/>
      <c r="O82" s="64" t="str"/>
      <c r="P82" s="52" t="inlineStr">
        <is>
          <t>B / Medium</t>
        </is>
      </c>
      <c r="Q82" s="67" t="inlineStr">
        <is>
          <t>https://www.linkedin.com/in/carly-jackson-8074804</t>
        </is>
      </c>
      <c r="R82" s="67" t="inlineStr">
        <is>
          <t>https://www.linkedin.com/posts/navwar_niwcpacific-oceans2021-navwar-activity-6849489810462187520-a5NZ</t>
        </is>
      </c>
      <c r="S82" s="52" t="inlineStr">
        <is>
          <t>Current profile / older official corroboration</t>
        </is>
      </c>
      <c r="T82" s="52" t="inlineStr">
        <is>
          <t>Status detail: Current-likely; revalidate.</t>
        </is>
      </c>
    </row>
    <row r="83" ht="49" customHeight="1">
      <c r="A83" s="55" t="n">
        <v>76</v>
      </c>
      <c r="B83" s="52" t="inlineStr">
        <is>
          <t>NIWC PAC deep-code map</t>
        </is>
      </c>
      <c r="C83" s="52" t="inlineStr">
        <is>
          <t>NIWC Pacific &gt; Cyber / Science &amp; Technology</t>
        </is>
      </c>
      <c r="D83" s="52" t="inlineStr">
        <is>
          <t>Deputy department leadership</t>
        </is>
      </c>
      <c r="E83" s="58" t="inlineStr">
        <is>
          <t>70</t>
        </is>
      </c>
      <c r="F83" s="52" t="inlineStr">
        <is>
          <t>Cyber/S&amp;T Department</t>
        </is>
      </c>
      <c r="G83" s="61" t="inlineStr">
        <is>
          <t>Mark Berry</t>
        </is>
      </c>
      <c r="H83" s="52" t="inlineStr">
        <is>
          <t>Deputy Department Head, Cyber Science and Technology Department</t>
        </is>
      </c>
      <c r="I83" s="52" t="inlineStr">
        <is>
          <t>Dated / revalidate</t>
        </is>
      </c>
      <c r="J83" s="52" t="inlineStr">
        <is>
          <t>2026-09</t>
        </is>
      </c>
      <c r="K83" s="52" t="inlineStr">
        <is>
          <t>Cyber/technical governance</t>
        </is>
      </c>
      <c r="L83" s="52" t="inlineStr">
        <is>
          <t>Cyber S&amp;T and assurance adjacency; no direct AA ownership public.</t>
        </is>
      </c>
      <c r="M83" s="52" t="inlineStr">
        <is>
          <t>Technical influencer; not an RFP channel.</t>
        </is>
      </c>
      <c r="N83" s="64" t="str"/>
      <c r="O83" s="64" t="str"/>
      <c r="P83" s="52" t="inlineStr">
        <is>
          <t>B / Medium</t>
        </is>
      </c>
      <c r="Q83" s="67" t="inlineStr">
        <is>
          <t>https://www.linkedin.com/in/mark-berry-59603112</t>
        </is>
      </c>
      <c r="R83" s="67" t="str"/>
      <c r="S83" s="52" t="inlineStr">
        <is>
          <t>Profile accessed 2026-09</t>
        </is>
      </c>
      <c r="T83" s="52" t="inlineStr">
        <is>
          <t>Status detail: Current-likely; self-reported.</t>
        </is>
      </c>
    </row>
    <row r="84" ht="49" customHeight="1">
      <c r="A84" s="55" t="n">
        <v>77</v>
      </c>
      <c r="B84" s="52" t="inlineStr">
        <is>
          <t>NIWC PAC deep-code map</t>
        </is>
      </c>
      <c r="C84" s="52" t="inlineStr">
        <is>
          <t>Code 70 &gt; Basic &amp; Applied Research Division</t>
        </is>
      </c>
      <c r="D84" s="52" t="inlineStr">
        <is>
          <t>Division</t>
        </is>
      </c>
      <c r="E84" s="58" t="inlineStr">
        <is>
          <t>71700</t>
        </is>
      </c>
      <c r="F84" s="52" t="inlineStr">
        <is>
          <t>Basic &amp; Applied Research Division</t>
        </is>
      </c>
      <c r="G84" s="61" t="inlineStr">
        <is>
          <t>John deGrassie</t>
        </is>
      </c>
      <c r="H84" s="52" t="inlineStr">
        <is>
          <t>Historical Division Head</t>
        </is>
      </c>
      <c r="I84" s="52" t="inlineStr">
        <is>
          <t>Historical</t>
        </is>
      </c>
      <c r="J84" s="52" t="inlineStr">
        <is>
          <t>circa 2022</t>
        </is>
      </c>
      <c r="K84" s="52" t="inlineStr">
        <is>
          <t>Low AA adjacency</t>
        </is>
      </c>
      <c r="L84" s="52" t="inlineStr">
        <is>
          <t>Deep-code lineage; no direct AA role.</t>
        </is>
      </c>
      <c r="M84" s="52" t="inlineStr">
        <is>
          <t>Historical only.</t>
        </is>
      </c>
      <c r="N84" s="64" t="str"/>
      <c r="O84" s="64" t="str"/>
      <c r="P84" s="52" t="inlineStr">
        <is>
          <t>A / High historical</t>
        </is>
      </c>
      <c r="Q84" s="67" t="inlineStr">
        <is>
          <t>https://www.researchgate.net/publication/397844112_Biological_Brain_Microtubules_Interfaced_with_Semiconductor_Qubits</t>
        </is>
      </c>
      <c r="R84" s="67" t="str"/>
      <c r="S84" s="52" t="inlineStr">
        <is>
          <t>circa 2022</t>
        </is>
      </c>
      <c r="T84" s="52" t="str"/>
    </row>
    <row r="85" ht="49" customHeight="1">
      <c r="A85" s="55" t="n">
        <v>78</v>
      </c>
      <c r="B85" s="52" t="inlineStr">
        <is>
          <t>NIWC PAC deep-code map</t>
        </is>
      </c>
      <c r="C85" s="52" t="inlineStr">
        <is>
          <t>Code 70 &gt; 717 &gt; Unmanned Systems S&amp;T</t>
        </is>
      </c>
      <c r="D85" s="52" t="inlineStr">
        <is>
          <t>Branch</t>
        </is>
      </c>
      <c r="E85" s="58" t="inlineStr">
        <is>
          <t>71710</t>
        </is>
      </c>
      <c r="F85" s="52" t="inlineStr">
        <is>
          <t>Unmanned Systems Science &amp; Technology Branch</t>
        </is>
      </c>
      <c r="G85" s="61" t="inlineStr">
        <is>
          <t>Public gap — branch head not identified</t>
        </is>
      </c>
      <c r="H85" s="52" t="inlineStr">
        <is>
          <t>Branch Head</t>
        </is>
      </c>
      <c r="I85" s="52" t="inlineStr">
        <is>
          <t>Historical</t>
        </is>
      </c>
      <c r="J85" s="52" t="inlineStr">
        <is>
          <t>2017-12</t>
        </is>
      </c>
      <c r="K85" s="52" t="inlineStr">
        <is>
          <t>Low AA adjacency</t>
        </is>
      </c>
      <c r="L85" s="52" t="inlineStr">
        <is>
          <t>Possible software-delivery consumer; no direct AA ownership.</t>
        </is>
      </c>
      <c r="M85" s="52" t="inlineStr">
        <is>
          <t>Do not present as current without refreshed evidence.</t>
        </is>
      </c>
      <c r="N85" s="64" t="str"/>
      <c r="O85" s="64" t="str"/>
      <c r="P85" s="52" t="inlineStr">
        <is>
          <t>A / High historical</t>
        </is>
      </c>
      <c r="Q85" s="67" t="inlineStr">
        <is>
          <t>https://www.academia.edu/98691186/Implementation_and_Testing_of_the_JANUS_Standard_with_SSC_Pacifics_Software_Defined_Acoustic_Modem</t>
        </is>
      </c>
      <c r="R85" s="67" t="str"/>
      <c r="S85" s="52" t="inlineStr">
        <is>
          <t>2017-12</t>
        </is>
      </c>
      <c r="T85" s="52" t="inlineStr">
        <is>
          <t>Status detail: Historical structure / currentness unresolved.</t>
        </is>
      </c>
    </row>
    <row r="86" ht="49" customHeight="1">
      <c r="A86" s="55" t="n">
        <v>79</v>
      </c>
      <c r="B86" s="52" t="inlineStr">
        <is>
          <t>NIWC PAC deep-code map</t>
        </is>
      </c>
      <c r="C86" s="52" t="inlineStr">
        <is>
          <t>Code 70 &gt; 717 &gt; Advanced Concepts &amp; Applied Research</t>
        </is>
      </c>
      <c r="D86" s="52" t="inlineStr">
        <is>
          <t>Branch</t>
        </is>
      </c>
      <c r="E86" s="58" t="inlineStr">
        <is>
          <t>71730</t>
        </is>
      </c>
      <c r="F86" s="52" t="inlineStr">
        <is>
          <t>Advanced Concepts &amp; Applied Research Branch</t>
        </is>
      </c>
      <c r="G86" s="61" t="inlineStr">
        <is>
          <t>Public gap — branch head not identified</t>
        </is>
      </c>
      <c r="H86" s="52" t="inlineStr">
        <is>
          <t>Branch Head</t>
        </is>
      </c>
      <c r="I86" s="52" t="inlineStr">
        <is>
          <t>Historical</t>
        </is>
      </c>
      <c r="J86" s="52" t="inlineStr">
        <is>
          <t>2017-12</t>
        </is>
      </c>
      <c r="K86" s="52" t="inlineStr">
        <is>
          <t>Innovation / low adjacency</t>
        </is>
      </c>
      <c r="L86" s="52" t="inlineStr">
        <is>
          <t>Potential upstream innovation feeder; no direct AA ownership.</t>
        </is>
      </c>
      <c r="M86" s="52" t="inlineStr">
        <is>
          <t>Do not present as current without refreshed evidence.</t>
        </is>
      </c>
      <c r="N86" s="64" t="str"/>
      <c r="O86" s="64" t="str"/>
      <c r="P86" s="52" t="inlineStr">
        <is>
          <t>A / High historical</t>
        </is>
      </c>
      <c r="Q86" s="67" t="inlineStr">
        <is>
          <t>https://www.academia.edu/98691186/Implementation_and_Testing_of_the_JANUS_Standard_with_SSC_Pacifics_Software_Defined_Acoustic_Modem</t>
        </is>
      </c>
      <c r="R86" s="67" t="str"/>
      <c r="S86" s="52" t="inlineStr">
        <is>
          <t>2017-12</t>
        </is>
      </c>
      <c r="T86" s="52" t="inlineStr">
        <is>
          <t>Status detail: Historical structure / currentness unresolved.</t>
        </is>
      </c>
    </row>
    <row r="87" ht="49" customHeight="1">
      <c r="A87" s="55" t="n">
        <v>80</v>
      </c>
      <c r="B87" s="52" t="inlineStr">
        <is>
          <t>NIWC PAC deep-code map</t>
        </is>
      </c>
      <c r="C87" s="52" t="inlineStr">
        <is>
          <t>Code 70 &gt; 717 &gt; Environmental Sciences &amp; Applied Systems</t>
        </is>
      </c>
      <c r="D87" s="52" t="inlineStr">
        <is>
          <t>Historical branch</t>
        </is>
      </c>
      <c r="E87" s="58" t="inlineStr">
        <is>
          <t>71751</t>
        </is>
      </c>
      <c r="F87" s="52" t="inlineStr">
        <is>
          <t>Environmental Sciences and Applied Systems</t>
        </is>
      </c>
      <c r="G87" s="61" t="inlineStr">
        <is>
          <t>Gunther Rosen</t>
        </is>
      </c>
      <c r="H87" s="52" t="inlineStr">
        <is>
          <t>Historical SSC Pacific technology representative</t>
        </is>
      </c>
      <c r="I87" s="52" t="inlineStr">
        <is>
          <t>Historical</t>
        </is>
      </c>
      <c r="J87" s="52" t="inlineStr">
        <is>
          <t>2012-05-16</t>
        </is>
      </c>
      <c r="K87" s="52" t="inlineStr">
        <is>
          <t>None / remote adjacency</t>
        </is>
      </c>
      <c r="L87" s="52" t="inlineStr">
        <is>
          <t>Deep-code and historical POC completeness; no material AA role.</t>
        </is>
      </c>
      <c r="M87" s="52" t="inlineStr">
        <is>
          <t>Historical only; do not treat the dated email as a current engagement channel.</t>
        </is>
      </c>
      <c r="N87" s="64" t="inlineStr">
        <is>
          <t>gunther.rosen@navy.mil</t>
        </is>
      </c>
      <c r="O87" s="64" t="str"/>
      <c r="P87" s="52" t="inlineStr">
        <is>
          <t>A / High historical</t>
        </is>
      </c>
      <c r="Q87" s="67" t="inlineStr">
        <is>
          <t>https://nepis.epa.gov/Exe/ZyPURL.cgi?Dockey=P100FBJ8.TXT</t>
        </is>
      </c>
      <c r="R87" s="67" t="str"/>
      <c r="S87" s="52" t="inlineStr">
        <is>
          <t>2012-05-16</t>
        </is>
      </c>
      <c r="T87" s="52" t="str"/>
    </row>
    <row r="88" ht="49" customHeight="1">
      <c r="A88" s="55" t="n">
        <v>81</v>
      </c>
      <c r="B88" s="52" t="inlineStr">
        <is>
          <t>NIWC PAC deep-code map</t>
        </is>
      </c>
      <c r="C88" s="52" t="inlineStr">
        <is>
          <t>Cyber/S&amp;T &gt; Cryogenic Electronics &amp; Quantum Research</t>
        </is>
      </c>
      <c r="D88" s="52" t="inlineStr">
        <is>
          <t>Branch</t>
        </is>
      </c>
      <c r="E88" s="58" t="inlineStr">
        <is>
          <t>Code unresolved</t>
        </is>
      </c>
      <c r="F88" s="52" t="inlineStr">
        <is>
          <t>Cryogenic Electronics and Quantum Research Branch</t>
        </is>
      </c>
      <c r="G88" s="61" t="inlineStr">
        <is>
          <t>Joanna Ptasinski</t>
        </is>
      </c>
      <c r="H88" s="52" t="inlineStr">
        <is>
          <t>Branch Head</t>
        </is>
      </c>
      <c r="I88" s="52" t="inlineStr">
        <is>
          <t>Dated / revalidate</t>
        </is>
      </c>
      <c r="J88" s="52" t="inlineStr">
        <is>
          <t>2025-11-17</t>
        </is>
      </c>
      <c r="K88" s="52" t="inlineStr">
        <is>
          <t>None / remote adjacency</t>
        </is>
      </c>
      <c r="L88" s="52" t="inlineStr">
        <is>
          <t>Current named branch leader without a discoverable numeric code; included to preserve org-depth accuracy.</t>
        </is>
      </c>
      <c r="M88" s="52" t="inlineStr">
        <is>
          <t>No AA relevance established.</t>
        </is>
      </c>
      <c r="N88" s="64" t="str"/>
      <c r="O88" s="64" t="str"/>
      <c r="P88" s="52" t="inlineStr">
        <is>
          <t>A for role; gap for code</t>
        </is>
      </c>
      <c r="Q88" s="67" t="inlineStr">
        <is>
          <t>https://www.niwcpacific.navy.mil/Media/Press-Releases/Article/4333885/niwc-pacific-advances-work-on-quantum-enhanced-fiber-optic-gyroscopes/</t>
        </is>
      </c>
      <c r="R88" s="67" t="str"/>
      <c r="S88" s="52" t="inlineStr">
        <is>
          <t>2025-11-17</t>
        </is>
      </c>
      <c r="T88" s="52" t="inlineStr">
        <is>
          <t>Status detail: Current-recent.</t>
        </is>
      </c>
    </row>
    <row r="89" ht="49" customHeight="1">
      <c r="A89" s="55" t="n">
        <v>82</v>
      </c>
      <c r="B89" s="52" t="inlineStr">
        <is>
          <t>NIWC PAC deep-code map</t>
        </is>
      </c>
      <c r="C89" s="52" t="inlineStr">
        <is>
          <t>NIWC Pacific &gt; Cyber/S&amp;T &gt; Joint Tactical Communications</t>
        </is>
      </c>
      <c r="D89" s="52" t="inlineStr">
        <is>
          <t>Branch</t>
        </is>
      </c>
      <c r="E89" s="58" t="inlineStr">
        <is>
          <t>70 lineage; numeric child not public</t>
        </is>
      </c>
      <c r="F89" s="52" t="inlineStr">
        <is>
          <t>Joint Tactical Communications Branch</t>
        </is>
      </c>
      <c r="G89" s="61" t="inlineStr">
        <is>
          <t>Mike Anderson</t>
        </is>
      </c>
      <c r="H89" s="52" t="inlineStr">
        <is>
          <t>Branch Head</t>
        </is>
      </c>
      <c r="I89" s="52" t="inlineStr">
        <is>
          <t>Dated / revalidate</t>
        </is>
      </c>
      <c r="J89" s="52" t="inlineStr">
        <is>
          <t>2025-09-10</t>
        </is>
      </c>
      <c r="K89" s="52" t="inlineStr">
        <is>
          <t>Tactical communications adjacency</t>
        </is>
      </c>
      <c r="L89" s="52" t="inlineStr">
        <is>
          <t>Secure/open-source tactical 5G and network-defense work may affect future AA transport environments.</t>
        </is>
      </c>
      <c r="M89" s="52" t="inlineStr">
        <is>
          <t>Technical branch lead; not an AA RFP contact.</t>
        </is>
      </c>
      <c r="N89" s="64" t="str"/>
      <c r="O89" s="64" t="str"/>
      <c r="P89" s="52" t="inlineStr">
        <is>
          <t>A / High</t>
        </is>
      </c>
      <c r="Q89" s="67" t="inlineStr">
        <is>
          <t>https://www.dvidshub.net/news/547732/operation-shoehorn-securing-5g-for-tactical-advantage</t>
        </is>
      </c>
      <c r="R89" s="67" t="str"/>
      <c r="S89" s="52" t="inlineStr">
        <is>
          <t>2025-09-10</t>
        </is>
      </c>
      <c r="T89" s="52" t="inlineStr">
        <is>
          <t>Status detail: Current-recent.</t>
        </is>
      </c>
    </row>
    <row r="90" ht="49" customHeight="1">
      <c r="A90" s="55" t="n">
        <v>83</v>
      </c>
      <c r="B90" s="52" t="inlineStr">
        <is>
          <t>NIWC PAC deep-code map</t>
        </is>
      </c>
      <c r="C90" s="52" t="inlineStr">
        <is>
          <t>NIWC Pacific &gt; ISR</t>
        </is>
      </c>
      <c r="D90" s="52" t="inlineStr">
        <is>
          <t>Branch</t>
        </is>
      </c>
      <c r="E90" s="58" t="inlineStr">
        <is>
          <t>Numeric child not public</t>
        </is>
      </c>
      <c r="F90" s="52" t="inlineStr">
        <is>
          <t>ISR Department branch</t>
        </is>
      </c>
      <c r="G90" s="61" t="inlineStr">
        <is>
          <t>Anson Brune</t>
        </is>
      </c>
      <c r="H90" s="52" t="inlineStr">
        <is>
          <t>Mechanical Engineer and Branch Head, ISR Department</t>
        </is>
      </c>
      <c r="I90" s="52" t="inlineStr">
        <is>
          <t>Dated / revalidate</t>
        </is>
      </c>
      <c r="J90" s="52" t="inlineStr">
        <is>
          <t>2025</t>
        </is>
      </c>
      <c r="K90" s="52" t="inlineStr">
        <is>
          <t>Low AA adjacency</t>
        </is>
      </c>
      <c r="L90" s="52" t="inlineStr">
        <is>
          <t>Named current branch-level Government node; no AA-specific role public.</t>
        </is>
      </c>
      <c r="M90" s="52" t="inlineStr">
        <is>
          <t>Technical context only.</t>
        </is>
      </c>
      <c r="N90" s="64" t="str"/>
      <c r="O90" s="64" t="str"/>
      <c r="P90" s="52" t="inlineStr">
        <is>
          <t>B / Medium-high</t>
        </is>
      </c>
      <c r="Q90" s="67" t="inlineStr">
        <is>
          <t>https://www.dvidshub.net/podcast/618/next-level-podcast</t>
        </is>
      </c>
      <c r="R90" s="67" t="str"/>
      <c r="S90" s="52" t="inlineStr">
        <is>
          <t>2025 podcast listing</t>
        </is>
      </c>
      <c r="T90" s="52" t="inlineStr">
        <is>
          <t>Status detail: Current-recent.</t>
        </is>
      </c>
    </row>
    <row r="91" ht="49" customHeight="1">
      <c r="A91" s="55" t="n">
        <v>84</v>
      </c>
      <c r="B91" s="52" t="inlineStr">
        <is>
          <t>NIWC PAC deep-code map</t>
        </is>
      </c>
      <c r="C91" s="52" t="inlineStr">
        <is>
          <t>NIWC Pacific &gt; Corporate Operations</t>
        </is>
      </c>
      <c r="D91" s="52" t="inlineStr">
        <is>
          <t>Department</t>
        </is>
      </c>
      <c r="E91" s="58" t="inlineStr">
        <is>
          <t>80 / 80000</t>
        </is>
      </c>
      <c r="F91" s="52" t="inlineStr">
        <is>
          <t>Corporate Operations Department</t>
        </is>
      </c>
      <c r="G91" s="61" t="inlineStr">
        <is>
          <t>Public gap — current department head not identified</t>
        </is>
      </c>
      <c r="H91" s="52" t="inlineStr">
        <is>
          <t>Corporate Operations Department Head</t>
        </is>
      </c>
      <c r="I91" s="52" t="inlineStr">
        <is>
          <t>Public gap</t>
        </is>
      </c>
      <c r="J91" s="52" t="inlineStr">
        <is>
          <t>2026-09-02</t>
        </is>
      </c>
      <c r="K91" s="52" t="inlineStr">
        <is>
          <t>Administrative / indirect</t>
        </is>
      </c>
      <c r="L91" s="52" t="inlineStr">
        <is>
          <t>Center business operations; no direct AA technical ownership.</t>
        </is>
      </c>
      <c r="M91" s="52" t="inlineStr">
        <is>
          <t>Not an AA engagement target.</t>
        </is>
      </c>
      <c r="N91" s="64" t="str"/>
      <c r="O91" s="64" t="str"/>
      <c r="P91" s="52" t="inlineStr">
        <is>
          <t>A / High for unit</t>
        </is>
      </c>
      <c r="Q91" s="67" t="inlineStr">
        <is>
          <t>https://www.ndia-sd.org/wp-content/uploads/2026/05/NDIA-7-May-2026-Combined-video-embedded.pdf</t>
        </is>
      </c>
      <c r="R91" s="67" t="str"/>
      <c r="S91" s="52" t="inlineStr">
        <is>
          <t>2026-05-07</t>
        </is>
      </c>
      <c r="T91" s="52" t="inlineStr">
        <is>
          <t>Status detail: Current function / incumbent unresolved.</t>
        </is>
      </c>
    </row>
    <row r="92" ht="49" customHeight="1">
      <c r="A92" s="55" t="n">
        <v>85</v>
      </c>
      <c r="B92" s="52" t="inlineStr">
        <is>
          <t>NIWC PAC deep-code map</t>
        </is>
      </c>
      <c r="C92" s="52" t="inlineStr">
        <is>
          <t>Corporate Operations &gt; Information Technology Management</t>
        </is>
      </c>
      <c r="D92" s="52" t="inlineStr">
        <is>
          <t>Function</t>
        </is>
      </c>
      <c r="E92" s="58" t="inlineStr">
        <is>
          <t>8.2</t>
        </is>
      </c>
      <c r="F92" s="52" t="inlineStr">
        <is>
          <t>Information Technology Management</t>
        </is>
      </c>
      <c r="G92" s="61" t="inlineStr">
        <is>
          <t>Public gap — functional lead not identified</t>
        </is>
      </c>
      <c r="H92" s="52" t="inlineStr">
        <is>
          <t>IT Management lead</t>
        </is>
      </c>
      <c r="I92" s="52" t="inlineStr">
        <is>
          <t>Forecast / dated</t>
        </is>
      </c>
      <c r="J92" s="52" t="inlineStr">
        <is>
          <t>2023 metadata</t>
        </is>
      </c>
      <c r="K92" s="52" t="inlineStr">
        <is>
          <t>Enterprise IT / indirect</t>
        </is>
      </c>
      <c r="L92" s="52" t="inlineStr">
        <is>
          <t>Center IT services context; not AA program ownership.</t>
        </is>
      </c>
      <c r="M92" s="52" t="inlineStr">
        <is>
          <t>Forecast structure only.</t>
        </is>
      </c>
      <c r="N92" s="64" t="str"/>
      <c r="O92" s="64" t="str"/>
      <c r="P92" s="52" t="inlineStr">
        <is>
          <t>A for code; gap for person</t>
        </is>
      </c>
      <c r="Q92" s="67" t="inlineStr">
        <is>
          <t>https://www.navwar.navy.mil/Portals/93/Images/Documents/NAVWAR_LRAE_Report.xlsx?ver=3bKfCbGtYWA36Jvgb1i6Qw%3D%3D</t>
        </is>
      </c>
      <c r="R92" s="67" t="str"/>
      <c r="S92" s="52" t="inlineStr">
        <is>
          <t>Workbook metadata dated 2023</t>
        </is>
      </c>
      <c r="T92" s="52" t="inlineStr">
        <is>
          <t>Status detail: Dated forecast function / incumbent unresolved.</t>
        </is>
      </c>
    </row>
    <row r="93" ht="49" customHeight="1">
      <c r="A93" s="55" t="n">
        <v>86</v>
      </c>
      <c r="B93" s="52" t="inlineStr">
        <is>
          <t>NIWC PAC deep-code map</t>
        </is>
      </c>
      <c r="C93" s="52" t="inlineStr">
        <is>
          <t>NIWC Pacific &gt; Indo-Pacific Department</t>
        </is>
      </c>
      <c r="D93" s="52" t="inlineStr">
        <is>
          <t>Department</t>
        </is>
      </c>
      <c r="E93" s="58" t="inlineStr">
        <is>
          <t>H</t>
        </is>
      </c>
      <c r="F93" s="52" t="inlineStr">
        <is>
          <t>Indo-Pacific Department</t>
        </is>
      </c>
      <c r="G93" s="61" t="inlineStr">
        <is>
          <t>Public gap — current department head not identified</t>
        </is>
      </c>
      <c r="H93" s="52" t="inlineStr">
        <is>
          <t>Indo-Pacific Department Head</t>
        </is>
      </c>
      <c r="I93" s="52" t="inlineStr">
        <is>
          <t>Public gap</t>
        </is>
      </c>
      <c r="J93" s="52" t="inlineStr">
        <is>
          <t>2026-09-02</t>
        </is>
      </c>
      <c r="K93" s="52" t="inlineStr">
        <is>
          <t>Fleet/geographic interface</t>
        </is>
      </c>
      <c r="L93" s="52" t="inlineStr">
        <is>
          <t>Forward engineering, installation, testing, and operations support in Hawaii, Japan, and Guam; material deployment geography for AA.</t>
        </is>
      </c>
      <c r="M93" s="52" t="inlineStr">
        <is>
          <t>Not an RFP channel.</t>
        </is>
      </c>
      <c r="N93" s="64" t="str"/>
      <c r="O93" s="64" t="str"/>
      <c r="P93" s="52" t="inlineStr">
        <is>
          <t>A / High for unit</t>
        </is>
      </c>
      <c r="Q93" s="67" t="inlineStr">
        <is>
          <t>https://www.niwcpacific.navy.mil/About/Departments/Indo-Pacific/</t>
        </is>
      </c>
      <c r="R93" s="67" t="inlineStr">
        <is>
          <t>https://www.niwcpacific.navy.mil/About/Business-Portfolios/</t>
        </is>
      </c>
      <c r="S93" s="52" t="inlineStr">
        <is>
          <t>Accessed 2026-09-02</t>
        </is>
      </c>
      <c r="T93" s="52" t="inlineStr">
        <is>
          <t>Status detail: Current function / incumbent unresolved.</t>
        </is>
      </c>
    </row>
    <row r="94" ht="49" customHeight="1">
      <c r="A94" s="55" t="n">
        <v>87</v>
      </c>
      <c r="B94" s="52" t="inlineStr">
        <is>
          <t>NIWC PAC deep-code map</t>
        </is>
      </c>
      <c r="C94" s="52" t="inlineStr">
        <is>
          <t>Indo-Pacific Department &gt; C2 and Networks Division</t>
        </is>
      </c>
      <c r="D94" s="52" t="inlineStr">
        <is>
          <t>Division</t>
        </is>
      </c>
      <c r="E94" s="58" t="inlineStr">
        <is>
          <t>Not public</t>
        </is>
      </c>
      <c r="F94" s="52" t="inlineStr">
        <is>
          <t>C2 and Networks Division</t>
        </is>
      </c>
      <c r="G94" s="61" t="inlineStr">
        <is>
          <t>Eric Inouye</t>
        </is>
      </c>
      <c r="H94" s="52" t="inlineStr">
        <is>
          <t>Division Head</t>
        </is>
      </c>
      <c r="I94" s="52" t="inlineStr">
        <is>
          <t>Dated / revalidate</t>
        </is>
      </c>
      <c r="J94" s="52" t="inlineStr">
        <is>
          <t>2023-05</t>
        </is>
      </c>
      <c r="K94" s="52" t="inlineStr">
        <is>
          <t>Fleet/geographic interface</t>
        </is>
      </c>
      <c r="L94" s="52" t="inlineStr">
        <is>
          <t>Forward C2/network engineering and operations are relevant to OCONUS AA deployment environments.</t>
        </is>
      </c>
      <c r="M94" s="52" t="inlineStr">
        <is>
          <t>No current AA authority inferred.</t>
        </is>
      </c>
      <c r="N94" s="64" t="str"/>
      <c r="O94" s="64" t="str"/>
      <c r="P94" s="52" t="inlineStr">
        <is>
          <t>A / High dated</t>
        </is>
      </c>
      <c r="Q94" s="67" t="inlineStr">
        <is>
          <t>https://www.niwcpacific.navy.mil/Media/Press-Releases/Article-Display/Article/3403227/niwc-atlantic-and-niwc-pacific-collaborate-with-university-of-hawaii-to-create/</t>
        </is>
      </c>
      <c r="R94" s="67" t="str"/>
      <c r="S94" s="52" t="inlineStr">
        <is>
          <t>2023-05</t>
        </is>
      </c>
      <c r="T94" s="52" t="inlineStr">
        <is>
          <t>Status detail: Dated role; revalidate.</t>
        </is>
      </c>
    </row>
    <row r="95" ht="49" customHeight="1">
      <c r="A95" s="55" t="n">
        <v>88</v>
      </c>
      <c r="B95" s="52" t="inlineStr">
        <is>
          <t>NIWC PAC deep-code map</t>
        </is>
      </c>
      <c r="C95" s="52" t="inlineStr">
        <is>
          <t>Indo-Pacific Department &gt; Guam Activity</t>
        </is>
      </c>
      <c r="D95" s="52" t="inlineStr">
        <is>
          <t>Detachment / activity</t>
        </is>
      </c>
      <c r="E95" s="58" t="inlineStr">
        <is>
          <t>H lineage</t>
        </is>
      </c>
      <c r="F95" s="52" t="inlineStr">
        <is>
          <t>NIWC Pacific Guam</t>
        </is>
      </c>
      <c r="G95" s="61" t="inlineStr">
        <is>
          <t>LCDR Ryan Maas</t>
        </is>
      </c>
      <c r="H95" s="52" t="inlineStr">
        <is>
          <t>Officer in Charge as of July 2024</t>
        </is>
      </c>
      <c r="I95" s="52" t="inlineStr">
        <is>
          <t>Dated / revalidate</t>
        </is>
      </c>
      <c r="J95" s="52" t="inlineStr">
        <is>
          <t>2024-07-12</t>
        </is>
      </c>
      <c r="K95" s="52" t="inlineStr">
        <is>
          <t>Fleet/geographic interface</t>
        </is>
      </c>
      <c r="L95" s="52" t="inlineStr">
        <is>
          <t>Forward Guam engineering and operational support; potential OCONUS deployment stakeholder.</t>
        </is>
      </c>
      <c r="M95" s="52" t="inlineStr">
        <is>
          <t>Not an RFP channel.</t>
        </is>
      </c>
      <c r="N95" s="64" t="str"/>
      <c r="O95" s="64" t="str"/>
      <c r="P95" s="52" t="inlineStr">
        <is>
          <t>B / Medium-high dated</t>
        </is>
      </c>
      <c r="Q95" s="67" t="inlineStr">
        <is>
          <t>https://www.dvidshub.net/news/476354/niwc-pacific-conducts-change-charge-guam</t>
        </is>
      </c>
      <c r="R95" s="67" t="str"/>
      <c r="S95" s="52" t="inlineStr">
        <is>
          <t>2024-07-12</t>
        </is>
      </c>
      <c r="T95" s="52" t="inlineStr">
        <is>
          <t>Status detail: Dated role; revalidate. No successor was found, but the 2024 role was not treated as current.</t>
        </is>
      </c>
    </row>
    <row r="96" ht="49" customHeight="1">
      <c r="A96" s="55" t="n">
        <v>89</v>
      </c>
      <c r="B96" s="52" t="inlineStr">
        <is>
          <t>NIWC PAC deep-code map</t>
        </is>
      </c>
      <c r="C96" s="52" t="inlineStr">
        <is>
          <t>NIWC Pacific &gt; International Cooperation Office</t>
        </is>
      </c>
      <c r="D96" s="52" t="inlineStr">
        <is>
          <t>Center office</t>
        </is>
      </c>
      <c r="E96" s="58" t="inlineStr">
        <is>
          <t>72100 (dated)</t>
        </is>
      </c>
      <c r="F96" s="52" t="inlineStr">
        <is>
          <t>International Cooperation Office / Technology Partnership Office</t>
        </is>
      </c>
      <c r="G96" s="61" t="inlineStr">
        <is>
          <t>Paul R. Shigley</t>
        </is>
      </c>
      <c r="H96" s="52" t="inlineStr">
        <is>
          <t>Director, ICO/TPO</t>
        </is>
      </c>
      <c r="I96" s="52" t="inlineStr">
        <is>
          <t>Historical</t>
        </is>
      </c>
      <c r="J96" s="52" t="inlineStr">
        <is>
          <t>2020</t>
        </is>
      </c>
      <c r="K96" s="52" t="inlineStr">
        <is>
          <t>International / none</t>
        </is>
      </c>
      <c r="L96" s="52" t="inlineStr">
        <is>
          <t>International cooperation and technology-partnership context; no direct AA role.</t>
        </is>
      </c>
      <c r="M96" s="52" t="inlineStr">
        <is>
          <t>Historical contact; do not assume current assignment.</t>
        </is>
      </c>
      <c r="N96" s="64" t="inlineStr">
        <is>
          <t>paul.shigley@navy.mil</t>
        </is>
      </c>
      <c r="O96" s="64" t="str"/>
      <c r="P96" s="52" t="inlineStr">
        <is>
          <t>A / High historical</t>
        </is>
      </c>
      <c r="Q96" s="67" t="inlineStr">
        <is>
          <t>https://arcticdomainawarenesscenter.org/Downloads/ICE-PPR/NAVWAR%20ICO%20brief%202020.pdf</t>
        </is>
      </c>
      <c r="R96" s="67" t="str"/>
      <c r="S96" s="52" t="inlineStr">
        <is>
          <t>2020</t>
        </is>
      </c>
      <c r="T96" s="52" t="inlineStr">
        <is>
          <t>Status detail: Historical / dated.</t>
        </is>
      </c>
    </row>
    <row r="97" ht="49" customHeight="1">
      <c r="A97" s="55" t="n">
        <v>90</v>
      </c>
      <c r="B97" s="52" t="inlineStr">
        <is>
          <t>NIWC PAC deep-code map</t>
        </is>
      </c>
      <c r="C97" s="52" t="inlineStr">
        <is>
          <t>NIWC Pacific &gt; International Cooperation Office</t>
        </is>
      </c>
      <c r="D97" s="52" t="inlineStr">
        <is>
          <t>Center office</t>
        </is>
      </c>
      <c r="E97" s="58" t="inlineStr">
        <is>
          <t>72100 (dated)</t>
        </is>
      </c>
      <c r="F97" s="52" t="inlineStr">
        <is>
          <t>International Cooperation Office</t>
        </is>
      </c>
      <c r="G97" s="61" t="inlineStr">
        <is>
          <t>Shirley D. Pacheco</t>
        </is>
      </c>
      <c r="H97" s="52" t="inlineStr">
        <is>
          <t>Deputy Director</t>
        </is>
      </c>
      <c r="I97" s="52" t="inlineStr">
        <is>
          <t>Historical</t>
        </is>
      </c>
      <c r="J97" s="52" t="inlineStr">
        <is>
          <t>2020</t>
        </is>
      </c>
      <c r="K97" s="52" t="inlineStr">
        <is>
          <t>International / none</t>
        </is>
      </c>
      <c r="L97" s="52" t="inlineStr">
        <is>
          <t>International cooperation context; no direct AA role.</t>
        </is>
      </c>
      <c r="M97" s="52" t="inlineStr">
        <is>
          <t>Historical contact; do not assume current assignment.</t>
        </is>
      </c>
      <c r="N97" s="64" t="inlineStr">
        <is>
          <t>shirley.pacheco@navy.mil</t>
        </is>
      </c>
      <c r="O97" s="64" t="str"/>
      <c r="P97" s="52" t="inlineStr">
        <is>
          <t>A / High historical</t>
        </is>
      </c>
      <c r="Q97" s="67" t="inlineStr">
        <is>
          <t>https://arcticdomainawarenesscenter.org/Downloads/ICE-PPR/NAVWAR%20ICO%20brief%202020.pdf</t>
        </is>
      </c>
      <c r="R97" s="67" t="str"/>
      <c r="S97" s="52" t="inlineStr">
        <is>
          <t>2020</t>
        </is>
      </c>
      <c r="T97" s="52" t="inlineStr">
        <is>
          <t>Status detail: Historical / dated.</t>
        </is>
      </c>
    </row>
    <row r="98" ht="49" customHeight="1">
      <c r="A98" s="55" t="n">
        <v>91</v>
      </c>
      <c r="B98" s="52" t="inlineStr">
        <is>
          <t>NIWC PAC deep-code map</t>
        </is>
      </c>
      <c r="C98" s="52" t="inlineStr">
        <is>
          <t>NIWC Pacific &gt; International Cooperation Office</t>
        </is>
      </c>
      <c r="D98" s="52" t="inlineStr">
        <is>
          <t>Center office</t>
        </is>
      </c>
      <c r="E98" s="58" t="inlineStr">
        <is>
          <t>72100 (dated)</t>
        </is>
      </c>
      <c r="F98" s="52" t="inlineStr">
        <is>
          <t>International Cooperation Office</t>
        </is>
      </c>
      <c r="G98" s="61" t="inlineStr">
        <is>
          <t>Michael Morgan</t>
        </is>
      </c>
      <c r="H98" s="52" t="inlineStr">
        <is>
          <t>FCT / STAIRS Program Manager</t>
        </is>
      </c>
      <c r="I98" s="52" t="inlineStr">
        <is>
          <t>Historical</t>
        </is>
      </c>
      <c r="J98" s="52" t="inlineStr">
        <is>
          <t>2020</t>
        </is>
      </c>
      <c r="K98" s="52" t="inlineStr">
        <is>
          <t>International / none</t>
        </is>
      </c>
      <c r="L98" s="52" t="inlineStr">
        <is>
          <t>International technology-program context; no direct AA role.</t>
        </is>
      </c>
      <c r="M98" s="52" t="inlineStr">
        <is>
          <t>Historical contact; do not assume current assignment.</t>
        </is>
      </c>
      <c r="N98" s="64" t="inlineStr">
        <is>
          <t>michael.morgan@navy.mil</t>
        </is>
      </c>
      <c r="O98" s="64" t="str"/>
      <c r="P98" s="52" t="inlineStr">
        <is>
          <t>A / High historical</t>
        </is>
      </c>
      <c r="Q98" s="67" t="inlineStr">
        <is>
          <t>https://arcticdomainawarenesscenter.org/Downloads/ICE-PPR/NAVWAR%20ICO%20brief%202020.pdf</t>
        </is>
      </c>
      <c r="R98" s="67" t="str"/>
      <c r="S98" s="52" t="inlineStr">
        <is>
          <t>2020</t>
        </is>
      </c>
      <c r="T98" s="52" t="inlineStr">
        <is>
          <t>Status detail: Historical / dated.</t>
        </is>
      </c>
    </row>
    <row r="99" ht="49" customHeight="1">
      <c r="A99" s="55" t="n">
        <v>92</v>
      </c>
      <c r="B99" s="52" t="inlineStr">
        <is>
          <t>NIWC PAC acquisition</t>
        </is>
      </c>
      <c r="C99" s="52" t="inlineStr">
        <is>
          <t>NIWC Pacific &gt; Contracts &gt; N66001-26-R-3507</t>
        </is>
      </c>
      <c r="D99" s="52" t="inlineStr">
        <is>
          <t>Solicitation team</t>
        </is>
      </c>
      <c r="E99" s="58" t="str"/>
      <c r="F99" s="52" t="inlineStr">
        <is>
          <t>Application Arsenal RFP</t>
        </is>
      </c>
      <c r="G99" s="61" t="inlineStr">
        <is>
          <t>Corbin C. Walters</t>
        </is>
      </c>
      <c r="H99" s="52" t="inlineStr">
        <is>
          <t>Contract Specialist; primary AA RFP POC</t>
        </is>
      </c>
      <c r="I99" s="52" t="inlineStr">
        <is>
          <t>Current</t>
        </is>
      </c>
      <c r="J99" s="52" t="inlineStr">
        <is>
          <t>2026-08-31</t>
        </is>
      </c>
      <c r="K99" s="52" t="inlineStr">
        <is>
          <t>Direct – procurement</t>
        </is>
      </c>
      <c r="L99" s="52" t="inlineStr">
        <is>
          <t>Primary published procurement channel for the active Application Arsenal competition.</t>
        </is>
      </c>
      <c r="M99" s="52" t="inlineStr">
        <is>
          <t>Authorized primary RFP contact; include SeaPort contract number and follow SAM/PIEE / final Section L.</t>
        </is>
      </c>
      <c r="N99" s="64" t="inlineStr">
        <is>
          <t>corbin.c.walters.civ@us.navy.mil</t>
        </is>
      </c>
      <c r="O99" s="64" t="inlineStr">
        <is>
          <t>619-553-4741</t>
        </is>
      </c>
      <c r="P99" s="52" t="inlineStr">
        <is>
          <t>A / Very high</t>
        </is>
      </c>
      <c r="Q99" s="67" t="inlineStr">
        <is>
          <t>https://sam.gov/opp/b97c5c5becf542398697517bff5e0be2/view</t>
        </is>
      </c>
      <c r="R99" s="67" t="inlineStr">
        <is>
          <t>https://www.highergov.com/contract-opportunity/market-survey-for-software-engineering-services-n66001-26-r-3507-r-b1b6b/</t>
        </is>
      </c>
      <c r="S99" s="52" t="inlineStr">
        <is>
          <t>2026-08-31</t>
        </is>
      </c>
      <c r="T99" s="52" t="inlineStr">
        <is>
          <t>Status detail: Current (RFP channel).</t>
        </is>
      </c>
    </row>
    <row r="100" ht="49" customHeight="1">
      <c r="A100" s="55" t="n">
        <v>93</v>
      </c>
      <c r="B100" s="52" t="inlineStr">
        <is>
          <t>NIWC PAC acquisition</t>
        </is>
      </c>
      <c r="C100" s="52" t="inlineStr">
        <is>
          <t>NIWC Pacific &gt; Contracts &gt; Code 532 forecast / current CSO</t>
        </is>
      </c>
      <c r="D100" s="52" t="inlineStr">
        <is>
          <t>Contracting POC</t>
        </is>
      </c>
      <c r="E100" s="58" t="inlineStr">
        <is>
          <t>532 forecast</t>
        </is>
      </c>
      <c r="F100" s="52" t="inlineStr">
        <is>
          <t>Code 532 acquisition portfolio</t>
        </is>
      </c>
      <c r="G100" s="61" t="inlineStr">
        <is>
          <t>Richard “Lee” Anderson</t>
        </is>
      </c>
      <c r="H100" s="52" t="inlineStr">
        <is>
          <t>LRAE contracting POC; current NIWC PAC CSO AOI POC</t>
        </is>
      </c>
      <c r="I100" s="52" t="inlineStr">
        <is>
          <t>Dated / revalidate</t>
        </is>
      </c>
      <c r="J100" s="52" t="inlineStr">
        <is>
          <t>2026-08-31</t>
        </is>
      </c>
      <c r="K100" s="52" t="inlineStr">
        <is>
          <t>ACS / adjacent procurement</t>
        </is>
      </c>
      <c r="L100" s="52" t="inlineStr">
        <is>
          <t>Forecast POC for DCGS-N Increment 2 and ACS engineering; adjacent to AA but not its solicitation channel.</t>
        </is>
      </c>
      <c r="M100" s="52" t="inlineStr">
        <is>
          <t>Use only for the specific live action/CSO; not AA RFP Q&amp;A.</t>
        </is>
      </c>
      <c r="N100" s="64" t="inlineStr">
        <is>
          <t>richard.l.anderson4.civ@us.navy.mil</t>
        </is>
      </c>
      <c r="O100" s="64" t="inlineStr">
        <is>
          <t>858-978-7699</t>
        </is>
      </c>
      <c r="P100" s="52" t="inlineStr">
        <is>
          <t>A for identity; B for forecast mapping</t>
        </is>
      </c>
      <c r="Q100" s="67" t="inlineStr">
        <is>
          <t>https://www.navwar.navy.mil/Portals/93/Images/Documents/NAVWAR_LRAE_Report.xlsx?ver=3bKfCbGtYWA36Jvgb1i6Qw%3D%3D</t>
        </is>
      </c>
      <c r="R100" s="67" t="inlineStr">
        <is>
          <t>https://sam.gov/opp/9b41ad1bb80c4c0185f42811866b291b/view</t>
        </is>
      </c>
      <c r="S100" s="52" t="inlineStr">
        <is>
          <t>2026-08-31 / metadata dated 2023</t>
        </is>
      </c>
      <c r="T100" s="52" t="inlineStr">
        <is>
          <t>Status detail: Current identity; forecast role needs validation.</t>
        </is>
      </c>
    </row>
    <row r="101" ht="49" customHeight="1">
      <c r="A101" s="55" t="n">
        <v>94</v>
      </c>
      <c r="B101" s="52" t="inlineStr">
        <is>
          <t>NIWC PAC acquisition</t>
        </is>
      </c>
      <c r="C101" s="52" t="inlineStr">
        <is>
          <t>NIWC Pacific &gt; Contracts &gt; CANES Engineering</t>
        </is>
      </c>
      <c r="D101" s="52" t="inlineStr">
        <is>
          <t>Contract specialist</t>
        </is>
      </c>
      <c r="E101" s="58" t="str"/>
      <c r="F101" s="52" t="inlineStr">
        <is>
          <t>CANES Engineering Support</t>
        </is>
      </c>
      <c r="G101" s="61" t="inlineStr">
        <is>
          <t>Stephen Enokida</t>
        </is>
      </c>
      <c r="H101" s="52" t="inlineStr">
        <is>
          <t>Contract Specialist for CANES Engineering solicitation/award</t>
        </is>
      </c>
      <c r="I101" s="52" t="inlineStr">
        <is>
          <t>Dated / revalidate</t>
        </is>
      </c>
      <c r="J101" s="52" t="inlineStr">
        <is>
          <t>2025-05-23</t>
        </is>
      </c>
      <c r="K101" s="52" t="inlineStr">
        <is>
          <t>CANES / adjacent procurement</t>
        </is>
      </c>
      <c r="L101" s="52" t="inlineStr">
        <is>
          <t>CANES host-network contract lineage and engineering support; not AA solicitation authority.</t>
        </is>
      </c>
      <c r="M101" s="52" t="inlineStr">
        <is>
          <t>Use only for the applicable CANES action.</t>
        </is>
      </c>
      <c r="N101" s="64" t="inlineStr">
        <is>
          <t>stephen.enokida@navy.mil / stephen.i.enokida.civ@us.navy.mil</t>
        </is>
      </c>
      <c r="O101" s="64" t="inlineStr">
        <is>
          <t>619-553-5764</t>
        </is>
      </c>
      <c r="P101" s="52" t="inlineStr">
        <is>
          <t>A / High</t>
        </is>
      </c>
      <c r="Q101" s="67" t="inlineStr">
        <is>
          <t>https://sam.gov/opp/7fdb61d8b1d24ab8b4489068221433c8/view</t>
        </is>
      </c>
      <c r="R101" s="67" t="inlineStr">
        <is>
          <t>https://www.navwar.navy.mil/Portals/93/Images/Documents/NAVWAR_LRAE_Report.xlsx?ver=3bKfCbGtYWA36Jvgb1i6Qw%3D%3D</t>
        </is>
      </c>
      <c r="S101" s="52" t="inlineStr">
        <is>
          <t>2025-05-23</t>
        </is>
      </c>
      <c r="T101" s="52" t="inlineStr">
        <is>
          <t>Status detail: Current-recent / adjacent action.</t>
        </is>
      </c>
    </row>
    <row r="102" ht="49" customHeight="1">
      <c r="A102" s="55" t="n">
        <v>95</v>
      </c>
      <c r="B102" s="52" t="inlineStr">
        <is>
          <t>NIWC PAC acquisition</t>
        </is>
      </c>
      <c r="C102" s="52" t="inlineStr">
        <is>
          <t>NIWC Pacific &gt; Contracts &gt; TACNET ISEA follow-on</t>
        </is>
      </c>
      <c r="D102" s="52" t="inlineStr">
        <is>
          <t>Sources-sought POC</t>
        </is>
      </c>
      <c r="E102" s="58" t="str"/>
      <c r="F102" s="52" t="inlineStr">
        <is>
          <t>N66001-27-R-0001</t>
        </is>
      </c>
      <c r="G102" s="61" t="inlineStr">
        <is>
          <t>Aica M. Dizon</t>
        </is>
      </c>
      <c r="H102" s="52" t="inlineStr">
        <is>
          <t>Primary TACNET ISEA sources-sought POC; Contract Specialist</t>
        </is>
      </c>
      <c r="I102" s="52" t="inlineStr">
        <is>
          <t>Current</t>
        </is>
      </c>
      <c r="J102" s="52" t="inlineStr">
        <is>
          <t>2026-05-27</t>
        </is>
      </c>
      <c r="K102" s="52" t="inlineStr">
        <is>
          <t>TACNET / adjacent procurement</t>
        </is>
      </c>
      <c r="L102" s="52" t="inlineStr">
        <is>
          <t>Current market-research channel for TACNET ISEA follow-on only.</t>
        </is>
      </c>
      <c r="M102" s="52" t="inlineStr">
        <is>
          <t>Not an AA channel.</t>
        </is>
      </c>
      <c r="N102" s="64" t="inlineStr">
        <is>
          <t>aica.m.dizon.civ@us.navy.mil</t>
        </is>
      </c>
      <c r="O102" s="64" t="inlineStr">
        <is>
          <t>619-553-4474</t>
        </is>
      </c>
      <c r="P102" s="52" t="inlineStr">
        <is>
          <t>A / High</t>
        </is>
      </c>
      <c r="Q102" s="67" t="inlineStr">
        <is>
          <t>https://sam.gov/opp/8a9e542eb98d4679a04b6c31416e288d/view</t>
        </is>
      </c>
      <c r="R102" s="67" t="str"/>
      <c r="S102" s="52" t="inlineStr">
        <is>
          <t>2026-05-27</t>
        </is>
      </c>
      <c r="T102" s="52" t="inlineStr">
        <is>
          <t>Status detail: Current / adjacent action.</t>
        </is>
      </c>
    </row>
    <row r="103" ht="49" customHeight="1">
      <c r="A103" s="55" t="n">
        <v>96</v>
      </c>
      <c r="B103" s="52" t="inlineStr">
        <is>
          <t>NIWC PAC acquisition</t>
        </is>
      </c>
      <c r="C103" s="52" t="inlineStr">
        <is>
          <t>NIWC Pacific &gt; Contracts &gt; TACNET and NEN adjacent actions</t>
        </is>
      </c>
      <c r="D103" s="52" t="inlineStr">
        <is>
          <t>Secondary POC</t>
        </is>
      </c>
      <c r="E103" s="58" t="str"/>
      <c r="F103" s="52" t="inlineStr">
        <is>
          <t>N66001-27-R-0001 / N66001-27-R-3601</t>
        </is>
      </c>
      <c r="G103" s="61" t="inlineStr">
        <is>
          <t>Emily F. Green</t>
        </is>
      </c>
      <c r="H103" s="52" t="inlineStr">
        <is>
          <t>Secondary POC on TACNET ISEA and NEN ISEA market research</t>
        </is>
      </c>
      <c r="I103" s="52" t="inlineStr">
        <is>
          <t>Current</t>
        </is>
      </c>
      <c r="J103" s="52" t="inlineStr">
        <is>
          <t>2026-05-27</t>
        </is>
      </c>
      <c r="K103" s="52" t="inlineStr">
        <is>
          <t>Network / adjacent procurement</t>
        </is>
      </c>
      <c r="L103" s="52" t="inlineStr">
        <is>
          <t>Secondary contact for named network actions only; no AA authority.</t>
        </is>
      </c>
      <c r="M103" s="52" t="inlineStr">
        <is>
          <t>Not an AA channel.</t>
        </is>
      </c>
      <c r="N103" s="64" t="inlineStr">
        <is>
          <t>emily.f.green.civ@us.navy.mil</t>
        </is>
      </c>
      <c r="O103" s="64" t="inlineStr">
        <is>
          <t>619-553-4516 (other 2026 notices)</t>
        </is>
      </c>
      <c r="P103" s="52" t="inlineStr">
        <is>
          <t>A / High</t>
        </is>
      </c>
      <c r="Q103" s="67" t="inlineStr">
        <is>
          <t>https://sam.gov/opp/8a9e542eb98d4679a04b6c31416e288d/view</t>
        </is>
      </c>
      <c r="R103" s="67" t="inlineStr">
        <is>
          <t>https://sam.gov/opp/2287fe684e02406fa563695eb849e7b3/view</t>
        </is>
      </c>
      <c r="S103" s="52" t="inlineStr">
        <is>
          <t>2026-04/05</t>
        </is>
      </c>
      <c r="T103" s="52" t="inlineStr">
        <is>
          <t>Status detail: Current / adjacent actions.</t>
        </is>
      </c>
    </row>
    <row r="104" ht="49" customHeight="1">
      <c r="A104" s="55" t="n">
        <v>97</v>
      </c>
      <c r="B104" s="52" t="inlineStr">
        <is>
          <t>NIWC PAC acquisition</t>
        </is>
      </c>
      <c r="C104" s="52" t="inlineStr">
        <is>
          <t>NIWC Pacific &gt; Contracts &gt; NEN ISEA</t>
        </is>
      </c>
      <c r="D104" s="52" t="inlineStr">
        <is>
          <t>Sources-sought POC</t>
        </is>
      </c>
      <c r="E104" s="58" t="str"/>
      <c r="F104" s="52" t="inlineStr">
        <is>
          <t>N66001-27-R-3601</t>
        </is>
      </c>
      <c r="G104" s="61" t="inlineStr">
        <is>
          <t>Tessa L. Wastun</t>
        </is>
      </c>
      <c r="H104" s="52" t="inlineStr">
        <is>
          <t>Primary NEN ISEA sources-sought POC; Contract Specialist</t>
        </is>
      </c>
      <c r="I104" s="52" t="inlineStr">
        <is>
          <t>Current</t>
        </is>
      </c>
      <c r="J104" s="52" t="inlineStr">
        <is>
          <t>2026-04-10</t>
        </is>
      </c>
      <c r="K104" s="52" t="inlineStr">
        <is>
          <t>Enterprise network / adjacent procurement</t>
        </is>
      </c>
      <c r="L104" s="52" t="inlineStr">
        <is>
          <t>Current NEN ISEA market-research channel only; no AA authority.</t>
        </is>
      </c>
      <c r="M104" s="52" t="inlineStr">
        <is>
          <t>Not an AA channel.</t>
        </is>
      </c>
      <c r="N104" s="64" t="inlineStr">
        <is>
          <t>tessa.l.wastun2.civ@us.navy.mil</t>
        </is>
      </c>
      <c r="O104" s="64" t="str"/>
      <c r="P104" s="52" t="inlineStr">
        <is>
          <t>A / High</t>
        </is>
      </c>
      <c r="Q104" s="67" t="inlineStr">
        <is>
          <t>https://sam.gov/opp/2287fe684e02406fa563695eb849e7b3/view</t>
        </is>
      </c>
      <c r="R104" s="67" t="str"/>
      <c r="S104" s="52" t="inlineStr">
        <is>
          <t>2026-04-10</t>
        </is>
      </c>
      <c r="T104" s="52" t="inlineStr">
        <is>
          <t>Status detail: Current / adjacent action.</t>
        </is>
      </c>
    </row>
    <row r="105" ht="49" customHeight="1">
      <c r="A105" s="55" t="n">
        <v>98</v>
      </c>
      <c r="B105" s="52" t="inlineStr">
        <is>
          <t>NIWC PAC dated forecast contacts</t>
        </is>
      </c>
      <c r="C105" s="52" t="inlineStr">
        <is>
          <t>NIWC Pacific &gt; FIELD / Code 40 acquisition forecasts</t>
        </is>
      </c>
      <c r="D105" s="52" t="inlineStr">
        <is>
          <t>Forecast contracting POC</t>
        </is>
      </c>
      <c r="E105" s="58" t="inlineStr">
        <is>
          <t>40 forecast</t>
        </is>
      </c>
      <c r="F105" s="52" t="inlineStr">
        <is>
          <t>FIELD acquisition forecasts</t>
        </is>
      </c>
      <c r="G105" s="61" t="inlineStr">
        <is>
          <t>Norman P. Julien</t>
        </is>
      </c>
      <c r="H105" s="52" t="inlineStr">
        <is>
          <t>LRAE contracting POC</t>
        </is>
      </c>
      <c r="I105" s="52" t="inlineStr">
        <is>
          <t>Forecast / dated</t>
        </is>
      </c>
      <c r="J105" s="52" t="inlineStr">
        <is>
          <t>Workbook metadata dated 2023</t>
        </is>
      </c>
      <c r="K105" s="52" t="inlineStr">
        <is>
          <t>Fleet deployment / adjacent procurement</t>
        </is>
      </c>
      <c r="L105" s="52" t="inlineStr">
        <is>
          <t>Dated acquisition-planning contact for Code 40 work; not an AA solicitation channel.</t>
        </is>
      </c>
      <c r="M105" s="52" t="inlineStr">
        <is>
          <t>Verify against a live action before use.</t>
        </is>
      </c>
      <c r="N105" s="64" t="inlineStr">
        <is>
          <t>norman.p.julien@navy.mil</t>
        </is>
      </c>
      <c r="O105" s="64" t="str"/>
      <c r="P105" s="52" t="inlineStr">
        <is>
          <t>C / Low-currentness</t>
        </is>
      </c>
      <c r="Q105" s="67" t="inlineStr">
        <is>
          <t>https://www.navwar.navy.mil/Portals/93/Images/Documents/NAVWAR_LRAE_Report.xlsx?ver=3bKfCbGtYWA36Jvgb1i6Qw%3D%3D</t>
        </is>
      </c>
      <c r="R105" s="67" t="str"/>
      <c r="S105" s="52" t="inlineStr">
        <is>
          <t>Workbook metadata dated 2023</t>
        </is>
      </c>
      <c r="T105" s="52" t="inlineStr">
        <is>
          <t>Status detail: Forecast contact / verify.</t>
        </is>
      </c>
    </row>
    <row r="106" ht="49" customHeight="1">
      <c r="A106" s="55" t="n">
        <v>99</v>
      </c>
      <c r="B106" s="52" t="inlineStr">
        <is>
          <t>NIWC PAC dated forecast contacts</t>
        </is>
      </c>
      <c r="C106" s="52" t="inlineStr">
        <is>
          <t>NIWC Pacific &gt; ISR / Code 56 acquisition forecasts</t>
        </is>
      </c>
      <c r="D106" s="52" t="inlineStr">
        <is>
          <t>Forecast contracting POC</t>
        </is>
      </c>
      <c r="E106" s="58" t="inlineStr">
        <is>
          <t>56 forecast</t>
        </is>
      </c>
      <c r="F106" s="52" t="inlineStr">
        <is>
          <t>ISR acquisition forecasts</t>
        </is>
      </c>
      <c r="G106" s="61" t="inlineStr">
        <is>
          <t>Bryan F. Mansfield</t>
        </is>
      </c>
      <c r="H106" s="52" t="inlineStr">
        <is>
          <t>LRAE contracting POC</t>
        </is>
      </c>
      <c r="I106" s="52" t="inlineStr">
        <is>
          <t>Forecast / dated</t>
        </is>
      </c>
      <c r="J106" s="52" t="inlineStr">
        <is>
          <t>Workbook metadata dated 2023</t>
        </is>
      </c>
      <c r="K106" s="52" t="inlineStr">
        <is>
          <t>ISR / adjacent procurement</t>
        </is>
      </c>
      <c r="L106" s="52" t="inlineStr">
        <is>
          <t>Dated acquisition-planning contact for Code 56 work; not an AA solicitation channel.</t>
        </is>
      </c>
      <c r="M106" s="52" t="inlineStr">
        <is>
          <t>Verify against a live action before use.</t>
        </is>
      </c>
      <c r="N106" s="64" t="inlineStr">
        <is>
          <t>bryan.f.mansfield.civ@us.navy.mil</t>
        </is>
      </c>
      <c r="O106" s="64" t="str"/>
      <c r="P106" s="52" t="inlineStr">
        <is>
          <t>C / Low-currentness</t>
        </is>
      </c>
      <c r="Q106" s="67" t="inlineStr">
        <is>
          <t>https://www.navwar.navy.mil/Portals/93/Images/Documents/NAVWAR_LRAE_Report.xlsx?ver=3bKfCbGtYWA36Jvgb1i6Qw%3D%3D</t>
        </is>
      </c>
      <c r="R106" s="67" t="str"/>
      <c r="S106" s="52" t="inlineStr">
        <is>
          <t>Workbook metadata dated 2023</t>
        </is>
      </c>
      <c r="T106" s="52" t="inlineStr">
        <is>
          <t>Status detail: Forecast contact / verify.</t>
        </is>
      </c>
    </row>
    <row r="107" ht="49" customHeight="1">
      <c r="A107" s="55" t="n">
        <v>100</v>
      </c>
      <c r="B107" s="52" t="inlineStr">
        <is>
          <t>NIWC PAC dated forecast contacts</t>
        </is>
      </c>
      <c r="C107" s="52" t="inlineStr">
        <is>
          <t>NIWC Pacific &gt; Code 70 / Corporate IT 8.2 acquisition forecasts</t>
        </is>
      </c>
      <c r="D107" s="52" t="inlineStr">
        <is>
          <t>Forecast contracting POC</t>
        </is>
      </c>
      <c r="E107" s="58" t="inlineStr">
        <is>
          <t>70 / 8.2 forecast</t>
        </is>
      </c>
      <c r="F107" s="52" t="inlineStr">
        <is>
          <t>Cyber/S&amp;T and IT-management forecasts</t>
        </is>
      </c>
      <c r="G107" s="61" t="inlineStr">
        <is>
          <t>Jacob P. Ward</t>
        </is>
      </c>
      <c r="H107" s="52" t="inlineStr">
        <is>
          <t>LRAE contracting POC</t>
        </is>
      </c>
      <c r="I107" s="52" t="inlineStr">
        <is>
          <t>Forecast / dated</t>
        </is>
      </c>
      <c r="J107" s="52" t="inlineStr">
        <is>
          <t>Workbook metadata dated 2023</t>
        </is>
      </c>
      <c r="K107" s="52" t="inlineStr">
        <is>
          <t>Cyber/IT / adjacent procurement</t>
        </is>
      </c>
      <c r="L107" s="52" t="inlineStr">
        <is>
          <t>Dated acquisition-planning contact for Code 70 and IT-management forecasts; not an AA solicitation channel.</t>
        </is>
      </c>
      <c r="M107" s="52" t="inlineStr">
        <is>
          <t>Verify against a live action before use.</t>
        </is>
      </c>
      <c r="N107" s="64" t="inlineStr">
        <is>
          <t>jacob.p.ward.civ@us.navy.mil</t>
        </is>
      </c>
      <c r="O107" s="64" t="str"/>
      <c r="P107" s="52" t="inlineStr">
        <is>
          <t>C / Low-currentness</t>
        </is>
      </c>
      <c r="Q107" s="67" t="inlineStr">
        <is>
          <t>https://www.navwar.navy.mil/Portals/93/Images/Documents/NAVWAR_LRAE_Report.xlsx?ver=3bKfCbGtYWA36Jvgb1i6Qw%3D%3D</t>
        </is>
      </c>
      <c r="R107" s="67" t="str"/>
      <c r="S107" s="52" t="inlineStr">
        <is>
          <t>Workbook metadata dated 2023</t>
        </is>
      </c>
      <c r="T107" s="52" t="inlineStr">
        <is>
          <t>Status detail: Forecast contact / verify.</t>
        </is>
      </c>
    </row>
    <row r="108" ht="49" customHeight="1">
      <c r="A108" s="55" t="n">
        <v>101</v>
      </c>
      <c r="B108" s="52" t="inlineStr">
        <is>
          <t>External program forecast</t>
        </is>
      </c>
      <c r="C108" s="52" t="inlineStr">
        <is>
          <t>PMW 160 / CANES acquisition forecast</t>
        </is>
      </c>
      <c r="D108" s="52" t="inlineStr">
        <is>
          <t>Forecast contracting POC</t>
        </is>
      </c>
      <c r="E108" s="58" t="str"/>
      <c r="F108" s="52" t="inlineStr">
        <is>
          <t>CANES TVE / production MAC</t>
        </is>
      </c>
      <c r="G108" s="61" t="inlineStr">
        <is>
          <t>Susana L. Wiker</t>
        </is>
      </c>
      <c r="H108" s="52" t="inlineStr">
        <is>
          <t>LRAE contracting POC</t>
        </is>
      </c>
      <c r="I108" s="52" t="inlineStr">
        <is>
          <t>Forecast / dated</t>
        </is>
      </c>
      <c r="J108" s="52" t="inlineStr">
        <is>
          <t>Workbook metadata dated 2023</t>
        </is>
      </c>
      <c r="K108" s="52" t="inlineStr">
        <is>
          <t>CANES / adjacent procurement</t>
        </is>
      </c>
      <c r="L108" s="52" t="inlineStr">
        <is>
          <t>Historical planning contact for PMW 160 CANES test/verification and production forecasts.</t>
        </is>
      </c>
      <c r="M108" s="52" t="inlineStr">
        <is>
          <t>Outside the NIWC PAC reporting hierarchy; not a live AA channel.</t>
        </is>
      </c>
      <c r="N108" s="64" t="inlineStr">
        <is>
          <t>Susana.L.Wiker.civ@us.navy.mil</t>
        </is>
      </c>
      <c r="O108" s="64" t="str"/>
      <c r="P108" s="52" t="inlineStr">
        <is>
          <t>C / Low-currentness</t>
        </is>
      </c>
      <c r="Q108" s="67" t="inlineStr">
        <is>
          <t>https://www.navwar.navy.mil/Portals/93/Images/Documents/NAVWAR_LRAE_Report.xlsx?ver=3bKfCbGtYWA36Jvgb1i6Qw%3D%3D</t>
        </is>
      </c>
      <c r="R108" s="67" t="str"/>
      <c r="S108" s="52" t="inlineStr">
        <is>
          <t>Workbook metadata dated 2023</t>
        </is>
      </c>
      <c r="T108" s="52" t="inlineStr">
        <is>
          <t>Status detail: Forecast contact / verify.</t>
        </is>
      </c>
    </row>
    <row r="109" ht="49" customHeight="1">
      <c r="A109" s="55" t="n">
        <v>102</v>
      </c>
      <c r="B109" s="52" t="inlineStr">
        <is>
          <t>NIWC Atlantic dated forecast</t>
        </is>
      </c>
      <c r="C109" s="52" t="inlineStr">
        <is>
          <t>NIWC Atlantic &gt; CANES / TACNET forecast</t>
        </is>
      </c>
      <c r="D109" s="52" t="inlineStr">
        <is>
          <t>Forecast contracting POC</t>
        </is>
      </c>
      <c r="E109" s="58" t="str"/>
      <c r="F109" s="52" t="inlineStr">
        <is>
          <t>NIWC Atlantic CANES/TACNET</t>
        </is>
      </c>
      <c r="G109" s="61" t="inlineStr">
        <is>
          <t>Sheela Casper</t>
        </is>
      </c>
      <c r="H109" s="52" t="inlineStr">
        <is>
          <t>LRAE contracting POC</t>
        </is>
      </c>
      <c r="I109" s="52" t="inlineStr">
        <is>
          <t>Forecast / dated</t>
        </is>
      </c>
      <c r="J109" s="52" t="inlineStr">
        <is>
          <t>Workbook metadata dated 2023</t>
        </is>
      </c>
      <c r="K109" s="52" t="inlineStr">
        <is>
          <t>CANES / adjacent procurement</t>
        </is>
      </c>
      <c r="L109" s="52" t="inlineStr">
        <is>
          <t>Atlantic technical-production and software-lifecycle planning contact; outside NIWC PAC and not an AA channel.</t>
        </is>
      </c>
      <c r="M109" s="52" t="inlineStr">
        <is>
          <t>Outside the NIWC PAC reporting hierarchy; not a live AA channel.</t>
        </is>
      </c>
      <c r="N109" s="64" t="inlineStr">
        <is>
          <t>sheela.casper2.civ@us.navy.mil</t>
        </is>
      </c>
      <c r="O109" s="64" t="str"/>
      <c r="P109" s="52" t="inlineStr">
        <is>
          <t>C / Low-currentness</t>
        </is>
      </c>
      <c r="Q109" s="67" t="inlineStr">
        <is>
          <t>https://www.navwar.navy.mil/Portals/93/Images/Documents/NAVWAR_LRAE_Report.xlsx?ver=3bKfCbGtYWA36Jvgb1i6Qw%3D%3D</t>
        </is>
      </c>
      <c r="R109" s="67" t="str"/>
      <c r="S109" s="52" t="inlineStr">
        <is>
          <t>Workbook metadata dated 2023</t>
        </is>
      </c>
      <c r="T109" s="52" t="inlineStr">
        <is>
          <t>Status detail: Forecast contact / historical.</t>
        </is>
      </c>
    </row>
    <row r="110" ht="49" customHeight="1">
      <c r="A110" s="55" t="n">
        <v>103</v>
      </c>
      <c r="B110" s="52" t="inlineStr">
        <is>
          <t>NIWC PAC acquisition</t>
        </is>
      </c>
      <c r="C110" s="52" t="inlineStr">
        <is>
          <t>NIWC Pacific &gt; Contracts &gt; TACNET ISEA parent award</t>
        </is>
      </c>
      <c r="D110" s="52" t="inlineStr">
        <is>
          <t>Historical contract specialist</t>
        </is>
      </c>
      <c r="E110" s="58" t="str"/>
      <c r="F110" s="52" t="inlineStr">
        <is>
          <t>N66001-22-R-0030 / N66001-23-D-0004</t>
        </is>
      </c>
      <c r="G110" s="61" t="inlineStr">
        <is>
          <t>David M. Roden</t>
        </is>
      </c>
      <c r="H110" s="52" t="inlineStr">
        <is>
          <t>Contract Specialist</t>
        </is>
      </c>
      <c r="I110" s="52" t="inlineStr">
        <is>
          <t>Historical</t>
        </is>
      </c>
      <c r="J110" s="52" t="inlineStr">
        <is>
          <t>2022-12-12</t>
        </is>
      </c>
      <c r="K110" s="52" t="inlineStr">
        <is>
          <t>TACNET / adjacent procurement</t>
        </is>
      </c>
      <c r="L110" s="52" t="inlineStr">
        <is>
          <t>Parent TACNET ISEA contract lineage; superseded for follow-on collection by current sources-sought contacts.</t>
        </is>
      </c>
      <c r="M110" s="52" t="inlineStr">
        <is>
          <t>Historical action only; not an AA channel.</t>
        </is>
      </c>
      <c r="N110" s="64" t="inlineStr">
        <is>
          <t>david.m.roden2.civ@us.navy.mil</t>
        </is>
      </c>
      <c r="O110" s="64" t="inlineStr">
        <is>
          <t>619-553-2087</t>
        </is>
      </c>
      <c r="P110" s="52" t="inlineStr">
        <is>
          <t>A / High historical</t>
        </is>
      </c>
      <c r="Q110" s="67" t="inlineStr">
        <is>
          <t>https://sam.gov/opp/e8176359f96a40a5b6ed0301a026cdf4/view</t>
        </is>
      </c>
      <c r="R110" s="67" t="str"/>
      <c r="S110" s="52" t="inlineStr">
        <is>
          <t>2022-12-12</t>
        </is>
      </c>
      <c r="T110" s="52" t="inlineStr">
        <is>
          <t>Status detail: Historical / superseded for follow-on.</t>
        </is>
      </c>
    </row>
    <row r="111" ht="49" customHeight="1">
      <c r="A111" s="55" t="n">
        <v>104</v>
      </c>
      <c r="B111" s="52" t="inlineStr">
        <is>
          <t>External requirements chain</t>
        </is>
      </c>
      <c r="C111" s="52" t="inlineStr">
        <is>
          <t>OPNAV &gt; Warfighting Requirements and Capabilities</t>
        </is>
      </c>
      <c r="D111" s="52" t="inlineStr">
        <is>
          <t>OPNAV</t>
        </is>
      </c>
      <c r="E111" s="58" t="inlineStr">
        <is>
          <t>N6N9</t>
        </is>
      </c>
      <c r="F111" s="52" t="inlineStr">
        <is>
          <t>DCNO, Warfighting Requirements and Capabilities</t>
        </is>
      </c>
      <c r="G111" s="61" t="inlineStr">
        <is>
          <t>VADM Michael S. Wosje</t>
        </is>
      </c>
      <c r="H111" s="52" t="inlineStr">
        <is>
          <t>Deputy Chief of Naval Operations, N6N9</t>
        </is>
      </c>
      <c r="I111" s="52" t="inlineStr">
        <is>
          <t>Current</t>
        </is>
      </c>
      <c r="J111" s="52" t="inlineStr">
        <is>
          <t>2026-08-31</t>
        </is>
      </c>
      <c r="K111" s="52" t="inlineStr">
        <is>
          <t>Requirements umbrella</t>
        </is>
      </c>
      <c r="L111" s="52" t="inlineStr">
        <is>
          <t>Single-accountable-officer level above the Information Warfare resource-sponsor chain; not AA contracting authority.</t>
        </is>
      </c>
      <c r="M111" s="52" t="inlineStr">
        <is>
          <t>Requirements/accountability context; not an RFP contact.</t>
        </is>
      </c>
      <c r="N111" s="64" t="str"/>
      <c r="O111" s="64" t="str"/>
      <c r="P111" s="52" t="inlineStr">
        <is>
          <t>A / High</t>
        </is>
      </c>
      <c r="Q111" s="67" t="inlineStr">
        <is>
          <t>https://www.mynavyhr.navy.mil/Portals/55/Messages/NAVADMIN/NAV2026/NAV26204.pdf?ver=Z0SgLUjWKMJuHZr8CPoubQ%3D%3D</t>
        </is>
      </c>
      <c r="R111" s="67" t="str"/>
      <c r="S111" s="52" t="inlineStr">
        <is>
          <t>2026-08-31</t>
        </is>
      </c>
      <c r="T111" s="52" t="str"/>
    </row>
    <row r="112" ht="49" customHeight="1">
      <c r="A112" s="55" t="n">
        <v>105</v>
      </c>
      <c r="B112" s="52" t="inlineStr">
        <is>
          <t>External requirements chain</t>
        </is>
      </c>
      <c r="C112" s="52" t="inlineStr">
        <is>
          <t>OPNAV &gt; N6N9</t>
        </is>
      </c>
      <c r="D112" s="52" t="inlineStr">
        <is>
          <t>OPNAV</t>
        </is>
      </c>
      <c r="E112" s="58" t="inlineStr">
        <is>
          <t>N6N9C</t>
        </is>
      </c>
      <c r="F112" s="52" t="inlineStr">
        <is>
          <t>IW Requirements and Capabilities / DON Deputy CIO (Navy)</t>
        </is>
      </c>
      <c r="G112" s="61" t="inlineStr">
        <is>
          <t>Jennifer Edgin</t>
        </is>
      </c>
      <c r="H112" s="52" t="inlineStr">
        <is>
          <t>Assistant DCNO for IW Requirements and Capabilities; DON Deputy CIO (Navy)</t>
        </is>
      </c>
      <c r="I112" s="52" t="inlineStr">
        <is>
          <t>Current</t>
        </is>
      </c>
      <c r="J112" s="52" t="inlineStr">
        <is>
          <t>2026-05</t>
        </is>
      </c>
      <c r="K112" s="52" t="inlineStr">
        <is>
          <t>Requirements / policy</t>
        </is>
      </c>
      <c r="L112" s="52" t="inlineStr">
        <is>
          <t>Policy influence over tactical-network, cyber, IT, space, and DevSecOps governance; not PMW 160 execution.</t>
        </is>
      </c>
      <c r="M112" s="52" t="inlineStr">
        <is>
          <t>Not an RFP contact.</t>
        </is>
      </c>
      <c r="N112" s="64" t="str"/>
      <c r="O112" s="64" t="str"/>
      <c r="P112" s="52" t="inlineStr">
        <is>
          <t>A / High</t>
        </is>
      </c>
      <c r="Q112" s="67" t="inlineStr">
        <is>
          <t>https://www.mynavyhr.navy.mil/Portals/55/Messages/NAVADMIN/NAV2026/NAV26123.pdf?ver=t6jdXYHcASmJJFJn31N1-g%3D%3D</t>
        </is>
      </c>
      <c r="R112" s="67" t="str"/>
      <c r="S112" s="52" t="inlineStr">
        <is>
          <t>2026-05</t>
        </is>
      </c>
      <c r="T112" s="52" t="str"/>
    </row>
    <row r="113" ht="49" customHeight="1">
      <c r="A113" s="55" t="n">
        <v>106</v>
      </c>
      <c r="B113" s="52" t="inlineStr">
        <is>
          <t>External requirements chain</t>
        </is>
      </c>
      <c r="C113" s="52" t="inlineStr">
        <is>
          <t>OPNAV &gt; Information Warfare</t>
        </is>
      </c>
      <c r="D113" s="52" t="inlineStr">
        <is>
          <t>OPNAV directorate</t>
        </is>
      </c>
      <c r="E113" s="58" t="inlineStr">
        <is>
          <t>N99</t>
        </is>
      </c>
      <c r="F113" s="52" t="inlineStr">
        <is>
          <t>Information Warfare</t>
        </is>
      </c>
      <c r="G113" s="61" t="inlineStr">
        <is>
          <t>RADM Susan BryerJoyner</t>
        </is>
      </c>
      <c r="H113" s="52" t="inlineStr">
        <is>
          <t>Director, Information Warfare</t>
        </is>
      </c>
      <c r="I113" s="52" t="inlineStr">
        <is>
          <t>Current</t>
        </is>
      </c>
      <c r="J113" s="52" t="inlineStr">
        <is>
          <t>2026-07-31</t>
        </is>
      </c>
      <c r="K113" s="52" t="inlineStr">
        <is>
          <t>Resource sponsor</t>
        </is>
      </c>
      <c r="L113" s="52" t="inlineStr">
        <is>
          <t>Senior resource-sponsor authority for the Information Warfare portfolio, including networks.</t>
        </is>
      </c>
      <c r="M113" s="52" t="inlineStr">
        <is>
          <t>Sponsor authority; not an RFP contact.</t>
        </is>
      </c>
      <c r="N113" s="64" t="str"/>
      <c r="O113" s="64" t="str"/>
      <c r="P113" s="52" t="inlineStr">
        <is>
          <t>A / High</t>
        </is>
      </c>
      <c r="Q113" s="67" t="inlineStr">
        <is>
          <t>https://www.navy.mil/Leadership/Flag-Officer-Biographies/BioDisplay/Article/2322704/rear-admiral-susan-bryerjoyner/</t>
        </is>
      </c>
      <c r="R113" s="67" t="inlineStr">
        <is>
          <t>https://www.mynavyhr.navy.mil/Portals/55/Messages/NAVADMIN/NAV2026/NAV26123.pdf?ver=t6jdXYHcASmJJFJn31N1-g%3D%3D</t>
        </is>
      </c>
      <c r="S113" s="52" t="inlineStr">
        <is>
          <t>2026-07-31</t>
        </is>
      </c>
      <c r="T113" s="52" t="str"/>
    </row>
    <row r="114" ht="49" customHeight="1">
      <c r="A114" s="55" t="n">
        <v>107</v>
      </c>
      <c r="B114" s="52" t="inlineStr">
        <is>
          <t>External requirements chain</t>
        </is>
      </c>
      <c r="C114" s="52" t="inlineStr">
        <is>
          <t>OPNAV &gt; N99</t>
        </is>
      </c>
      <c r="D114" s="52" t="inlineStr">
        <is>
          <t>OPNAV directorate</t>
        </is>
      </c>
      <c r="E114" s="58" t="inlineStr">
        <is>
          <t>N99C</t>
        </is>
      </c>
      <c r="F114" s="52" t="inlineStr">
        <is>
          <t>C3 / tactical and enterprise networks / NC3</t>
        </is>
      </c>
      <c r="G114" s="61" t="inlineStr">
        <is>
          <t>Eric Dobson</t>
        </is>
      </c>
      <c r="H114" s="52" t="inlineStr">
        <is>
          <t>Deputy Director, N99C (self-reported)</t>
        </is>
      </c>
      <c r="I114" s="52" t="inlineStr">
        <is>
          <t>Dated / revalidate</t>
        </is>
      </c>
      <c r="J114" s="52" t="inlineStr">
        <is>
          <t>Since 2025-11</t>
        </is>
      </c>
      <c r="K114" s="52" t="inlineStr">
        <is>
          <t>Working-level resource sponsor</t>
        </is>
      </c>
      <c r="L114" s="52" t="inlineStr">
        <is>
          <t>Likely closest publicly named current OPNAV network sponsor to tactical and enterprise networks.</t>
        </is>
      </c>
      <c r="M114" s="52" t="inlineStr">
        <is>
          <t>Sponsor context; not an RFP contact.</t>
        </is>
      </c>
      <c r="N114" s="64" t="str"/>
      <c r="O114" s="64" t="str"/>
      <c r="P114" s="52" t="inlineStr">
        <is>
          <t>C / Medium-low</t>
        </is>
      </c>
      <c r="Q114" s="67" t="inlineStr">
        <is>
          <t>https://www.linkedin.com/in/ericdobson101</t>
        </is>
      </c>
      <c r="R114" s="67" t="inlineStr">
        <is>
          <t>https://www.mynavyhr.navy.mil/Portals/55/Messages/NAVADMIN/NAV2026/NAV26123.pdf?ver=t6jdXYHcASmJJFJn31N1-g%3D%3D</t>
        </is>
      </c>
      <c r="S114" s="52" t="inlineStr">
        <is>
          <t>Current profile / 2026-05 branch scope</t>
        </is>
      </c>
      <c r="T114" s="52" t="inlineStr">
        <is>
          <t>Status detail: Current-likely; self-reported.</t>
        </is>
      </c>
    </row>
    <row r="115" ht="49" customHeight="1">
      <c r="A115" s="55" t="n">
        <v>108</v>
      </c>
      <c r="B115" s="52" t="inlineStr">
        <is>
          <t>External acquisition chain</t>
        </is>
      </c>
      <c r="C115" s="52" t="inlineStr">
        <is>
          <t>Department of the Navy &gt; PAE Mission Systems</t>
        </is>
      </c>
      <c r="D115" s="52" t="inlineStr">
        <is>
          <t>Portfolio acquisition</t>
        </is>
      </c>
      <c r="E115" s="58" t="str"/>
      <c r="F115" s="52" t="inlineStr">
        <is>
          <t>PAE Mission Systems</t>
        </is>
      </c>
      <c r="G115" s="61" t="inlineStr">
        <is>
          <t>Jim Day</t>
        </is>
      </c>
      <c r="H115" s="52" t="inlineStr">
        <is>
          <t>Portfolio Acquisition Executive, Mission Systems</t>
        </is>
      </c>
      <c r="I115" s="52" t="inlineStr">
        <is>
          <t>Current</t>
        </is>
      </c>
      <c r="J115" s="52" t="inlineStr">
        <is>
          <t>2026-05-11</t>
        </is>
      </c>
      <c r="K115" s="52" t="inlineStr">
        <is>
          <t>Acquisition accountability</t>
        </is>
      </c>
      <c r="L115" s="52" t="inlineStr">
        <is>
          <t>Portfolio-level acquisition and integration authority over the legacy PEO C4I mission-system chain containing Tactical Networks.</t>
        </is>
      </c>
      <c r="M115" s="52" t="inlineStr">
        <is>
          <t>Portfolio authority; not an AA solicitation contact.</t>
        </is>
      </c>
      <c r="N115" s="64" t="str"/>
      <c r="O115" s="64" t="str"/>
      <c r="P115" s="52" t="inlineStr">
        <is>
          <t>A / High</t>
        </is>
      </c>
      <c r="Q115" s="67" t="inlineStr">
        <is>
          <t>https://www.navy.mil/Press-Office/Press-Releases/display-pressreleases/Article/4483312/navy-advances-acquisition-reform-strategy-appoints-three-new-portfolio-acquisit/</t>
        </is>
      </c>
      <c r="R115" s="67" t="inlineStr">
        <is>
          <t>https://www.navy.mil/Press-Office/News-Stories/display-news/Article/4483389/department-of-the-navy-launches-pae-mission-systems-to-accelerate-warfighting-c/</t>
        </is>
      </c>
      <c r="S115" s="52" t="inlineStr">
        <is>
          <t>2026-05-11</t>
        </is>
      </c>
      <c r="T115" s="52" t="str"/>
    </row>
    <row r="116" ht="49" customHeight="1">
      <c r="A116" s="55" t="n">
        <v>109</v>
      </c>
      <c r="B116" s="52" t="inlineStr">
        <is>
          <t>External acquisition chain</t>
        </is>
      </c>
      <c r="C116" s="52" t="inlineStr">
        <is>
          <t>PAE Mission Systems &gt; Capability Portfolio</t>
        </is>
      </c>
      <c r="D116" s="52" t="inlineStr">
        <is>
          <t>Capability portfolio</t>
        </is>
      </c>
      <c r="E116" s="58" t="str"/>
      <c r="F116" s="52" t="inlineStr">
        <is>
          <t>Communications / sensors / timing portfolio</t>
        </is>
      </c>
      <c r="G116" s="61" t="inlineStr">
        <is>
          <t>Dr. William “Bill” Luebke</t>
        </is>
      </c>
      <c r="H116" s="52" t="inlineStr">
        <is>
          <t>Capability Portfolio Executive; former PEO C4I</t>
        </is>
      </c>
      <c r="I116" s="52" t="inlineStr">
        <is>
          <t>Current</t>
        </is>
      </c>
      <c r="J116" s="52" t="inlineStr">
        <is>
          <t>2026</t>
        </is>
      </c>
      <c r="K116" s="52" t="inlineStr">
        <is>
          <t>Portfolio acquisition / indirect</t>
        </is>
      </c>
      <c r="L116" s="52" t="inlineStr">
        <is>
          <t>Former direct PEO above PMW 160; current AA relationship is indirect because public PAE material does not map PMW 160 to a named portfolio.</t>
        </is>
      </c>
      <c r="M116" s="52" t="inlineStr">
        <is>
          <t>Not an RFP contact.</t>
        </is>
      </c>
      <c r="N116" s="64" t="str"/>
      <c r="O116" s="64" t="str"/>
      <c r="P116" s="52" t="inlineStr">
        <is>
          <t>A / High</t>
        </is>
      </c>
      <c r="Q116" s="67" t="inlineStr">
        <is>
          <t>https://www.navsea.navy.mil/Home/Warfare-Centers/NSWC-Crane/Partnerships/Contracts/APBI/</t>
        </is>
      </c>
      <c r="R116" s="67" t="inlineStr">
        <is>
          <t>https://www.dvidshub.net/image/8619319/pmw-160-change-command</t>
        </is>
      </c>
      <c r="S116" s="52" t="inlineStr">
        <is>
          <t>2026 / historical role through 2026-05</t>
        </is>
      </c>
      <c r="T116" s="52" t="str"/>
    </row>
    <row r="117" ht="49" customHeight="1">
      <c r="A117" s="55" t="n">
        <v>110</v>
      </c>
      <c r="B117" s="52" t="inlineStr">
        <is>
          <t>External acquisition chain</t>
        </is>
      </c>
      <c r="C117" s="52" t="inlineStr">
        <is>
          <t>PAE Mission Systems &gt; Mission Execution Office</t>
        </is>
      </c>
      <c r="D117" s="52" t="inlineStr">
        <is>
          <t>Portfolio execution</t>
        </is>
      </c>
      <c r="E117" s="58" t="str"/>
      <c r="F117" s="52" t="inlineStr">
        <is>
          <t>Mission Execution Office</t>
        </is>
      </c>
      <c r="G117" s="61" t="inlineStr">
        <is>
          <t>Jeff Myers</t>
        </is>
      </c>
      <c r="H117" s="52" t="inlineStr">
        <is>
          <t>Director, Mission Execution Office; former PMW 160 Deputy PM</t>
        </is>
      </c>
      <c r="I117" s="52" t="inlineStr">
        <is>
          <t>Dated / revalidate</t>
        </is>
      </c>
      <c r="J117" s="52" t="inlineStr">
        <is>
          <t>2026</t>
        </is>
      </c>
      <c r="K117" s="52" t="inlineStr">
        <is>
          <t>Portfolio execution</t>
        </is>
      </c>
      <c r="L117" s="52" t="inlineStr">
        <is>
          <t>Potential portfolio performance and transition influence; no public evidence of direct AA ownership.</t>
        </is>
      </c>
      <c r="M117" s="52" t="inlineStr">
        <is>
          <t>Not an RFP contact.</t>
        </is>
      </c>
      <c r="N117" s="64" t="str"/>
      <c r="O117" s="64" t="str"/>
      <c r="P117" s="52" t="inlineStr">
        <is>
          <t>B / Medium</t>
        </is>
      </c>
      <c r="Q117" s="67" t="inlineStr">
        <is>
          <t>https://www.linkedin.com/in/jeffmyers2</t>
        </is>
      </c>
      <c r="R117" s="67" t="inlineStr">
        <is>
          <t>https://www.ticketsource.com/pmw-160/pmw-160-industry-day/e-beyzjd</t>
        </is>
      </c>
      <c r="S117" s="52" t="inlineStr">
        <is>
          <t>Current profile / role verified through 2025-06</t>
        </is>
      </c>
      <c r="T117" s="52" t="inlineStr">
        <is>
          <t>Status detail: Current-likely; self-reported.</t>
        </is>
      </c>
    </row>
    <row r="118" ht="49" customHeight="1">
      <c r="A118" s="55" t="n">
        <v>111</v>
      </c>
      <c r="B118" s="52" t="inlineStr">
        <is>
          <t>External acquisition chain</t>
        </is>
      </c>
      <c r="C118" s="52" t="inlineStr">
        <is>
          <t>Department of the Navy &gt; NAVWAR</t>
        </is>
      </c>
      <c r="D118" s="52" t="inlineStr">
        <is>
          <t>Systems command</t>
        </is>
      </c>
      <c r="E118" s="58" t="str"/>
      <c r="F118" s="52" t="inlineStr">
        <is>
          <t>NAVWAR</t>
        </is>
      </c>
      <c r="G118" s="61" t="inlineStr">
        <is>
          <t>RADM Kurt J. Rothenhaus</t>
        </is>
      </c>
      <c r="H118" s="52" t="inlineStr">
        <is>
          <t>Commander, NAVWAR</t>
        </is>
      </c>
      <c r="I118" s="52" t="inlineStr">
        <is>
          <t>Current</t>
        </is>
      </c>
      <c r="J118" s="52" t="inlineStr">
        <is>
          <t>Since 2025-10</t>
        </is>
      </c>
      <c r="K118" s="52" t="inlineStr">
        <is>
          <t>SYSCOM command / technical infrastructure</t>
        </is>
      </c>
      <c r="L118" s="52" t="inlineStr">
        <is>
          <t>Oversees the warfare-center enterprise supporting AA and brings direct historical PMW 160, ACS, and C2C24 knowledge.</t>
        </is>
      </c>
      <c r="M118" s="52" t="inlineStr">
        <is>
          <t>Not the AA requirements sponsor or solicitation contracting officer.</t>
        </is>
      </c>
      <c r="N118" s="64" t="str"/>
      <c r="O118" s="64" t="str"/>
      <c r="P118" s="52" t="inlineStr">
        <is>
          <t>A / High</t>
        </is>
      </c>
      <c r="Q118" s="67" t="inlineStr">
        <is>
          <t>https://www.navy.mil/Leadership/Flag-Officer-Biographies/Article/2236520/rear-admiral-j-kurt-rothenhaus/</t>
        </is>
      </c>
      <c r="R118" s="67" t="str"/>
      <c r="S118" s="52" t="inlineStr">
        <is>
          <t>Bio updated 2025-11-17</t>
        </is>
      </c>
      <c r="T118" s="52" t="str"/>
    </row>
    <row r="119" ht="49" customHeight="1">
      <c r="A119" s="55" t="n">
        <v>112</v>
      </c>
      <c r="B119" s="52" t="inlineStr">
        <is>
          <t>External program chain</t>
        </is>
      </c>
      <c r="C119" s="52" t="inlineStr">
        <is>
          <t>PAE Mission Systems &gt; Tactical Networks</t>
        </is>
      </c>
      <c r="D119" s="52" t="inlineStr">
        <is>
          <t>Program office</t>
        </is>
      </c>
      <c r="E119" s="58" t="inlineStr">
        <is>
          <t>PMW 160</t>
        </is>
      </c>
      <c r="F119" s="52" t="inlineStr">
        <is>
          <t>Tactical Networks</t>
        </is>
      </c>
      <c r="G119" s="61" t="inlineStr">
        <is>
          <t>CAPT Nicole K. Nigro</t>
        </is>
      </c>
      <c r="H119" s="52" t="inlineStr">
        <is>
          <t>Program Manager, PMW 160</t>
        </is>
      </c>
      <c r="I119" s="52" t="inlineStr">
        <is>
          <t>Current</t>
        </is>
      </c>
      <c r="J119" s="52" t="inlineStr">
        <is>
          <t>2026-08</t>
        </is>
      </c>
      <c r="K119" s="52" t="inlineStr">
        <is>
          <t>Direct – program sponsor</t>
        </is>
      </c>
      <c r="L119" s="52" t="inlineStr">
        <is>
          <t>Senior program owner for Tactical Networks/CANES and the PAS/ACS environment containing AA.</t>
        </is>
      </c>
      <c r="M119" s="52" t="inlineStr">
        <is>
          <t>Program authority; procurement communications still go through NIWC Pacific RFP contacts.</t>
        </is>
      </c>
      <c r="N119" s="64" t="str"/>
      <c r="O119" s="64" t="str"/>
      <c r="P119" s="52" t="inlineStr">
        <is>
          <t>A / High</t>
        </is>
      </c>
      <c r="Q119" s="67" t="inlineStr">
        <is>
          <t>https://www.linkedin.com/posts/pae-mission-systems_paemissionsystems-cybersecurity-zerotrust-activity-7490439563929247744-kYqM</t>
        </is>
      </c>
      <c r="R119" s="67" t="inlineStr">
        <is>
          <t>https://www.dvidshub.net/image/8619315/pmw-160-change-command</t>
        </is>
      </c>
      <c r="S119" s="52" t="inlineStr">
        <is>
          <t>2026-08 / 2024-08</t>
        </is>
      </c>
      <c r="T119" s="52" t="str"/>
    </row>
    <row r="120" ht="49" customHeight="1">
      <c r="A120" s="55" t="n">
        <v>113</v>
      </c>
      <c r="B120" s="52" t="inlineStr">
        <is>
          <t>External program chain</t>
        </is>
      </c>
      <c r="C120" s="52" t="inlineStr">
        <is>
          <t>PAE Mission Systems &gt; Tactical Networks</t>
        </is>
      </c>
      <c r="D120" s="52" t="inlineStr">
        <is>
          <t>Program office</t>
        </is>
      </c>
      <c r="E120" s="58" t="inlineStr">
        <is>
          <t>PMW 160</t>
        </is>
      </c>
      <c r="F120" s="52" t="inlineStr">
        <is>
          <t>Tactical Networks</t>
        </is>
      </c>
      <c r="G120" s="61" t="inlineStr">
        <is>
          <t>Dave Arellano</t>
        </is>
      </c>
      <c r="H120" s="52" t="inlineStr">
        <is>
          <t>Deputy Program Manager, PMW 160</t>
        </is>
      </c>
      <c r="I120" s="52" t="inlineStr">
        <is>
          <t>Dated / revalidate</t>
        </is>
      </c>
      <c r="J120" s="52" t="inlineStr">
        <is>
          <t>2026 spring</t>
        </is>
      </c>
      <c r="K120" s="52" t="inlineStr">
        <is>
          <t>Direct – program execution</t>
        </is>
      </c>
      <c r="L120" s="52" t="inlineStr">
        <is>
          <t>Deputy program authority across CANES, PAS, and other Tactical Networks portfolios.</t>
        </is>
      </c>
      <c r="M120" s="52" t="inlineStr">
        <is>
          <t>Program execution; not an RFP contact.</t>
        </is>
      </c>
      <c r="N120" s="64" t="str"/>
      <c r="O120" s="64" t="str"/>
      <c r="P120" s="52" t="inlineStr">
        <is>
          <t>B / Medium-high</t>
        </is>
      </c>
      <c r="Q120" s="67" t="inlineStr">
        <is>
          <t>https://www.linkedin.com/posts/dave-arellano-0b020575_im-happy-to-announce-that-im-starting-a-activity-7430779375911870464-wHmP</t>
        </is>
      </c>
      <c r="R120" s="67" t="inlineStr">
        <is>
          <t>https://www.linkedin.com/in/dave-arellano-0b020575</t>
        </is>
      </c>
      <c r="S120" s="52" t="inlineStr">
        <is>
          <t>2026 spring</t>
        </is>
      </c>
      <c r="T120" s="52" t="inlineStr">
        <is>
          <t>Status detail: Current-likely; self-reported.</t>
        </is>
      </c>
    </row>
    <row r="121" ht="49" customHeight="1">
      <c r="A121" s="55" t="n">
        <v>114</v>
      </c>
      <c r="B121" s="52" t="inlineStr">
        <is>
          <t>External program chain</t>
        </is>
      </c>
      <c r="C121" s="52" t="inlineStr">
        <is>
          <t>PAE Mission Systems &gt; Tactical Networks</t>
        </is>
      </c>
      <c r="D121" s="52" t="inlineStr">
        <is>
          <t>Technical leadership</t>
        </is>
      </c>
      <c r="E121" s="58" t="inlineStr">
        <is>
          <t>PMW 160 / NAVWAR 5.8</t>
        </is>
      </c>
      <c r="F121" s="52" t="inlineStr">
        <is>
          <t>Tactical Networks</t>
        </is>
      </c>
      <c r="G121" s="61" t="inlineStr">
        <is>
          <t>Rachel Bondi</t>
        </is>
      </c>
      <c r="H121" s="52" t="inlineStr">
        <is>
          <t>CTO / Technical Director, PAE Mission Systems Tactical Networks; NAVWAR 5.8 deputy</t>
        </is>
      </c>
      <c r="I121" s="52" t="inlineStr">
        <is>
          <t>Dated / revalidate</t>
        </is>
      </c>
      <c r="J121" s="52" t="inlineStr">
        <is>
          <t>2026</t>
        </is>
      </c>
      <c r="K121" s="52" t="inlineStr">
        <is>
          <t>Direct – technical architecture</t>
        </is>
      </c>
      <c r="L121" s="52" t="inlineStr">
        <is>
          <t>Technical influence over afloat cloud, APIs, identity, zero trust, and portable software—the architecture AA deploys into.</t>
        </is>
      </c>
      <c r="M121" s="52" t="inlineStr">
        <is>
          <t>Technical authority context; not an RFP contact.</t>
        </is>
      </c>
      <c r="N121" s="64" t="str"/>
      <c r="O121" s="64" t="str"/>
      <c r="P121" s="52" t="inlineStr">
        <is>
          <t>B / Medium-high</t>
        </is>
      </c>
      <c r="Q121" s="67" t="inlineStr">
        <is>
          <t>https://www.linkedin.com/in/rachelbondi</t>
        </is>
      </c>
      <c r="R121" s="67" t="inlineStr">
        <is>
          <t>https://ismg.events/summit/otsec-world-2026/</t>
        </is>
      </c>
      <c r="S121" s="52" t="inlineStr">
        <is>
          <t>2026</t>
        </is>
      </c>
      <c r="T121" s="52" t="inlineStr">
        <is>
          <t>Status detail: Current-likely.</t>
        </is>
      </c>
    </row>
    <row r="122" ht="49" customHeight="1">
      <c r="A122" s="55" t="n">
        <v>115</v>
      </c>
      <c r="B122" s="52" t="inlineStr">
        <is>
          <t>External program chain</t>
        </is>
      </c>
      <c r="C122" s="52" t="inlineStr">
        <is>
          <t>PMW 160 &gt; CANES</t>
        </is>
      </c>
      <c r="D122" s="52" t="inlineStr">
        <is>
          <t>Principal Assistant Program Manager</t>
        </is>
      </c>
      <c r="E122" s="58" t="inlineStr">
        <is>
          <t>PMW 160</t>
        </is>
      </c>
      <c r="F122" s="52" t="inlineStr">
        <is>
          <t>CANES</t>
        </is>
      </c>
      <c r="G122" s="61" t="inlineStr">
        <is>
          <t>Alma Loe</t>
        </is>
      </c>
      <c r="H122" s="52" t="inlineStr">
        <is>
          <t>CANES Principal Assistant Program Manager</t>
        </is>
      </c>
      <c r="I122" s="52" t="inlineStr">
        <is>
          <t>Dated / revalidate</t>
        </is>
      </c>
      <c r="J122" s="52" t="inlineStr">
        <is>
          <t>2025-06</t>
        </is>
      </c>
      <c r="K122" s="52" t="inlineStr">
        <is>
          <t>Direct – host network sponsor</t>
        </is>
      </c>
      <c r="L122" s="52" t="inlineStr">
        <is>
          <t>Owns the CANES host-network baseline on which ACS and AA operate.</t>
        </is>
      </c>
      <c r="M122" s="52" t="inlineStr">
        <is>
          <t>Upstream program dependency; not an AA solicitation contact.</t>
        </is>
      </c>
      <c r="N122" s="64" t="str"/>
      <c r="O122" s="64" t="str"/>
      <c r="P122" s="52" t="inlineStr">
        <is>
          <t>B / Medium-high</t>
        </is>
      </c>
      <c r="Q122" s="67" t="inlineStr">
        <is>
          <t>https://www.linkedin.com/posts/program-executive-office-command-control-communications-computers-and-intelligence_peoc4i-seabedtospace-teamappreciation-activity-7275238401975472128-o3DM</t>
        </is>
      </c>
      <c r="R122" s="67" t="inlineStr">
        <is>
          <t>https://www.ticketsource.com/pmw-160/pmw-160-industry-day/e-beyzjd</t>
        </is>
      </c>
      <c r="S122" s="52" t="inlineStr">
        <is>
          <t>2025-06</t>
        </is>
      </c>
      <c r="T122" s="52" t="inlineStr">
        <is>
          <t>Status detail: Current-recent; post-PAE continuity unconfirmed.</t>
        </is>
      </c>
    </row>
    <row r="123" ht="49" customHeight="1">
      <c r="A123" s="55" t="n">
        <v>116</v>
      </c>
      <c r="B123" s="52" t="inlineStr">
        <is>
          <t>External program chain</t>
        </is>
      </c>
      <c r="C123" s="52" t="inlineStr">
        <is>
          <t>PMW 160 &gt; Platform Application Services</t>
        </is>
      </c>
      <c r="D123" s="52" t="inlineStr">
        <is>
          <t>Principal Assistant Program Manager</t>
        </is>
      </c>
      <c r="E123" s="58" t="inlineStr">
        <is>
          <t>PMW 160 / PAS</t>
        </is>
      </c>
      <c r="F123" s="52" t="inlineStr">
        <is>
          <t>Platform Application Services</t>
        </is>
      </c>
      <c r="G123" s="61" t="inlineStr">
        <is>
          <t>Jason Samarin</t>
        </is>
      </c>
      <c r="H123" s="52" t="inlineStr">
        <is>
          <t>PAS Principal Assistant Program Manager</t>
        </is>
      </c>
      <c r="I123" s="52" t="inlineStr">
        <is>
          <t>Dated / revalidate</t>
        </is>
      </c>
      <c r="J123" s="52" t="inlineStr">
        <is>
          <t>2025-06</t>
        </is>
      </c>
      <c r="K123" s="52" t="inlineStr">
        <is>
          <t>Direct – closest public program sponsor</t>
        </is>
      </c>
      <c r="L123" s="52" t="inlineStr">
        <is>
          <t>Most relevant publicly named PMW 160 sponsor above ACS, Application Integration, and Application Arsenal.</t>
        </is>
      </c>
      <c r="M123" s="52" t="inlineStr">
        <is>
          <t>Program sponsor context; not an RFP contact.</t>
        </is>
      </c>
      <c r="N123" s="64" t="str"/>
      <c r="O123" s="64" t="str"/>
      <c r="P123" s="52" t="inlineStr">
        <is>
          <t>B / Medium</t>
        </is>
      </c>
      <c r="Q123" s="67" t="inlineStr">
        <is>
          <t>https://www.ticketsource.com/pmw-160/pmw-160-industry-day/e-beyzjd</t>
        </is>
      </c>
      <c r="R123" s="67" t="str"/>
      <c r="S123" s="52" t="inlineStr">
        <is>
          <t>2025-06</t>
        </is>
      </c>
      <c r="T123" s="52" t="inlineStr">
        <is>
          <t>Status detail: Current-recent; post-PAE continuity unconfirmed.</t>
        </is>
      </c>
    </row>
    <row r="124" ht="49" customHeight="1">
      <c r="A124" s="55" t="n">
        <v>117</v>
      </c>
      <c r="B124" s="52" t="inlineStr">
        <is>
          <t>External program chain</t>
        </is>
      </c>
      <c r="C124" s="52" t="inlineStr">
        <is>
          <t>PMW 160 &gt; PAS &gt; DevOps / ACS</t>
        </is>
      </c>
      <c r="D124" s="52" t="inlineStr">
        <is>
          <t>Assistant Program Manager</t>
        </is>
      </c>
      <c r="E124" s="58" t="inlineStr">
        <is>
          <t>PMW 160 / PAS</t>
        </is>
      </c>
      <c r="F124" s="52" t="inlineStr">
        <is>
          <t>DevOps / Agile Core Services</t>
        </is>
      </c>
      <c r="G124" s="61" t="inlineStr">
        <is>
          <t>Danny Parentis</t>
        </is>
      </c>
      <c r="H124" s="52" t="inlineStr">
        <is>
          <t>DevOps / ACS Assistant Program Manager</t>
        </is>
      </c>
      <c r="I124" s="52" t="inlineStr">
        <is>
          <t>Unverified</t>
        </is>
      </c>
      <c r="J124" s="52" t="inlineStr">
        <is>
          <t>2025-05</t>
        </is>
      </c>
      <c r="K124" s="52" t="inlineStr">
        <is>
          <t>Direct – probable ACS management</t>
        </is>
      </c>
      <c r="L124" s="52" t="inlineStr">
        <is>
          <t>If still assigned, likely the deepest upstream PMW 160 Government role governing ACS and AA service outcomes.</t>
        </is>
      </c>
      <c r="M124" s="52" t="inlineStr">
        <is>
          <t>Do not engage or present as current without validation.</t>
        </is>
      </c>
      <c r="N124" s="64" t="str"/>
      <c r="O124" s="64" t="str"/>
      <c r="P124" s="52" t="inlineStr">
        <is>
          <t>C / Low</t>
        </is>
      </c>
      <c r="Q124" s="67" t="inlineStr">
        <is>
          <t>https://nslab.cloud/</t>
        </is>
      </c>
      <c r="R124" s="67" t="str"/>
      <c r="S124" s="52" t="inlineStr">
        <is>
          <t>Secondary org chart, 2025-05</t>
        </is>
      </c>
      <c r="T124" s="52" t="inlineStr">
        <is>
          <t>Status detail: Low-confidence / validate.</t>
        </is>
      </c>
    </row>
    <row r="125" ht="49" customHeight="1">
      <c r="A125" s="55" t="n">
        <v>118</v>
      </c>
      <c r="B125" s="52" t="inlineStr">
        <is>
          <t>External program chain</t>
        </is>
      </c>
      <c r="C125" s="52" t="inlineStr">
        <is>
          <t>PMW 160 &gt; PAS &gt; Application Integration</t>
        </is>
      </c>
      <c r="D125" s="52" t="inlineStr">
        <is>
          <t>Assistant Program Manager</t>
        </is>
      </c>
      <c r="E125" s="58" t="inlineStr">
        <is>
          <t>PMW 160 / PAS</t>
        </is>
      </c>
      <c r="F125" s="52" t="inlineStr">
        <is>
          <t>Application Integration</t>
        </is>
      </c>
      <c r="G125" s="61" t="inlineStr">
        <is>
          <t>Meena Naik</t>
        </is>
      </c>
      <c r="H125" s="52" t="inlineStr">
        <is>
          <t>Application Integration Assistant Program Manager</t>
        </is>
      </c>
      <c r="I125" s="52" t="inlineStr">
        <is>
          <t>Unverified</t>
        </is>
      </c>
      <c r="J125" s="52" t="inlineStr">
        <is>
          <t>2025-05</t>
        </is>
      </c>
      <c r="K125" s="52" t="inlineStr">
        <is>
          <t>Direct – application integration</t>
        </is>
      </c>
      <c r="L125" s="52" t="inlineStr">
        <is>
          <t>Potentially governs the testing/integration seam feeding approved applications into AA.</t>
        </is>
      </c>
      <c r="M125" s="52" t="inlineStr">
        <is>
          <t>Do not engage or present as current without validation.</t>
        </is>
      </c>
      <c r="N125" s="64" t="str"/>
      <c r="O125" s="64" t="str"/>
      <c r="P125" s="52" t="inlineStr">
        <is>
          <t>C / Low</t>
        </is>
      </c>
      <c r="Q125" s="67" t="inlineStr">
        <is>
          <t>https://nslab.cloud/</t>
        </is>
      </c>
      <c r="R125" s="67" t="str"/>
      <c r="S125" s="52" t="inlineStr">
        <is>
          <t>Secondary org chart, 2025-05</t>
        </is>
      </c>
      <c r="T125" s="52" t="inlineStr">
        <is>
          <t>Status detail: Low-confidence / validate.</t>
        </is>
      </c>
    </row>
    <row r="126" ht="49" customHeight="1">
      <c r="A126" s="55" t="n">
        <v>119</v>
      </c>
      <c r="B126" s="52" t="inlineStr">
        <is>
          <t>External program chain</t>
        </is>
      </c>
      <c r="C126" s="52" t="inlineStr">
        <is>
          <t>PMW 160 &gt; PAS</t>
        </is>
      </c>
      <c r="D126" s="52" t="inlineStr">
        <is>
          <t>Process lead</t>
        </is>
      </c>
      <c r="E126" s="58" t="inlineStr">
        <is>
          <t>PMW 160 / PAS</t>
        </is>
      </c>
      <c r="F126" s="52" t="inlineStr">
        <is>
          <t>Platform Application Services</t>
        </is>
      </c>
      <c r="G126" s="61" t="inlineStr">
        <is>
          <t>Dustin Gaspard</t>
        </is>
      </c>
      <c r="H126" s="52" t="inlineStr">
        <is>
          <t>PAS Process Lead</t>
        </is>
      </c>
      <c r="I126" s="52" t="inlineStr">
        <is>
          <t>Unverified</t>
        </is>
      </c>
      <c r="J126" s="52" t="inlineStr">
        <is>
          <t>2025-05</t>
        </is>
      </c>
      <c r="K126" s="52" t="inlineStr">
        <is>
          <t>Direct – process influence</t>
        </is>
      </c>
      <c r="L126" s="52" t="inlineStr">
        <is>
          <t>May influence onboarding, workflow, and release processes across PAS/ACS/AA.</t>
        </is>
      </c>
      <c r="M126" s="52" t="inlineStr">
        <is>
          <t>Do not engage or present as current without validation.</t>
        </is>
      </c>
      <c r="N126" s="64" t="str"/>
      <c r="O126" s="64" t="str"/>
      <c r="P126" s="52" t="inlineStr">
        <is>
          <t>C / Low</t>
        </is>
      </c>
      <c r="Q126" s="67" t="inlineStr">
        <is>
          <t>https://nslab.cloud/</t>
        </is>
      </c>
      <c r="R126" s="67" t="str"/>
      <c r="S126" s="52" t="inlineStr">
        <is>
          <t>Secondary org chart, 2025-05</t>
        </is>
      </c>
      <c r="T126" s="52" t="inlineStr">
        <is>
          <t>Status detail: Low-confidence / validate.</t>
        </is>
      </c>
    </row>
    <row r="127" ht="49" customHeight="1">
      <c r="A127" s="55" t="n">
        <v>120</v>
      </c>
      <c r="B127" s="52" t="inlineStr">
        <is>
          <t>Enterprise policy overlay</t>
        </is>
      </c>
      <c r="C127" s="52" t="inlineStr">
        <is>
          <t>Department of the Navy &gt; CIO</t>
        </is>
      </c>
      <c r="D127" s="52" t="inlineStr">
        <is>
          <t>Enterprise policy</t>
        </is>
      </c>
      <c r="E127" s="58" t="str"/>
      <c r="F127" s="52" t="inlineStr">
        <is>
          <t>DON CIO</t>
        </is>
      </c>
      <c r="G127" s="61" t="inlineStr">
        <is>
          <t>M. Barry Tanner</t>
        </is>
      </c>
      <c r="H127" s="52" t="inlineStr">
        <is>
          <t>Department of the Navy Chief Information Officer</t>
        </is>
      </c>
      <c r="I127" s="52" t="inlineStr">
        <is>
          <t>Current</t>
        </is>
      </c>
      <c r="J127" s="52" t="inlineStr">
        <is>
          <t>2026-08-18</t>
        </is>
      </c>
      <c r="K127" s="52" t="inlineStr">
        <is>
          <t>Enterprise IT policy</t>
        </is>
      </c>
      <c r="L127" s="52" t="inlineStr">
        <is>
          <t>Executive policy authority over Orion and enterprise DevSecOps standardization; overlay, not PMW 160 chain-of-command.</t>
        </is>
      </c>
      <c r="M127" s="52" t="inlineStr">
        <is>
          <t>Not an AA RFP contact.</t>
        </is>
      </c>
      <c r="N127" s="64" t="str"/>
      <c r="O127" s="64" t="str"/>
      <c r="P127" s="52" t="inlineStr">
        <is>
          <t>A / High</t>
        </is>
      </c>
      <c r="Q127" s="67" t="inlineStr">
        <is>
          <t>https://www.navy.mil/Press-Office/Press-Releases/display-pressreleases/Article/4576025/acting-secretary-of-the-navy-appoints-m-barry-tanner-as-chief-information-offic/</t>
        </is>
      </c>
      <c r="R127" s="67" t="inlineStr">
        <is>
          <t>https://www.doncio.navy.mil/ContentView.aspx?id=20502</t>
        </is>
      </c>
      <c r="S127" s="52" t="inlineStr">
        <is>
          <t>2026-08-18</t>
        </is>
      </c>
      <c r="T127" s="52" t="str"/>
    </row>
    <row r="128" ht="49" customHeight="1">
      <c r="A128" s="55" t="n">
        <v>121</v>
      </c>
      <c r="B128" s="52" t="inlineStr">
        <is>
          <t>Enterprise policy overlay</t>
        </is>
      </c>
      <c r="C128" s="52" t="inlineStr">
        <is>
          <t>Department of the Navy &gt; CIO &gt; CTO</t>
        </is>
      </c>
      <c r="D128" s="52" t="inlineStr">
        <is>
          <t>Enterprise technical policy</t>
        </is>
      </c>
      <c r="E128" s="58" t="str"/>
      <c r="F128" s="52" t="inlineStr">
        <is>
          <t>DON CTO</t>
        </is>
      </c>
      <c r="G128" s="61" t="inlineStr">
        <is>
          <t>Justin Fanelli</t>
        </is>
      </c>
      <c r="H128" s="52" t="inlineStr">
        <is>
          <t>Department of the Navy Chief Technology Officer</t>
        </is>
      </c>
      <c r="I128" s="52" t="inlineStr">
        <is>
          <t>Current</t>
        </is>
      </c>
      <c r="J128" s="52" t="inlineStr">
        <is>
          <t>2026</t>
        </is>
      </c>
      <c r="K128" s="52" t="inlineStr">
        <is>
          <t>Enterprise technical policy</t>
        </is>
      </c>
      <c r="L128" s="52" t="inlineStr">
        <is>
          <t>Public technical champion for Orion and DevSecOps consolidation; affects development/tooling interfaces but does not own afloat AA distribution.</t>
        </is>
      </c>
      <c r="M128" s="52" t="inlineStr">
        <is>
          <t>Not an AA RFP contact.</t>
        </is>
      </c>
      <c r="N128" s="64" t="str"/>
      <c r="O128" s="64" t="str"/>
      <c r="P128" s="52" t="inlineStr">
        <is>
          <t>A / High</t>
        </is>
      </c>
      <c r="Q128" s="67" t="inlineStr">
        <is>
          <t>https://www.doncio.navy.mil/ContentView.aspx?id=20505</t>
        </is>
      </c>
      <c r="R128" s="67" t="inlineStr">
        <is>
          <t>https://fedgovtoday.com/innovation-in-govt/from-devsecops-sprawl-to-enterprise-scale-at-the-department-of-the-navy</t>
        </is>
      </c>
      <c r="S128" s="52" t="inlineStr">
        <is>
          <t>2026</t>
        </is>
      </c>
      <c r="T128" s="52" t="str"/>
    </row>
    <row r="129" ht="49" customHeight="1">
      <c r="A129" s="55" t="n">
        <v>122</v>
      </c>
      <c r="B129" s="52" t="inlineStr">
        <is>
          <t>NAVWAR fleet execution interface</t>
        </is>
      </c>
      <c r="C129" s="52" t="inlineStr">
        <is>
          <t>NAVWAR &gt; Fleet Readiness Directorate</t>
        </is>
      </c>
      <c r="D129" s="52" t="inlineStr">
        <is>
          <t>Directorate leadership</t>
        </is>
      </c>
      <c r="E129" s="58" t="str"/>
      <c r="F129" s="52" t="inlineStr">
        <is>
          <t>Fleet Readiness</t>
        </is>
      </c>
      <c r="G129" s="61" t="inlineStr">
        <is>
          <t>Steven Crosson</t>
        </is>
      </c>
      <c r="H129" s="52" t="inlineStr">
        <is>
          <t>Deputy and Technical Director, NAVWAR Fleet Readiness Directorate as of October 2024</t>
        </is>
      </c>
      <c r="I129" s="52" t="inlineStr">
        <is>
          <t>Dated / revalidate</t>
        </is>
      </c>
      <c r="J129" s="52" t="inlineStr">
        <is>
          <t>2024-10-17</t>
        </is>
      </c>
      <c r="K129" s="52" t="inlineStr">
        <is>
          <t>Fleet sustainment / adjacent</t>
        </is>
      </c>
      <c r="L129" s="52" t="inlineStr">
        <is>
          <t>Fleet readiness, training, and sustainment interface for ACS/AA-delivered capability.</t>
        </is>
      </c>
      <c r="M129" s="52" t="inlineStr">
        <is>
          <t>Operational/technical influence; not an RFP contact.</t>
        </is>
      </c>
      <c r="N129" s="64" t="str"/>
      <c r="O129" s="64" t="str"/>
      <c r="P129" s="52" t="inlineStr">
        <is>
          <t>A / High dated</t>
        </is>
      </c>
      <c r="Q129" s="67" t="inlineStr">
        <is>
          <t>https://www.dvidshub.net/news/483389/navwar-empowers-fleet-sailors-and-first-responders-with-custom-systems-training</t>
        </is>
      </c>
      <c r="R129" s="67" t="str"/>
      <c r="S129" s="52" t="inlineStr">
        <is>
          <t>2024-10-17</t>
        </is>
      </c>
      <c r="T129" s="52" t="inlineStr">
        <is>
          <t>Status detail: Dated role; revalidate.</t>
        </is>
      </c>
    </row>
    <row r="130" ht="49" customHeight="1">
      <c r="A130" s="55" t="n">
        <v>123</v>
      </c>
      <c r="B130" s="52" t="inlineStr">
        <is>
          <t>Historical sponsor lineage</t>
        </is>
      </c>
      <c r="C130" s="52" t="inlineStr">
        <is>
          <t>Legacy PEO C4I &gt; PMW 160</t>
        </is>
      </c>
      <c r="D130" s="52" t="inlineStr">
        <is>
          <t>Program office</t>
        </is>
      </c>
      <c r="E130" s="58" t="inlineStr">
        <is>
          <t>PMW 160</t>
        </is>
      </c>
      <c r="F130" s="52" t="inlineStr">
        <is>
          <t>Tactical Networks</t>
        </is>
      </c>
      <c r="G130" s="61" t="inlineStr">
        <is>
          <t>CAPT Catherine “Katy” Boehme</t>
        </is>
      </c>
      <c r="H130" s="52" t="inlineStr">
        <is>
          <t>Historical PMW 160 Program Manager</t>
        </is>
      </c>
      <c r="I130" s="52" t="inlineStr">
        <is>
          <t>Historical</t>
        </is>
      </c>
      <c r="J130" s="52" t="inlineStr">
        <is>
          <t>2021–2024-08</t>
        </is>
      </c>
      <c r="K130" s="52" t="inlineStr">
        <is>
          <t>Historical – direct program authority</t>
        </is>
      </c>
      <c r="L130" s="52" t="inlineStr">
        <is>
          <t>Program manager during the first AA deployment; explicitly described remote/automatic delivery.</t>
        </is>
      </c>
      <c r="M130" s="52" t="inlineStr">
        <is>
          <t>Historical context only.</t>
        </is>
      </c>
      <c r="N130" s="64" t="str"/>
      <c r="O130" s="64" t="str"/>
      <c r="P130" s="52" t="inlineStr">
        <is>
          <t>A / High historical</t>
        </is>
      </c>
      <c r="Q130" s="67" t="inlineStr">
        <is>
          <t>https://www.navy.mil/Press-Office/News-Stories/Article/2735561/navwar-deploys-the-navys-first-application-arsenal/</t>
        </is>
      </c>
      <c r="R130" s="67" t="inlineStr">
        <is>
          <t>https://www.dvidshub.net/image/8619315/pmw-160-change-command</t>
        </is>
      </c>
      <c r="S130" s="52" t="inlineStr">
        <is>
          <t>2021 / 2024-08</t>
        </is>
      </c>
      <c r="T130" s="52" t="str"/>
    </row>
    <row r="131" ht="49" customHeight="1">
      <c r="A131" s="55" t="n">
        <v>124</v>
      </c>
      <c r="B131" s="52" t="inlineStr">
        <is>
          <t>Historical sponsor lineage</t>
        </is>
      </c>
      <c r="C131" s="52" t="inlineStr">
        <is>
          <t>Legacy PMW 160 &gt; Platform Application Services</t>
        </is>
      </c>
      <c r="D131" s="52" t="inlineStr">
        <is>
          <t>Principal Assistant Program Manager</t>
        </is>
      </c>
      <c r="E131" s="58" t="inlineStr">
        <is>
          <t>PMW 160 / PAS</t>
        </is>
      </c>
      <c r="F131" s="52" t="inlineStr">
        <is>
          <t>Platform Application Services</t>
        </is>
      </c>
      <c r="G131" s="61" t="inlineStr">
        <is>
          <t>Brian Miller</t>
        </is>
      </c>
      <c r="H131" s="52" t="inlineStr">
        <is>
          <t>Historical PAS Principal Assistant Program Manager</t>
        </is>
      </c>
      <c r="I131" s="52" t="inlineStr">
        <is>
          <t>Historical</t>
        </is>
      </c>
      <c r="J131" s="52" t="inlineStr">
        <is>
          <t>2021</t>
        </is>
      </c>
      <c r="K131" s="52" t="inlineStr">
        <is>
          <t>Historical – direct AA sponsor</t>
        </is>
      </c>
      <c r="L131" s="52" t="inlineStr">
        <is>
          <t>Explicitly tied AA to the operations portion of Navy DevSecOps.</t>
        </is>
      </c>
      <c r="M131" s="52" t="inlineStr">
        <is>
          <t>Historical context only.</t>
        </is>
      </c>
      <c r="N131" s="64" t="str"/>
      <c r="O131" s="64" t="str"/>
      <c r="P131" s="52" t="inlineStr">
        <is>
          <t>A / High historical</t>
        </is>
      </c>
      <c r="Q131" s="67" t="inlineStr">
        <is>
          <t>https://www.navy.mil/Press-Office/News-Stories/Article/2735561/navwar-deploys-the-navys-first-application-arsenal/</t>
        </is>
      </c>
      <c r="R131" s="67" t="str"/>
      <c r="S131" s="52" t="inlineStr">
        <is>
          <t>2021</t>
        </is>
      </c>
      <c r="T131" s="52" t="str"/>
    </row>
    <row r="132" ht="49" customHeight="1">
      <c r="A132" s="55" t="n">
        <v>125</v>
      </c>
      <c r="B132" s="52" t="inlineStr">
        <is>
          <t>Historical sponsor lineage</t>
        </is>
      </c>
      <c r="C132" s="52" t="inlineStr">
        <is>
          <t>Legacy PMW 160 &gt; ACS / DevOps</t>
        </is>
      </c>
      <c r="D132" s="52" t="inlineStr">
        <is>
          <t>Assistant Program Manager</t>
        </is>
      </c>
      <c r="E132" s="58" t="inlineStr">
        <is>
          <t>PMW 160 / ACS</t>
        </is>
      </c>
      <c r="F132" s="52" t="inlineStr">
        <is>
          <t>Agile Core Services / DevOps</t>
        </is>
      </c>
      <c r="G132" s="61" t="inlineStr">
        <is>
          <t>Emily Nguyen</t>
        </is>
      </c>
      <c r="H132" s="52" t="inlineStr">
        <is>
          <t>Historical ACS and DevOps Assistant Program Manager</t>
        </is>
      </c>
      <c r="I132" s="52" t="inlineStr">
        <is>
          <t>Historical</t>
        </is>
      </c>
      <c r="J132" s="52" t="inlineStr">
        <is>
          <t>2019</t>
        </is>
      </c>
      <c r="K132" s="52" t="inlineStr">
        <is>
          <t>Historical – direct ACS execution</t>
        </is>
      </c>
      <c r="L132" s="52" t="inlineStr">
        <is>
          <t>Oversaw ACS/DevOps while the Application Arsenal capability was being established.</t>
        </is>
      </c>
      <c r="M132" s="52" t="inlineStr">
        <is>
          <t>Historical context only.</t>
        </is>
      </c>
      <c r="N132" s="64" t="str"/>
      <c r="O132" s="64" t="str"/>
      <c r="P132" s="52" t="inlineStr">
        <is>
          <t>A / High historical</t>
        </is>
      </c>
      <c r="Q132" s="67" t="inlineStr">
        <is>
          <t>https://www.navy.mil/DesktopModules/ArticleCS/Print.aspx?Article=2240143&amp;ModuleId=523&amp;PortalId=1</t>
        </is>
      </c>
      <c r="R132" s="67" t="str"/>
      <c r="S132" s="52" t="inlineStr">
        <is>
          <t>2019</t>
        </is>
      </c>
      <c r="T132" s="52" t="str"/>
    </row>
    <row r="133" ht="49" customHeight="1">
      <c r="A133" s="55" t="n">
        <v>126</v>
      </c>
      <c r="B133" s="52" t="inlineStr">
        <is>
          <t>Historical sponsor lineage</t>
        </is>
      </c>
      <c r="C133" s="52" t="inlineStr">
        <is>
          <t>Legacy OPNAV &gt; CANES resource sponsorship</t>
        </is>
      </c>
      <c r="D133" s="52" t="inlineStr">
        <is>
          <t>Resource sponsor</t>
        </is>
      </c>
      <c r="E133" s="58" t="inlineStr">
        <is>
          <t>N2N6F4</t>
        </is>
      </c>
      <c r="F133" s="52" t="inlineStr">
        <is>
          <t>CANES resource sponsorship</t>
        </is>
      </c>
      <c r="G133" s="61" t="inlineStr">
        <is>
          <t>Jamie Thayer</t>
        </is>
      </c>
      <c r="H133" s="52" t="inlineStr">
        <is>
          <t>Historical CANES Resource Sponsor</t>
        </is>
      </c>
      <c r="I133" s="52" t="inlineStr">
        <is>
          <t>Historical</t>
        </is>
      </c>
      <c r="J133" s="52" t="inlineStr">
        <is>
          <t>2018</t>
        </is>
      </c>
      <c r="K133" s="52" t="inlineStr">
        <is>
          <t>Historical requirements sponsor</t>
        </is>
      </c>
      <c r="L133" s="52" t="inlineStr">
        <is>
          <t>Named sponsor during C2C24, CSA, RAISE, ACS, and AA institutionalization.</t>
        </is>
      </c>
      <c r="M133" s="52" t="inlineStr">
        <is>
          <t>Historical context only.</t>
        </is>
      </c>
      <c r="N133" s="64" t="str"/>
      <c r="O133" s="64" t="str"/>
      <c r="P133" s="52" t="inlineStr">
        <is>
          <t>A / High historical</t>
        </is>
      </c>
      <c r="Q133" s="67" t="inlineStr">
        <is>
          <t>https://www.navy.mil/Press-Office/News-Stories/Article/2248847/working-group-promotes-navy-application-modernization-and-accelerated-delivery/</t>
        </is>
      </c>
      <c r="R133" s="67" t="str"/>
      <c r="S133" s="52" t="inlineStr">
        <is>
          <t>2018</t>
        </is>
      </c>
      <c r="T133" s="52" t="str"/>
    </row>
    <row r="134" ht="49" customHeight="1">
      <c r="A134" s="55" t="n">
        <v>127</v>
      </c>
      <c r="B134" s="52" t="inlineStr">
        <is>
          <t>Historical sponsor lineage</t>
        </is>
      </c>
      <c r="C134" s="52" t="inlineStr">
        <is>
          <t>Project Overmatch &gt; DevSecOps</t>
        </is>
      </c>
      <c r="D134" s="52" t="inlineStr">
        <is>
          <t>Technical lead</t>
        </is>
      </c>
      <c r="E134" s="58" t="str"/>
      <c r="F134" s="52" t="inlineStr">
        <is>
          <t>Project Overmatch</t>
        </is>
      </c>
      <c r="G134" s="61" t="inlineStr">
        <is>
          <t>Rick Jack</t>
        </is>
      </c>
      <c r="H134" s="52" t="inlineStr">
        <is>
          <t>Historical Project Overmatch DevSecOps Lead</t>
        </is>
      </c>
      <c r="I134" s="52" t="inlineStr">
        <is>
          <t>Historical</t>
        </is>
      </c>
      <c r="J134" s="52" t="inlineStr">
        <is>
          <t>2021</t>
        </is>
      </c>
      <c r="K134" s="52" t="inlineStr">
        <is>
          <t>Historical technical influence</t>
        </is>
      </c>
      <c r="L134" s="52" t="inlineStr">
        <is>
          <t>Publicly called AA essential to OSA and rapid software fielding.</t>
        </is>
      </c>
      <c r="M134" s="52" t="inlineStr">
        <is>
          <t>Historical; current status not established.</t>
        </is>
      </c>
      <c r="N134" s="64" t="str"/>
      <c r="O134" s="64" t="str"/>
      <c r="P134" s="52" t="inlineStr">
        <is>
          <t>A / High historical</t>
        </is>
      </c>
      <c r="Q134" s="67" t="inlineStr">
        <is>
          <t>https://www.navy.mil/Press-Office/News-Stories/Article/2735561/navwar-deploys-the-navys-first-application-arsenal/</t>
        </is>
      </c>
      <c r="R134" s="67" t="str"/>
      <c r="S134" s="52" t="inlineStr">
        <is>
          <t>2021</t>
        </is>
      </c>
      <c r="T134" s="52" t="str"/>
    </row>
    <row r="135" ht="49" customHeight="1">
      <c r="A135" s="70" t="n">
        <v>128</v>
      </c>
      <c r="B135" s="71" t="inlineStr">
        <is>
          <t>Historical sponsor lineage</t>
        </is>
      </c>
      <c r="C135" s="71" t="inlineStr">
        <is>
          <t>Legacy PEO Digital &gt; Cloud</t>
        </is>
      </c>
      <c r="D135" s="71" t="inlineStr">
        <is>
          <t>Program management</t>
        </is>
      </c>
      <c r="E135" s="72" t="str"/>
      <c r="F135" s="71" t="inlineStr">
        <is>
          <t>Cloud Program</t>
        </is>
      </c>
      <c r="G135" s="73" t="inlineStr">
        <is>
          <t>Travis Methvin</t>
        </is>
      </c>
      <c r="H135" s="71" t="inlineStr">
        <is>
          <t>Historical Cloud Program Manager, PEO Digital</t>
        </is>
      </c>
      <c r="I135" s="71" t="inlineStr">
        <is>
          <t>Historical</t>
        </is>
      </c>
      <c r="J135" s="71" t="inlineStr">
        <is>
          <t>2021</t>
        </is>
      </c>
      <c r="K135" s="71" t="inlineStr">
        <is>
          <t>Historical cloud adjacency</t>
        </is>
      </c>
      <c r="L135" s="71" t="inlineStr">
        <is>
          <t>Managed the Naval Digital Marketplace gateway that provisioned OSA IL6; adjacent cloud authority, not AA owner.</t>
        </is>
      </c>
      <c r="M135" s="71" t="inlineStr">
        <is>
          <t>Historical context only.</t>
        </is>
      </c>
      <c r="N135" s="74" t="str"/>
      <c r="O135" s="74" t="str"/>
      <c r="P135" s="71" t="inlineStr">
        <is>
          <t>A / High historical</t>
        </is>
      </c>
      <c r="Q135" s="75" t="inlineStr">
        <is>
          <t>https://www.navy.mil/Press-Office/News-Stories/Article/2710817/navwar-launches-first-secret-level-devsecops-pipeline/</t>
        </is>
      </c>
      <c r="R135" s="75" t="str"/>
      <c r="S135" s="71" t="inlineStr">
        <is>
          <t>2021</t>
        </is>
      </c>
      <c r="T135" s="71" t="str"/>
    </row>
    <row r="136" ht="49" customHeight="1">
      <c r="A136" s="55" t="n">
        <v>129</v>
      </c>
      <c r="B136" s="52" t="inlineStr">
        <is>
          <t>AA chain &amp; adjacent ecosystem</t>
        </is>
      </c>
      <c r="C136" s="52" t="inlineStr">
        <is>
          <t>NIWC Pacific &gt; Command &amp; Control Department</t>
        </is>
      </c>
      <c r="D136" s="52" t="inlineStr">
        <is>
          <t>Role mailbox</t>
        </is>
      </c>
      <c r="E136" s="58" t="inlineStr">
        <is>
          <t>53</t>
        </is>
      </c>
      <c r="F136" s="52" t="inlineStr">
        <is>
          <t>Command &amp; Control Department</t>
        </is>
      </c>
      <c r="G136" s="61" t="inlineStr">
        <is>
          <t>C2 Careers</t>
        </is>
      </c>
      <c r="H136" s="52" t="inlineStr">
        <is>
          <t>Official Command and Control Department recruiting / workforce mailbox</t>
        </is>
      </c>
      <c r="I136" s="52" t="inlineStr">
        <is>
          <t>Official channel</t>
        </is>
      </c>
      <c r="J136" s="52" t="inlineStr">
        <is>
          <t>Accessed 2026-09-02</t>
        </is>
      </c>
      <c r="K136" s="52" t="inlineStr">
        <is>
          <t>Technical ecosystem / indirect</t>
        </is>
      </c>
      <c r="L136" s="52" t="inlineStr">
        <is>
          <t>Department-level public channel for Code 53 workforce and capability context; useful for mapping the organization, but not an AA procurement route.</t>
        </is>
      </c>
      <c r="M136" s="52" t="inlineStr">
        <is>
          <t>Functional information channel only; not solicitation authority.</t>
        </is>
      </c>
      <c r="N136" s="64" t="inlineStr">
        <is>
          <t>C2Careers@us.navy.mil</t>
        </is>
      </c>
      <c r="O136" s="64" t="inlineStr"/>
      <c r="P136" s="52" t="inlineStr">
        <is>
          <t>A / High</t>
        </is>
      </c>
      <c r="Q136" s="67" t="inlineStr">
        <is>
          <t>https://www.niwcpacific.navy.mil/About/Departments/Command-Control-C2/</t>
        </is>
      </c>
      <c r="R136" s="67" t="inlineStr"/>
      <c r="S136" s="52" t="inlineStr">
        <is>
          <t>Accessed 2026-09-02</t>
        </is>
      </c>
      <c r="T136" s="52" t="inlineStr">
        <is>
          <t>Added in augmentation pass. Role mailbox from the official C2 Department page; do not use for RFP questions.</t>
        </is>
      </c>
    </row>
    <row r="137" ht="49" customHeight="1">
      <c r="A137" s="55" t="n">
        <v>130</v>
      </c>
      <c r="B137" s="52" t="inlineStr">
        <is>
          <t>NIWC PAC portfolio map</t>
        </is>
      </c>
      <c r="C137" s="52" t="inlineStr">
        <is>
          <t>NIWC Pacific &gt; Business Portfolios &gt; Business and Force Support</t>
        </is>
      </c>
      <c r="D137" s="52" t="inlineStr">
        <is>
          <t>Business portfolio</t>
        </is>
      </c>
      <c r="E137" s="58" t="inlineStr">
        <is>
          <t>Portfolio; numeric code not public</t>
        </is>
      </c>
      <c r="F137" s="52" t="inlineStr">
        <is>
          <t>Business and Force Support</t>
        </is>
      </c>
      <c r="G137" s="61" t="inlineStr">
        <is>
          <t>Public node - no named portfolio lead identified</t>
        </is>
      </c>
      <c r="H137" s="52" t="inlineStr">
        <is>
          <t>Business portfolio for business and force-support applications</t>
        </is>
      </c>
      <c r="I137" s="52" t="inlineStr">
        <is>
          <t>Public gap</t>
        </is>
      </c>
      <c r="J137" s="52" t="inlineStr">
        <is>
          <t>Accessed 2026-09-02</t>
        </is>
      </c>
      <c r="K137" s="52" t="inlineStr">
        <is>
          <t>Application / cloud adjacency</t>
        </is>
      </c>
      <c r="L137" s="52" t="inlineStr">
        <is>
          <t>Public portfolio language covers business and force support applications, systems-of-systems testing of application software, cloud computing, virtualization, and computing environments.</t>
        </is>
      </c>
      <c r="M137" s="52" t="inlineStr">
        <is>
          <t>Portfolio context only; not an AA RFP channel.</t>
        </is>
      </c>
      <c r="N137" s="64" t="inlineStr"/>
      <c r="O137" s="64" t="inlineStr"/>
      <c r="P137" s="52" t="inlineStr">
        <is>
          <t>A / High for function; gap for person</t>
        </is>
      </c>
      <c r="Q137" s="67" t="inlineStr">
        <is>
          <t>https://www.niwcpacific.navy.mil/About/Business-Portfolios/</t>
        </is>
      </c>
      <c r="R137" s="67" t="inlineStr"/>
      <c r="S137" s="52" t="inlineStr">
        <is>
          <t>Accessed 2026-09-02</t>
        </is>
      </c>
      <c r="T137" s="52" t="inlineStr">
        <is>
          <t>Added in augmentation pass from official NIWC Pacific business-portfolio structure.</t>
        </is>
      </c>
    </row>
    <row r="138" ht="49" customHeight="1">
      <c r="A138" s="55" t="n">
        <v>131</v>
      </c>
      <c r="B138" s="52" t="inlineStr">
        <is>
          <t>NIWC PAC portfolio map</t>
        </is>
      </c>
      <c r="C138" s="52" t="inlineStr">
        <is>
          <t>NIWC Pacific &gt; Business Portfolios &gt; Decision Superiority</t>
        </is>
      </c>
      <c r="D138" s="52" t="inlineStr">
        <is>
          <t>Business portfolio</t>
        </is>
      </c>
      <c r="E138" s="58" t="inlineStr">
        <is>
          <t>Portfolio; numeric code not public</t>
        </is>
      </c>
      <c r="F138" s="52" t="inlineStr">
        <is>
          <t>Decision Superiority</t>
        </is>
      </c>
      <c r="G138" s="61" t="inlineStr">
        <is>
          <t>Public node - no named portfolio lead identified</t>
        </is>
      </c>
      <c r="H138" s="52" t="inlineStr">
        <is>
          <t>Business portfolio for C2-related software and experimentation</t>
        </is>
      </c>
      <c r="I138" s="52" t="inlineStr">
        <is>
          <t>Public gap</t>
        </is>
      </c>
      <c r="J138" s="52" t="inlineStr">
        <is>
          <t>Accessed 2026-09-02</t>
        </is>
      </c>
      <c r="K138" s="52" t="inlineStr">
        <is>
          <t>C2 software / direct-adjacent</t>
        </is>
      </c>
      <c r="L138" s="52" t="inlineStr">
        <is>
          <t>Public portfolio language covers C2-related software development, wargaming and experimentation, command-center design, tactical data links, and C2 system support.</t>
        </is>
      </c>
      <c r="M138" s="52" t="inlineStr">
        <is>
          <t>Portfolio context only; not an AA RFP channel.</t>
        </is>
      </c>
      <c r="N138" s="64" t="inlineStr"/>
      <c r="O138" s="64" t="inlineStr"/>
      <c r="P138" s="52" t="inlineStr">
        <is>
          <t>A / High for function; gap for person</t>
        </is>
      </c>
      <c r="Q138" s="67" t="inlineStr">
        <is>
          <t>https://www.niwcpacific.navy.mil/About/Business-Portfolios/</t>
        </is>
      </c>
      <c r="R138" s="67" t="inlineStr">
        <is>
          <t>https://www.niwcpacific.navy.mil/About/Departments/Command-Control-C2/</t>
        </is>
      </c>
      <c r="S138" s="52" t="inlineStr">
        <is>
          <t>Accessed 2026-09-02</t>
        </is>
      </c>
      <c r="T138" s="52" t="inlineStr">
        <is>
          <t>Added in augmentation pass. Likely strongest public business-portfolio alignment for AA-style C2 application delivery.</t>
        </is>
      </c>
    </row>
    <row r="139" ht="49" customHeight="1">
      <c r="A139" s="55" t="n">
        <v>132</v>
      </c>
      <c r="B139" s="52" t="inlineStr">
        <is>
          <t>NIWC PAC portfolio map</t>
        </is>
      </c>
      <c r="C139" s="52" t="inlineStr">
        <is>
          <t>NIWC Pacific &gt; Business Portfolios &gt; Integrated Cyber Operations</t>
        </is>
      </c>
      <c r="D139" s="52" t="inlineStr">
        <is>
          <t>Business portfolio</t>
        </is>
      </c>
      <c r="E139" s="58" t="inlineStr">
        <is>
          <t>Portfolio; numeric code not public</t>
        </is>
      </c>
      <c r="F139" s="52" t="inlineStr">
        <is>
          <t>Integrated Cyber Operations</t>
        </is>
      </c>
      <c r="G139" s="61" t="inlineStr">
        <is>
          <t>Public node - no named portfolio lead identified</t>
        </is>
      </c>
      <c r="H139" s="52" t="inlineStr">
        <is>
          <t>Business portfolio for cyber operations and security engineering</t>
        </is>
      </c>
      <c r="I139" s="52" t="inlineStr">
        <is>
          <t>Public gap</t>
        </is>
      </c>
      <c r="J139" s="52" t="inlineStr">
        <is>
          <t>Accessed 2026-09-02</t>
        </is>
      </c>
      <c r="K139" s="52" t="inlineStr">
        <is>
          <t>Cyber / DevSecOps adjacency</t>
        </is>
      </c>
      <c r="L139" s="52" t="inlineStr">
        <is>
          <t>Relevant to secure software, cyber accreditation, risk management, cybersecurity architecture, computer-network defense, penetration testing, and offensive cyber tool development.</t>
        </is>
      </c>
      <c r="M139" s="52" t="inlineStr">
        <is>
          <t>Portfolio context only; not an AA RFP channel.</t>
        </is>
      </c>
      <c r="N139" s="64" t="inlineStr"/>
      <c r="O139" s="64" t="inlineStr"/>
      <c r="P139" s="52" t="inlineStr">
        <is>
          <t>A / High for function; gap for person</t>
        </is>
      </c>
      <c r="Q139" s="67" t="inlineStr">
        <is>
          <t>https://www.niwcpacific.navy.mil/About/Business-Portfolios/</t>
        </is>
      </c>
      <c r="R139" s="67" t="inlineStr">
        <is>
          <t>https://www.niwcpacific.navy.mil/About/Departments/Cyber-S-T/</t>
        </is>
      </c>
      <c r="S139" s="52" t="inlineStr">
        <is>
          <t>Accessed 2026-09-02</t>
        </is>
      </c>
      <c r="T139" s="52" t="inlineStr">
        <is>
          <t>Added in augmentation pass. Useful for mapping AA security/accreditation interfaces, not ownership.</t>
        </is>
      </c>
    </row>
    <row r="140" ht="49" customHeight="1">
      <c r="A140" s="55" t="n">
        <v>133</v>
      </c>
      <c r="B140" s="52" t="inlineStr">
        <is>
          <t>NIWC PAC portfolio map</t>
        </is>
      </c>
      <c r="C140" s="52" t="inlineStr">
        <is>
          <t>NIWC Pacific &gt; Business Portfolios &gt; Transport and Computing Infrastructure</t>
        </is>
      </c>
      <c r="D140" s="52" t="inlineStr">
        <is>
          <t>Business portfolio</t>
        </is>
      </c>
      <c r="E140" s="58" t="inlineStr">
        <is>
          <t>Portfolio; numeric code not public</t>
        </is>
      </c>
      <c r="F140" s="52" t="inlineStr">
        <is>
          <t>Transport and Computing Infrastructure</t>
        </is>
      </c>
      <c r="G140" s="61" t="inlineStr">
        <is>
          <t>Public node - no named portfolio lead identified</t>
        </is>
      </c>
      <c r="H140" s="52" t="inlineStr">
        <is>
          <t>Network and computing infrastructure portfolio</t>
        </is>
      </c>
      <c r="I140" s="52" t="inlineStr">
        <is>
          <t>Public gap</t>
        </is>
      </c>
      <c r="J140" s="52" t="inlineStr">
        <is>
          <t>Accessed 2026-09-02</t>
        </is>
      </c>
      <c r="K140" s="52" t="inlineStr">
        <is>
          <t>Hosting / infrastructure adjacency</t>
        </is>
      </c>
      <c r="L140" s="52" t="inlineStr">
        <is>
          <t>Covers network and computing IPTs, common computing environments, data transport, servers, storage, tactical shore systems, and military network environments that support deployed applications.</t>
        </is>
      </c>
      <c r="M140" s="52" t="inlineStr">
        <is>
          <t>Portfolio context only; not an AA RFP channel.</t>
        </is>
      </c>
      <c r="N140" s="64" t="inlineStr"/>
      <c r="O140" s="64" t="inlineStr"/>
      <c r="P140" s="52" t="inlineStr">
        <is>
          <t>A / High for function; gap for person</t>
        </is>
      </c>
      <c r="Q140" s="67" t="inlineStr">
        <is>
          <t>https://www.niwcpacific.navy.mil/About/Business-Portfolios/</t>
        </is>
      </c>
      <c r="R140" s="67" t="inlineStr">
        <is>
          <t>https://www.niwcpacific.navy.mil/About/Departments/Communications-and-Networks/</t>
        </is>
      </c>
      <c r="S140" s="52" t="inlineStr">
        <is>
          <t>Accessed 2026-09-02</t>
        </is>
      </c>
      <c r="T140" s="52" t="inlineStr">
        <is>
          <t>Added in augmentation pass. Supports AA/OSA platform-dependency mapping.</t>
        </is>
      </c>
    </row>
    <row r="141" ht="49" customHeight="1">
      <c r="A141" s="55" t="n">
        <v>134</v>
      </c>
      <c r="B141" s="52" t="inlineStr">
        <is>
          <t>NIWC PAC portfolio map</t>
        </is>
      </c>
      <c r="C141" s="52" t="inlineStr">
        <is>
          <t>NIWC Pacific &gt; Business Portfolios &gt; Product, Installation and In-Service Support</t>
        </is>
      </c>
      <c r="D141" s="52" t="inlineStr">
        <is>
          <t>Business portfolio</t>
        </is>
      </c>
      <c r="E141" s="58" t="inlineStr">
        <is>
          <t>Portfolio; numeric code not public</t>
        </is>
      </c>
      <c r="F141" s="52" t="inlineStr">
        <is>
          <t>Product, Installation and In-Service Support</t>
        </is>
      </c>
      <c r="G141" s="61" t="inlineStr">
        <is>
          <t>Public node - no named portfolio lead identified</t>
        </is>
      </c>
      <c r="H141" s="52" t="inlineStr">
        <is>
          <t>Business portfolio for production, installation, ISEA, help desk, training, and sustainment</t>
        </is>
      </c>
      <c r="I141" s="52" t="inlineStr">
        <is>
          <t>Public gap</t>
        </is>
      </c>
      <c r="J141" s="52" t="inlineStr">
        <is>
          <t>Accessed 2026-09-02</t>
        </is>
      </c>
      <c r="K141" s="52" t="inlineStr">
        <is>
          <t>Fielding / sustainment adjacency</t>
        </is>
      </c>
      <c r="L141" s="52" t="inlineStr">
        <is>
          <t>Relevant to transition from app/software builds into full-rate production, operations, maintenance, C4I help desk, training, logistics, installation design, and in-service support.</t>
        </is>
      </c>
      <c r="M141" s="52" t="inlineStr">
        <is>
          <t>Portfolio context only; not an AA RFP channel.</t>
        </is>
      </c>
      <c r="N141" s="64" t="inlineStr"/>
      <c r="O141" s="64" t="inlineStr"/>
      <c r="P141" s="52" t="inlineStr">
        <is>
          <t>A / High for function; gap for person</t>
        </is>
      </c>
      <c r="Q141" s="67" t="inlineStr">
        <is>
          <t>https://www.niwcpacific.navy.mil/About/Business-Portfolios/</t>
        </is>
      </c>
      <c r="R141" s="67" t="inlineStr">
        <is>
          <t>https://www.niwcpacific.navy.mil/About/Departments/Fleet-Installation-Engineering-and-Logistics/</t>
        </is>
      </c>
      <c r="S141" s="52" t="inlineStr">
        <is>
          <t>Accessed 2026-09-02</t>
        </is>
      </c>
      <c r="T141" s="52" t="inlineStr">
        <is>
          <t>Added in augmentation pass. Useful downstream deployment/sustainment interface for AA.</t>
        </is>
      </c>
    </row>
    <row r="142" ht="49" customHeight="1">
      <c r="A142" s="55" t="n">
        <v>135</v>
      </c>
      <c r="B142" s="52" t="inlineStr">
        <is>
          <t>NIWC PAC portfolio map</t>
        </is>
      </c>
      <c r="C142" s="52" t="inlineStr">
        <is>
          <t>NIWC Pacific &gt; Business Portfolios &gt; Portfolio Coordinator, Indo-Pacific</t>
        </is>
      </c>
      <c r="D142" s="52" t="inlineStr">
        <is>
          <t>Portfolio coordinator</t>
        </is>
      </c>
      <c r="E142" s="58" t="inlineStr">
        <is>
          <t>Code H</t>
        </is>
      </c>
      <c r="F142" s="52" t="inlineStr">
        <is>
          <t>Portfolio Coordinator, Indo-Pacific</t>
        </is>
      </c>
      <c r="G142" s="61" t="inlineStr">
        <is>
          <t>Public node - named Code H lead not identified</t>
        </is>
      </c>
      <c r="H142" s="52" t="inlineStr">
        <is>
          <t>Portfolio coordinator / Code H</t>
        </is>
      </c>
      <c r="I142" s="52" t="inlineStr">
        <is>
          <t>Public gap</t>
        </is>
      </c>
      <c r="J142" s="52" t="inlineStr">
        <is>
          <t>Accessed 2026-09-02</t>
        </is>
      </c>
      <c r="K142" s="52" t="inlineStr">
        <is>
          <t>Pacific AOR / C4I adjacency</t>
        </is>
      </c>
      <c r="L142" s="52" t="inlineStr">
        <is>
          <t>Official portfolio page says Code H manages projects across all business portfolios for the Pacific area of operations and has a C4I/MILCON subportfolio.</t>
        </is>
      </c>
      <c r="M142" s="52" t="inlineStr">
        <is>
          <t>Regional portfolio context only; not an AA RFP channel.</t>
        </is>
      </c>
      <c r="N142" s="64" t="inlineStr"/>
      <c r="O142" s="64" t="inlineStr"/>
      <c r="P142" s="52" t="inlineStr">
        <is>
          <t>A / High for code/function; gap for person</t>
        </is>
      </c>
      <c r="Q142" s="67" t="inlineStr">
        <is>
          <t>https://www.niwcpacific.navy.mil/About/Business-Portfolios/</t>
        </is>
      </c>
      <c r="R142" s="67" t="inlineStr"/>
      <c r="S142" s="52" t="inlineStr">
        <is>
          <t>Accessed 2026-09-02</t>
        </is>
      </c>
      <c r="T142" s="52" t="inlineStr">
        <is>
          <t>Added in augmentation pass. This was the only additional explicit public code number found in the portfolio research.</t>
        </is>
      </c>
    </row>
    <row r="143" ht="49" customHeight="1">
      <c r="A143" s="55" t="n">
        <v>136</v>
      </c>
      <c r="B143" s="52" t="inlineStr">
        <is>
          <t>AA chain &amp; adjacent ecosystem</t>
        </is>
      </c>
      <c r="C143" s="52" t="inlineStr">
        <is>
          <t>Code 53200 &gt; Navy Digital Ecosystem &gt; Overmatch Software Armory &gt; OSA Tools</t>
        </is>
      </c>
      <c r="D143" s="52" t="inlineStr">
        <is>
          <t>OSA component</t>
        </is>
      </c>
      <c r="E143" s="58" t="inlineStr">
        <is>
          <t>53200 functional; child code not public</t>
        </is>
      </c>
      <c r="F143" s="52" t="inlineStr">
        <is>
          <t>OSA Tools</t>
        </is>
      </c>
      <c r="G143" s="61" t="inlineStr">
        <is>
          <t>Public gap - current OSA Tools lead not identified</t>
        </is>
      </c>
      <c r="H143" s="52" t="inlineStr">
        <is>
          <t>Current OSA Tools Government lead</t>
        </is>
      </c>
      <c r="I143" s="52" t="inlineStr">
        <is>
          <t>Public gap</t>
        </is>
      </c>
      <c r="J143" s="52" t="inlineStr">
        <is>
          <t>2026-09-02</t>
        </is>
      </c>
      <c r="K143" s="52" t="inlineStr">
        <is>
          <t>Direct - technical ecosystem</t>
        </is>
      </c>
      <c r="L143" s="52" t="inlineStr">
        <is>
          <t>OSA Tools is an official Overmatch Software Armory component alongside ACS, Collaborative Staging Environments, and Application Arsenal.</t>
        </is>
      </c>
      <c r="M143" s="52" t="inlineStr">
        <is>
          <t>Do not infer the current lead from historical OSA Tools personnel.</t>
        </is>
      </c>
      <c r="N143" s="64" t="inlineStr"/>
      <c r="O143" s="64" t="inlineStr"/>
      <c r="P143" s="52" t="inlineStr">
        <is>
          <t>A / High for function; gap for person</t>
        </is>
      </c>
      <c r="Q143" s="67" t="inlineStr">
        <is>
          <t>https://www.niwcpacific.navy.mil/Technology/Overmatch-Software-Armory/</t>
        </is>
      </c>
      <c r="R143" s="67" t="inlineStr">
        <is>
          <t>https://www.dvidshub.net/news/401910/navwar-launches-first-secret-level-devsecops-pipeline</t>
        </is>
      </c>
      <c r="S143" s="52" t="inlineStr">
        <is>
          <t>Accessed 2026-09-02 / 2021-07-28</t>
        </is>
      </c>
      <c r="T143" s="52" t="inlineStr">
        <is>
          <t>Added in augmentation pass. Historical Matt ONeil row remains separate and should not be treated as current.</t>
        </is>
      </c>
    </row>
    <row r="144" ht="49" customHeight="1">
      <c r="A144" s="55" t="n">
        <v>137</v>
      </c>
      <c r="B144" s="52" t="inlineStr">
        <is>
          <t>AA chain &amp; adjacent ecosystem</t>
        </is>
      </c>
      <c r="C144" s="52" t="inlineStr">
        <is>
          <t>Code 53200 &gt; Navy Digital Ecosystem &gt; Overmatch Software Armory &gt; Agile Core Services</t>
        </is>
      </c>
      <c r="D144" s="52" t="inlineStr">
        <is>
          <t>OSA component</t>
        </is>
      </c>
      <c r="E144" s="58" t="inlineStr">
        <is>
          <t>53200 functional; child code not public</t>
        </is>
      </c>
      <c r="F144" s="52" t="inlineStr">
        <is>
          <t>Agile Core Services</t>
        </is>
      </c>
      <c r="G144" s="61" t="inlineStr">
        <is>
          <t>Public gap - current ACS program / product lead not identified</t>
        </is>
      </c>
      <c r="H144" s="52" t="inlineStr">
        <is>
          <t>Current ACS Government lead / product owner</t>
        </is>
      </c>
      <c r="I144" s="52" t="inlineStr">
        <is>
          <t>Public gap</t>
        </is>
      </c>
      <c r="J144" s="52" t="inlineStr">
        <is>
          <t>2026-09-02</t>
        </is>
      </c>
      <c r="K144" s="52" t="inlineStr">
        <is>
          <t>Direct - technical ecosystem</t>
        </is>
      </c>
      <c r="L144" s="52" t="inlineStr">
        <is>
          <t>ACS is an official OSA component and a direct fleet/application services dependency for Application Arsenal delivery.</t>
        </is>
      </c>
      <c r="M144" s="52" t="inlineStr">
        <is>
          <t>Use the published OSA mailbox or solicitation channels; do not infer a current manager from dated SME references.</t>
        </is>
      </c>
      <c r="N144" s="64" t="inlineStr"/>
      <c r="O144" s="64" t="inlineStr"/>
      <c r="P144" s="52" t="inlineStr">
        <is>
          <t>A / High for function; gap for person</t>
        </is>
      </c>
      <c r="Q144" s="67" t="inlineStr">
        <is>
          <t>https://www.niwcpacific.navy.mil/Technology/Overmatch-Software-Armory/</t>
        </is>
      </c>
      <c r="R144" s="67" t="inlineStr">
        <is>
          <t>https://www.dvidshub.net/news/483389/navwar-empowers-fleet-sailors-and-first-responders-with-custom-systems-training</t>
        </is>
      </c>
      <c r="S144" s="52" t="inlineStr">
        <is>
          <t>Accessed 2026-09-02 / 2024-10-17</t>
        </is>
      </c>
      <c r="T144" s="52" t="inlineStr">
        <is>
          <t>Added in augmentation pass. Johnathan Gorbea is retained as a dated ACS SME, not a current ACS manager.</t>
        </is>
      </c>
    </row>
    <row r="145" ht="49" customHeight="1">
      <c r="A145" s="55" t="n">
        <v>138</v>
      </c>
      <c r="B145" s="52" t="inlineStr">
        <is>
          <t>AA chain &amp; adjacent ecosystem</t>
        </is>
      </c>
      <c r="C145" s="52" t="inlineStr">
        <is>
          <t>Code 53200 &gt; Navy Digital Ecosystem &gt; Overmatch Software Armory &gt; Collaborative Staging Environments</t>
        </is>
      </c>
      <c r="D145" s="52" t="inlineStr">
        <is>
          <t>OSA component</t>
        </is>
      </c>
      <c r="E145" s="58" t="inlineStr">
        <is>
          <t>53200 functional; child code not public</t>
        </is>
      </c>
      <c r="F145" s="52" t="inlineStr">
        <is>
          <t>Collaborative Staging Environments</t>
        </is>
      </c>
      <c r="G145" s="61" t="inlineStr">
        <is>
          <t>Public gap - current CSE lead not identified</t>
        </is>
      </c>
      <c r="H145" s="52" t="inlineStr">
        <is>
          <t>Current Collaborative Staging Environments Government lead</t>
        </is>
      </c>
      <c r="I145" s="52" t="inlineStr">
        <is>
          <t>Public gap</t>
        </is>
      </c>
      <c r="J145" s="52" t="inlineStr">
        <is>
          <t>2026-09-02</t>
        </is>
      </c>
      <c r="K145" s="52" t="inlineStr">
        <is>
          <t>Direct - technical ecosystem</t>
        </is>
      </c>
      <c r="L145" s="52" t="inlineStr">
        <is>
          <t>Collaborative Staging Environments are an official OSA component supporting staging and transition of applications toward fleet environments and AA.</t>
        </is>
      </c>
      <c r="M145" s="52" t="inlineStr">
        <is>
          <t>Do not assign a named lead without a fresh official source.</t>
        </is>
      </c>
      <c r="N145" s="64" t="inlineStr"/>
      <c r="O145" s="64" t="inlineStr"/>
      <c r="P145" s="52" t="inlineStr">
        <is>
          <t>A / High for function; gap for person</t>
        </is>
      </c>
      <c r="Q145" s="67" t="inlineStr">
        <is>
          <t>https://www.niwcpacific.navy.mil/Technology/Overmatch-Software-Armory/</t>
        </is>
      </c>
      <c r="R145" s="67" t="inlineStr"/>
      <c r="S145" s="52" t="inlineStr">
        <is>
          <t>Accessed 2026-09-02</t>
        </is>
      </c>
      <c r="T145" s="52" t="inlineStr">
        <is>
          <t>Added in augmentation pass. Function is current; individual lead remains unresolved in public sources.</t>
        </is>
      </c>
    </row>
    <row r="146" ht="49" customHeight="1">
      <c r="A146" s="55" t="n">
        <v>139</v>
      </c>
      <c r="B146" s="52" t="inlineStr">
        <is>
          <t>AA chain &amp; adjacent ecosystem</t>
        </is>
      </c>
      <c r="C146" s="52" t="inlineStr">
        <is>
          <t>Code 53200 &gt; Navy Digital Ecosystem &gt; Overmatch Software Armory &gt; Continuous cyber accreditation / RAISE</t>
        </is>
      </c>
      <c r="D146" s="52" t="inlineStr">
        <is>
          <t>OSA accreditation function</t>
        </is>
      </c>
      <c r="E146" s="58" t="inlineStr">
        <is>
          <t>53200 functional; child code not public</t>
        </is>
      </c>
      <c r="F146" s="52" t="inlineStr">
        <is>
          <t>Rapid Assess and Incorporate Software Engineering (RAISE)</t>
        </is>
      </c>
      <c r="G146" s="61" t="inlineStr">
        <is>
          <t>Public gap - current RAISE / accreditation lead not identified</t>
        </is>
      </c>
      <c r="H146" s="52" t="inlineStr">
        <is>
          <t>Current Government accreditation / ATO lead for OSA or AA path</t>
        </is>
      </c>
      <c r="I146" s="52" t="inlineStr">
        <is>
          <t>Public gap</t>
        </is>
      </c>
      <c r="J146" s="52" t="inlineStr">
        <is>
          <t>2026-09-02</t>
        </is>
      </c>
      <c r="K146" s="52" t="inlineStr">
        <is>
          <t>Direct - delivery governance</t>
        </is>
      </c>
      <c r="L146" s="52" t="inlineStr">
        <is>
          <t>OSA public material ties continuous cyber accreditation and RAISE to reduced ATO timelines, making this a material AA delivery role.</t>
        </is>
      </c>
      <c r="M146" s="52" t="inlineStr">
        <is>
          <t>Treat as a needed role node, not an engagement channel.</t>
        </is>
      </c>
      <c r="N146" s="64" t="inlineStr"/>
      <c r="O146" s="64" t="inlineStr"/>
      <c r="P146" s="52" t="inlineStr">
        <is>
          <t>A / High for function; gap for person</t>
        </is>
      </c>
      <c r="Q146" s="67" t="inlineStr">
        <is>
          <t>https://www.niwcpacific.navy.mil/Technology/Overmatch-Software-Armory/</t>
        </is>
      </c>
      <c r="R146" s="67" t="inlineStr">
        <is>
          <t>https://www.navy.mil/Press-Office/News-Stories/Article/2248847/working-group-promotes-navy-application-modernization-and-accelerated-delivery/</t>
        </is>
      </c>
      <c r="S146" s="52" t="inlineStr">
        <is>
          <t>Accessed 2026-09-02 / 2018</t>
        </is>
      </c>
      <c r="T146" s="52" t="inlineStr">
        <is>
          <t>Added in augmentation pass. No public source found naming a current RAISE/accreditation lead.</t>
        </is>
      </c>
    </row>
    <row r="147" ht="49" customHeight="1">
      <c r="A147" s="55" t="n">
        <v>140</v>
      </c>
      <c r="B147" s="52" t="inlineStr">
        <is>
          <t>NIWC PAC application UX interface</t>
        </is>
      </c>
      <c r="C147" s="52" t="inlineStr">
        <is>
          <t>NIWC Pacific &gt; NAVAL UX &gt; User-Centered Design &amp; Engineering</t>
        </is>
      </c>
      <c r="D147" s="52" t="inlineStr">
        <is>
          <t>Branch / design engineering function</t>
        </is>
      </c>
      <c r="E147" s="58" t="inlineStr">
        <is>
          <t>Numeric code not public</t>
        </is>
      </c>
      <c r="F147" s="52" t="inlineStr">
        <is>
          <t>User-Centered Design &amp; Engineering</t>
        </is>
      </c>
      <c r="G147" s="61" t="inlineStr">
        <is>
          <t>Jason H. Wong</t>
        </is>
      </c>
      <c r="H147" s="52" t="inlineStr">
        <is>
          <t>Branch Head, User-Centered Design &amp; Engineering</t>
        </is>
      </c>
      <c r="I147" s="52" t="inlineStr">
        <is>
          <t>Dated / revalidate</t>
        </is>
      </c>
      <c r="J147" s="52" t="inlineStr">
        <is>
          <t>Accessed 2026-09-02</t>
        </is>
      </c>
      <c r="K147" s="52" t="inlineStr">
        <is>
          <t>Application UX / adjacent</t>
        </is>
      </c>
      <c r="L147" s="52" t="inlineStr">
        <is>
          <t>Deep public branch-level UX/design node relevant to AA app usability, product design, and human-centered software delivery.</t>
        </is>
      </c>
      <c r="M147" s="52" t="inlineStr">
        <is>
          <t>Technical/community interface only; not AA ownership or RFP authority.</t>
        </is>
      </c>
      <c r="N147" s="64" t="inlineStr"/>
      <c r="O147" s="64" t="inlineStr"/>
      <c r="P147" s="52" t="inlineStr">
        <is>
          <t>A / High for public role; AA specificity medium</t>
        </is>
      </c>
      <c r="Q147" s="67" t="inlineStr">
        <is>
          <t>https://www.niwcpacific.navy.mil/Connect/Events/NAVAL-UX/</t>
        </is>
      </c>
      <c r="R147" s="67" t="inlineStr"/>
      <c r="S147" s="52" t="inlineStr">
        <is>
          <t>Accessed 2026-09-02</t>
        </is>
      </c>
      <c r="T147" s="52" t="inlineStr">
        <is>
          <t>Added in augmentation pass from the official NIWC Pacific NAVAL UX page.</t>
        </is>
      </c>
    </row>
    <row r="148" ht="49" customHeight="1">
      <c r="A148" s="55" t="n">
        <v>141</v>
      </c>
      <c r="B148" s="52" t="inlineStr">
        <is>
          <t>NIWC PAC application UX interface</t>
        </is>
      </c>
      <c r="C148" s="52" t="inlineStr">
        <is>
          <t>NIWC Pacific &gt; NAVAL UX &gt; Cognitive and Decision Science</t>
        </is>
      </c>
      <c r="D148" s="52" t="inlineStr">
        <is>
          <t>Senior technologist domain</t>
        </is>
      </c>
      <c r="E148" s="58" t="inlineStr">
        <is>
          <t>Numeric code not public</t>
        </is>
      </c>
      <c r="F148" s="52" t="inlineStr">
        <is>
          <t>Cognitive and Decision Science</t>
        </is>
      </c>
      <c r="G148" s="61" t="inlineStr">
        <is>
          <t>Jamie Lukos</t>
        </is>
      </c>
      <c r="H148" s="52" t="inlineStr">
        <is>
          <t>Senior Technologist for Cognitive and Decision Science</t>
        </is>
      </c>
      <c r="I148" s="52" t="inlineStr">
        <is>
          <t>Dated / revalidate</t>
        </is>
      </c>
      <c r="J148" s="52" t="inlineStr">
        <is>
          <t>Accessed 2026-09-02</t>
        </is>
      </c>
      <c r="K148" s="52" t="inlineStr">
        <is>
          <t>C2 decision workflows / adjacent</t>
        </is>
      </c>
      <c r="L148" s="52" t="inlineStr">
        <is>
          <t>Relevant to decision-support application design, human factors, and C2 workflows that may shape AA-delivered applications.</t>
        </is>
      </c>
      <c r="M148" s="52" t="inlineStr">
        <is>
          <t>Technical/community interface only; not AA ownership or RFP authority.</t>
        </is>
      </c>
      <c r="N148" s="64" t="inlineStr"/>
      <c r="O148" s="64" t="inlineStr"/>
      <c r="P148" s="52" t="inlineStr">
        <is>
          <t>A / High for public role; AA specificity medium</t>
        </is>
      </c>
      <c r="Q148" s="67" t="inlineStr">
        <is>
          <t>https://www.niwcpacific.navy.mil/Connect/Events/NAVAL-UX/</t>
        </is>
      </c>
      <c r="R148" s="67" t="inlineStr"/>
      <c r="S148" s="52" t="inlineStr">
        <is>
          <t>Accessed 2026-09-02</t>
        </is>
      </c>
      <c r="T148" s="52" t="inlineStr">
        <is>
          <t>Added in augmentation pass from the official NIWC Pacific NAVAL UX page.</t>
        </is>
      </c>
    </row>
    <row r="149" ht="49" customHeight="1">
      <c r="A149" s="55" t="n">
        <v>142</v>
      </c>
      <c r="B149" s="52" t="inlineStr">
        <is>
          <t>NAVWAR industry interface</t>
        </is>
      </c>
      <c r="C149" s="52" t="inlineStr">
        <is>
          <t>NAVWAR &gt; Office of Small Business Programs</t>
        </is>
      </c>
      <c r="D149" s="52" t="inlineStr">
        <is>
          <t>Advisory office</t>
        </is>
      </c>
      <c r="E149" s="58" t="inlineStr"/>
      <c r="F149" s="52" t="inlineStr">
        <is>
          <t>Office of Small Business Programs</t>
        </is>
      </c>
      <c r="G149" s="61" t="inlineStr">
        <is>
          <t>Kimberly Reidy</t>
        </is>
      </c>
      <c r="H149" s="52" t="inlineStr">
        <is>
          <t>Director, Office of Small Business Programs, NAVWAR</t>
        </is>
      </c>
      <c r="I149" s="52" t="inlineStr">
        <is>
          <t>Dated / revalidate</t>
        </is>
      </c>
      <c r="J149" s="52" t="inlineStr">
        <is>
          <t>2026-05-20</t>
        </is>
      </c>
      <c r="K149" s="52" t="inlineStr">
        <is>
          <t>Industry interface / indirect</t>
        </is>
      </c>
      <c r="L149" s="52" t="inlineStr">
        <is>
          <t>Upstream NAVWAR small-business and industry-engagement leader present in the same public Code 532 industry event as John Barrie.</t>
        </is>
      </c>
      <c r="M149" s="52" t="inlineStr">
        <is>
          <t>General industry interface; not an AA RFP contact unless the solicitation team directs otherwise.</t>
        </is>
      </c>
      <c r="N149" s="64" t="inlineStr"/>
      <c r="O149" s="64" t="inlineStr"/>
      <c r="P149" s="52" t="inlineStr">
        <is>
          <t>A / High for event role; currentness revalidate</t>
        </is>
      </c>
      <c r="Q149" s="67" t="inlineStr">
        <is>
          <t>https://www.ndia-sd.org/event/sb-committee-meeting-may-20/</t>
        </is>
      </c>
      <c r="R149" s="67" t="inlineStr"/>
      <c r="S149" s="52" t="inlineStr">
        <is>
          <t>2026-05-20</t>
        </is>
      </c>
      <c r="T149" s="52" t="inlineStr">
        <is>
          <t>Added in augmentation pass. Source is an industry-event agenda, not an official NAVWAR staff directory.</t>
        </is>
      </c>
    </row>
    <row r="150" ht="49" customHeight="1">
      <c r="A150" s="55" t="n">
        <v>143</v>
      </c>
      <c r="B150" s="52" t="inlineStr">
        <is>
          <t>NAVWAR industry interface</t>
        </is>
      </c>
      <c r="C150" s="52" t="inlineStr">
        <is>
          <t>NAVWAR &gt; Office of Small Business Programs</t>
        </is>
      </c>
      <c r="D150" s="52" t="inlineStr">
        <is>
          <t>Advisory office / staff</t>
        </is>
      </c>
      <c r="E150" s="58" t="inlineStr"/>
      <c r="F150" s="52" t="inlineStr">
        <is>
          <t>Office of Small Business Programs</t>
        </is>
      </c>
      <c r="G150" s="61" t="inlineStr">
        <is>
          <t>Caleb Foster</t>
        </is>
      </c>
      <c r="H150" s="52" t="inlineStr">
        <is>
          <t>Small Business Programs, NAVWAR</t>
        </is>
      </c>
      <c r="I150" s="52" t="inlineStr">
        <is>
          <t>Dated / revalidate</t>
        </is>
      </c>
      <c r="J150" s="52" t="inlineStr">
        <is>
          <t>2026-05-20</t>
        </is>
      </c>
      <c r="K150" s="52" t="inlineStr">
        <is>
          <t>Industry interface / indirect</t>
        </is>
      </c>
      <c r="L150" s="52" t="inlineStr">
        <is>
          <t>Public NAVWAR small-business programs contact appearing in the same Code 532 industry-event context.</t>
        </is>
      </c>
      <c r="M150" s="52" t="inlineStr">
        <is>
          <t>General small-business interface; not an AA RFP contact unless separately named in solicitation materials.</t>
        </is>
      </c>
      <c r="N150" s="64" t="inlineStr"/>
      <c r="O150" s="64" t="inlineStr"/>
      <c r="P150" s="52" t="inlineStr">
        <is>
          <t>B / Medium-high for event role; title specificity limited</t>
        </is>
      </c>
      <c r="Q150" s="67" t="inlineStr">
        <is>
          <t>https://www.ndia-sd.org/event/sb-committee-meeting-may-20/</t>
        </is>
      </c>
      <c r="R150" s="67" t="inlineStr"/>
      <c r="S150" s="52" t="inlineStr">
        <is>
          <t>2026-05-20</t>
        </is>
      </c>
      <c r="T150" s="52" t="inlineStr">
        <is>
          <t>Added in augmentation pass. Event agenda gives organization/function but not a detailed billet title.</t>
        </is>
      </c>
    </row>
    <row r="151" ht="49" customHeight="1">
      <c r="A151" s="55" t="n">
        <v>144</v>
      </c>
      <c r="B151" s="52" t="inlineStr">
        <is>
          <t>External rapid capability overlay</t>
        </is>
      </c>
      <c r="C151" s="52" t="inlineStr">
        <is>
          <t>Department of the Navy &gt; Rapid Capabilities Office</t>
        </is>
      </c>
      <c r="D151" s="52" t="inlineStr">
        <is>
          <t>Rapid capability interface</t>
        </is>
      </c>
      <c r="E151" s="58" t="inlineStr"/>
      <c r="F151" s="52" t="inlineStr">
        <is>
          <t>DON Rapid Capabilities Office</t>
        </is>
      </c>
      <c r="G151" s="61" t="inlineStr">
        <is>
          <t>Jared Kaib</t>
        </is>
      </c>
      <c r="H151" s="52" t="inlineStr">
        <is>
          <t>Public POC for DON RCO overview in NIWC Pacific industry-brief deck</t>
        </is>
      </c>
      <c r="I151" s="52" t="inlineStr">
        <is>
          <t>Dated / revalidate</t>
        </is>
      </c>
      <c r="J151" s="52" t="inlineStr">
        <is>
          <t>2026-05-07</t>
        </is>
      </c>
      <c r="K151" s="52" t="inlineStr">
        <is>
          <t>Rapid acquisition / adjacent</t>
        </is>
      </c>
      <c r="L151" s="52" t="inlineStr">
        <is>
          <t>Potentially relevant to rapid experimentation or transition paths around OSA/AA-adjacent software capabilities; no direct AA ownership found.</t>
        </is>
      </c>
      <c r="M151" s="52" t="inlineStr">
        <is>
          <t>External overlay only; not NIWC Pacific reporting chain and not AA RFP authority.</t>
        </is>
      </c>
      <c r="N151" s="64" t="inlineStr"/>
      <c r="O151" s="64" t="inlineStr"/>
      <c r="P151" s="52" t="inlineStr">
        <is>
          <t>B / Medium-high</t>
        </is>
      </c>
      <c r="Q151" s="67" t="inlineStr">
        <is>
          <t>https://www.ndia-sd.org/wp-content/uploads/2026/05/NDIA-7-May-2026-Combined-video-embedded.pdf</t>
        </is>
      </c>
      <c r="R151" s="67" t="inlineStr"/>
      <c r="S151" s="52" t="inlineStr">
        <is>
          <t>2026-05-07</t>
        </is>
      </c>
      <c r="T151" s="52" t="inlineStr">
        <is>
          <t>Added in augmentation pass. Included as adjacent public interface because it appears in the NIWC Pacific May 2026 industry day deck.</t>
        </is>
      </c>
    </row>
    <row r="152" ht="49" customHeight="1">
      <c r="A152" s="55" t="n">
        <v>145</v>
      </c>
      <c r="B152" s="52" t="inlineStr">
        <is>
          <t>NIWC PAC public affairs interface</t>
        </is>
      </c>
      <c r="C152" s="52" t="inlineStr">
        <is>
          <t>NIWC Pacific &gt; Public Affairs / NAML media interface</t>
        </is>
      </c>
      <c r="D152" s="52" t="inlineStr">
        <is>
          <t>Public affairs director</t>
        </is>
      </c>
      <c r="E152" s="58" t="inlineStr"/>
      <c r="F152" s="52" t="inlineStr">
        <is>
          <t>Public Affairs</t>
        </is>
      </c>
      <c r="G152" s="61" t="inlineStr">
        <is>
          <t>Darian Wilson</t>
        </is>
      </c>
      <c r="H152" s="52" t="inlineStr">
        <is>
          <t>Corporate Communications and Public Affairs Director; media route for NIWC Pacific or NAML SME interviews</t>
        </is>
      </c>
      <c r="I152" s="52" t="inlineStr">
        <is>
          <t>Dated / revalidate</t>
        </is>
      </c>
      <c r="J152" s="52" t="inlineStr">
        <is>
          <t>2026-09</t>
        </is>
      </c>
      <c r="K152" s="52" t="inlineStr">
        <is>
          <t>Access route / indirect</t>
        </is>
      </c>
      <c r="L152" s="52" t="inlineStr">
        <is>
          <t>Useful public route for requesting NIWC Pacific or NAML subject-matter interviews; not a technical AA POC.</t>
        </is>
      </c>
      <c r="M152" s="52" t="inlineStr">
        <is>
          <t>Public affairs gateway only; not procurement or technical authority.</t>
        </is>
      </c>
      <c r="N152" s="64" t="inlineStr"/>
      <c r="O152" s="64" t="inlineStr"/>
      <c r="P152" s="52" t="inlineStr">
        <is>
          <t>B / Medium</t>
        </is>
      </c>
      <c r="Q152" s="67" t="inlineStr">
        <is>
          <t>https://www.dvidshub.net/news/559471/niwc-pacific-afcea-international-san-diego-host-naml-2026-advance-machine-learning-warfighter</t>
        </is>
      </c>
      <c r="R152" s="67" t="inlineStr">
        <is>
          <t>https://www.niwcpacific.navy.mil/Connect/Events/Naval-Applications-of-Machine-Learning-NAML/</t>
        </is>
      </c>
      <c r="S152" s="52" t="inlineStr">
        <is>
          <t>2026-09</t>
        </is>
      </c>
      <c r="T152" s="52" t="inlineStr">
        <is>
          <t>Added in augmentation pass because public source names a route for SME interviews, not because of direct AA ownership.</t>
        </is>
      </c>
    </row>
  </sheetData>
  <autoFilter ref="A7:T152"/>
  <mergeCells count="5">
    <mergeCell ref="A1:T1"/>
    <mergeCell ref="A5:T5"/>
    <mergeCell ref="A4:T4"/>
    <mergeCell ref="A2:T2"/>
    <mergeCell ref="I3:T3"/>
  </mergeCells>
  <conditionalFormatting sqref="I8:I135">
    <cfRule type="containsText" priority="1" operator="containsText" dxfId="0" text="Current"/>
    <cfRule type="containsText" priority="2" operator="containsText" dxfId="1" text="Historical"/>
    <cfRule type="containsText" priority="3" operator="containsText" dxfId="2" text="Forecast"/>
    <cfRule type="containsText" priority="4" operator="containsText" dxfId="3" text="Dated / revalidate"/>
    <cfRule type="containsText" priority="5" operator="containsText" dxfId="4" text="Public gap"/>
    <cfRule type="containsText" priority="6" operator="containsText" dxfId="4" text="Unverified"/>
    <cfRule type="containsText" priority="7" operator="containsText" dxfId="6" text="Official channel"/>
  </conditionalFormatting>
  <conditionalFormatting sqref="K8:K135">
    <cfRule type="containsText" priority="8" operator="containsText" dxfId="6" text="Direct"/>
  </conditionalFormatting>
  <conditionalFormatting sqref="G8:G135">
    <cfRule type="beginsWith" priority="9" operator="beginsWith" dxfId="4" text="Public gap"/>
    <cfRule type="beginsWith" priority="10" operator="beginsWith" dxfId="3" text="No permanent head"/>
  </conditionalFormatting>
  <conditionalFormatting sqref="P8:P135">
    <cfRule type="beginsWith" priority="11" operator="beginsWith" dxfId="0" text="A"/>
    <cfRule type="beginsWith" priority="12" operator="beginsWith" dxfId="11" text="B"/>
    <cfRule type="beginsWith" priority="13" operator="beginsWith" dxfId="12" text="C"/>
  </conditionalFormatting>
  <hyperlinks>
    <hyperlink xmlns:r="http://schemas.openxmlformats.org/officeDocument/2006/relationships" ref="Q8" r:id="rId1"/>
    <hyperlink xmlns:r="http://schemas.openxmlformats.org/officeDocument/2006/relationships" ref="Q9" r:id="rId2"/>
    <hyperlink xmlns:r="http://schemas.openxmlformats.org/officeDocument/2006/relationships" ref="Q10" r:id="rId3"/>
    <hyperlink xmlns:r="http://schemas.openxmlformats.org/officeDocument/2006/relationships" ref="R10" r:id="rId4"/>
    <hyperlink xmlns:r="http://schemas.openxmlformats.org/officeDocument/2006/relationships" ref="Q11" r:id="rId5"/>
    <hyperlink xmlns:r="http://schemas.openxmlformats.org/officeDocument/2006/relationships" ref="Q12" r:id="rId6"/>
    <hyperlink xmlns:r="http://schemas.openxmlformats.org/officeDocument/2006/relationships" ref="R12" r:id="rId7"/>
    <hyperlink xmlns:r="http://schemas.openxmlformats.org/officeDocument/2006/relationships" ref="Q13" r:id="rId8"/>
    <hyperlink xmlns:r="http://schemas.openxmlformats.org/officeDocument/2006/relationships" ref="R13" r:id="rId9"/>
    <hyperlink xmlns:r="http://schemas.openxmlformats.org/officeDocument/2006/relationships" ref="Q14" r:id="rId10"/>
    <hyperlink xmlns:r="http://schemas.openxmlformats.org/officeDocument/2006/relationships" ref="Q15" r:id="rId11"/>
    <hyperlink xmlns:r="http://schemas.openxmlformats.org/officeDocument/2006/relationships" ref="R15" r:id="rId12"/>
    <hyperlink xmlns:r="http://schemas.openxmlformats.org/officeDocument/2006/relationships" ref="Q16" r:id="rId13"/>
    <hyperlink xmlns:r="http://schemas.openxmlformats.org/officeDocument/2006/relationships" ref="Q17" r:id="rId14"/>
    <hyperlink xmlns:r="http://schemas.openxmlformats.org/officeDocument/2006/relationships" ref="N18" r:id="rId15"/>
    <hyperlink xmlns:r="http://schemas.openxmlformats.org/officeDocument/2006/relationships" ref="Q18" r:id="rId16"/>
    <hyperlink xmlns:r="http://schemas.openxmlformats.org/officeDocument/2006/relationships" ref="R18" r:id="rId17"/>
    <hyperlink xmlns:r="http://schemas.openxmlformats.org/officeDocument/2006/relationships" ref="N19" r:id="rId18"/>
    <hyperlink xmlns:r="http://schemas.openxmlformats.org/officeDocument/2006/relationships" ref="Q19" r:id="rId19"/>
    <hyperlink xmlns:r="http://schemas.openxmlformats.org/officeDocument/2006/relationships" ref="R19" r:id="rId20"/>
    <hyperlink xmlns:r="http://schemas.openxmlformats.org/officeDocument/2006/relationships" ref="Q20" r:id="rId21"/>
    <hyperlink xmlns:r="http://schemas.openxmlformats.org/officeDocument/2006/relationships" ref="N21" r:id="rId22"/>
    <hyperlink xmlns:r="http://schemas.openxmlformats.org/officeDocument/2006/relationships" ref="Q21" r:id="rId23"/>
    <hyperlink xmlns:r="http://schemas.openxmlformats.org/officeDocument/2006/relationships" ref="Q22" r:id="rId24"/>
    <hyperlink xmlns:r="http://schemas.openxmlformats.org/officeDocument/2006/relationships" ref="R22" r:id="rId25"/>
    <hyperlink xmlns:r="http://schemas.openxmlformats.org/officeDocument/2006/relationships" ref="N23" r:id="rId26"/>
    <hyperlink xmlns:r="http://schemas.openxmlformats.org/officeDocument/2006/relationships" ref="Q23" r:id="rId27"/>
    <hyperlink xmlns:r="http://schemas.openxmlformats.org/officeDocument/2006/relationships" ref="Q24" r:id="rId28"/>
    <hyperlink xmlns:r="http://schemas.openxmlformats.org/officeDocument/2006/relationships" ref="Q25" r:id="rId29"/>
    <hyperlink xmlns:r="http://schemas.openxmlformats.org/officeDocument/2006/relationships" ref="Q26" r:id="rId30"/>
    <hyperlink xmlns:r="http://schemas.openxmlformats.org/officeDocument/2006/relationships" ref="R26" r:id="rId31"/>
    <hyperlink xmlns:r="http://schemas.openxmlformats.org/officeDocument/2006/relationships" ref="Q27" r:id="rId32"/>
    <hyperlink xmlns:r="http://schemas.openxmlformats.org/officeDocument/2006/relationships" ref="R27" r:id="rId33"/>
    <hyperlink xmlns:r="http://schemas.openxmlformats.org/officeDocument/2006/relationships" ref="Q28" r:id="rId34"/>
    <hyperlink xmlns:r="http://schemas.openxmlformats.org/officeDocument/2006/relationships" ref="R28" r:id="rId35"/>
    <hyperlink xmlns:r="http://schemas.openxmlformats.org/officeDocument/2006/relationships" ref="Q29" r:id="rId36"/>
    <hyperlink xmlns:r="http://schemas.openxmlformats.org/officeDocument/2006/relationships" ref="Q30" r:id="rId37"/>
    <hyperlink xmlns:r="http://schemas.openxmlformats.org/officeDocument/2006/relationships" ref="Q31" r:id="rId38"/>
    <hyperlink xmlns:r="http://schemas.openxmlformats.org/officeDocument/2006/relationships" ref="Q32" r:id="rId39"/>
    <hyperlink xmlns:r="http://schemas.openxmlformats.org/officeDocument/2006/relationships" ref="N33" r:id="rId40"/>
    <hyperlink xmlns:r="http://schemas.openxmlformats.org/officeDocument/2006/relationships" ref="Q33" r:id="rId41"/>
    <hyperlink xmlns:r="http://schemas.openxmlformats.org/officeDocument/2006/relationships" ref="Q34" r:id="rId42"/>
    <hyperlink xmlns:r="http://schemas.openxmlformats.org/officeDocument/2006/relationships" ref="Q35" r:id="rId43"/>
    <hyperlink xmlns:r="http://schemas.openxmlformats.org/officeDocument/2006/relationships" ref="Q36" r:id="rId44"/>
    <hyperlink xmlns:r="http://schemas.openxmlformats.org/officeDocument/2006/relationships" ref="Q37" r:id="rId45"/>
    <hyperlink xmlns:r="http://schemas.openxmlformats.org/officeDocument/2006/relationships" ref="Q38" r:id="rId46"/>
    <hyperlink xmlns:r="http://schemas.openxmlformats.org/officeDocument/2006/relationships" ref="R38" r:id="rId47"/>
    <hyperlink xmlns:r="http://schemas.openxmlformats.org/officeDocument/2006/relationships" ref="Q39" r:id="rId48"/>
    <hyperlink xmlns:r="http://schemas.openxmlformats.org/officeDocument/2006/relationships" ref="R39" r:id="rId49"/>
    <hyperlink xmlns:r="http://schemas.openxmlformats.org/officeDocument/2006/relationships" ref="Q40" r:id="rId50"/>
    <hyperlink xmlns:r="http://schemas.openxmlformats.org/officeDocument/2006/relationships" ref="Q41" r:id="rId51"/>
    <hyperlink xmlns:r="http://schemas.openxmlformats.org/officeDocument/2006/relationships" ref="R41" r:id="rId52"/>
    <hyperlink xmlns:r="http://schemas.openxmlformats.org/officeDocument/2006/relationships" ref="Q42" r:id="rId53"/>
    <hyperlink xmlns:r="http://schemas.openxmlformats.org/officeDocument/2006/relationships" ref="Q43" r:id="rId54"/>
    <hyperlink xmlns:r="http://schemas.openxmlformats.org/officeDocument/2006/relationships" ref="R43" r:id="rId55"/>
    <hyperlink xmlns:r="http://schemas.openxmlformats.org/officeDocument/2006/relationships" ref="Q44" r:id="rId56"/>
    <hyperlink xmlns:r="http://schemas.openxmlformats.org/officeDocument/2006/relationships" ref="Q45" r:id="rId57"/>
    <hyperlink xmlns:r="http://schemas.openxmlformats.org/officeDocument/2006/relationships" ref="Q46" r:id="rId58"/>
    <hyperlink xmlns:r="http://schemas.openxmlformats.org/officeDocument/2006/relationships" ref="Q47" r:id="rId59"/>
    <hyperlink xmlns:r="http://schemas.openxmlformats.org/officeDocument/2006/relationships" ref="Q48" r:id="rId60"/>
    <hyperlink xmlns:r="http://schemas.openxmlformats.org/officeDocument/2006/relationships" ref="Q49" r:id="rId61"/>
    <hyperlink xmlns:r="http://schemas.openxmlformats.org/officeDocument/2006/relationships" ref="R49" r:id="rId62"/>
    <hyperlink xmlns:r="http://schemas.openxmlformats.org/officeDocument/2006/relationships" ref="Q50" r:id="rId63"/>
    <hyperlink xmlns:r="http://schemas.openxmlformats.org/officeDocument/2006/relationships" ref="Q51" r:id="rId64"/>
    <hyperlink xmlns:r="http://schemas.openxmlformats.org/officeDocument/2006/relationships" ref="Q52" r:id="rId65"/>
    <hyperlink xmlns:r="http://schemas.openxmlformats.org/officeDocument/2006/relationships" ref="Q53" r:id="rId66"/>
    <hyperlink xmlns:r="http://schemas.openxmlformats.org/officeDocument/2006/relationships" ref="R53" r:id="rId67"/>
    <hyperlink xmlns:r="http://schemas.openxmlformats.org/officeDocument/2006/relationships" ref="Q54" r:id="rId68"/>
    <hyperlink xmlns:r="http://schemas.openxmlformats.org/officeDocument/2006/relationships" ref="R54" r:id="rId69"/>
    <hyperlink xmlns:r="http://schemas.openxmlformats.org/officeDocument/2006/relationships" ref="Q55" r:id="rId70"/>
    <hyperlink xmlns:r="http://schemas.openxmlformats.org/officeDocument/2006/relationships" ref="R55" r:id="rId71"/>
    <hyperlink xmlns:r="http://schemas.openxmlformats.org/officeDocument/2006/relationships" ref="Q56" r:id="rId72"/>
    <hyperlink xmlns:r="http://schemas.openxmlformats.org/officeDocument/2006/relationships" ref="Q57" r:id="rId73"/>
    <hyperlink xmlns:r="http://schemas.openxmlformats.org/officeDocument/2006/relationships" ref="Q58" r:id="rId74"/>
    <hyperlink xmlns:r="http://schemas.openxmlformats.org/officeDocument/2006/relationships" ref="Q59" r:id="rId75"/>
    <hyperlink xmlns:r="http://schemas.openxmlformats.org/officeDocument/2006/relationships" ref="Q60" r:id="rId76"/>
    <hyperlink xmlns:r="http://schemas.openxmlformats.org/officeDocument/2006/relationships" ref="Q61" r:id="rId77"/>
    <hyperlink xmlns:r="http://schemas.openxmlformats.org/officeDocument/2006/relationships" ref="Q62" r:id="rId78"/>
    <hyperlink xmlns:r="http://schemas.openxmlformats.org/officeDocument/2006/relationships" ref="Q63" r:id="rId79"/>
    <hyperlink xmlns:r="http://schemas.openxmlformats.org/officeDocument/2006/relationships" ref="Q64" r:id="rId80"/>
    <hyperlink xmlns:r="http://schemas.openxmlformats.org/officeDocument/2006/relationships" ref="Q65" r:id="rId81"/>
    <hyperlink xmlns:r="http://schemas.openxmlformats.org/officeDocument/2006/relationships" ref="Q66" r:id="rId82"/>
    <hyperlink xmlns:r="http://schemas.openxmlformats.org/officeDocument/2006/relationships" ref="Q67" r:id="rId83"/>
    <hyperlink xmlns:r="http://schemas.openxmlformats.org/officeDocument/2006/relationships" ref="Q68" r:id="rId84"/>
    <hyperlink xmlns:r="http://schemas.openxmlformats.org/officeDocument/2006/relationships" ref="Q69" r:id="rId85"/>
    <hyperlink xmlns:r="http://schemas.openxmlformats.org/officeDocument/2006/relationships" ref="R69" r:id="rId86"/>
    <hyperlink xmlns:r="http://schemas.openxmlformats.org/officeDocument/2006/relationships" ref="Q70" r:id="rId87"/>
    <hyperlink xmlns:r="http://schemas.openxmlformats.org/officeDocument/2006/relationships" ref="R70" r:id="rId88"/>
    <hyperlink xmlns:r="http://schemas.openxmlformats.org/officeDocument/2006/relationships" ref="Q71" r:id="rId89"/>
    <hyperlink xmlns:r="http://schemas.openxmlformats.org/officeDocument/2006/relationships" ref="Q72" r:id="rId90"/>
    <hyperlink xmlns:r="http://schemas.openxmlformats.org/officeDocument/2006/relationships" ref="Q73" r:id="rId91"/>
    <hyperlink xmlns:r="http://schemas.openxmlformats.org/officeDocument/2006/relationships" ref="Q74" r:id="rId92"/>
    <hyperlink xmlns:r="http://schemas.openxmlformats.org/officeDocument/2006/relationships" ref="Q75" r:id="rId93"/>
    <hyperlink xmlns:r="http://schemas.openxmlformats.org/officeDocument/2006/relationships" ref="Q76" r:id="rId94"/>
    <hyperlink xmlns:r="http://schemas.openxmlformats.org/officeDocument/2006/relationships" ref="N77" r:id="rId95"/>
    <hyperlink xmlns:r="http://schemas.openxmlformats.org/officeDocument/2006/relationships" ref="Q77" r:id="rId96"/>
    <hyperlink xmlns:r="http://schemas.openxmlformats.org/officeDocument/2006/relationships" ref="Q78" r:id="rId97"/>
    <hyperlink xmlns:r="http://schemas.openxmlformats.org/officeDocument/2006/relationships" ref="R78" r:id="rId98"/>
    <hyperlink xmlns:r="http://schemas.openxmlformats.org/officeDocument/2006/relationships" ref="Q79" r:id="rId99"/>
    <hyperlink xmlns:r="http://schemas.openxmlformats.org/officeDocument/2006/relationships" ref="Q80" r:id="rId100"/>
    <hyperlink xmlns:r="http://schemas.openxmlformats.org/officeDocument/2006/relationships" ref="Q81" r:id="rId101"/>
    <hyperlink xmlns:r="http://schemas.openxmlformats.org/officeDocument/2006/relationships" ref="Q82" r:id="rId102"/>
    <hyperlink xmlns:r="http://schemas.openxmlformats.org/officeDocument/2006/relationships" ref="R82" r:id="rId103"/>
    <hyperlink xmlns:r="http://schemas.openxmlformats.org/officeDocument/2006/relationships" ref="Q83" r:id="rId104"/>
    <hyperlink xmlns:r="http://schemas.openxmlformats.org/officeDocument/2006/relationships" ref="Q84" r:id="rId105"/>
    <hyperlink xmlns:r="http://schemas.openxmlformats.org/officeDocument/2006/relationships" ref="Q85" r:id="rId106"/>
    <hyperlink xmlns:r="http://schemas.openxmlformats.org/officeDocument/2006/relationships" ref="Q86" r:id="rId107"/>
    <hyperlink xmlns:r="http://schemas.openxmlformats.org/officeDocument/2006/relationships" ref="N87" r:id="rId108"/>
    <hyperlink xmlns:r="http://schemas.openxmlformats.org/officeDocument/2006/relationships" ref="Q87" r:id="rId109"/>
    <hyperlink xmlns:r="http://schemas.openxmlformats.org/officeDocument/2006/relationships" ref="Q88" r:id="rId110"/>
    <hyperlink xmlns:r="http://schemas.openxmlformats.org/officeDocument/2006/relationships" ref="Q89" r:id="rId111"/>
    <hyperlink xmlns:r="http://schemas.openxmlformats.org/officeDocument/2006/relationships" ref="Q90" r:id="rId112"/>
    <hyperlink xmlns:r="http://schemas.openxmlformats.org/officeDocument/2006/relationships" ref="Q91" r:id="rId113"/>
    <hyperlink xmlns:r="http://schemas.openxmlformats.org/officeDocument/2006/relationships" ref="Q92" r:id="rId114"/>
    <hyperlink xmlns:r="http://schemas.openxmlformats.org/officeDocument/2006/relationships" ref="Q93" r:id="rId115"/>
    <hyperlink xmlns:r="http://schemas.openxmlformats.org/officeDocument/2006/relationships" ref="R93" r:id="rId116"/>
    <hyperlink xmlns:r="http://schemas.openxmlformats.org/officeDocument/2006/relationships" ref="Q94" r:id="rId117"/>
    <hyperlink xmlns:r="http://schemas.openxmlformats.org/officeDocument/2006/relationships" ref="Q95" r:id="rId118"/>
    <hyperlink xmlns:r="http://schemas.openxmlformats.org/officeDocument/2006/relationships" ref="N96" r:id="rId119"/>
    <hyperlink xmlns:r="http://schemas.openxmlformats.org/officeDocument/2006/relationships" ref="Q96" r:id="rId120"/>
    <hyperlink xmlns:r="http://schemas.openxmlformats.org/officeDocument/2006/relationships" ref="N97" r:id="rId121"/>
    <hyperlink xmlns:r="http://schemas.openxmlformats.org/officeDocument/2006/relationships" ref="Q97" r:id="rId122"/>
    <hyperlink xmlns:r="http://schemas.openxmlformats.org/officeDocument/2006/relationships" ref="N98" r:id="rId123"/>
    <hyperlink xmlns:r="http://schemas.openxmlformats.org/officeDocument/2006/relationships" ref="Q98" r:id="rId124"/>
    <hyperlink xmlns:r="http://schemas.openxmlformats.org/officeDocument/2006/relationships" ref="N99" r:id="rId125"/>
    <hyperlink xmlns:r="http://schemas.openxmlformats.org/officeDocument/2006/relationships" ref="Q99" r:id="rId126"/>
    <hyperlink xmlns:r="http://schemas.openxmlformats.org/officeDocument/2006/relationships" ref="R99" r:id="rId127"/>
    <hyperlink xmlns:r="http://schemas.openxmlformats.org/officeDocument/2006/relationships" ref="N100" r:id="rId128"/>
    <hyperlink xmlns:r="http://schemas.openxmlformats.org/officeDocument/2006/relationships" ref="Q100" r:id="rId129"/>
    <hyperlink xmlns:r="http://schemas.openxmlformats.org/officeDocument/2006/relationships" ref="R100" r:id="rId130"/>
    <hyperlink xmlns:r="http://schemas.openxmlformats.org/officeDocument/2006/relationships" ref="Q101" r:id="rId131"/>
    <hyperlink xmlns:r="http://schemas.openxmlformats.org/officeDocument/2006/relationships" ref="R101" r:id="rId132"/>
    <hyperlink xmlns:r="http://schemas.openxmlformats.org/officeDocument/2006/relationships" ref="N102" r:id="rId133"/>
    <hyperlink xmlns:r="http://schemas.openxmlformats.org/officeDocument/2006/relationships" ref="Q102" r:id="rId134"/>
    <hyperlink xmlns:r="http://schemas.openxmlformats.org/officeDocument/2006/relationships" ref="N103" r:id="rId135"/>
    <hyperlink xmlns:r="http://schemas.openxmlformats.org/officeDocument/2006/relationships" ref="Q103" r:id="rId136"/>
    <hyperlink xmlns:r="http://schemas.openxmlformats.org/officeDocument/2006/relationships" ref="R103" r:id="rId137"/>
    <hyperlink xmlns:r="http://schemas.openxmlformats.org/officeDocument/2006/relationships" ref="N104" r:id="rId138"/>
    <hyperlink xmlns:r="http://schemas.openxmlformats.org/officeDocument/2006/relationships" ref="Q104" r:id="rId139"/>
    <hyperlink xmlns:r="http://schemas.openxmlformats.org/officeDocument/2006/relationships" ref="N105" r:id="rId140"/>
    <hyperlink xmlns:r="http://schemas.openxmlformats.org/officeDocument/2006/relationships" ref="Q105" r:id="rId141"/>
    <hyperlink xmlns:r="http://schemas.openxmlformats.org/officeDocument/2006/relationships" ref="N106" r:id="rId142"/>
    <hyperlink xmlns:r="http://schemas.openxmlformats.org/officeDocument/2006/relationships" ref="Q106" r:id="rId143"/>
    <hyperlink xmlns:r="http://schemas.openxmlformats.org/officeDocument/2006/relationships" ref="N107" r:id="rId144"/>
    <hyperlink xmlns:r="http://schemas.openxmlformats.org/officeDocument/2006/relationships" ref="Q107" r:id="rId145"/>
    <hyperlink xmlns:r="http://schemas.openxmlformats.org/officeDocument/2006/relationships" ref="N108" r:id="rId146"/>
    <hyperlink xmlns:r="http://schemas.openxmlformats.org/officeDocument/2006/relationships" ref="Q108" r:id="rId147"/>
    <hyperlink xmlns:r="http://schemas.openxmlformats.org/officeDocument/2006/relationships" ref="N109" r:id="rId148"/>
    <hyperlink xmlns:r="http://schemas.openxmlformats.org/officeDocument/2006/relationships" ref="Q109" r:id="rId149"/>
    <hyperlink xmlns:r="http://schemas.openxmlformats.org/officeDocument/2006/relationships" ref="N110" r:id="rId150"/>
    <hyperlink xmlns:r="http://schemas.openxmlformats.org/officeDocument/2006/relationships" ref="Q110" r:id="rId151"/>
    <hyperlink xmlns:r="http://schemas.openxmlformats.org/officeDocument/2006/relationships" ref="Q111" r:id="rId152"/>
    <hyperlink xmlns:r="http://schemas.openxmlformats.org/officeDocument/2006/relationships" ref="Q112" r:id="rId153"/>
    <hyperlink xmlns:r="http://schemas.openxmlformats.org/officeDocument/2006/relationships" ref="Q113" r:id="rId154"/>
    <hyperlink xmlns:r="http://schemas.openxmlformats.org/officeDocument/2006/relationships" ref="R113" r:id="rId155"/>
    <hyperlink xmlns:r="http://schemas.openxmlformats.org/officeDocument/2006/relationships" ref="Q114" r:id="rId156"/>
    <hyperlink xmlns:r="http://schemas.openxmlformats.org/officeDocument/2006/relationships" ref="R114" r:id="rId157"/>
    <hyperlink xmlns:r="http://schemas.openxmlformats.org/officeDocument/2006/relationships" ref="Q115" r:id="rId158"/>
    <hyperlink xmlns:r="http://schemas.openxmlformats.org/officeDocument/2006/relationships" ref="R115" r:id="rId159"/>
    <hyperlink xmlns:r="http://schemas.openxmlformats.org/officeDocument/2006/relationships" ref="Q116" r:id="rId160"/>
    <hyperlink xmlns:r="http://schemas.openxmlformats.org/officeDocument/2006/relationships" ref="R116" r:id="rId161"/>
    <hyperlink xmlns:r="http://schemas.openxmlformats.org/officeDocument/2006/relationships" ref="Q117" r:id="rId162"/>
    <hyperlink xmlns:r="http://schemas.openxmlformats.org/officeDocument/2006/relationships" ref="R117" r:id="rId163"/>
    <hyperlink xmlns:r="http://schemas.openxmlformats.org/officeDocument/2006/relationships" ref="Q118" r:id="rId164"/>
    <hyperlink xmlns:r="http://schemas.openxmlformats.org/officeDocument/2006/relationships" ref="Q119" r:id="rId165"/>
    <hyperlink xmlns:r="http://schemas.openxmlformats.org/officeDocument/2006/relationships" ref="R119" r:id="rId166"/>
    <hyperlink xmlns:r="http://schemas.openxmlformats.org/officeDocument/2006/relationships" ref="Q120" r:id="rId167"/>
    <hyperlink xmlns:r="http://schemas.openxmlformats.org/officeDocument/2006/relationships" ref="R120" r:id="rId168"/>
    <hyperlink xmlns:r="http://schemas.openxmlformats.org/officeDocument/2006/relationships" ref="Q121" r:id="rId169"/>
    <hyperlink xmlns:r="http://schemas.openxmlformats.org/officeDocument/2006/relationships" ref="R121" r:id="rId170"/>
    <hyperlink xmlns:r="http://schemas.openxmlformats.org/officeDocument/2006/relationships" ref="Q122" r:id="rId171"/>
    <hyperlink xmlns:r="http://schemas.openxmlformats.org/officeDocument/2006/relationships" ref="R122" r:id="rId172"/>
    <hyperlink xmlns:r="http://schemas.openxmlformats.org/officeDocument/2006/relationships" ref="Q123" r:id="rId173"/>
    <hyperlink xmlns:r="http://schemas.openxmlformats.org/officeDocument/2006/relationships" ref="Q124" r:id="rId174"/>
    <hyperlink xmlns:r="http://schemas.openxmlformats.org/officeDocument/2006/relationships" ref="Q125" r:id="rId175"/>
    <hyperlink xmlns:r="http://schemas.openxmlformats.org/officeDocument/2006/relationships" ref="Q126" r:id="rId176"/>
    <hyperlink xmlns:r="http://schemas.openxmlformats.org/officeDocument/2006/relationships" ref="Q127" r:id="rId177"/>
    <hyperlink xmlns:r="http://schemas.openxmlformats.org/officeDocument/2006/relationships" ref="R127" r:id="rId178"/>
    <hyperlink xmlns:r="http://schemas.openxmlformats.org/officeDocument/2006/relationships" ref="Q128" r:id="rId179"/>
    <hyperlink xmlns:r="http://schemas.openxmlformats.org/officeDocument/2006/relationships" ref="R128" r:id="rId180"/>
    <hyperlink xmlns:r="http://schemas.openxmlformats.org/officeDocument/2006/relationships" ref="Q129" r:id="rId181"/>
    <hyperlink xmlns:r="http://schemas.openxmlformats.org/officeDocument/2006/relationships" ref="Q130" r:id="rId182"/>
    <hyperlink xmlns:r="http://schemas.openxmlformats.org/officeDocument/2006/relationships" ref="R130" r:id="rId183"/>
    <hyperlink xmlns:r="http://schemas.openxmlformats.org/officeDocument/2006/relationships" ref="Q131" r:id="rId184"/>
    <hyperlink xmlns:r="http://schemas.openxmlformats.org/officeDocument/2006/relationships" ref="Q132" r:id="rId185"/>
    <hyperlink xmlns:r="http://schemas.openxmlformats.org/officeDocument/2006/relationships" ref="Q133" r:id="rId186"/>
    <hyperlink xmlns:r="http://schemas.openxmlformats.org/officeDocument/2006/relationships" ref="Q134" r:id="rId187"/>
    <hyperlink xmlns:r="http://schemas.openxmlformats.org/officeDocument/2006/relationships" ref="Q135" r:id="rId188"/>
  </hyperlinks>
  <pageMargins left="0.7" right="0.7" top="0.75" bottom="0.75" header="0.3" footer="0.3"/>
  <tableParts count="1">
    <tablePart xmlns:r="http://schemas.openxmlformats.org/officeDocument/2006/relationships" r:id="rId18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2026-09-02T02:37:58Z</dcterms:created>
  <dcterms:modified xsi:type="dcterms:W3CDTF">2026-09-02T02:37:58Z</dcterms:modified>
</cp:coreProperties>
</file>