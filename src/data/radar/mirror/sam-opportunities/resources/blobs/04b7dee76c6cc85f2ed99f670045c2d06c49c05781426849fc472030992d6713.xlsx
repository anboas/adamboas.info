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iwa.Takahashi.JA\OneDrive - US Navy-flankspeed\Desktop\N6264926RA036 (USS RAFAEL PERALTA (Pro 20260002230) - mt\Legal Review\S2 Solicitation\2.02 Soli Attachments\"/>
    </mc:Choice>
  </mc:AlternateContent>
  <xr:revisionPtr revIDLastSave="0" documentId="8_{902C8BF1-E4A1-4C43-AB6A-6D4CB8BE90F2}" xr6:coauthVersionLast="47" xr6:coauthVersionMax="47" xr10:uidLastSave="{00000000-0000-0000-0000-000000000000}"/>
  <bookViews>
    <workbookView xWindow="-120" yWindow="90" windowWidth="29040" windowHeight="15510" tabRatio="944" xr2:uid="{00000000-000D-0000-FFFF-FFFF00000000}"/>
  </bookViews>
  <sheets>
    <sheet name="SUMMARY" sheetId="67" r:id="rId1"/>
    <sheet name="1_38K6112001-A01" sheetId="68" r:id="rId2"/>
    <sheet name="2_38K6112301-A01" sheetId="69" r:id="rId3"/>
    <sheet name="3_38K6112303-A01" sheetId="70" r:id="rId4"/>
    <sheet name="4_38K6112304-A01" sheetId="71" r:id="rId5"/>
    <sheet name="5_38K6112305-A01" sheetId="72" r:id="rId6"/>
    <sheet name="6_38K6112306-A01" sheetId="73" r:id="rId7"/>
    <sheet name="7_38K6112316-A01" sheetId="74" r:id="rId8"/>
    <sheet name="8_38K6112317-A01" sheetId="75" r:id="rId9"/>
    <sheet name="9_38K6112318-A01" sheetId="76" r:id="rId10"/>
    <sheet name="10_38K6112320-A01" sheetId="77" r:id="rId11"/>
    <sheet name="11_38K6112321-A01" sheetId="78" r:id="rId12"/>
    <sheet name="12_38K6112325-A01" sheetId="79" r:id="rId13"/>
    <sheet name="13_38K6113601-A01" sheetId="80" r:id="rId14"/>
    <sheet name="14_38K6113602-A01" sheetId="81" r:id="rId15"/>
    <sheet name="15_38K6113701-A01" sheetId="82" r:id="rId16"/>
    <sheet name="16_38K6113702-A01" sheetId="83" r:id="rId17"/>
    <sheet name="17_38K6113801-A01" sheetId="84" r:id="rId18"/>
    <sheet name="18_38K6144104-A01" sheetId="85" r:id="rId19"/>
    <sheet name="19_38K6145601-A01" sheetId="86" r:id="rId20"/>
    <sheet name="20_38K6151101-A01" sheetId="87" r:id="rId21"/>
    <sheet name="21_38K6152101-A02" sheetId="88" r:id="rId22"/>
    <sheet name="22_38K6154101-A01" sheetId="89" r:id="rId23"/>
    <sheet name="23_38K6154101-T01" sheetId="90" r:id="rId24"/>
    <sheet name="24_38K6154101-T02" sheetId="91" r:id="rId25"/>
    <sheet name="25_38K6154103-A02" sheetId="92" r:id="rId26"/>
    <sheet name="26_38K6158301-A01" sheetId="93" r:id="rId27"/>
    <sheet name="27_38K6164401-A01" sheetId="94" r:id="rId28"/>
    <sheet name="28_38K6165401-A01" sheetId="95" r:id="rId29"/>
    <sheet name="29_38K6169901-A01" sheetId="96" r:id="rId30"/>
    <sheet name="30_38K6171101-A01" sheetId="97" r:id="rId31"/>
    <sheet name="31_38K6186301-A01" sheetId="98" r:id="rId32"/>
    <sheet name="MASTER" sheetId="42" r:id="rId33"/>
  </sheets>
  <definedNames>
    <definedName name="_xlnm.Print_Area" localSheetId="1">'1_38K6112001-A01'!$A$1:$L$80</definedName>
    <definedName name="_xlnm.Print_Area" localSheetId="10">'10_38K6112320-A01'!$A$1:$L$80</definedName>
    <definedName name="_xlnm.Print_Area" localSheetId="11">'11_38K6112321-A01'!$A$1:$L$80</definedName>
    <definedName name="_xlnm.Print_Area" localSheetId="12">'12_38K6112325-A01'!$A$1:$L$80</definedName>
    <definedName name="_xlnm.Print_Area" localSheetId="13">'13_38K6113601-A01'!$A$1:$L$80</definedName>
    <definedName name="_xlnm.Print_Area" localSheetId="14">'14_38K6113602-A01'!$A$1:$L$80</definedName>
    <definedName name="_xlnm.Print_Area" localSheetId="15">'15_38K6113701-A01'!$A$1:$L$80</definedName>
    <definedName name="_xlnm.Print_Area" localSheetId="16">'16_38K6113702-A01'!$A$1:$L$80</definedName>
    <definedName name="_xlnm.Print_Area" localSheetId="17">'17_38K6113801-A01'!$A$1:$L$80</definedName>
    <definedName name="_xlnm.Print_Area" localSheetId="18">'18_38K6144104-A01'!$A$1:$L$80</definedName>
    <definedName name="_xlnm.Print_Area" localSheetId="19">'19_38K6145601-A01'!$A$1:$L$80</definedName>
    <definedName name="_xlnm.Print_Area" localSheetId="2">'2_38K6112301-A01'!$A$1:$L$80</definedName>
    <definedName name="_xlnm.Print_Area" localSheetId="20">'20_38K6151101-A01'!$A$1:$L$80</definedName>
    <definedName name="_xlnm.Print_Area" localSheetId="21">'21_38K6152101-A02'!$A$1:$L$80</definedName>
    <definedName name="_xlnm.Print_Area" localSheetId="22">'22_38K6154101-A01'!$A$1:$L$80</definedName>
    <definedName name="_xlnm.Print_Area" localSheetId="23">'23_38K6154101-T01'!$A$1:$L$80</definedName>
    <definedName name="_xlnm.Print_Area" localSheetId="24">'24_38K6154101-T02'!$A$1:$L$80</definedName>
    <definedName name="_xlnm.Print_Area" localSheetId="25">'25_38K6154103-A02'!$A$1:$L$80</definedName>
    <definedName name="_xlnm.Print_Area" localSheetId="26">'26_38K6158301-A01'!$A$1:$L$80</definedName>
    <definedName name="_xlnm.Print_Area" localSheetId="27">'27_38K6164401-A01'!$A$1:$L$80</definedName>
    <definedName name="_xlnm.Print_Area" localSheetId="28">'28_38K6165401-A01'!$A$1:$L$80</definedName>
    <definedName name="_xlnm.Print_Area" localSheetId="29">'29_38K6169901-A01'!$A$1:$L$80</definedName>
    <definedName name="_xlnm.Print_Area" localSheetId="3">'3_38K6112303-A01'!$A$1:$L$80</definedName>
    <definedName name="_xlnm.Print_Area" localSheetId="30">'30_38K6171101-A01'!$A$1:$L$80</definedName>
    <definedName name="_xlnm.Print_Area" localSheetId="31">'31_38K6186301-A01'!$A$1:$L$80</definedName>
    <definedName name="_xlnm.Print_Area" localSheetId="4">'4_38K6112304-A01'!$A$1:$L$80</definedName>
    <definedName name="_xlnm.Print_Area" localSheetId="5">'5_38K6112305-A01'!$A$1:$L$80</definedName>
    <definedName name="_xlnm.Print_Area" localSheetId="6">'6_38K6112306-A01'!$A$1:$L$80</definedName>
    <definedName name="_xlnm.Print_Area" localSheetId="7">'7_38K6112316-A01'!$A$1:$L$80</definedName>
    <definedName name="_xlnm.Print_Area" localSheetId="8">'8_38K6112317-A01'!$A$1:$L$80</definedName>
    <definedName name="_xlnm.Print_Area" localSheetId="9">'9_38K6112318-A01'!$A$1:$L$80</definedName>
    <definedName name="_xlnm.Print_Area" localSheetId="32">MASTER!$A$1:$L$80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98" l="1"/>
  <c r="E76" i="98"/>
  <c r="E75" i="98"/>
  <c r="E74" i="98"/>
  <c r="E73" i="98"/>
  <c r="E72" i="98"/>
  <c r="E71" i="98"/>
  <c r="E70" i="98"/>
  <c r="E69" i="98"/>
  <c r="E68" i="98"/>
  <c r="E67" i="98"/>
  <c r="E66" i="98"/>
  <c r="E65" i="98"/>
  <c r="E64" i="98"/>
  <c r="E63" i="98"/>
  <c r="E58" i="98"/>
  <c r="E57" i="98"/>
  <c r="E56" i="98"/>
  <c r="E55" i="98"/>
  <c r="E54" i="98"/>
  <c r="E53" i="98"/>
  <c r="E52" i="98"/>
  <c r="E51" i="98"/>
  <c r="E50" i="98"/>
  <c r="E49" i="98"/>
  <c r="E48" i="98"/>
  <c r="E47" i="98"/>
  <c r="E46" i="98"/>
  <c r="E45" i="98"/>
  <c r="E44" i="98"/>
  <c r="L37" i="98"/>
  <c r="G37" i="98"/>
  <c r="B37" i="98"/>
  <c r="L36" i="98"/>
  <c r="G36" i="98"/>
  <c r="B36" i="98"/>
  <c r="L35" i="98"/>
  <c r="G35" i="98"/>
  <c r="B35" i="98"/>
  <c r="L34" i="98"/>
  <c r="G34" i="98"/>
  <c r="B34" i="98"/>
  <c r="L33" i="98"/>
  <c r="G33" i="98"/>
  <c r="B33" i="98"/>
  <c r="L32" i="98"/>
  <c r="G32" i="98"/>
  <c r="B32" i="98"/>
  <c r="L31" i="98"/>
  <c r="G31" i="98"/>
  <c r="B31" i="98"/>
  <c r="L30" i="98"/>
  <c r="G30" i="98"/>
  <c r="B30" i="98"/>
  <c r="L29" i="98"/>
  <c r="G29" i="98"/>
  <c r="B29" i="98"/>
  <c r="L28" i="98"/>
  <c r="G28" i="98"/>
  <c r="B28" i="98"/>
  <c r="L27" i="98"/>
  <c r="G27" i="98"/>
  <c r="B27" i="98"/>
  <c r="L26" i="98"/>
  <c r="G26" i="98"/>
  <c r="B26" i="98"/>
  <c r="L25" i="98"/>
  <c r="G25" i="98"/>
  <c r="B25" i="98"/>
  <c r="K21" i="98"/>
  <c r="J21" i="98"/>
  <c r="I21" i="98"/>
  <c r="H21" i="98"/>
  <c r="G21" i="98"/>
  <c r="F21" i="98"/>
  <c r="E21" i="98"/>
  <c r="D21" i="98"/>
  <c r="C21" i="98"/>
  <c r="B21" i="98"/>
  <c r="L20" i="98"/>
  <c r="L19" i="98"/>
  <c r="L18" i="98"/>
  <c r="L17" i="98"/>
  <c r="L16" i="98"/>
  <c r="L15" i="98"/>
  <c r="L14" i="98"/>
  <c r="L13" i="98"/>
  <c r="L12" i="98"/>
  <c r="L11" i="98"/>
  <c r="L10" i="98"/>
  <c r="L9" i="98"/>
  <c r="L8" i="98"/>
  <c r="G1" i="98"/>
  <c r="E77" i="97"/>
  <c r="E76" i="97"/>
  <c r="E75" i="97"/>
  <c r="E74" i="97"/>
  <c r="E73" i="97"/>
  <c r="E72" i="97"/>
  <c r="E71" i="97"/>
  <c r="E70" i="97"/>
  <c r="E69" i="97"/>
  <c r="E68" i="97"/>
  <c r="E67" i="97"/>
  <c r="E66" i="97"/>
  <c r="E65" i="97"/>
  <c r="E64" i="97"/>
  <c r="E63" i="97"/>
  <c r="E58" i="97"/>
  <c r="E57" i="97"/>
  <c r="E56" i="97"/>
  <c r="E55" i="97"/>
  <c r="E54" i="97"/>
  <c r="E53" i="97"/>
  <c r="E52" i="97"/>
  <c r="E51" i="97"/>
  <c r="E50" i="97"/>
  <c r="E49" i="97"/>
  <c r="E48" i="97"/>
  <c r="E47" i="97"/>
  <c r="E46" i="97"/>
  <c r="E45" i="97"/>
  <c r="E44" i="97"/>
  <c r="L37" i="97"/>
  <c r="G37" i="97"/>
  <c r="B37" i="97"/>
  <c r="L36" i="97"/>
  <c r="G36" i="97"/>
  <c r="B36" i="97"/>
  <c r="L35" i="97"/>
  <c r="G35" i="97"/>
  <c r="B35" i="97"/>
  <c r="L34" i="97"/>
  <c r="G34" i="97"/>
  <c r="B34" i="97"/>
  <c r="L33" i="97"/>
  <c r="G33" i="97"/>
  <c r="B33" i="97"/>
  <c r="L32" i="97"/>
  <c r="G32" i="97"/>
  <c r="B32" i="97"/>
  <c r="L31" i="97"/>
  <c r="G31" i="97"/>
  <c r="B31" i="97"/>
  <c r="L30" i="97"/>
  <c r="G30" i="97"/>
  <c r="B30" i="97"/>
  <c r="L29" i="97"/>
  <c r="G29" i="97"/>
  <c r="B29" i="97"/>
  <c r="L28" i="97"/>
  <c r="G28" i="97"/>
  <c r="B28" i="97"/>
  <c r="L27" i="97"/>
  <c r="G27" i="97"/>
  <c r="B27" i="97"/>
  <c r="L26" i="97"/>
  <c r="G26" i="97"/>
  <c r="B26" i="97"/>
  <c r="L25" i="97"/>
  <c r="G25" i="97"/>
  <c r="B25" i="97"/>
  <c r="K21" i="97"/>
  <c r="J21" i="97"/>
  <c r="I21" i="97"/>
  <c r="H21" i="97"/>
  <c r="G21" i="97"/>
  <c r="F21" i="97"/>
  <c r="E21" i="97"/>
  <c r="D21" i="97"/>
  <c r="C21" i="97"/>
  <c r="B21" i="97"/>
  <c r="L20" i="97"/>
  <c r="L19" i="97"/>
  <c r="L18" i="97"/>
  <c r="L17" i="97"/>
  <c r="L16" i="97"/>
  <c r="L15" i="97"/>
  <c r="L14" i="97"/>
  <c r="L13" i="97"/>
  <c r="L12" i="97"/>
  <c r="L11" i="97"/>
  <c r="L10" i="97"/>
  <c r="L9" i="97"/>
  <c r="L8" i="97"/>
  <c r="G1" i="97"/>
  <c r="E77" i="96"/>
  <c r="E76" i="96"/>
  <c r="E75" i="96"/>
  <c r="E74" i="96"/>
  <c r="E73" i="96"/>
  <c r="E72" i="96"/>
  <c r="E71" i="96"/>
  <c r="E70" i="96"/>
  <c r="E69" i="96"/>
  <c r="E68" i="96"/>
  <c r="E67" i="96"/>
  <c r="E66" i="96"/>
  <c r="E65" i="96"/>
  <c r="E64" i="96"/>
  <c r="E63" i="96"/>
  <c r="E58" i="96"/>
  <c r="E57" i="96"/>
  <c r="E56" i="96"/>
  <c r="E55" i="96"/>
  <c r="E54" i="96"/>
  <c r="E53" i="96"/>
  <c r="E52" i="96"/>
  <c r="E51" i="96"/>
  <c r="E50" i="96"/>
  <c r="E49" i="96"/>
  <c r="E48" i="96"/>
  <c r="E47" i="96"/>
  <c r="E46" i="96"/>
  <c r="E45" i="96"/>
  <c r="E44" i="96"/>
  <c r="L37" i="96"/>
  <c r="G37" i="96"/>
  <c r="B37" i="96"/>
  <c r="L36" i="96"/>
  <c r="G36" i="96"/>
  <c r="B36" i="96"/>
  <c r="L35" i="96"/>
  <c r="G35" i="96"/>
  <c r="B35" i="96"/>
  <c r="L34" i="96"/>
  <c r="G34" i="96"/>
  <c r="B34" i="96"/>
  <c r="L33" i="96"/>
  <c r="G33" i="96"/>
  <c r="B33" i="96"/>
  <c r="L32" i="96"/>
  <c r="G32" i="96"/>
  <c r="B32" i="96"/>
  <c r="L31" i="96"/>
  <c r="G31" i="96"/>
  <c r="B31" i="96"/>
  <c r="L30" i="96"/>
  <c r="G30" i="96"/>
  <c r="B30" i="96"/>
  <c r="L29" i="96"/>
  <c r="G29" i="96"/>
  <c r="B29" i="96"/>
  <c r="L28" i="96"/>
  <c r="G28" i="96"/>
  <c r="B28" i="96"/>
  <c r="L27" i="96"/>
  <c r="G27" i="96"/>
  <c r="B27" i="96"/>
  <c r="L26" i="96"/>
  <c r="G26" i="96"/>
  <c r="B26" i="96"/>
  <c r="L25" i="96"/>
  <c r="G25" i="96"/>
  <c r="B25" i="96"/>
  <c r="K21" i="96"/>
  <c r="J21" i="96"/>
  <c r="I21" i="96"/>
  <c r="H21" i="96"/>
  <c r="G21" i="96"/>
  <c r="F21" i="96"/>
  <c r="E21" i="96"/>
  <c r="D21" i="96"/>
  <c r="C21" i="96"/>
  <c r="B21" i="96"/>
  <c r="L20" i="96"/>
  <c r="L19" i="96"/>
  <c r="L18" i="96"/>
  <c r="L17" i="96"/>
  <c r="L16" i="96"/>
  <c r="L15" i="96"/>
  <c r="L14" i="96"/>
  <c r="L13" i="96"/>
  <c r="L12" i="96"/>
  <c r="L11" i="96"/>
  <c r="L10" i="96"/>
  <c r="L9" i="96"/>
  <c r="L8" i="96"/>
  <c r="G1" i="96"/>
  <c r="E77" i="95"/>
  <c r="E76" i="95"/>
  <c r="E75" i="95"/>
  <c r="E74" i="95"/>
  <c r="E73" i="95"/>
  <c r="E72" i="95"/>
  <c r="E71" i="95"/>
  <c r="E70" i="95"/>
  <c r="E69" i="95"/>
  <c r="E68" i="95"/>
  <c r="E67" i="95"/>
  <c r="E66" i="95"/>
  <c r="E65" i="95"/>
  <c r="E64" i="95"/>
  <c r="E63" i="95"/>
  <c r="E58" i="95"/>
  <c r="E57" i="95"/>
  <c r="E56" i="95"/>
  <c r="E55" i="95"/>
  <c r="E54" i="95"/>
  <c r="E53" i="95"/>
  <c r="E52" i="95"/>
  <c r="E51" i="95"/>
  <c r="E50" i="95"/>
  <c r="E49" i="95"/>
  <c r="E48" i="95"/>
  <c r="E47" i="95"/>
  <c r="E46" i="95"/>
  <c r="E45" i="95"/>
  <c r="E44" i="95"/>
  <c r="E59" i="95" s="1"/>
  <c r="J4" i="95" s="1"/>
  <c r="L37" i="95"/>
  <c r="G37" i="95"/>
  <c r="B37" i="95"/>
  <c r="L36" i="95"/>
  <c r="G36" i="95"/>
  <c r="B36" i="95"/>
  <c r="L35" i="95"/>
  <c r="G35" i="95"/>
  <c r="B35" i="95"/>
  <c r="L34" i="95"/>
  <c r="G34" i="95"/>
  <c r="B34" i="95"/>
  <c r="L33" i="95"/>
  <c r="G33" i="95"/>
  <c r="B33" i="95"/>
  <c r="L32" i="95"/>
  <c r="G32" i="95"/>
  <c r="B32" i="95"/>
  <c r="L31" i="95"/>
  <c r="G31" i="95"/>
  <c r="B31" i="95"/>
  <c r="L30" i="95"/>
  <c r="G30" i="95"/>
  <c r="B30" i="95"/>
  <c r="L29" i="95"/>
  <c r="G29" i="95"/>
  <c r="B29" i="95"/>
  <c r="L28" i="95"/>
  <c r="G28" i="95"/>
  <c r="B28" i="95"/>
  <c r="L27" i="95"/>
  <c r="G27" i="95"/>
  <c r="B27" i="95"/>
  <c r="L26" i="95"/>
  <c r="G26" i="95"/>
  <c r="B26" i="95"/>
  <c r="L25" i="95"/>
  <c r="G25" i="95"/>
  <c r="B25" i="95"/>
  <c r="K21" i="95"/>
  <c r="J21" i="95"/>
  <c r="I21" i="95"/>
  <c r="H21" i="95"/>
  <c r="G21" i="95"/>
  <c r="F21" i="95"/>
  <c r="E21" i="95"/>
  <c r="D21" i="95"/>
  <c r="C21" i="95"/>
  <c r="B21" i="95"/>
  <c r="L20" i="95"/>
  <c r="L19" i="95"/>
  <c r="L18" i="95"/>
  <c r="L17" i="95"/>
  <c r="L16" i="95"/>
  <c r="L15" i="95"/>
  <c r="L14" i="95"/>
  <c r="L13" i="95"/>
  <c r="L12" i="95"/>
  <c r="L11" i="95"/>
  <c r="L10" i="95"/>
  <c r="L9" i="95"/>
  <c r="L8" i="95"/>
  <c r="G1" i="95"/>
  <c r="E77" i="94"/>
  <c r="E76" i="94"/>
  <c r="E75" i="94"/>
  <c r="E74" i="94"/>
  <c r="E73" i="94"/>
  <c r="E72" i="94"/>
  <c r="E71" i="94"/>
  <c r="E70" i="94"/>
  <c r="E69" i="94"/>
  <c r="E68" i="94"/>
  <c r="E67" i="94"/>
  <c r="E66" i="94"/>
  <c r="E65" i="94"/>
  <c r="E64" i="94"/>
  <c r="E63" i="94"/>
  <c r="E58" i="94"/>
  <c r="E57" i="94"/>
  <c r="E56" i="94"/>
  <c r="E55" i="94"/>
  <c r="E54" i="94"/>
  <c r="E53" i="94"/>
  <c r="E52" i="94"/>
  <c r="E51" i="94"/>
  <c r="E50" i="94"/>
  <c r="E49" i="94"/>
  <c r="E48" i="94"/>
  <c r="E47" i="94"/>
  <c r="E46" i="94"/>
  <c r="E45" i="94"/>
  <c r="E44" i="94"/>
  <c r="L37" i="94"/>
  <c r="G37" i="94"/>
  <c r="B37" i="94"/>
  <c r="L36" i="94"/>
  <c r="G36" i="94"/>
  <c r="B36" i="94"/>
  <c r="L35" i="94"/>
  <c r="G35" i="94"/>
  <c r="B35" i="94"/>
  <c r="L34" i="94"/>
  <c r="G34" i="94"/>
  <c r="B34" i="94"/>
  <c r="L33" i="94"/>
  <c r="G33" i="94"/>
  <c r="B33" i="94"/>
  <c r="L32" i="94"/>
  <c r="G32" i="94"/>
  <c r="B32" i="94"/>
  <c r="L31" i="94"/>
  <c r="G31" i="94"/>
  <c r="B31" i="94"/>
  <c r="L30" i="94"/>
  <c r="G30" i="94"/>
  <c r="B30" i="94"/>
  <c r="L29" i="94"/>
  <c r="G29" i="94"/>
  <c r="B29" i="94"/>
  <c r="L28" i="94"/>
  <c r="G28" i="94"/>
  <c r="B28" i="94"/>
  <c r="L27" i="94"/>
  <c r="G27" i="94"/>
  <c r="B27" i="94"/>
  <c r="L26" i="94"/>
  <c r="G26" i="94"/>
  <c r="B26" i="94"/>
  <c r="L25" i="94"/>
  <c r="G25" i="94"/>
  <c r="B25" i="94"/>
  <c r="K21" i="94"/>
  <c r="J21" i="94"/>
  <c r="I21" i="94"/>
  <c r="H21" i="94"/>
  <c r="G21" i="94"/>
  <c r="F21" i="94"/>
  <c r="E21" i="94"/>
  <c r="D21" i="94"/>
  <c r="C21" i="94"/>
  <c r="B21" i="94"/>
  <c r="L20" i="94"/>
  <c r="L19" i="94"/>
  <c r="L18" i="94"/>
  <c r="L17" i="94"/>
  <c r="L16" i="94"/>
  <c r="L15" i="94"/>
  <c r="L14" i="94"/>
  <c r="L13" i="94"/>
  <c r="L12" i="94"/>
  <c r="L11" i="94"/>
  <c r="L10" i="94"/>
  <c r="L9" i="94"/>
  <c r="L8" i="94"/>
  <c r="G1" i="94"/>
  <c r="E77" i="93"/>
  <c r="E76" i="93"/>
  <c r="E75" i="93"/>
  <c r="E74" i="93"/>
  <c r="E73" i="93"/>
  <c r="E72" i="93"/>
  <c r="E71" i="93"/>
  <c r="E70" i="93"/>
  <c r="E69" i="93"/>
  <c r="E68" i="93"/>
  <c r="E67" i="93"/>
  <c r="E66" i="93"/>
  <c r="E65" i="93"/>
  <c r="E64" i="93"/>
  <c r="E63" i="93"/>
  <c r="E58" i="93"/>
  <c r="E57" i="93"/>
  <c r="E56" i="93"/>
  <c r="E55" i="93"/>
  <c r="E54" i="93"/>
  <c r="E53" i="93"/>
  <c r="E52" i="93"/>
  <c r="E51" i="93"/>
  <c r="E50" i="93"/>
  <c r="E49" i="93"/>
  <c r="E48" i="93"/>
  <c r="E47" i="93"/>
  <c r="E46" i="93"/>
  <c r="E45" i="93"/>
  <c r="E44" i="93"/>
  <c r="L37" i="93"/>
  <c r="G37" i="93"/>
  <c r="B37" i="93"/>
  <c r="L36" i="93"/>
  <c r="G36" i="93"/>
  <c r="B36" i="93"/>
  <c r="L35" i="93"/>
  <c r="G35" i="93"/>
  <c r="B35" i="93"/>
  <c r="L34" i="93"/>
  <c r="G34" i="93"/>
  <c r="B34" i="93"/>
  <c r="L33" i="93"/>
  <c r="G33" i="93"/>
  <c r="B33" i="93"/>
  <c r="L32" i="93"/>
  <c r="G32" i="93"/>
  <c r="B32" i="93"/>
  <c r="L31" i="93"/>
  <c r="G31" i="93"/>
  <c r="B31" i="93"/>
  <c r="L30" i="93"/>
  <c r="G30" i="93"/>
  <c r="B30" i="93"/>
  <c r="L29" i="93"/>
  <c r="G29" i="93"/>
  <c r="B29" i="93"/>
  <c r="L28" i="93"/>
  <c r="G28" i="93"/>
  <c r="B28" i="93"/>
  <c r="L27" i="93"/>
  <c r="G27" i="93"/>
  <c r="B27" i="93"/>
  <c r="L26" i="93"/>
  <c r="G26" i="93"/>
  <c r="B26" i="93"/>
  <c r="L25" i="93"/>
  <c r="G25" i="93"/>
  <c r="B25" i="93"/>
  <c r="K21" i="93"/>
  <c r="J21" i="93"/>
  <c r="I21" i="93"/>
  <c r="H21" i="93"/>
  <c r="G21" i="93"/>
  <c r="F21" i="93"/>
  <c r="E21" i="93"/>
  <c r="D21" i="93"/>
  <c r="C21" i="93"/>
  <c r="B21" i="93"/>
  <c r="L20" i="93"/>
  <c r="L19" i="93"/>
  <c r="L18" i="93"/>
  <c r="L17" i="93"/>
  <c r="L16" i="93"/>
  <c r="L15" i="93"/>
  <c r="L14" i="93"/>
  <c r="L13" i="93"/>
  <c r="L12" i="93"/>
  <c r="L11" i="93"/>
  <c r="L10" i="93"/>
  <c r="L9" i="93"/>
  <c r="L8" i="93"/>
  <c r="G1" i="93"/>
  <c r="E77" i="92"/>
  <c r="E76" i="92"/>
  <c r="E75" i="92"/>
  <c r="E74" i="92"/>
  <c r="E73" i="92"/>
  <c r="E72" i="92"/>
  <c r="E71" i="92"/>
  <c r="E70" i="92"/>
  <c r="E69" i="92"/>
  <c r="E68" i="92"/>
  <c r="E67" i="92"/>
  <c r="E66" i="92"/>
  <c r="E65" i="92"/>
  <c r="E64" i="92"/>
  <c r="E63" i="92"/>
  <c r="E78" i="92" s="1"/>
  <c r="K4" i="92" s="1"/>
  <c r="E58" i="92"/>
  <c r="E57" i="92"/>
  <c r="E56" i="92"/>
  <c r="E55" i="92"/>
  <c r="E54" i="92"/>
  <c r="E53" i="92"/>
  <c r="E52" i="92"/>
  <c r="E51" i="92"/>
  <c r="E50" i="92"/>
  <c r="E49" i="92"/>
  <c r="E48" i="92"/>
  <c r="E47" i="92"/>
  <c r="E46" i="92"/>
  <c r="E45" i="92"/>
  <c r="E44" i="92"/>
  <c r="L37" i="92"/>
  <c r="G37" i="92"/>
  <c r="B37" i="92"/>
  <c r="L36" i="92"/>
  <c r="G36" i="92"/>
  <c r="B36" i="92"/>
  <c r="L35" i="92"/>
  <c r="G35" i="92"/>
  <c r="B35" i="92"/>
  <c r="L34" i="92"/>
  <c r="G34" i="92"/>
  <c r="B34" i="92"/>
  <c r="L33" i="92"/>
  <c r="G33" i="92"/>
  <c r="B33" i="92"/>
  <c r="L32" i="92"/>
  <c r="G32" i="92"/>
  <c r="B32" i="92"/>
  <c r="L31" i="92"/>
  <c r="G31" i="92"/>
  <c r="B31" i="92"/>
  <c r="L30" i="92"/>
  <c r="G30" i="92"/>
  <c r="B30" i="92"/>
  <c r="L29" i="92"/>
  <c r="G29" i="92"/>
  <c r="B29" i="92"/>
  <c r="L28" i="92"/>
  <c r="G28" i="92"/>
  <c r="B28" i="92"/>
  <c r="L27" i="92"/>
  <c r="G27" i="92"/>
  <c r="B27" i="92"/>
  <c r="L26" i="92"/>
  <c r="G26" i="92"/>
  <c r="B26" i="92"/>
  <c r="L25" i="92"/>
  <c r="G25" i="92"/>
  <c r="B25" i="92"/>
  <c r="K21" i="92"/>
  <c r="J21" i="92"/>
  <c r="I21" i="92"/>
  <c r="H21" i="92"/>
  <c r="G21" i="92"/>
  <c r="F21" i="92"/>
  <c r="E21" i="92"/>
  <c r="D21" i="92"/>
  <c r="C21" i="92"/>
  <c r="B21" i="92"/>
  <c r="L20" i="92"/>
  <c r="L19" i="92"/>
  <c r="L18" i="92"/>
  <c r="L17" i="92"/>
  <c r="L16" i="92"/>
  <c r="L15" i="92"/>
  <c r="L14" i="92"/>
  <c r="L13" i="92"/>
  <c r="L12" i="92"/>
  <c r="L11" i="92"/>
  <c r="L10" i="92"/>
  <c r="L9" i="92"/>
  <c r="L8" i="92"/>
  <c r="G1" i="92"/>
  <c r="E77" i="91"/>
  <c r="E76" i="91"/>
  <c r="E75" i="91"/>
  <c r="E74" i="91"/>
  <c r="E73" i="91"/>
  <c r="E72" i="91"/>
  <c r="E71" i="91"/>
  <c r="E70" i="91"/>
  <c r="E69" i="91"/>
  <c r="E68" i="91"/>
  <c r="E67" i="91"/>
  <c r="E66" i="91"/>
  <c r="E65" i="91"/>
  <c r="E64" i="91"/>
  <c r="E63" i="91"/>
  <c r="E58" i="91"/>
  <c r="E57" i="91"/>
  <c r="E56" i="91"/>
  <c r="E55" i="91"/>
  <c r="E54" i="91"/>
  <c r="E53" i="91"/>
  <c r="E52" i="91"/>
  <c r="E51" i="91"/>
  <c r="E50" i="91"/>
  <c r="E49" i="91"/>
  <c r="E48" i="91"/>
  <c r="E47" i="91"/>
  <c r="E46" i="91"/>
  <c r="E45" i="91"/>
  <c r="E44" i="91"/>
  <c r="L37" i="91"/>
  <c r="G37" i="91"/>
  <c r="B37" i="91"/>
  <c r="L36" i="91"/>
  <c r="G36" i="91"/>
  <c r="B36" i="91"/>
  <c r="L35" i="91"/>
  <c r="G35" i="91"/>
  <c r="B35" i="91"/>
  <c r="L34" i="91"/>
  <c r="G34" i="91"/>
  <c r="B34" i="91"/>
  <c r="L33" i="91"/>
  <c r="G33" i="91"/>
  <c r="B33" i="91"/>
  <c r="L32" i="91"/>
  <c r="G32" i="91"/>
  <c r="B32" i="91"/>
  <c r="L31" i="91"/>
  <c r="G31" i="91"/>
  <c r="B31" i="91"/>
  <c r="L30" i="91"/>
  <c r="G30" i="91"/>
  <c r="B30" i="91"/>
  <c r="L29" i="91"/>
  <c r="G29" i="91"/>
  <c r="B29" i="91"/>
  <c r="L28" i="91"/>
  <c r="G28" i="91"/>
  <c r="B28" i="91"/>
  <c r="L27" i="91"/>
  <c r="G27" i="91"/>
  <c r="B27" i="91"/>
  <c r="L26" i="91"/>
  <c r="G26" i="91"/>
  <c r="G38" i="91" s="1"/>
  <c r="B26" i="91"/>
  <c r="L25" i="91"/>
  <c r="G25" i="91"/>
  <c r="B25" i="91"/>
  <c r="K21" i="91"/>
  <c r="J21" i="91"/>
  <c r="I21" i="91"/>
  <c r="H21" i="91"/>
  <c r="G21" i="91"/>
  <c r="F21" i="91"/>
  <c r="E21" i="91"/>
  <c r="D21" i="91"/>
  <c r="C21" i="91"/>
  <c r="B21" i="91"/>
  <c r="L20" i="91"/>
  <c r="L19" i="91"/>
  <c r="L18" i="91"/>
  <c r="L17" i="91"/>
  <c r="L16" i="91"/>
  <c r="L15" i="91"/>
  <c r="L14" i="91"/>
  <c r="L13" i="91"/>
  <c r="L12" i="91"/>
  <c r="L11" i="91"/>
  <c r="L10" i="91"/>
  <c r="L9" i="91"/>
  <c r="L8" i="91"/>
  <c r="G1" i="91"/>
  <c r="E77" i="90"/>
  <c r="E76" i="90"/>
  <c r="E75" i="90"/>
  <c r="E74" i="90"/>
  <c r="E73" i="90"/>
  <c r="E72" i="90"/>
  <c r="E71" i="90"/>
  <c r="E70" i="90"/>
  <c r="E69" i="90"/>
  <c r="E68" i="90"/>
  <c r="E67" i="90"/>
  <c r="E66" i="90"/>
  <c r="E65" i="90"/>
  <c r="E64" i="90"/>
  <c r="E63" i="90"/>
  <c r="E58" i="90"/>
  <c r="E57" i="90"/>
  <c r="E56" i="90"/>
  <c r="E55" i="90"/>
  <c r="E54" i="90"/>
  <c r="E53" i="90"/>
  <c r="E52" i="90"/>
  <c r="E51" i="90"/>
  <c r="E50" i="90"/>
  <c r="E49" i="90"/>
  <c r="E48" i="90"/>
  <c r="E47" i="90"/>
  <c r="E46" i="90"/>
  <c r="E45" i="90"/>
  <c r="E44" i="90"/>
  <c r="L37" i="90"/>
  <c r="G37" i="90"/>
  <c r="B37" i="90"/>
  <c r="L36" i="90"/>
  <c r="G36" i="90"/>
  <c r="B36" i="90"/>
  <c r="L35" i="90"/>
  <c r="G35" i="90"/>
  <c r="B35" i="90"/>
  <c r="L34" i="90"/>
  <c r="G34" i="90"/>
  <c r="B34" i="90"/>
  <c r="L33" i="90"/>
  <c r="G33" i="90"/>
  <c r="B33" i="90"/>
  <c r="L32" i="90"/>
  <c r="G32" i="90"/>
  <c r="B32" i="90"/>
  <c r="L31" i="90"/>
  <c r="G31" i="90"/>
  <c r="B31" i="90"/>
  <c r="L30" i="90"/>
  <c r="G30" i="90"/>
  <c r="B30" i="90"/>
  <c r="L29" i="90"/>
  <c r="G29" i="90"/>
  <c r="B29" i="90"/>
  <c r="L28" i="90"/>
  <c r="G28" i="90"/>
  <c r="B28" i="90"/>
  <c r="L27" i="90"/>
  <c r="G27" i="90"/>
  <c r="B27" i="90"/>
  <c r="L26" i="90"/>
  <c r="G26" i="90"/>
  <c r="B26" i="90"/>
  <c r="L25" i="90"/>
  <c r="G25" i="90"/>
  <c r="B25" i="90"/>
  <c r="K21" i="90"/>
  <c r="J21" i="90"/>
  <c r="I21" i="90"/>
  <c r="H21" i="90"/>
  <c r="G21" i="90"/>
  <c r="F21" i="90"/>
  <c r="E21" i="90"/>
  <c r="D21" i="90"/>
  <c r="C21" i="90"/>
  <c r="B21" i="90"/>
  <c r="L20" i="90"/>
  <c r="L19" i="90"/>
  <c r="L18" i="90"/>
  <c r="L17" i="90"/>
  <c r="L16" i="90"/>
  <c r="L15" i="90"/>
  <c r="L14" i="90"/>
  <c r="L13" i="90"/>
  <c r="L12" i="90"/>
  <c r="L11" i="90"/>
  <c r="L10" i="90"/>
  <c r="L9" i="90"/>
  <c r="L8" i="90"/>
  <c r="G1" i="90"/>
  <c r="E77" i="89"/>
  <c r="E76" i="89"/>
  <c r="E75" i="89"/>
  <c r="E74" i="89"/>
  <c r="E73" i="89"/>
  <c r="E72" i="89"/>
  <c r="E71" i="89"/>
  <c r="E70" i="89"/>
  <c r="E69" i="89"/>
  <c r="E68" i="89"/>
  <c r="E67" i="89"/>
  <c r="E66" i="89"/>
  <c r="E65" i="89"/>
  <c r="E64" i="89"/>
  <c r="E63" i="89"/>
  <c r="E58" i="89"/>
  <c r="E57" i="89"/>
  <c r="E56" i="89"/>
  <c r="E55" i="89"/>
  <c r="E54" i="89"/>
  <c r="E53" i="89"/>
  <c r="E52" i="89"/>
  <c r="E51" i="89"/>
  <c r="E50" i="89"/>
  <c r="E49" i="89"/>
  <c r="E48" i="89"/>
  <c r="E47" i="89"/>
  <c r="E46" i="89"/>
  <c r="E45" i="89"/>
  <c r="E44" i="89"/>
  <c r="L37" i="89"/>
  <c r="G37" i="89"/>
  <c r="B37" i="89"/>
  <c r="L36" i="89"/>
  <c r="G36" i="89"/>
  <c r="B36" i="89"/>
  <c r="L35" i="89"/>
  <c r="G35" i="89"/>
  <c r="B35" i="89"/>
  <c r="L34" i="89"/>
  <c r="G34" i="89"/>
  <c r="B34" i="89"/>
  <c r="L33" i="89"/>
  <c r="G33" i="89"/>
  <c r="B33" i="89"/>
  <c r="L32" i="89"/>
  <c r="G32" i="89"/>
  <c r="B32" i="89"/>
  <c r="L31" i="89"/>
  <c r="G31" i="89"/>
  <c r="B31" i="89"/>
  <c r="L30" i="89"/>
  <c r="G30" i="89"/>
  <c r="B30" i="89"/>
  <c r="L29" i="89"/>
  <c r="G29" i="89"/>
  <c r="B29" i="89"/>
  <c r="L28" i="89"/>
  <c r="G28" i="89"/>
  <c r="B28" i="89"/>
  <c r="L27" i="89"/>
  <c r="G27" i="89"/>
  <c r="B27" i="89"/>
  <c r="L26" i="89"/>
  <c r="G26" i="89"/>
  <c r="B26" i="89"/>
  <c r="L25" i="89"/>
  <c r="G25" i="89"/>
  <c r="B25" i="89"/>
  <c r="K21" i="89"/>
  <c r="J21" i="89"/>
  <c r="I21" i="89"/>
  <c r="H21" i="89"/>
  <c r="G21" i="89"/>
  <c r="F21" i="89"/>
  <c r="E21" i="89"/>
  <c r="D21" i="89"/>
  <c r="C21" i="89"/>
  <c r="B21" i="89"/>
  <c r="L20" i="89"/>
  <c r="L19" i="89"/>
  <c r="L18" i="89"/>
  <c r="L17" i="89"/>
  <c r="L16" i="89"/>
  <c r="L15" i="89"/>
  <c r="L14" i="89"/>
  <c r="L13" i="89"/>
  <c r="L12" i="89"/>
  <c r="L11" i="89"/>
  <c r="L10" i="89"/>
  <c r="L9" i="89"/>
  <c r="L8" i="89"/>
  <c r="G1" i="89"/>
  <c r="E77" i="88"/>
  <c r="E76" i="88"/>
  <c r="E75" i="88"/>
  <c r="E74" i="88"/>
  <c r="E73" i="88"/>
  <c r="E72" i="88"/>
  <c r="E71" i="88"/>
  <c r="E70" i="88"/>
  <c r="E69" i="88"/>
  <c r="E68" i="88"/>
  <c r="E67" i="88"/>
  <c r="E66" i="88"/>
  <c r="E65" i="88"/>
  <c r="E64" i="88"/>
  <c r="E63" i="88"/>
  <c r="E78" i="88" s="1"/>
  <c r="K4" i="88" s="1"/>
  <c r="E58" i="88"/>
  <c r="E57" i="88"/>
  <c r="E56" i="88"/>
  <c r="E55" i="88"/>
  <c r="E54" i="88"/>
  <c r="E53" i="88"/>
  <c r="E52" i="88"/>
  <c r="E51" i="88"/>
  <c r="E50" i="88"/>
  <c r="E49" i="88"/>
  <c r="E48" i="88"/>
  <c r="E47" i="88"/>
  <c r="E46" i="88"/>
  <c r="E45" i="88"/>
  <c r="E44" i="88"/>
  <c r="L37" i="88"/>
  <c r="G37" i="88"/>
  <c r="B37" i="88"/>
  <c r="L36" i="88"/>
  <c r="G36" i="88"/>
  <c r="B36" i="88"/>
  <c r="L35" i="88"/>
  <c r="G35" i="88"/>
  <c r="B35" i="88"/>
  <c r="L34" i="88"/>
  <c r="G34" i="88"/>
  <c r="B34" i="88"/>
  <c r="L33" i="88"/>
  <c r="G33" i="88"/>
  <c r="B33" i="88"/>
  <c r="L32" i="88"/>
  <c r="G32" i="88"/>
  <c r="B32" i="88"/>
  <c r="L31" i="88"/>
  <c r="G31" i="88"/>
  <c r="B31" i="88"/>
  <c r="L30" i="88"/>
  <c r="G30" i="88"/>
  <c r="B30" i="88"/>
  <c r="L29" i="88"/>
  <c r="G29" i="88"/>
  <c r="B29" i="88"/>
  <c r="L28" i="88"/>
  <c r="G28" i="88"/>
  <c r="B28" i="88"/>
  <c r="L27" i="88"/>
  <c r="G27" i="88"/>
  <c r="B27" i="88"/>
  <c r="L26" i="88"/>
  <c r="G26" i="88"/>
  <c r="B26" i="88"/>
  <c r="L25" i="88"/>
  <c r="G25" i="88"/>
  <c r="B25" i="88"/>
  <c r="K21" i="88"/>
  <c r="J21" i="88"/>
  <c r="I21" i="88"/>
  <c r="H21" i="88"/>
  <c r="G21" i="88"/>
  <c r="F21" i="88"/>
  <c r="E21" i="88"/>
  <c r="D21" i="88"/>
  <c r="C21" i="88"/>
  <c r="B21" i="88"/>
  <c r="L20" i="88"/>
  <c r="L19" i="88"/>
  <c r="L18" i="88"/>
  <c r="L17" i="88"/>
  <c r="L16" i="88"/>
  <c r="L15" i="88"/>
  <c r="L14" i="88"/>
  <c r="L13" i="88"/>
  <c r="L12" i="88"/>
  <c r="L11" i="88"/>
  <c r="L10" i="88"/>
  <c r="L9" i="88"/>
  <c r="L8" i="88"/>
  <c r="G1" i="88"/>
  <c r="E77" i="87"/>
  <c r="E76" i="87"/>
  <c r="E75" i="87"/>
  <c r="E74" i="87"/>
  <c r="E73" i="87"/>
  <c r="E72" i="87"/>
  <c r="E71" i="87"/>
  <c r="E70" i="87"/>
  <c r="E69" i="87"/>
  <c r="E68" i="87"/>
  <c r="E67" i="87"/>
  <c r="E66" i="87"/>
  <c r="E65" i="87"/>
  <c r="E64" i="87"/>
  <c r="E63" i="87"/>
  <c r="E58" i="87"/>
  <c r="E57" i="87"/>
  <c r="E56" i="87"/>
  <c r="E55" i="87"/>
  <c r="E54" i="87"/>
  <c r="E53" i="87"/>
  <c r="E52" i="87"/>
  <c r="E51" i="87"/>
  <c r="E50" i="87"/>
  <c r="E49" i="87"/>
  <c r="E48" i="87"/>
  <c r="E47" i="87"/>
  <c r="E46" i="87"/>
  <c r="E45" i="87"/>
  <c r="E44" i="87"/>
  <c r="E59" i="87" s="1"/>
  <c r="J4" i="87" s="1"/>
  <c r="L37" i="87"/>
  <c r="G37" i="87"/>
  <c r="B37" i="87"/>
  <c r="L36" i="87"/>
  <c r="G36" i="87"/>
  <c r="B36" i="87"/>
  <c r="L35" i="87"/>
  <c r="G35" i="87"/>
  <c r="B35" i="87"/>
  <c r="L34" i="87"/>
  <c r="G34" i="87"/>
  <c r="B34" i="87"/>
  <c r="L33" i="87"/>
  <c r="G33" i="87"/>
  <c r="B33" i="87"/>
  <c r="L32" i="87"/>
  <c r="G32" i="87"/>
  <c r="B32" i="87"/>
  <c r="L31" i="87"/>
  <c r="G31" i="87"/>
  <c r="B31" i="87"/>
  <c r="L30" i="87"/>
  <c r="G30" i="87"/>
  <c r="B30" i="87"/>
  <c r="L29" i="87"/>
  <c r="G29" i="87"/>
  <c r="B29" i="87"/>
  <c r="L28" i="87"/>
  <c r="G28" i="87"/>
  <c r="B28" i="87"/>
  <c r="L27" i="87"/>
  <c r="G27" i="87"/>
  <c r="B27" i="87"/>
  <c r="L26" i="87"/>
  <c r="G26" i="87"/>
  <c r="G38" i="87" s="1"/>
  <c r="B26" i="87"/>
  <c r="B38" i="87" s="1"/>
  <c r="L25" i="87"/>
  <c r="G25" i="87"/>
  <c r="B25" i="87"/>
  <c r="K21" i="87"/>
  <c r="J21" i="87"/>
  <c r="I21" i="87"/>
  <c r="H21" i="87"/>
  <c r="G21" i="87"/>
  <c r="F21" i="87"/>
  <c r="E21" i="87"/>
  <c r="D21" i="87"/>
  <c r="C21" i="87"/>
  <c r="B21" i="87"/>
  <c r="L20" i="87"/>
  <c r="L19" i="87"/>
  <c r="L18" i="87"/>
  <c r="L17" i="87"/>
  <c r="L16" i="87"/>
  <c r="L15" i="87"/>
  <c r="L14" i="87"/>
  <c r="L13" i="87"/>
  <c r="L12" i="87"/>
  <c r="L11" i="87"/>
  <c r="L10" i="87"/>
  <c r="L9" i="87"/>
  <c r="L8" i="87"/>
  <c r="G1" i="87"/>
  <c r="E77" i="86"/>
  <c r="E76" i="86"/>
  <c r="E75" i="86"/>
  <c r="E74" i="86"/>
  <c r="E73" i="86"/>
  <c r="E72" i="86"/>
  <c r="E71" i="86"/>
  <c r="E70" i="86"/>
  <c r="E69" i="86"/>
  <c r="E68" i="86"/>
  <c r="E67" i="86"/>
  <c r="E66" i="86"/>
  <c r="E65" i="86"/>
  <c r="E64" i="86"/>
  <c r="E63" i="86"/>
  <c r="E58" i="86"/>
  <c r="E57" i="86"/>
  <c r="E56" i="86"/>
  <c r="E55" i="86"/>
  <c r="E54" i="86"/>
  <c r="E53" i="86"/>
  <c r="E52" i="86"/>
  <c r="E51" i="86"/>
  <c r="E50" i="86"/>
  <c r="E49" i="86"/>
  <c r="E48" i="86"/>
  <c r="E47" i="86"/>
  <c r="E46" i="86"/>
  <c r="E45" i="86"/>
  <c r="E44" i="86"/>
  <c r="L37" i="86"/>
  <c r="G37" i="86"/>
  <c r="B37" i="86"/>
  <c r="L36" i="86"/>
  <c r="G36" i="86"/>
  <c r="B36" i="86"/>
  <c r="L35" i="86"/>
  <c r="G35" i="86"/>
  <c r="B35" i="86"/>
  <c r="L34" i="86"/>
  <c r="G34" i="86"/>
  <c r="B34" i="86"/>
  <c r="L33" i="86"/>
  <c r="G33" i="86"/>
  <c r="B33" i="86"/>
  <c r="L32" i="86"/>
  <c r="G32" i="86"/>
  <c r="B32" i="86"/>
  <c r="L31" i="86"/>
  <c r="G31" i="86"/>
  <c r="B31" i="86"/>
  <c r="L30" i="86"/>
  <c r="G30" i="86"/>
  <c r="B30" i="86"/>
  <c r="L29" i="86"/>
  <c r="G29" i="86"/>
  <c r="B29" i="86"/>
  <c r="L28" i="86"/>
  <c r="G28" i="86"/>
  <c r="B28" i="86"/>
  <c r="L27" i="86"/>
  <c r="G27" i="86"/>
  <c r="B27" i="86"/>
  <c r="L26" i="86"/>
  <c r="G26" i="86"/>
  <c r="B26" i="86"/>
  <c r="L25" i="86"/>
  <c r="G25" i="86"/>
  <c r="B25" i="86"/>
  <c r="K21" i="86"/>
  <c r="J21" i="86"/>
  <c r="I21" i="86"/>
  <c r="H21" i="86"/>
  <c r="G21" i="86"/>
  <c r="F21" i="86"/>
  <c r="E21" i="86"/>
  <c r="D21" i="86"/>
  <c r="C21" i="86"/>
  <c r="B21" i="86"/>
  <c r="L20" i="86"/>
  <c r="L19" i="86"/>
  <c r="L18" i="86"/>
  <c r="L17" i="86"/>
  <c r="L16" i="86"/>
  <c r="L15" i="86"/>
  <c r="L14" i="86"/>
  <c r="L13" i="86"/>
  <c r="L12" i="86"/>
  <c r="L11" i="86"/>
  <c r="L10" i="86"/>
  <c r="L9" i="86"/>
  <c r="L8" i="86"/>
  <c r="G1" i="86"/>
  <c r="E77" i="85"/>
  <c r="E76" i="85"/>
  <c r="E75" i="85"/>
  <c r="E74" i="85"/>
  <c r="E73" i="85"/>
  <c r="E72" i="85"/>
  <c r="E71" i="85"/>
  <c r="E70" i="85"/>
  <c r="E69" i="85"/>
  <c r="E68" i="85"/>
  <c r="E67" i="85"/>
  <c r="E66" i="85"/>
  <c r="E65" i="85"/>
  <c r="E64" i="85"/>
  <c r="E63" i="85"/>
  <c r="E58" i="85"/>
  <c r="E57" i="85"/>
  <c r="E56" i="85"/>
  <c r="E55" i="85"/>
  <c r="E54" i="85"/>
  <c r="E53" i="85"/>
  <c r="E52" i="85"/>
  <c r="E51" i="85"/>
  <c r="E50" i="85"/>
  <c r="E49" i="85"/>
  <c r="E48" i="85"/>
  <c r="E47" i="85"/>
  <c r="E46" i="85"/>
  <c r="E45" i="85"/>
  <c r="E44" i="85"/>
  <c r="L37" i="85"/>
  <c r="G37" i="85"/>
  <c r="B37" i="85"/>
  <c r="L36" i="85"/>
  <c r="G36" i="85"/>
  <c r="B36" i="85"/>
  <c r="L35" i="85"/>
  <c r="G35" i="85"/>
  <c r="B35" i="85"/>
  <c r="L34" i="85"/>
  <c r="G34" i="85"/>
  <c r="B34" i="85"/>
  <c r="L33" i="85"/>
  <c r="G33" i="85"/>
  <c r="B33" i="85"/>
  <c r="L32" i="85"/>
  <c r="G32" i="85"/>
  <c r="B32" i="85"/>
  <c r="L31" i="85"/>
  <c r="G31" i="85"/>
  <c r="B31" i="85"/>
  <c r="L30" i="85"/>
  <c r="G30" i="85"/>
  <c r="B30" i="85"/>
  <c r="L29" i="85"/>
  <c r="G29" i="85"/>
  <c r="B29" i="85"/>
  <c r="L28" i="85"/>
  <c r="G28" i="85"/>
  <c r="B28" i="85"/>
  <c r="L27" i="85"/>
  <c r="G27" i="85"/>
  <c r="B27" i="85"/>
  <c r="L26" i="85"/>
  <c r="G26" i="85"/>
  <c r="B26" i="85"/>
  <c r="L25" i="85"/>
  <c r="G25" i="85"/>
  <c r="B25" i="85"/>
  <c r="K21" i="85"/>
  <c r="J21" i="85"/>
  <c r="I21" i="85"/>
  <c r="H21" i="85"/>
  <c r="G21" i="85"/>
  <c r="F21" i="85"/>
  <c r="E21" i="85"/>
  <c r="D21" i="85"/>
  <c r="C21" i="85"/>
  <c r="B21" i="85"/>
  <c r="L20" i="85"/>
  <c r="L19" i="85"/>
  <c r="L18" i="85"/>
  <c r="L17" i="85"/>
  <c r="L16" i="85"/>
  <c r="L15" i="85"/>
  <c r="L14" i="85"/>
  <c r="L13" i="85"/>
  <c r="L12" i="85"/>
  <c r="L11" i="85"/>
  <c r="L10" i="85"/>
  <c r="L9" i="85"/>
  <c r="L8" i="85"/>
  <c r="G1" i="85"/>
  <c r="E77" i="84"/>
  <c r="E76" i="84"/>
  <c r="E75" i="84"/>
  <c r="E74" i="84"/>
  <c r="E73" i="84"/>
  <c r="E72" i="84"/>
  <c r="E71" i="84"/>
  <c r="E70" i="84"/>
  <c r="E69" i="84"/>
  <c r="E68" i="84"/>
  <c r="E67" i="84"/>
  <c r="E66" i="84"/>
  <c r="E65" i="84"/>
  <c r="E64" i="84"/>
  <c r="E63" i="84"/>
  <c r="E58" i="84"/>
  <c r="E57" i="84"/>
  <c r="E56" i="84"/>
  <c r="E55" i="84"/>
  <c r="E54" i="84"/>
  <c r="E53" i="84"/>
  <c r="E52" i="84"/>
  <c r="E51" i="84"/>
  <c r="E50" i="84"/>
  <c r="E49" i="84"/>
  <c r="E48" i="84"/>
  <c r="E47" i="84"/>
  <c r="E46" i="84"/>
  <c r="E45" i="84"/>
  <c r="E44" i="84"/>
  <c r="L37" i="84"/>
  <c r="G37" i="84"/>
  <c r="B37" i="84"/>
  <c r="L36" i="84"/>
  <c r="G36" i="84"/>
  <c r="B36" i="84"/>
  <c r="L35" i="84"/>
  <c r="G35" i="84"/>
  <c r="B35" i="84"/>
  <c r="L34" i="84"/>
  <c r="G34" i="84"/>
  <c r="B34" i="84"/>
  <c r="L33" i="84"/>
  <c r="G33" i="84"/>
  <c r="B33" i="84"/>
  <c r="L32" i="84"/>
  <c r="G32" i="84"/>
  <c r="B32" i="84"/>
  <c r="L31" i="84"/>
  <c r="G31" i="84"/>
  <c r="B31" i="84"/>
  <c r="L30" i="84"/>
  <c r="G30" i="84"/>
  <c r="B30" i="84"/>
  <c r="L29" i="84"/>
  <c r="G29" i="84"/>
  <c r="B29" i="84"/>
  <c r="L28" i="84"/>
  <c r="G28" i="84"/>
  <c r="B28" i="84"/>
  <c r="L27" i="84"/>
  <c r="G27" i="84"/>
  <c r="B27" i="84"/>
  <c r="L26" i="84"/>
  <c r="G26" i="84"/>
  <c r="B26" i="84"/>
  <c r="L25" i="84"/>
  <c r="G25" i="84"/>
  <c r="B25" i="84"/>
  <c r="K21" i="84"/>
  <c r="J21" i="84"/>
  <c r="I21" i="84"/>
  <c r="H21" i="84"/>
  <c r="G21" i="84"/>
  <c r="F21" i="84"/>
  <c r="E21" i="84"/>
  <c r="D21" i="84"/>
  <c r="C21" i="84"/>
  <c r="B21" i="84"/>
  <c r="L20" i="84"/>
  <c r="L19" i="84"/>
  <c r="L18" i="84"/>
  <c r="L17" i="84"/>
  <c r="L16" i="84"/>
  <c r="L15" i="84"/>
  <c r="L14" i="84"/>
  <c r="L13" i="84"/>
  <c r="L12" i="84"/>
  <c r="L11" i="84"/>
  <c r="L10" i="84"/>
  <c r="L9" i="84"/>
  <c r="L8" i="84"/>
  <c r="G1" i="84"/>
  <c r="E77" i="83"/>
  <c r="E76" i="83"/>
  <c r="E75" i="83"/>
  <c r="E74" i="83"/>
  <c r="E73" i="83"/>
  <c r="E72" i="83"/>
  <c r="E71" i="83"/>
  <c r="E70" i="83"/>
  <c r="E69" i="83"/>
  <c r="E68" i="83"/>
  <c r="E67" i="83"/>
  <c r="E66" i="83"/>
  <c r="E65" i="83"/>
  <c r="E64" i="83"/>
  <c r="E63" i="83"/>
  <c r="E58" i="83"/>
  <c r="E57" i="83"/>
  <c r="E56" i="83"/>
  <c r="E55" i="83"/>
  <c r="E54" i="83"/>
  <c r="E53" i="83"/>
  <c r="E52" i="83"/>
  <c r="E51" i="83"/>
  <c r="E50" i="83"/>
  <c r="E49" i="83"/>
  <c r="E48" i="83"/>
  <c r="E47" i="83"/>
  <c r="E46" i="83"/>
  <c r="E45" i="83"/>
  <c r="E44" i="83"/>
  <c r="E59" i="83" s="1"/>
  <c r="J4" i="83" s="1"/>
  <c r="L37" i="83"/>
  <c r="G37" i="83"/>
  <c r="B37" i="83"/>
  <c r="L36" i="83"/>
  <c r="G36" i="83"/>
  <c r="B36" i="83"/>
  <c r="L35" i="83"/>
  <c r="G35" i="83"/>
  <c r="B35" i="83"/>
  <c r="L34" i="83"/>
  <c r="G34" i="83"/>
  <c r="B34" i="83"/>
  <c r="L33" i="83"/>
  <c r="G33" i="83"/>
  <c r="B33" i="83"/>
  <c r="L32" i="83"/>
  <c r="G32" i="83"/>
  <c r="B32" i="83"/>
  <c r="L31" i="83"/>
  <c r="G31" i="83"/>
  <c r="B31" i="83"/>
  <c r="L30" i="83"/>
  <c r="G30" i="83"/>
  <c r="B30" i="83"/>
  <c r="L29" i="83"/>
  <c r="G29" i="83"/>
  <c r="B29" i="83"/>
  <c r="L28" i="83"/>
  <c r="G28" i="83"/>
  <c r="B28" i="83"/>
  <c r="L27" i="83"/>
  <c r="G27" i="83"/>
  <c r="B27" i="83"/>
  <c r="L26" i="83"/>
  <c r="G26" i="83"/>
  <c r="B26" i="83"/>
  <c r="L25" i="83"/>
  <c r="G25" i="83"/>
  <c r="B25" i="83"/>
  <c r="K21" i="83"/>
  <c r="J21" i="83"/>
  <c r="I21" i="83"/>
  <c r="H21" i="83"/>
  <c r="G21" i="83"/>
  <c r="F21" i="83"/>
  <c r="E21" i="83"/>
  <c r="D21" i="83"/>
  <c r="C21" i="83"/>
  <c r="B21" i="83"/>
  <c r="L20" i="83"/>
  <c r="L19" i="83"/>
  <c r="L18" i="83"/>
  <c r="L17" i="83"/>
  <c r="L16" i="83"/>
  <c r="L15" i="83"/>
  <c r="L14" i="83"/>
  <c r="L13" i="83"/>
  <c r="L12" i="83"/>
  <c r="L11" i="83"/>
  <c r="L10" i="83"/>
  <c r="L9" i="83"/>
  <c r="L8" i="83"/>
  <c r="G1" i="83"/>
  <c r="E77" i="82"/>
  <c r="E76" i="82"/>
  <c r="E75" i="82"/>
  <c r="E74" i="82"/>
  <c r="E73" i="82"/>
  <c r="E72" i="82"/>
  <c r="E71" i="82"/>
  <c r="E70" i="82"/>
  <c r="E69" i="82"/>
  <c r="E68" i="82"/>
  <c r="E67" i="82"/>
  <c r="E66" i="82"/>
  <c r="E65" i="82"/>
  <c r="E64" i="82"/>
  <c r="E63" i="82"/>
  <c r="E58" i="82"/>
  <c r="E57" i="82"/>
  <c r="E56" i="82"/>
  <c r="E55" i="82"/>
  <c r="E54" i="82"/>
  <c r="E53" i="82"/>
  <c r="E52" i="82"/>
  <c r="E51" i="82"/>
  <c r="E50" i="82"/>
  <c r="E49" i="82"/>
  <c r="E48" i="82"/>
  <c r="E47" i="82"/>
  <c r="E46" i="82"/>
  <c r="E45" i="82"/>
  <c r="E44" i="82"/>
  <c r="L37" i="82"/>
  <c r="G37" i="82"/>
  <c r="B37" i="82"/>
  <c r="L36" i="82"/>
  <c r="G36" i="82"/>
  <c r="B36" i="82"/>
  <c r="L35" i="82"/>
  <c r="G35" i="82"/>
  <c r="B35" i="82"/>
  <c r="L34" i="82"/>
  <c r="G34" i="82"/>
  <c r="B34" i="82"/>
  <c r="L33" i="82"/>
  <c r="G33" i="82"/>
  <c r="B33" i="82"/>
  <c r="L32" i="82"/>
  <c r="G32" i="82"/>
  <c r="B32" i="82"/>
  <c r="L31" i="82"/>
  <c r="G31" i="82"/>
  <c r="B31" i="82"/>
  <c r="L30" i="82"/>
  <c r="G30" i="82"/>
  <c r="B30" i="82"/>
  <c r="L29" i="82"/>
  <c r="G29" i="82"/>
  <c r="B29" i="82"/>
  <c r="L28" i="82"/>
  <c r="G28" i="82"/>
  <c r="B28" i="82"/>
  <c r="L27" i="82"/>
  <c r="G27" i="82"/>
  <c r="B27" i="82"/>
  <c r="L26" i="82"/>
  <c r="G26" i="82"/>
  <c r="B26" i="82"/>
  <c r="L25" i="82"/>
  <c r="G25" i="82"/>
  <c r="B25" i="82"/>
  <c r="K21" i="82"/>
  <c r="J21" i="82"/>
  <c r="I21" i="82"/>
  <c r="H21" i="82"/>
  <c r="G21" i="82"/>
  <c r="F21" i="82"/>
  <c r="E21" i="82"/>
  <c r="D21" i="82"/>
  <c r="C21" i="82"/>
  <c r="B21" i="82"/>
  <c r="L20" i="82"/>
  <c r="L19" i="82"/>
  <c r="L18" i="82"/>
  <c r="L17" i="82"/>
  <c r="L16" i="82"/>
  <c r="L15" i="82"/>
  <c r="L14" i="82"/>
  <c r="L13" i="82"/>
  <c r="L12" i="82"/>
  <c r="L11" i="82"/>
  <c r="L10" i="82"/>
  <c r="L9" i="82"/>
  <c r="L8" i="82"/>
  <c r="G1" i="82"/>
  <c r="E77" i="81"/>
  <c r="E76" i="81"/>
  <c r="E75" i="81"/>
  <c r="E74" i="81"/>
  <c r="E73" i="81"/>
  <c r="E72" i="81"/>
  <c r="E71" i="81"/>
  <c r="E70" i="81"/>
  <c r="E69" i="81"/>
  <c r="E68" i="81"/>
  <c r="E67" i="81"/>
  <c r="E66" i="81"/>
  <c r="E65" i="81"/>
  <c r="E64" i="81"/>
  <c r="E63" i="81"/>
  <c r="E58" i="81"/>
  <c r="E57" i="81"/>
  <c r="E56" i="81"/>
  <c r="E55" i="81"/>
  <c r="E54" i="81"/>
  <c r="E53" i="81"/>
  <c r="E52" i="81"/>
  <c r="E51" i="81"/>
  <c r="E50" i="81"/>
  <c r="E49" i="81"/>
  <c r="E48" i="81"/>
  <c r="E47" i="81"/>
  <c r="E46" i="81"/>
  <c r="E45" i="81"/>
  <c r="E44" i="81"/>
  <c r="L37" i="81"/>
  <c r="G37" i="81"/>
  <c r="B37" i="81"/>
  <c r="L36" i="81"/>
  <c r="G36" i="81"/>
  <c r="B36" i="81"/>
  <c r="L35" i="81"/>
  <c r="G35" i="81"/>
  <c r="B35" i="81"/>
  <c r="L34" i="81"/>
  <c r="G34" i="81"/>
  <c r="B34" i="81"/>
  <c r="L33" i="81"/>
  <c r="G33" i="81"/>
  <c r="B33" i="81"/>
  <c r="L32" i="81"/>
  <c r="G32" i="81"/>
  <c r="B32" i="81"/>
  <c r="L31" i="81"/>
  <c r="G31" i="81"/>
  <c r="B31" i="81"/>
  <c r="L30" i="81"/>
  <c r="G30" i="81"/>
  <c r="B30" i="81"/>
  <c r="L29" i="81"/>
  <c r="G29" i="81"/>
  <c r="B29" i="81"/>
  <c r="L28" i="81"/>
  <c r="G28" i="81"/>
  <c r="B28" i="81"/>
  <c r="L27" i="81"/>
  <c r="G27" i="81"/>
  <c r="B27" i="81"/>
  <c r="L26" i="81"/>
  <c r="G26" i="81"/>
  <c r="B26" i="81"/>
  <c r="L25" i="81"/>
  <c r="G25" i="81"/>
  <c r="B25" i="81"/>
  <c r="K21" i="81"/>
  <c r="J21" i="81"/>
  <c r="I21" i="81"/>
  <c r="H21" i="81"/>
  <c r="G21" i="81"/>
  <c r="F21" i="81"/>
  <c r="E21" i="81"/>
  <c r="D21" i="81"/>
  <c r="C21" i="81"/>
  <c r="B21" i="81"/>
  <c r="L20" i="81"/>
  <c r="L19" i="81"/>
  <c r="L18" i="81"/>
  <c r="L17" i="81"/>
  <c r="L16" i="81"/>
  <c r="L15" i="81"/>
  <c r="L14" i="81"/>
  <c r="L13" i="81"/>
  <c r="L12" i="81"/>
  <c r="L11" i="81"/>
  <c r="L10" i="81"/>
  <c r="L9" i="81"/>
  <c r="L8" i="81"/>
  <c r="G1" i="81"/>
  <c r="E77" i="80"/>
  <c r="E76" i="80"/>
  <c r="E75" i="80"/>
  <c r="E74" i="80"/>
  <c r="E73" i="80"/>
  <c r="E72" i="80"/>
  <c r="E71" i="80"/>
  <c r="E70" i="80"/>
  <c r="E69" i="80"/>
  <c r="E68" i="80"/>
  <c r="E67" i="80"/>
  <c r="E66" i="80"/>
  <c r="E65" i="80"/>
  <c r="E64" i="80"/>
  <c r="E63" i="80"/>
  <c r="E78" i="80" s="1"/>
  <c r="K4" i="80" s="1"/>
  <c r="E58" i="80"/>
  <c r="E57" i="80"/>
  <c r="E56" i="80"/>
  <c r="E55" i="80"/>
  <c r="E54" i="80"/>
  <c r="E53" i="80"/>
  <c r="E52" i="80"/>
  <c r="E51" i="80"/>
  <c r="E50" i="80"/>
  <c r="E49" i="80"/>
  <c r="E48" i="80"/>
  <c r="E47" i="80"/>
  <c r="E46" i="80"/>
  <c r="E45" i="80"/>
  <c r="E44" i="80"/>
  <c r="L37" i="80"/>
  <c r="G37" i="80"/>
  <c r="B37" i="80"/>
  <c r="L36" i="80"/>
  <c r="G36" i="80"/>
  <c r="B36" i="80"/>
  <c r="L35" i="80"/>
  <c r="G35" i="80"/>
  <c r="B35" i="80"/>
  <c r="L34" i="80"/>
  <c r="G34" i="80"/>
  <c r="B34" i="80"/>
  <c r="L33" i="80"/>
  <c r="G33" i="80"/>
  <c r="B33" i="80"/>
  <c r="L32" i="80"/>
  <c r="G32" i="80"/>
  <c r="B32" i="80"/>
  <c r="L31" i="80"/>
  <c r="G31" i="80"/>
  <c r="B31" i="80"/>
  <c r="L30" i="80"/>
  <c r="G30" i="80"/>
  <c r="B30" i="80"/>
  <c r="L29" i="80"/>
  <c r="G29" i="80"/>
  <c r="B29" i="80"/>
  <c r="L28" i="80"/>
  <c r="G28" i="80"/>
  <c r="B28" i="80"/>
  <c r="L27" i="80"/>
  <c r="G27" i="80"/>
  <c r="B27" i="80"/>
  <c r="L26" i="80"/>
  <c r="G26" i="80"/>
  <c r="B26" i="80"/>
  <c r="L25" i="80"/>
  <c r="G25" i="80"/>
  <c r="B25" i="80"/>
  <c r="K21" i="80"/>
  <c r="J21" i="80"/>
  <c r="I21" i="80"/>
  <c r="H21" i="80"/>
  <c r="G21" i="80"/>
  <c r="F21" i="80"/>
  <c r="E21" i="80"/>
  <c r="D21" i="80"/>
  <c r="C21" i="80"/>
  <c r="B21" i="80"/>
  <c r="L20" i="80"/>
  <c r="L19" i="80"/>
  <c r="L18" i="80"/>
  <c r="L17" i="80"/>
  <c r="L16" i="80"/>
  <c r="L15" i="80"/>
  <c r="L14" i="80"/>
  <c r="L13" i="80"/>
  <c r="L12" i="80"/>
  <c r="L11" i="80"/>
  <c r="L10" i="80"/>
  <c r="L9" i="80"/>
  <c r="L8" i="80"/>
  <c r="G1" i="80"/>
  <c r="E77" i="79"/>
  <c r="E76" i="79"/>
  <c r="E75" i="79"/>
  <c r="E74" i="79"/>
  <c r="E73" i="79"/>
  <c r="E72" i="79"/>
  <c r="E71" i="79"/>
  <c r="E70" i="79"/>
  <c r="E69" i="79"/>
  <c r="E68" i="79"/>
  <c r="E67" i="79"/>
  <c r="E66" i="79"/>
  <c r="E65" i="79"/>
  <c r="E64" i="79"/>
  <c r="E63" i="79"/>
  <c r="E58" i="79"/>
  <c r="E57" i="79"/>
  <c r="E56" i="79"/>
  <c r="E55" i="79"/>
  <c r="E54" i="79"/>
  <c r="E53" i="79"/>
  <c r="E52" i="79"/>
  <c r="E51" i="79"/>
  <c r="E50" i="79"/>
  <c r="E49" i="79"/>
  <c r="E48" i="79"/>
  <c r="E47" i="79"/>
  <c r="E46" i="79"/>
  <c r="E45" i="79"/>
  <c r="E44" i="79"/>
  <c r="E59" i="79" s="1"/>
  <c r="J4" i="79" s="1"/>
  <c r="L37" i="79"/>
  <c r="G37" i="79"/>
  <c r="B37" i="79"/>
  <c r="L36" i="79"/>
  <c r="G36" i="79"/>
  <c r="B36" i="79"/>
  <c r="L35" i="79"/>
  <c r="G35" i="79"/>
  <c r="B35" i="79"/>
  <c r="L34" i="79"/>
  <c r="G34" i="79"/>
  <c r="B34" i="79"/>
  <c r="L33" i="79"/>
  <c r="G33" i="79"/>
  <c r="B33" i="79"/>
  <c r="L32" i="79"/>
  <c r="G32" i="79"/>
  <c r="B32" i="79"/>
  <c r="L31" i="79"/>
  <c r="G31" i="79"/>
  <c r="B31" i="79"/>
  <c r="L30" i="79"/>
  <c r="G30" i="79"/>
  <c r="B30" i="79"/>
  <c r="L29" i="79"/>
  <c r="G29" i="79"/>
  <c r="B29" i="79"/>
  <c r="L28" i="79"/>
  <c r="G28" i="79"/>
  <c r="B28" i="79"/>
  <c r="L27" i="79"/>
  <c r="G27" i="79"/>
  <c r="B27" i="79"/>
  <c r="L26" i="79"/>
  <c r="G26" i="79"/>
  <c r="G38" i="79" s="1"/>
  <c r="B26" i="79"/>
  <c r="L25" i="79"/>
  <c r="G25" i="79"/>
  <c r="B25" i="79"/>
  <c r="K21" i="79"/>
  <c r="J21" i="79"/>
  <c r="I21" i="79"/>
  <c r="H21" i="79"/>
  <c r="G21" i="79"/>
  <c r="F21" i="79"/>
  <c r="E21" i="79"/>
  <c r="D21" i="79"/>
  <c r="C21" i="79"/>
  <c r="B21" i="79"/>
  <c r="L20" i="79"/>
  <c r="L19" i="79"/>
  <c r="L18" i="79"/>
  <c r="L17" i="79"/>
  <c r="L16" i="79"/>
  <c r="L15" i="79"/>
  <c r="L14" i="79"/>
  <c r="L13" i="79"/>
  <c r="L12" i="79"/>
  <c r="L11" i="79"/>
  <c r="L10" i="79"/>
  <c r="L9" i="79"/>
  <c r="L8" i="79"/>
  <c r="G1" i="79"/>
  <c r="E77" i="78"/>
  <c r="E76" i="78"/>
  <c r="E75" i="78"/>
  <c r="E74" i="78"/>
  <c r="E73" i="78"/>
  <c r="E72" i="78"/>
  <c r="E71" i="78"/>
  <c r="E70" i="78"/>
  <c r="E69" i="78"/>
  <c r="E68" i="78"/>
  <c r="E67" i="78"/>
  <c r="E66" i="78"/>
  <c r="E65" i="78"/>
  <c r="E64" i="78"/>
  <c r="E63" i="78"/>
  <c r="E58" i="78"/>
  <c r="E57" i="78"/>
  <c r="E56" i="78"/>
  <c r="E55" i="78"/>
  <c r="E54" i="78"/>
  <c r="E53" i="78"/>
  <c r="E52" i="78"/>
  <c r="E51" i="78"/>
  <c r="E50" i="78"/>
  <c r="E49" i="78"/>
  <c r="E48" i="78"/>
  <c r="E47" i="78"/>
  <c r="E46" i="78"/>
  <c r="E45" i="78"/>
  <c r="E44" i="78"/>
  <c r="L37" i="78"/>
  <c r="G37" i="78"/>
  <c r="B37" i="78"/>
  <c r="L36" i="78"/>
  <c r="G36" i="78"/>
  <c r="B36" i="78"/>
  <c r="L35" i="78"/>
  <c r="G35" i="78"/>
  <c r="B35" i="78"/>
  <c r="L34" i="78"/>
  <c r="G34" i="78"/>
  <c r="B34" i="78"/>
  <c r="L33" i="78"/>
  <c r="G33" i="78"/>
  <c r="B33" i="78"/>
  <c r="L32" i="78"/>
  <c r="G32" i="78"/>
  <c r="B32" i="78"/>
  <c r="L31" i="78"/>
  <c r="G31" i="78"/>
  <c r="B31" i="78"/>
  <c r="L30" i="78"/>
  <c r="G30" i="78"/>
  <c r="B30" i="78"/>
  <c r="L29" i="78"/>
  <c r="G29" i="78"/>
  <c r="B29" i="78"/>
  <c r="L28" i="78"/>
  <c r="G28" i="78"/>
  <c r="B28" i="78"/>
  <c r="L27" i="78"/>
  <c r="G27" i="78"/>
  <c r="B27" i="78"/>
  <c r="L26" i="78"/>
  <c r="G26" i="78"/>
  <c r="B26" i="78"/>
  <c r="L25" i="78"/>
  <c r="G25" i="78"/>
  <c r="B25" i="78"/>
  <c r="K21" i="78"/>
  <c r="J21" i="78"/>
  <c r="I21" i="78"/>
  <c r="H21" i="78"/>
  <c r="G21" i="78"/>
  <c r="F21" i="78"/>
  <c r="E21" i="78"/>
  <c r="D21" i="78"/>
  <c r="C21" i="78"/>
  <c r="B21" i="78"/>
  <c r="L20" i="78"/>
  <c r="L19" i="78"/>
  <c r="L18" i="78"/>
  <c r="L17" i="78"/>
  <c r="L16" i="78"/>
  <c r="L15" i="78"/>
  <c r="L14" i="78"/>
  <c r="L13" i="78"/>
  <c r="L12" i="78"/>
  <c r="L11" i="78"/>
  <c r="L10" i="78"/>
  <c r="L9" i="78"/>
  <c r="L8" i="78"/>
  <c r="G1" i="78"/>
  <c r="E77" i="77"/>
  <c r="E76" i="77"/>
  <c r="E75" i="77"/>
  <c r="E74" i="77"/>
  <c r="E73" i="77"/>
  <c r="E72" i="77"/>
  <c r="E71" i="77"/>
  <c r="E70" i="77"/>
  <c r="E69" i="77"/>
  <c r="E68" i="77"/>
  <c r="E67" i="77"/>
  <c r="E66" i="77"/>
  <c r="E65" i="77"/>
  <c r="E64" i="77"/>
  <c r="E63" i="77"/>
  <c r="E58" i="77"/>
  <c r="E57" i="77"/>
  <c r="E56" i="77"/>
  <c r="E55" i="77"/>
  <c r="E54" i="77"/>
  <c r="E53" i="77"/>
  <c r="E52" i="77"/>
  <c r="E51" i="77"/>
  <c r="E50" i="77"/>
  <c r="E49" i="77"/>
  <c r="E48" i="77"/>
  <c r="E47" i="77"/>
  <c r="E46" i="77"/>
  <c r="E45" i="77"/>
  <c r="E44" i="77"/>
  <c r="L37" i="77"/>
  <c r="G37" i="77"/>
  <c r="B37" i="77"/>
  <c r="L36" i="77"/>
  <c r="G36" i="77"/>
  <c r="B36" i="77"/>
  <c r="L35" i="77"/>
  <c r="G35" i="77"/>
  <c r="B35" i="77"/>
  <c r="L34" i="77"/>
  <c r="G34" i="77"/>
  <c r="B34" i="77"/>
  <c r="L33" i="77"/>
  <c r="G33" i="77"/>
  <c r="B33" i="77"/>
  <c r="L32" i="77"/>
  <c r="G32" i="77"/>
  <c r="B32" i="77"/>
  <c r="L31" i="77"/>
  <c r="G31" i="77"/>
  <c r="B31" i="77"/>
  <c r="L30" i="77"/>
  <c r="G30" i="77"/>
  <c r="B30" i="77"/>
  <c r="L29" i="77"/>
  <c r="G29" i="77"/>
  <c r="B29" i="77"/>
  <c r="L28" i="77"/>
  <c r="G28" i="77"/>
  <c r="B28" i="77"/>
  <c r="L27" i="77"/>
  <c r="G27" i="77"/>
  <c r="B27" i="77"/>
  <c r="L26" i="77"/>
  <c r="G26" i="77"/>
  <c r="B26" i="77"/>
  <c r="L25" i="77"/>
  <c r="G25" i="77"/>
  <c r="B25" i="77"/>
  <c r="K21" i="77"/>
  <c r="J21" i="77"/>
  <c r="I21" i="77"/>
  <c r="H21" i="77"/>
  <c r="G21" i="77"/>
  <c r="F21" i="77"/>
  <c r="E21" i="77"/>
  <c r="D21" i="77"/>
  <c r="C21" i="77"/>
  <c r="B21" i="77"/>
  <c r="L20" i="77"/>
  <c r="L19" i="77"/>
  <c r="L18" i="77"/>
  <c r="L17" i="77"/>
  <c r="L16" i="77"/>
  <c r="L15" i="77"/>
  <c r="L14" i="77"/>
  <c r="L13" i="77"/>
  <c r="L12" i="77"/>
  <c r="L11" i="77"/>
  <c r="L10" i="77"/>
  <c r="L9" i="77"/>
  <c r="L8" i="77"/>
  <c r="G1" i="77"/>
  <c r="E77" i="76"/>
  <c r="E76" i="76"/>
  <c r="E75" i="76"/>
  <c r="E74" i="76"/>
  <c r="E73" i="76"/>
  <c r="E72" i="76"/>
  <c r="E71" i="76"/>
  <c r="E70" i="76"/>
  <c r="E69" i="76"/>
  <c r="E68" i="76"/>
  <c r="E67" i="76"/>
  <c r="E66" i="76"/>
  <c r="E65" i="76"/>
  <c r="E64" i="76"/>
  <c r="E63" i="76"/>
  <c r="E58" i="76"/>
  <c r="E57" i="76"/>
  <c r="E56" i="76"/>
  <c r="E55" i="76"/>
  <c r="E54" i="76"/>
  <c r="E53" i="76"/>
  <c r="E52" i="76"/>
  <c r="E51" i="76"/>
  <c r="E50" i="76"/>
  <c r="E49" i="76"/>
  <c r="E48" i="76"/>
  <c r="E47" i="76"/>
  <c r="E46" i="76"/>
  <c r="E45" i="76"/>
  <c r="E44" i="76"/>
  <c r="L37" i="76"/>
  <c r="G37" i="76"/>
  <c r="B37" i="76"/>
  <c r="L36" i="76"/>
  <c r="G36" i="76"/>
  <c r="B36" i="76"/>
  <c r="L35" i="76"/>
  <c r="G35" i="76"/>
  <c r="B35" i="76"/>
  <c r="L34" i="76"/>
  <c r="G34" i="76"/>
  <c r="B34" i="76"/>
  <c r="L33" i="76"/>
  <c r="G33" i="76"/>
  <c r="B33" i="76"/>
  <c r="L32" i="76"/>
  <c r="G32" i="76"/>
  <c r="B32" i="76"/>
  <c r="L31" i="76"/>
  <c r="G31" i="76"/>
  <c r="B31" i="76"/>
  <c r="L30" i="76"/>
  <c r="G30" i="76"/>
  <c r="B30" i="76"/>
  <c r="L29" i="76"/>
  <c r="G29" i="76"/>
  <c r="B29" i="76"/>
  <c r="L28" i="76"/>
  <c r="G28" i="76"/>
  <c r="B28" i="76"/>
  <c r="L27" i="76"/>
  <c r="G27" i="76"/>
  <c r="B27" i="76"/>
  <c r="L26" i="76"/>
  <c r="G26" i="76"/>
  <c r="B26" i="76"/>
  <c r="L25" i="76"/>
  <c r="G25" i="76"/>
  <c r="B25" i="76"/>
  <c r="K21" i="76"/>
  <c r="J21" i="76"/>
  <c r="I21" i="76"/>
  <c r="H21" i="76"/>
  <c r="G21" i="76"/>
  <c r="F21" i="76"/>
  <c r="E21" i="76"/>
  <c r="D21" i="76"/>
  <c r="C21" i="76"/>
  <c r="B21" i="76"/>
  <c r="L20" i="76"/>
  <c r="L19" i="76"/>
  <c r="L18" i="76"/>
  <c r="L17" i="76"/>
  <c r="L16" i="76"/>
  <c r="L15" i="76"/>
  <c r="L14" i="76"/>
  <c r="L13" i="76"/>
  <c r="L12" i="76"/>
  <c r="L11" i="76"/>
  <c r="L10" i="76"/>
  <c r="L9" i="76"/>
  <c r="L8" i="76"/>
  <c r="G1" i="76"/>
  <c r="E77" i="75"/>
  <c r="E76" i="75"/>
  <c r="E75" i="75"/>
  <c r="E74" i="75"/>
  <c r="E73" i="75"/>
  <c r="E72" i="75"/>
  <c r="E71" i="75"/>
  <c r="E70" i="75"/>
  <c r="E69" i="75"/>
  <c r="E68" i="75"/>
  <c r="E67" i="75"/>
  <c r="E66" i="75"/>
  <c r="E65" i="75"/>
  <c r="E64" i="75"/>
  <c r="E63" i="75"/>
  <c r="E58" i="75"/>
  <c r="E57" i="75"/>
  <c r="E56" i="75"/>
  <c r="E55" i="75"/>
  <c r="E54" i="75"/>
  <c r="E53" i="75"/>
  <c r="E52" i="75"/>
  <c r="E51" i="75"/>
  <c r="E50" i="75"/>
  <c r="E49" i="75"/>
  <c r="E48" i="75"/>
  <c r="E47" i="75"/>
  <c r="E46" i="75"/>
  <c r="E45" i="75"/>
  <c r="E44" i="75"/>
  <c r="L37" i="75"/>
  <c r="G37" i="75"/>
  <c r="B37" i="75"/>
  <c r="L36" i="75"/>
  <c r="G36" i="75"/>
  <c r="B36" i="75"/>
  <c r="L35" i="75"/>
  <c r="G35" i="75"/>
  <c r="B35" i="75"/>
  <c r="L34" i="75"/>
  <c r="G34" i="75"/>
  <c r="B34" i="75"/>
  <c r="L33" i="75"/>
  <c r="G33" i="75"/>
  <c r="B33" i="75"/>
  <c r="L32" i="75"/>
  <c r="G32" i="75"/>
  <c r="B32" i="75"/>
  <c r="L31" i="75"/>
  <c r="G31" i="75"/>
  <c r="B31" i="75"/>
  <c r="L30" i="75"/>
  <c r="G30" i="75"/>
  <c r="B30" i="75"/>
  <c r="L29" i="75"/>
  <c r="G29" i="75"/>
  <c r="B29" i="75"/>
  <c r="L28" i="75"/>
  <c r="G28" i="75"/>
  <c r="B28" i="75"/>
  <c r="L27" i="75"/>
  <c r="G27" i="75"/>
  <c r="B27" i="75"/>
  <c r="L26" i="75"/>
  <c r="G26" i="75"/>
  <c r="B26" i="75"/>
  <c r="L25" i="75"/>
  <c r="G25" i="75"/>
  <c r="B25" i="75"/>
  <c r="K21" i="75"/>
  <c r="J21" i="75"/>
  <c r="I21" i="75"/>
  <c r="H21" i="75"/>
  <c r="G21" i="75"/>
  <c r="F21" i="75"/>
  <c r="E21" i="75"/>
  <c r="D21" i="75"/>
  <c r="C21" i="75"/>
  <c r="B21" i="75"/>
  <c r="L20" i="75"/>
  <c r="L19" i="75"/>
  <c r="L18" i="75"/>
  <c r="L17" i="75"/>
  <c r="L16" i="75"/>
  <c r="L15" i="75"/>
  <c r="L14" i="75"/>
  <c r="L13" i="75"/>
  <c r="L12" i="75"/>
  <c r="L11" i="75"/>
  <c r="L10" i="75"/>
  <c r="L9" i="75"/>
  <c r="L8" i="75"/>
  <c r="G1" i="75"/>
  <c r="E77" i="74"/>
  <c r="E76" i="74"/>
  <c r="E75" i="74"/>
  <c r="E74" i="74"/>
  <c r="E73" i="74"/>
  <c r="E72" i="74"/>
  <c r="E71" i="74"/>
  <c r="E70" i="74"/>
  <c r="E69" i="74"/>
  <c r="E68" i="74"/>
  <c r="E67" i="74"/>
  <c r="E66" i="74"/>
  <c r="E65" i="74"/>
  <c r="E64" i="74"/>
  <c r="E63" i="74"/>
  <c r="E58" i="74"/>
  <c r="E57" i="74"/>
  <c r="E56" i="74"/>
  <c r="E55" i="74"/>
  <c r="E54" i="74"/>
  <c r="E53" i="74"/>
  <c r="E52" i="74"/>
  <c r="E51" i="74"/>
  <c r="E50" i="74"/>
  <c r="E49" i="74"/>
  <c r="E48" i="74"/>
  <c r="E47" i="74"/>
  <c r="E46" i="74"/>
  <c r="E45" i="74"/>
  <c r="E44" i="74"/>
  <c r="L37" i="74"/>
  <c r="G37" i="74"/>
  <c r="B37" i="74"/>
  <c r="L36" i="74"/>
  <c r="G36" i="74"/>
  <c r="B36" i="74"/>
  <c r="L35" i="74"/>
  <c r="G35" i="74"/>
  <c r="B35" i="74"/>
  <c r="L34" i="74"/>
  <c r="G34" i="74"/>
  <c r="B34" i="74"/>
  <c r="L33" i="74"/>
  <c r="G33" i="74"/>
  <c r="B33" i="74"/>
  <c r="L32" i="74"/>
  <c r="G32" i="74"/>
  <c r="B32" i="74"/>
  <c r="L31" i="74"/>
  <c r="G31" i="74"/>
  <c r="B31" i="74"/>
  <c r="L30" i="74"/>
  <c r="G30" i="74"/>
  <c r="B30" i="74"/>
  <c r="L29" i="74"/>
  <c r="G29" i="74"/>
  <c r="B29" i="74"/>
  <c r="L28" i="74"/>
  <c r="G28" i="74"/>
  <c r="B28" i="74"/>
  <c r="L27" i="74"/>
  <c r="G27" i="74"/>
  <c r="B27" i="74"/>
  <c r="L26" i="74"/>
  <c r="G26" i="74"/>
  <c r="B26" i="74"/>
  <c r="L25" i="74"/>
  <c r="G25" i="74"/>
  <c r="B25" i="74"/>
  <c r="K21" i="74"/>
  <c r="J21" i="74"/>
  <c r="I21" i="74"/>
  <c r="H21" i="74"/>
  <c r="G21" i="74"/>
  <c r="F21" i="74"/>
  <c r="E21" i="74"/>
  <c r="D21" i="74"/>
  <c r="C21" i="74"/>
  <c r="B21" i="74"/>
  <c r="L20" i="74"/>
  <c r="L19" i="74"/>
  <c r="L18" i="74"/>
  <c r="L17" i="74"/>
  <c r="L16" i="74"/>
  <c r="L15" i="74"/>
  <c r="L14" i="74"/>
  <c r="L13" i="74"/>
  <c r="L12" i="74"/>
  <c r="L11" i="74"/>
  <c r="L10" i="74"/>
  <c r="L9" i="74"/>
  <c r="L8" i="74"/>
  <c r="G1" i="74"/>
  <c r="E77" i="73"/>
  <c r="E76" i="73"/>
  <c r="E75" i="73"/>
  <c r="E74" i="73"/>
  <c r="E73" i="73"/>
  <c r="E72" i="73"/>
  <c r="E71" i="73"/>
  <c r="E70" i="73"/>
  <c r="E69" i="73"/>
  <c r="E68" i="73"/>
  <c r="E67" i="73"/>
  <c r="E66" i="73"/>
  <c r="E65" i="73"/>
  <c r="E64" i="73"/>
  <c r="E63" i="73"/>
  <c r="E58" i="73"/>
  <c r="E57" i="73"/>
  <c r="E56" i="73"/>
  <c r="E55" i="73"/>
  <c r="E54" i="73"/>
  <c r="E53" i="73"/>
  <c r="E52" i="73"/>
  <c r="E51" i="73"/>
  <c r="E50" i="73"/>
  <c r="E49" i="73"/>
  <c r="E48" i="73"/>
  <c r="E47" i="73"/>
  <c r="E46" i="73"/>
  <c r="E45" i="73"/>
  <c r="E44" i="73"/>
  <c r="L37" i="73"/>
  <c r="G37" i="73"/>
  <c r="B37" i="73"/>
  <c r="L36" i="73"/>
  <c r="G36" i="73"/>
  <c r="B36" i="73"/>
  <c r="L35" i="73"/>
  <c r="G35" i="73"/>
  <c r="B35" i="73"/>
  <c r="L34" i="73"/>
  <c r="G34" i="73"/>
  <c r="B34" i="73"/>
  <c r="L33" i="73"/>
  <c r="G33" i="73"/>
  <c r="B33" i="73"/>
  <c r="L32" i="73"/>
  <c r="G32" i="73"/>
  <c r="B32" i="73"/>
  <c r="L31" i="73"/>
  <c r="G31" i="73"/>
  <c r="B31" i="73"/>
  <c r="L30" i="73"/>
  <c r="G30" i="73"/>
  <c r="B30" i="73"/>
  <c r="L29" i="73"/>
  <c r="G29" i="73"/>
  <c r="B29" i="73"/>
  <c r="L28" i="73"/>
  <c r="G28" i="73"/>
  <c r="B28" i="73"/>
  <c r="L27" i="73"/>
  <c r="G27" i="73"/>
  <c r="B27" i="73"/>
  <c r="L26" i="73"/>
  <c r="G26" i="73"/>
  <c r="B26" i="73"/>
  <c r="L25" i="73"/>
  <c r="G25" i="73"/>
  <c r="B25" i="73"/>
  <c r="K21" i="73"/>
  <c r="J21" i="73"/>
  <c r="I21" i="73"/>
  <c r="H21" i="73"/>
  <c r="G21" i="73"/>
  <c r="F21" i="73"/>
  <c r="E21" i="73"/>
  <c r="D21" i="73"/>
  <c r="C21" i="73"/>
  <c r="B21" i="73"/>
  <c r="L20" i="73"/>
  <c r="L19" i="73"/>
  <c r="L18" i="73"/>
  <c r="L17" i="73"/>
  <c r="L16" i="73"/>
  <c r="L15" i="73"/>
  <c r="L14" i="73"/>
  <c r="L13" i="73"/>
  <c r="L12" i="73"/>
  <c r="L11" i="73"/>
  <c r="L10" i="73"/>
  <c r="L9" i="73"/>
  <c r="L8" i="73"/>
  <c r="G1" i="73"/>
  <c r="E77" i="72"/>
  <c r="E76" i="72"/>
  <c r="E75" i="72"/>
  <c r="E74" i="72"/>
  <c r="E73" i="72"/>
  <c r="E72" i="72"/>
  <c r="E71" i="72"/>
  <c r="E70" i="72"/>
  <c r="E69" i="72"/>
  <c r="E68" i="72"/>
  <c r="E67" i="72"/>
  <c r="E66" i="72"/>
  <c r="E65" i="72"/>
  <c r="E64" i="72"/>
  <c r="E63" i="72"/>
  <c r="E78" i="72" s="1"/>
  <c r="K4" i="72" s="1"/>
  <c r="E58" i="72"/>
  <c r="E57" i="72"/>
  <c r="E56" i="72"/>
  <c r="E55" i="72"/>
  <c r="E54" i="72"/>
  <c r="E53" i="72"/>
  <c r="E52" i="72"/>
  <c r="E51" i="72"/>
  <c r="E50" i="72"/>
  <c r="E49" i="72"/>
  <c r="E48" i="72"/>
  <c r="E47" i="72"/>
  <c r="E46" i="72"/>
  <c r="E45" i="72"/>
  <c r="E44" i="72"/>
  <c r="L37" i="72"/>
  <c r="G37" i="72"/>
  <c r="B37" i="72"/>
  <c r="L36" i="72"/>
  <c r="G36" i="72"/>
  <c r="B36" i="72"/>
  <c r="L35" i="72"/>
  <c r="G35" i="72"/>
  <c r="B35" i="72"/>
  <c r="L34" i="72"/>
  <c r="G34" i="72"/>
  <c r="B34" i="72"/>
  <c r="L33" i="72"/>
  <c r="G33" i="72"/>
  <c r="B33" i="72"/>
  <c r="L32" i="72"/>
  <c r="G32" i="72"/>
  <c r="B32" i="72"/>
  <c r="L31" i="72"/>
  <c r="G31" i="72"/>
  <c r="B31" i="72"/>
  <c r="L30" i="72"/>
  <c r="G30" i="72"/>
  <c r="B30" i="72"/>
  <c r="L29" i="72"/>
  <c r="G29" i="72"/>
  <c r="B29" i="72"/>
  <c r="L28" i="72"/>
  <c r="G28" i="72"/>
  <c r="B28" i="72"/>
  <c r="L27" i="72"/>
  <c r="G27" i="72"/>
  <c r="B27" i="72"/>
  <c r="L26" i="72"/>
  <c r="G26" i="72"/>
  <c r="B26" i="72"/>
  <c r="L25" i="72"/>
  <c r="G25" i="72"/>
  <c r="B25" i="72"/>
  <c r="B38" i="72" s="1"/>
  <c r="B40" i="72" s="1"/>
  <c r="K21" i="72"/>
  <c r="J21" i="72"/>
  <c r="I21" i="72"/>
  <c r="H21" i="72"/>
  <c r="G21" i="72"/>
  <c r="F21" i="72"/>
  <c r="E21" i="72"/>
  <c r="D21" i="72"/>
  <c r="C21" i="72"/>
  <c r="B21" i="72"/>
  <c r="L20" i="72"/>
  <c r="L19" i="72"/>
  <c r="L18" i="72"/>
  <c r="L17" i="72"/>
  <c r="L16" i="72"/>
  <c r="L15" i="72"/>
  <c r="L14" i="72"/>
  <c r="L13" i="72"/>
  <c r="L12" i="72"/>
  <c r="L11" i="72"/>
  <c r="L10" i="72"/>
  <c r="L9" i="72"/>
  <c r="L8" i="72"/>
  <c r="G1" i="72"/>
  <c r="E77" i="71"/>
  <c r="E76" i="71"/>
  <c r="E75" i="71"/>
  <c r="E74" i="71"/>
  <c r="E73" i="71"/>
  <c r="E72" i="71"/>
  <c r="E71" i="71"/>
  <c r="E70" i="71"/>
  <c r="E69" i="71"/>
  <c r="E68" i="71"/>
  <c r="E67" i="71"/>
  <c r="E66" i="71"/>
  <c r="E65" i="71"/>
  <c r="E64" i="71"/>
  <c r="E63" i="71"/>
  <c r="E58" i="71"/>
  <c r="E57" i="71"/>
  <c r="E56" i="71"/>
  <c r="E55" i="71"/>
  <c r="E54" i="71"/>
  <c r="E53" i="71"/>
  <c r="E52" i="71"/>
  <c r="E51" i="71"/>
  <c r="E50" i="71"/>
  <c r="E49" i="71"/>
  <c r="E48" i="71"/>
  <c r="E47" i="71"/>
  <c r="E46" i="71"/>
  <c r="E45" i="71"/>
  <c r="E44" i="71"/>
  <c r="L37" i="71"/>
  <c r="G37" i="71"/>
  <c r="B37" i="71"/>
  <c r="L36" i="71"/>
  <c r="G36" i="71"/>
  <c r="B36" i="71"/>
  <c r="L35" i="71"/>
  <c r="G35" i="71"/>
  <c r="B35" i="71"/>
  <c r="L34" i="71"/>
  <c r="G34" i="71"/>
  <c r="B34" i="71"/>
  <c r="L33" i="71"/>
  <c r="G33" i="71"/>
  <c r="B33" i="71"/>
  <c r="L32" i="71"/>
  <c r="G32" i="71"/>
  <c r="B32" i="71"/>
  <c r="L31" i="71"/>
  <c r="G31" i="71"/>
  <c r="B31" i="71"/>
  <c r="L30" i="71"/>
  <c r="G30" i="71"/>
  <c r="B30" i="71"/>
  <c r="L29" i="71"/>
  <c r="G29" i="71"/>
  <c r="B29" i="71"/>
  <c r="L28" i="71"/>
  <c r="G28" i="71"/>
  <c r="B28" i="71"/>
  <c r="L27" i="71"/>
  <c r="G27" i="71"/>
  <c r="B27" i="71"/>
  <c r="L26" i="71"/>
  <c r="G26" i="71"/>
  <c r="B26" i="71"/>
  <c r="L25" i="71"/>
  <c r="G25" i="71"/>
  <c r="B25" i="71"/>
  <c r="K21" i="71"/>
  <c r="J21" i="71"/>
  <c r="I21" i="71"/>
  <c r="H21" i="71"/>
  <c r="G21" i="71"/>
  <c r="F21" i="71"/>
  <c r="E21" i="71"/>
  <c r="D21" i="71"/>
  <c r="C21" i="71"/>
  <c r="B21" i="71"/>
  <c r="L20" i="71"/>
  <c r="L19" i="71"/>
  <c r="L18" i="71"/>
  <c r="L17" i="71"/>
  <c r="L16" i="71"/>
  <c r="L15" i="71"/>
  <c r="L14" i="71"/>
  <c r="L13" i="71"/>
  <c r="L12" i="71"/>
  <c r="L11" i="71"/>
  <c r="L21" i="71" s="1"/>
  <c r="L10" i="71"/>
  <c r="L9" i="71"/>
  <c r="L8" i="71"/>
  <c r="G1" i="71"/>
  <c r="E77" i="70"/>
  <c r="E76" i="70"/>
  <c r="E75" i="70"/>
  <c r="E74" i="70"/>
  <c r="E73" i="70"/>
  <c r="E72" i="70"/>
  <c r="E71" i="70"/>
  <c r="E70" i="70"/>
  <c r="E69" i="70"/>
  <c r="E68" i="70"/>
  <c r="E67" i="70"/>
  <c r="E66" i="70"/>
  <c r="E65" i="70"/>
  <c r="E64" i="70"/>
  <c r="E63" i="70"/>
  <c r="E58" i="70"/>
  <c r="E57" i="70"/>
  <c r="E56" i="70"/>
  <c r="E55" i="70"/>
  <c r="E54" i="70"/>
  <c r="E53" i="70"/>
  <c r="E52" i="70"/>
  <c r="E51" i="70"/>
  <c r="E50" i="70"/>
  <c r="E49" i="70"/>
  <c r="E48" i="70"/>
  <c r="E47" i="70"/>
  <c r="E46" i="70"/>
  <c r="E45" i="70"/>
  <c r="E44" i="70"/>
  <c r="G38" i="70"/>
  <c r="H4" i="70" s="1"/>
  <c r="L37" i="70"/>
  <c r="G37" i="70"/>
  <c r="B37" i="70"/>
  <c r="L36" i="70"/>
  <c r="G36" i="70"/>
  <c r="B36" i="70"/>
  <c r="L35" i="70"/>
  <c r="G35" i="70"/>
  <c r="B35" i="70"/>
  <c r="L34" i="70"/>
  <c r="G34" i="70"/>
  <c r="B34" i="70"/>
  <c r="L33" i="70"/>
  <c r="G33" i="70"/>
  <c r="B33" i="70"/>
  <c r="L32" i="70"/>
  <c r="G32" i="70"/>
  <c r="B32" i="70"/>
  <c r="L31" i="70"/>
  <c r="G31" i="70"/>
  <c r="B31" i="70"/>
  <c r="L30" i="70"/>
  <c r="G30" i="70"/>
  <c r="B30" i="70"/>
  <c r="L29" i="70"/>
  <c r="G29" i="70"/>
  <c r="B29" i="70"/>
  <c r="L28" i="70"/>
  <c r="G28" i="70"/>
  <c r="B28" i="70"/>
  <c r="L27" i="70"/>
  <c r="G27" i="70"/>
  <c r="B27" i="70"/>
  <c r="L26" i="70"/>
  <c r="G26" i="70"/>
  <c r="B26" i="70"/>
  <c r="B38" i="70" s="1"/>
  <c r="L25" i="70"/>
  <c r="G25" i="70"/>
  <c r="B25" i="70"/>
  <c r="K21" i="70"/>
  <c r="J21" i="70"/>
  <c r="I21" i="70"/>
  <c r="H21" i="70"/>
  <c r="G21" i="70"/>
  <c r="F21" i="70"/>
  <c r="E21" i="70"/>
  <c r="D21" i="70"/>
  <c r="C21" i="70"/>
  <c r="B21" i="70"/>
  <c r="L20" i="70"/>
  <c r="L19" i="70"/>
  <c r="L18" i="70"/>
  <c r="L17" i="70"/>
  <c r="L16" i="70"/>
  <c r="L15" i="70"/>
  <c r="L14" i="70"/>
  <c r="L13" i="70"/>
  <c r="L12" i="70"/>
  <c r="L11" i="70"/>
  <c r="L10" i="70"/>
  <c r="L9" i="70"/>
  <c r="L8" i="70"/>
  <c r="G1" i="70"/>
  <c r="E77" i="69"/>
  <c r="E76" i="69"/>
  <c r="E75" i="69"/>
  <c r="E74" i="69"/>
  <c r="E73" i="69"/>
  <c r="E72" i="69"/>
  <c r="E71" i="69"/>
  <c r="E70" i="69"/>
  <c r="E69" i="69"/>
  <c r="E68" i="69"/>
  <c r="E67" i="69"/>
  <c r="E66" i="69"/>
  <c r="E65" i="69"/>
  <c r="E64" i="69"/>
  <c r="E63" i="69"/>
  <c r="E58" i="69"/>
  <c r="E57" i="69"/>
  <c r="E56" i="69"/>
  <c r="E55" i="69"/>
  <c r="E54" i="69"/>
  <c r="E53" i="69"/>
  <c r="E52" i="69"/>
  <c r="E51" i="69"/>
  <c r="E50" i="69"/>
  <c r="E49" i="69"/>
  <c r="E48" i="69"/>
  <c r="E47" i="69"/>
  <c r="E46" i="69"/>
  <c r="E45" i="69"/>
  <c r="E44" i="69"/>
  <c r="L37" i="69"/>
  <c r="G37" i="69"/>
  <c r="B37" i="69"/>
  <c r="L36" i="69"/>
  <c r="G36" i="69"/>
  <c r="B36" i="69"/>
  <c r="L35" i="69"/>
  <c r="G35" i="69"/>
  <c r="B35" i="69"/>
  <c r="L34" i="69"/>
  <c r="G34" i="69"/>
  <c r="B34" i="69"/>
  <c r="L33" i="69"/>
  <c r="G33" i="69"/>
  <c r="B33" i="69"/>
  <c r="L32" i="69"/>
  <c r="G32" i="69"/>
  <c r="B32" i="69"/>
  <c r="L31" i="69"/>
  <c r="G31" i="69"/>
  <c r="B31" i="69"/>
  <c r="L30" i="69"/>
  <c r="G30" i="69"/>
  <c r="B30" i="69"/>
  <c r="L29" i="69"/>
  <c r="G29" i="69"/>
  <c r="B29" i="69"/>
  <c r="L28" i="69"/>
  <c r="G28" i="69"/>
  <c r="B28" i="69"/>
  <c r="L27" i="69"/>
  <c r="G27" i="69"/>
  <c r="B27" i="69"/>
  <c r="L26" i="69"/>
  <c r="G26" i="69"/>
  <c r="B26" i="69"/>
  <c r="L25" i="69"/>
  <c r="G25" i="69"/>
  <c r="B25" i="69"/>
  <c r="K21" i="69"/>
  <c r="J21" i="69"/>
  <c r="I21" i="69"/>
  <c r="H21" i="69"/>
  <c r="G21" i="69"/>
  <c r="F21" i="69"/>
  <c r="E21" i="69"/>
  <c r="D21" i="69"/>
  <c r="C21" i="69"/>
  <c r="B21" i="69"/>
  <c r="L20" i="69"/>
  <c r="L19" i="69"/>
  <c r="L18" i="69"/>
  <c r="L17" i="69"/>
  <c r="L16" i="69"/>
  <c r="L15" i="69"/>
  <c r="L14" i="69"/>
  <c r="L13" i="69"/>
  <c r="L12" i="69"/>
  <c r="L11" i="69"/>
  <c r="L10" i="69"/>
  <c r="L9" i="69"/>
  <c r="L8" i="69"/>
  <c r="G1" i="69"/>
  <c r="E77" i="68"/>
  <c r="E76" i="68"/>
  <c r="E75" i="68"/>
  <c r="E74" i="68"/>
  <c r="E73" i="68"/>
  <c r="E72" i="68"/>
  <c r="E71" i="68"/>
  <c r="E70" i="68"/>
  <c r="E69" i="68"/>
  <c r="E68" i="68"/>
  <c r="E67" i="68"/>
  <c r="E66" i="68"/>
  <c r="E65" i="68"/>
  <c r="E64" i="68"/>
  <c r="E63" i="68"/>
  <c r="E58" i="68"/>
  <c r="E57" i="68"/>
  <c r="E56" i="68"/>
  <c r="E55" i="68"/>
  <c r="E54" i="68"/>
  <c r="E53" i="68"/>
  <c r="E52" i="68"/>
  <c r="E51" i="68"/>
  <c r="E50" i="68"/>
  <c r="E49" i="68"/>
  <c r="E48" i="68"/>
  <c r="E47" i="68"/>
  <c r="E46" i="68"/>
  <c r="E45" i="68"/>
  <c r="E44" i="68"/>
  <c r="L37" i="68"/>
  <c r="G37" i="68"/>
  <c r="B37" i="68"/>
  <c r="L36" i="68"/>
  <c r="G36" i="68"/>
  <c r="B36" i="68"/>
  <c r="L35" i="68"/>
  <c r="G35" i="68"/>
  <c r="B35" i="68"/>
  <c r="L34" i="68"/>
  <c r="G34" i="68"/>
  <c r="B34" i="68"/>
  <c r="L33" i="68"/>
  <c r="G33" i="68"/>
  <c r="B33" i="68"/>
  <c r="L32" i="68"/>
  <c r="G32" i="68"/>
  <c r="B32" i="68"/>
  <c r="L31" i="68"/>
  <c r="G31" i="68"/>
  <c r="B31" i="68"/>
  <c r="L30" i="68"/>
  <c r="G30" i="68"/>
  <c r="B30" i="68"/>
  <c r="L29" i="68"/>
  <c r="G29" i="68"/>
  <c r="B29" i="68"/>
  <c r="L28" i="68"/>
  <c r="G28" i="68"/>
  <c r="B28" i="68"/>
  <c r="L27" i="68"/>
  <c r="G27" i="68"/>
  <c r="B27" i="68"/>
  <c r="L26" i="68"/>
  <c r="G26" i="68"/>
  <c r="G38" i="68" s="1"/>
  <c r="B26" i="68"/>
  <c r="L25" i="68"/>
  <c r="G25" i="68"/>
  <c r="B25" i="68"/>
  <c r="K21" i="68"/>
  <c r="J21" i="68"/>
  <c r="I21" i="68"/>
  <c r="H21" i="68"/>
  <c r="G21" i="68"/>
  <c r="F21" i="68"/>
  <c r="E21" i="68"/>
  <c r="D21" i="68"/>
  <c r="C21" i="68"/>
  <c r="B21" i="68"/>
  <c r="L20" i="68"/>
  <c r="L19" i="68"/>
  <c r="L18" i="68"/>
  <c r="L17" i="68"/>
  <c r="L16" i="68"/>
  <c r="L15" i="68"/>
  <c r="L14" i="68"/>
  <c r="L13" i="68"/>
  <c r="L12" i="68"/>
  <c r="L11" i="68"/>
  <c r="L10" i="68"/>
  <c r="L9" i="68"/>
  <c r="L8" i="68"/>
  <c r="G1" i="68"/>
  <c r="E78" i="97" l="1"/>
  <c r="K4" i="97" s="1"/>
  <c r="L21" i="72"/>
  <c r="E59" i="76"/>
  <c r="J4" i="76" s="1"/>
  <c r="E59" i="80"/>
  <c r="J4" i="80" s="1"/>
  <c r="E78" i="81"/>
  <c r="K4" i="81" s="1"/>
  <c r="E78" i="85"/>
  <c r="K4" i="85" s="1"/>
  <c r="B38" i="88"/>
  <c r="E59" i="88"/>
  <c r="J4" i="88" s="1"/>
  <c r="E59" i="92"/>
  <c r="J4" i="92" s="1"/>
  <c r="E78" i="93"/>
  <c r="K4" i="93" s="1"/>
  <c r="B38" i="96"/>
  <c r="E78" i="68"/>
  <c r="K4" i="68" s="1"/>
  <c r="L21" i="76"/>
  <c r="G38" i="76"/>
  <c r="L21" i="80"/>
  <c r="G38" i="80"/>
  <c r="G38" i="84"/>
  <c r="L21" i="88"/>
  <c r="G38" i="88"/>
  <c r="L21" i="91"/>
  <c r="L21" i="92"/>
  <c r="G38" i="92"/>
  <c r="L21" i="96"/>
  <c r="G38" i="96"/>
  <c r="H4" i="96" s="1"/>
  <c r="G38" i="71"/>
  <c r="B38" i="75"/>
  <c r="B38" i="91"/>
  <c r="G38" i="72"/>
  <c r="E59" i="72"/>
  <c r="J4" i="72" s="1"/>
  <c r="E78" i="73"/>
  <c r="K4" i="73" s="1"/>
  <c r="B38" i="76"/>
  <c r="E78" i="77"/>
  <c r="K4" i="77" s="1"/>
  <c r="B38" i="80"/>
  <c r="B40" i="80" s="1"/>
  <c r="B38" i="84"/>
  <c r="E59" i="84"/>
  <c r="J4" i="84" s="1"/>
  <c r="E78" i="89"/>
  <c r="K4" i="89" s="1"/>
  <c r="B38" i="92"/>
  <c r="E59" i="96"/>
  <c r="J4" i="96" s="1"/>
  <c r="L21" i="70"/>
  <c r="B38" i="71"/>
  <c r="E59" i="71"/>
  <c r="J4" i="71" s="1"/>
  <c r="L21" i="87"/>
  <c r="E59" i="91"/>
  <c r="J4" i="91" s="1"/>
  <c r="L21" i="83"/>
  <c r="G38" i="83"/>
  <c r="G40" i="83" s="1"/>
  <c r="L21" i="95"/>
  <c r="G38" i="95"/>
  <c r="E59" i="70"/>
  <c r="J4" i="70" s="1"/>
  <c r="E78" i="71"/>
  <c r="K4" i="71" s="1"/>
  <c r="E59" i="75"/>
  <c r="J4" i="75" s="1"/>
  <c r="E78" i="76"/>
  <c r="K4" i="76" s="1"/>
  <c r="B38" i="79"/>
  <c r="B38" i="74"/>
  <c r="E59" i="82"/>
  <c r="J4" i="82" s="1"/>
  <c r="B38" i="69"/>
  <c r="E59" i="69"/>
  <c r="J4" i="69" s="1"/>
  <c r="L21" i="74"/>
  <c r="G38" i="74"/>
  <c r="L21" i="77"/>
  <c r="L21" i="78"/>
  <c r="G38" i="78"/>
  <c r="L21" i="82"/>
  <c r="G38" i="82"/>
  <c r="H4" i="82" s="1"/>
  <c r="L21" i="86"/>
  <c r="G38" i="86"/>
  <c r="L21" i="90"/>
  <c r="G38" i="90"/>
  <c r="L21" i="94"/>
  <c r="G38" i="94"/>
  <c r="H4" i="94" s="1"/>
  <c r="L21" i="98"/>
  <c r="G38" i="98"/>
  <c r="L21" i="79"/>
  <c r="B38" i="78"/>
  <c r="E78" i="79"/>
  <c r="K4" i="79" s="1"/>
  <c r="E59" i="86"/>
  <c r="J4" i="86" s="1"/>
  <c r="E59" i="90"/>
  <c r="J4" i="90" s="1"/>
  <c r="B38" i="98"/>
  <c r="L21" i="69"/>
  <c r="G38" i="69"/>
  <c r="E78" i="70"/>
  <c r="K4" i="70" s="1"/>
  <c r="L21" i="93"/>
  <c r="B38" i="95"/>
  <c r="L21" i="75"/>
  <c r="E78" i="75"/>
  <c r="K4" i="75" s="1"/>
  <c r="E78" i="83"/>
  <c r="K4" i="83" s="1"/>
  <c r="E78" i="95"/>
  <c r="K4" i="95" s="1"/>
  <c r="B38" i="73"/>
  <c r="E59" i="73"/>
  <c r="J4" i="73" s="1"/>
  <c r="E78" i="74"/>
  <c r="K4" i="74" s="1"/>
  <c r="B38" i="77"/>
  <c r="E59" i="77"/>
  <c r="J4" i="77" s="1"/>
  <c r="E78" i="78"/>
  <c r="K4" i="78" s="1"/>
  <c r="B38" i="81"/>
  <c r="G4" i="81" s="1"/>
  <c r="E59" i="81"/>
  <c r="J4" i="81" s="1"/>
  <c r="E78" i="82"/>
  <c r="K4" i="82" s="1"/>
  <c r="B38" i="85"/>
  <c r="B40" i="85" s="1"/>
  <c r="E59" i="85"/>
  <c r="J4" i="85" s="1"/>
  <c r="E78" i="86"/>
  <c r="K4" i="86" s="1"/>
  <c r="B38" i="89"/>
  <c r="E59" i="89"/>
  <c r="J4" i="89" s="1"/>
  <c r="E78" i="90"/>
  <c r="K4" i="90" s="1"/>
  <c r="B38" i="93"/>
  <c r="E59" i="93"/>
  <c r="J4" i="93" s="1"/>
  <c r="E78" i="94"/>
  <c r="K4" i="94" s="1"/>
  <c r="B38" i="97"/>
  <c r="B40" i="97" s="1"/>
  <c r="E59" i="97"/>
  <c r="J4" i="97" s="1"/>
  <c r="E78" i="98"/>
  <c r="K4" i="98" s="1"/>
  <c r="E59" i="78"/>
  <c r="J4" i="78" s="1"/>
  <c r="B38" i="90"/>
  <c r="E78" i="91"/>
  <c r="K4" i="91" s="1"/>
  <c r="B38" i="94"/>
  <c r="E59" i="98"/>
  <c r="J4" i="98" s="1"/>
  <c r="B38" i="68"/>
  <c r="E59" i="68"/>
  <c r="J4" i="68" s="1"/>
  <c r="E78" i="69"/>
  <c r="K4" i="69" s="1"/>
  <c r="L21" i="73"/>
  <c r="G38" i="73"/>
  <c r="H4" i="73" s="1"/>
  <c r="G38" i="77"/>
  <c r="L21" i="81"/>
  <c r="G38" i="81"/>
  <c r="H4" i="81" s="1"/>
  <c r="L21" i="84"/>
  <c r="L21" i="85"/>
  <c r="G38" i="85"/>
  <c r="H4" i="85" s="1"/>
  <c r="L21" i="89"/>
  <c r="G38" i="89"/>
  <c r="G38" i="93"/>
  <c r="H4" i="93" s="1"/>
  <c r="L21" i="97"/>
  <c r="G38" i="97"/>
  <c r="H4" i="97" s="1"/>
  <c r="B38" i="83"/>
  <c r="B40" i="83" s="1"/>
  <c r="E78" i="84"/>
  <c r="K4" i="84" s="1"/>
  <c r="E78" i="96"/>
  <c r="K4" i="96" s="1"/>
  <c r="G38" i="75"/>
  <c r="H4" i="75" s="1"/>
  <c r="E59" i="74"/>
  <c r="J4" i="74" s="1"/>
  <c r="B38" i="82"/>
  <c r="B38" i="86"/>
  <c r="E78" i="87"/>
  <c r="K4" i="87" s="1"/>
  <c r="E59" i="94"/>
  <c r="J4" i="94" s="1"/>
  <c r="L21" i="68"/>
  <c r="G4" i="98"/>
  <c r="B40" i="98"/>
  <c r="H4" i="98"/>
  <c r="G40" i="98"/>
  <c r="G4" i="96"/>
  <c r="B40" i="96"/>
  <c r="G4" i="95"/>
  <c r="B40" i="95"/>
  <c r="H4" i="95"/>
  <c r="G40" i="95"/>
  <c r="B40" i="94"/>
  <c r="G4" i="94"/>
  <c r="G4" i="93"/>
  <c r="B40" i="93"/>
  <c r="G40" i="93"/>
  <c r="B40" i="92"/>
  <c r="I4" i="92" s="1"/>
  <c r="G4" i="92"/>
  <c r="H4" i="92"/>
  <c r="G40" i="92"/>
  <c r="G4" i="91"/>
  <c r="B40" i="91"/>
  <c r="H4" i="91"/>
  <c r="G40" i="91"/>
  <c r="G4" i="90"/>
  <c r="B40" i="90"/>
  <c r="I4" i="90" s="1"/>
  <c r="L4" i="90" s="1"/>
  <c r="H4" i="90"/>
  <c r="G40" i="90"/>
  <c r="B40" i="89"/>
  <c r="G4" i="89"/>
  <c r="H4" i="89"/>
  <c r="G40" i="89"/>
  <c r="G4" i="88"/>
  <c r="B40" i="88"/>
  <c r="H4" i="88"/>
  <c r="G40" i="88"/>
  <c r="G4" i="87"/>
  <c r="B40" i="87"/>
  <c r="G40" i="87"/>
  <c r="H4" i="87"/>
  <c r="G4" i="86"/>
  <c r="B40" i="86"/>
  <c r="H4" i="86"/>
  <c r="G40" i="86"/>
  <c r="G4" i="85"/>
  <c r="G4" i="84"/>
  <c r="B40" i="84"/>
  <c r="H4" i="84"/>
  <c r="G40" i="84"/>
  <c r="H4" i="83"/>
  <c r="G4" i="82"/>
  <c r="B40" i="82"/>
  <c r="H4" i="80"/>
  <c r="G40" i="80"/>
  <c r="G4" i="79"/>
  <c r="B40" i="79"/>
  <c r="H4" i="79"/>
  <c r="G40" i="79"/>
  <c r="G4" i="78"/>
  <c r="B40" i="78"/>
  <c r="H4" i="78"/>
  <c r="G40" i="78"/>
  <c r="B40" i="77"/>
  <c r="G4" i="77"/>
  <c r="H4" i="77"/>
  <c r="G40" i="77"/>
  <c r="G4" i="76"/>
  <c r="B40" i="76"/>
  <c r="G40" i="76"/>
  <c r="H4" i="76"/>
  <c r="G4" i="75"/>
  <c r="B40" i="75"/>
  <c r="G4" i="74"/>
  <c r="B40" i="74"/>
  <c r="G40" i="74"/>
  <c r="H4" i="74"/>
  <c r="G4" i="73"/>
  <c r="B40" i="73"/>
  <c r="H4" i="72"/>
  <c r="G40" i="72"/>
  <c r="I4" i="72" s="1"/>
  <c r="L4" i="72" s="1"/>
  <c r="G4" i="72"/>
  <c r="G4" i="71"/>
  <c r="B40" i="71"/>
  <c r="H4" i="71"/>
  <c r="G40" i="71"/>
  <c r="B40" i="70"/>
  <c r="G4" i="70"/>
  <c r="G40" i="70"/>
  <c r="G4" i="69"/>
  <c r="B40" i="69"/>
  <c r="H4" i="69"/>
  <c r="G40" i="69"/>
  <c r="G4" i="68"/>
  <c r="B40" i="68"/>
  <c r="H4" i="68"/>
  <c r="G40" i="68"/>
  <c r="J213" i="67"/>
  <c r="I213" i="67"/>
  <c r="H213" i="67"/>
  <c r="G213" i="67"/>
  <c r="F213" i="67"/>
  <c r="E213" i="67"/>
  <c r="D213" i="67"/>
  <c r="J212" i="67"/>
  <c r="I212" i="67"/>
  <c r="H212" i="67"/>
  <c r="G212" i="67"/>
  <c r="F212" i="67"/>
  <c r="E212" i="67"/>
  <c r="D212" i="67"/>
  <c r="J211" i="67"/>
  <c r="I211" i="67"/>
  <c r="H211" i="67"/>
  <c r="G211" i="67"/>
  <c r="F211" i="67"/>
  <c r="E211" i="67"/>
  <c r="D211" i="67"/>
  <c r="J210" i="67"/>
  <c r="I210" i="67"/>
  <c r="H210" i="67"/>
  <c r="G210" i="67"/>
  <c r="F210" i="67"/>
  <c r="E210" i="67"/>
  <c r="D210" i="67"/>
  <c r="J209" i="67"/>
  <c r="I209" i="67"/>
  <c r="H209" i="67"/>
  <c r="G209" i="67"/>
  <c r="F209" i="67"/>
  <c r="E209" i="67"/>
  <c r="D209" i="67"/>
  <c r="J208" i="67"/>
  <c r="I208" i="67"/>
  <c r="H208" i="67"/>
  <c r="G208" i="67"/>
  <c r="F208" i="67"/>
  <c r="E208" i="67"/>
  <c r="D208" i="67"/>
  <c r="J207" i="67"/>
  <c r="I207" i="67"/>
  <c r="H207" i="67"/>
  <c r="G207" i="67"/>
  <c r="F207" i="67"/>
  <c r="E207" i="67"/>
  <c r="D207" i="67"/>
  <c r="J206" i="67"/>
  <c r="I206" i="67"/>
  <c r="H206" i="67"/>
  <c r="G206" i="67"/>
  <c r="F206" i="67"/>
  <c r="E206" i="67"/>
  <c r="D206" i="67"/>
  <c r="J205" i="67"/>
  <c r="I205" i="67"/>
  <c r="H205" i="67"/>
  <c r="G205" i="67"/>
  <c r="F205" i="67"/>
  <c r="E205" i="67"/>
  <c r="D205" i="67"/>
  <c r="J204" i="67"/>
  <c r="I204" i="67"/>
  <c r="H204" i="67"/>
  <c r="G204" i="67"/>
  <c r="F204" i="67"/>
  <c r="E204" i="67"/>
  <c r="D204" i="67"/>
  <c r="J203" i="67"/>
  <c r="I203" i="67"/>
  <c r="H203" i="67"/>
  <c r="G203" i="67"/>
  <c r="F203" i="67"/>
  <c r="E203" i="67"/>
  <c r="D203" i="67"/>
  <c r="J202" i="67"/>
  <c r="I202" i="67"/>
  <c r="H202" i="67"/>
  <c r="G202" i="67"/>
  <c r="F202" i="67"/>
  <c r="E202" i="67"/>
  <c r="D202" i="67"/>
  <c r="J201" i="67"/>
  <c r="I201" i="67"/>
  <c r="H201" i="67"/>
  <c r="G201" i="67"/>
  <c r="F201" i="67"/>
  <c r="E201" i="67"/>
  <c r="D201" i="67"/>
  <c r="J200" i="67"/>
  <c r="I200" i="67"/>
  <c r="H200" i="67"/>
  <c r="G200" i="67"/>
  <c r="F200" i="67"/>
  <c r="E200" i="67"/>
  <c r="D200" i="67"/>
  <c r="J199" i="67"/>
  <c r="I199" i="67"/>
  <c r="H199" i="67"/>
  <c r="G199" i="67"/>
  <c r="F199" i="67"/>
  <c r="E199" i="67"/>
  <c r="D199" i="67"/>
  <c r="J198" i="67"/>
  <c r="I198" i="67"/>
  <c r="H198" i="67"/>
  <c r="G198" i="67"/>
  <c r="F198" i="67"/>
  <c r="E198" i="67"/>
  <c r="D198" i="67"/>
  <c r="J197" i="67"/>
  <c r="I197" i="67"/>
  <c r="H197" i="67"/>
  <c r="G197" i="67"/>
  <c r="F197" i="67"/>
  <c r="E197" i="67"/>
  <c r="D197" i="67"/>
  <c r="J196" i="67"/>
  <c r="I196" i="67"/>
  <c r="H196" i="67"/>
  <c r="G196" i="67"/>
  <c r="F196" i="67"/>
  <c r="E196" i="67"/>
  <c r="D196" i="67"/>
  <c r="J195" i="67"/>
  <c r="I195" i="67"/>
  <c r="H195" i="67"/>
  <c r="G195" i="67"/>
  <c r="F195" i="67"/>
  <c r="E195" i="67"/>
  <c r="D195" i="67"/>
  <c r="J194" i="67"/>
  <c r="I194" i="67"/>
  <c r="H194" i="67"/>
  <c r="G194" i="67"/>
  <c r="F194" i="67"/>
  <c r="E194" i="67"/>
  <c r="D194" i="67"/>
  <c r="J193" i="67"/>
  <c r="I193" i="67"/>
  <c r="H193" i="67"/>
  <c r="G193" i="67"/>
  <c r="F193" i="67"/>
  <c r="E193" i="67"/>
  <c r="D193" i="67"/>
  <c r="J192" i="67"/>
  <c r="I192" i="67"/>
  <c r="H192" i="67"/>
  <c r="G192" i="67"/>
  <c r="F192" i="67"/>
  <c r="E192" i="67"/>
  <c r="D192" i="67"/>
  <c r="J191" i="67"/>
  <c r="I191" i="67"/>
  <c r="H191" i="67"/>
  <c r="G191" i="67"/>
  <c r="F191" i="67"/>
  <c r="E191" i="67"/>
  <c r="D191" i="67"/>
  <c r="J190" i="67"/>
  <c r="I190" i="67"/>
  <c r="H190" i="67"/>
  <c r="G190" i="67"/>
  <c r="F190" i="67"/>
  <c r="E190" i="67"/>
  <c r="D190" i="67"/>
  <c r="J189" i="67"/>
  <c r="I189" i="67"/>
  <c r="H189" i="67"/>
  <c r="G189" i="67"/>
  <c r="F189" i="67"/>
  <c r="E189" i="67"/>
  <c r="D189" i="67"/>
  <c r="J188" i="67"/>
  <c r="I188" i="67"/>
  <c r="H188" i="67"/>
  <c r="G188" i="67"/>
  <c r="F188" i="67"/>
  <c r="E188" i="67"/>
  <c r="D188" i="67"/>
  <c r="J187" i="67"/>
  <c r="I187" i="67"/>
  <c r="H187" i="67"/>
  <c r="G187" i="67"/>
  <c r="F187" i="67"/>
  <c r="E187" i="67"/>
  <c r="D187" i="67"/>
  <c r="J186" i="67"/>
  <c r="I186" i="67"/>
  <c r="H186" i="67"/>
  <c r="G186" i="67"/>
  <c r="F186" i="67"/>
  <c r="E186" i="67"/>
  <c r="D186" i="67"/>
  <c r="J185" i="67"/>
  <c r="I185" i="67"/>
  <c r="H185" i="67"/>
  <c r="G185" i="67"/>
  <c r="F185" i="67"/>
  <c r="E185" i="67"/>
  <c r="D185" i="67"/>
  <c r="J184" i="67"/>
  <c r="I184" i="67"/>
  <c r="H184" i="67"/>
  <c r="G184" i="67"/>
  <c r="F184" i="67"/>
  <c r="E184" i="67"/>
  <c r="D184" i="67"/>
  <c r="J183" i="67"/>
  <c r="I183" i="67"/>
  <c r="H183" i="67"/>
  <c r="G183" i="67"/>
  <c r="F183" i="67"/>
  <c r="E183" i="67"/>
  <c r="D183" i="67"/>
  <c r="J182" i="67"/>
  <c r="I182" i="67"/>
  <c r="H182" i="67"/>
  <c r="G182" i="67"/>
  <c r="F182" i="67"/>
  <c r="E182" i="67"/>
  <c r="D182" i="67"/>
  <c r="J181" i="67"/>
  <c r="I181" i="67"/>
  <c r="H181" i="67"/>
  <c r="G181" i="67"/>
  <c r="F181" i="67"/>
  <c r="E181" i="67"/>
  <c r="D181" i="67"/>
  <c r="J180" i="67"/>
  <c r="I180" i="67"/>
  <c r="H180" i="67"/>
  <c r="G180" i="67"/>
  <c r="F180" i="67"/>
  <c r="E180" i="67"/>
  <c r="D180" i="67"/>
  <c r="J179" i="67"/>
  <c r="I179" i="67"/>
  <c r="H179" i="67"/>
  <c r="G179" i="67"/>
  <c r="F179" i="67"/>
  <c r="E179" i="67"/>
  <c r="D179" i="67"/>
  <c r="J178" i="67"/>
  <c r="I178" i="67"/>
  <c r="H178" i="67"/>
  <c r="G178" i="67"/>
  <c r="F178" i="67"/>
  <c r="E178" i="67"/>
  <c r="D178" i="67"/>
  <c r="J177" i="67"/>
  <c r="I177" i="67"/>
  <c r="H177" i="67"/>
  <c r="G177" i="67"/>
  <c r="F177" i="67"/>
  <c r="E177" i="67"/>
  <c r="D177" i="67"/>
  <c r="J176" i="67"/>
  <c r="I176" i="67"/>
  <c r="H176" i="67"/>
  <c r="G176" i="67"/>
  <c r="F176" i="67"/>
  <c r="E176" i="67"/>
  <c r="D176" i="67"/>
  <c r="J175" i="67"/>
  <c r="I175" i="67"/>
  <c r="H175" i="67"/>
  <c r="G175" i="67"/>
  <c r="F175" i="67"/>
  <c r="E175" i="67"/>
  <c r="D175" i="67"/>
  <c r="J174" i="67"/>
  <c r="I174" i="67"/>
  <c r="H174" i="67"/>
  <c r="G174" i="67"/>
  <c r="F174" i="67"/>
  <c r="E174" i="67"/>
  <c r="D174" i="67"/>
  <c r="J173" i="67"/>
  <c r="I173" i="67"/>
  <c r="H173" i="67"/>
  <c r="G173" i="67"/>
  <c r="F173" i="67"/>
  <c r="E173" i="67"/>
  <c r="D173" i="67"/>
  <c r="J172" i="67"/>
  <c r="I172" i="67"/>
  <c r="H172" i="67"/>
  <c r="G172" i="67"/>
  <c r="F172" i="67"/>
  <c r="E172" i="67"/>
  <c r="D172" i="67"/>
  <c r="J171" i="67"/>
  <c r="I171" i="67"/>
  <c r="H171" i="67"/>
  <c r="G171" i="67"/>
  <c r="F171" i="67"/>
  <c r="E171" i="67"/>
  <c r="D171" i="67"/>
  <c r="J170" i="67"/>
  <c r="I170" i="67"/>
  <c r="H170" i="67"/>
  <c r="G170" i="67"/>
  <c r="F170" i="67"/>
  <c r="E170" i="67"/>
  <c r="D170" i="67"/>
  <c r="J169" i="67"/>
  <c r="I169" i="67"/>
  <c r="H169" i="67"/>
  <c r="G169" i="67"/>
  <c r="F169" i="67"/>
  <c r="E169" i="67"/>
  <c r="D169" i="67"/>
  <c r="J168" i="67"/>
  <c r="I168" i="67"/>
  <c r="H168" i="67"/>
  <c r="G168" i="67"/>
  <c r="F168" i="67"/>
  <c r="E168" i="67"/>
  <c r="D168" i="67"/>
  <c r="J167" i="67"/>
  <c r="I167" i="67"/>
  <c r="H167" i="67"/>
  <c r="G167" i="67"/>
  <c r="F167" i="67"/>
  <c r="E167" i="67"/>
  <c r="D167" i="67"/>
  <c r="J166" i="67"/>
  <c r="I166" i="67"/>
  <c r="H166" i="67"/>
  <c r="G166" i="67"/>
  <c r="F166" i="67"/>
  <c r="E166" i="67"/>
  <c r="D166" i="67"/>
  <c r="J165" i="67"/>
  <c r="I165" i="67"/>
  <c r="H165" i="67"/>
  <c r="G165" i="67"/>
  <c r="F165" i="67"/>
  <c r="E165" i="67"/>
  <c r="D165" i="67"/>
  <c r="J164" i="67"/>
  <c r="I164" i="67"/>
  <c r="H164" i="67"/>
  <c r="G164" i="67"/>
  <c r="F164" i="67"/>
  <c r="E164" i="67"/>
  <c r="D164" i="67"/>
  <c r="J163" i="67"/>
  <c r="I163" i="67"/>
  <c r="H163" i="67"/>
  <c r="G163" i="67"/>
  <c r="F163" i="67"/>
  <c r="E163" i="67"/>
  <c r="D163" i="67"/>
  <c r="J162" i="67"/>
  <c r="I162" i="67"/>
  <c r="H162" i="67"/>
  <c r="G162" i="67"/>
  <c r="F162" i="67"/>
  <c r="E162" i="67"/>
  <c r="D162" i="67"/>
  <c r="J161" i="67"/>
  <c r="I161" i="67"/>
  <c r="H161" i="67"/>
  <c r="G161" i="67"/>
  <c r="F161" i="67"/>
  <c r="E161" i="67"/>
  <c r="D161" i="67"/>
  <c r="J160" i="67"/>
  <c r="I160" i="67"/>
  <c r="H160" i="67"/>
  <c r="G160" i="67"/>
  <c r="F160" i="67"/>
  <c r="E160" i="67"/>
  <c r="D160" i="67"/>
  <c r="J159" i="67"/>
  <c r="I159" i="67"/>
  <c r="H159" i="67"/>
  <c r="G159" i="67"/>
  <c r="F159" i="67"/>
  <c r="E159" i="67"/>
  <c r="D159" i="67"/>
  <c r="J158" i="67"/>
  <c r="I158" i="67"/>
  <c r="H158" i="67"/>
  <c r="G158" i="67"/>
  <c r="F158" i="67"/>
  <c r="E158" i="67"/>
  <c r="D158" i="67"/>
  <c r="J157" i="67"/>
  <c r="I157" i="67"/>
  <c r="H157" i="67"/>
  <c r="G157" i="67"/>
  <c r="F157" i="67"/>
  <c r="E157" i="67"/>
  <c r="D157" i="67"/>
  <c r="J156" i="67"/>
  <c r="I156" i="67"/>
  <c r="H156" i="67"/>
  <c r="G156" i="67"/>
  <c r="F156" i="67"/>
  <c r="E156" i="67"/>
  <c r="D156" i="67"/>
  <c r="J155" i="67"/>
  <c r="I155" i="67"/>
  <c r="H155" i="67"/>
  <c r="G155" i="67"/>
  <c r="F155" i="67"/>
  <c r="E155" i="67"/>
  <c r="D155" i="67"/>
  <c r="J154" i="67"/>
  <c r="I154" i="67"/>
  <c r="H154" i="67"/>
  <c r="G154" i="67"/>
  <c r="F154" i="67"/>
  <c r="E154" i="67"/>
  <c r="D154" i="67"/>
  <c r="J153" i="67"/>
  <c r="I153" i="67"/>
  <c r="H153" i="67"/>
  <c r="G153" i="67"/>
  <c r="F153" i="67"/>
  <c r="E153" i="67"/>
  <c r="D153" i="67"/>
  <c r="J152" i="67"/>
  <c r="I152" i="67"/>
  <c r="H152" i="67"/>
  <c r="G152" i="67"/>
  <c r="F152" i="67"/>
  <c r="E152" i="67"/>
  <c r="D152" i="67"/>
  <c r="J151" i="67"/>
  <c r="I151" i="67"/>
  <c r="H151" i="67"/>
  <c r="G151" i="67"/>
  <c r="F151" i="67"/>
  <c r="E151" i="67"/>
  <c r="D151" i="67"/>
  <c r="J150" i="67"/>
  <c r="I150" i="67"/>
  <c r="H150" i="67"/>
  <c r="G150" i="67"/>
  <c r="F150" i="67"/>
  <c r="E150" i="67"/>
  <c r="D150" i="67"/>
  <c r="J149" i="67"/>
  <c r="I149" i="67"/>
  <c r="H149" i="67"/>
  <c r="G149" i="67"/>
  <c r="F149" i="67"/>
  <c r="E149" i="67"/>
  <c r="D149" i="67"/>
  <c r="J148" i="67"/>
  <c r="I148" i="67"/>
  <c r="H148" i="67"/>
  <c r="G148" i="67"/>
  <c r="F148" i="67"/>
  <c r="E148" i="67"/>
  <c r="D148" i="67"/>
  <c r="J147" i="67"/>
  <c r="I147" i="67"/>
  <c r="H147" i="67"/>
  <c r="G147" i="67"/>
  <c r="F147" i="67"/>
  <c r="E147" i="67"/>
  <c r="D147" i="67"/>
  <c r="J146" i="67"/>
  <c r="I146" i="67"/>
  <c r="H146" i="67"/>
  <c r="G146" i="67"/>
  <c r="F146" i="67"/>
  <c r="E146" i="67"/>
  <c r="D146" i="67"/>
  <c r="J145" i="67"/>
  <c r="I145" i="67"/>
  <c r="H145" i="67"/>
  <c r="G145" i="67"/>
  <c r="F145" i="67"/>
  <c r="E145" i="67"/>
  <c r="D145" i="67"/>
  <c r="J144" i="67"/>
  <c r="I144" i="67"/>
  <c r="H144" i="67"/>
  <c r="G144" i="67"/>
  <c r="F144" i="67"/>
  <c r="E144" i="67"/>
  <c r="D144" i="67"/>
  <c r="J143" i="67"/>
  <c r="I143" i="67"/>
  <c r="H143" i="67"/>
  <c r="G143" i="67"/>
  <c r="F143" i="67"/>
  <c r="E143" i="67"/>
  <c r="D143" i="67"/>
  <c r="J142" i="67"/>
  <c r="I142" i="67"/>
  <c r="H142" i="67"/>
  <c r="G142" i="67"/>
  <c r="F142" i="67"/>
  <c r="E142" i="67"/>
  <c r="D142" i="67"/>
  <c r="J141" i="67"/>
  <c r="I141" i="67"/>
  <c r="H141" i="67"/>
  <c r="G141" i="67"/>
  <c r="F141" i="67"/>
  <c r="E141" i="67"/>
  <c r="D141" i="67"/>
  <c r="J140" i="67"/>
  <c r="I140" i="67"/>
  <c r="H140" i="67"/>
  <c r="G140" i="67"/>
  <c r="F140" i="67"/>
  <c r="E140" i="67"/>
  <c r="D140" i="67"/>
  <c r="J139" i="67"/>
  <c r="I139" i="67"/>
  <c r="H139" i="67"/>
  <c r="G139" i="67"/>
  <c r="F139" i="67"/>
  <c r="E139" i="67"/>
  <c r="D139" i="67"/>
  <c r="J138" i="67"/>
  <c r="I138" i="67"/>
  <c r="H138" i="67"/>
  <c r="G138" i="67"/>
  <c r="F138" i="67"/>
  <c r="E138" i="67"/>
  <c r="D138" i="67"/>
  <c r="J137" i="67"/>
  <c r="I137" i="67"/>
  <c r="H137" i="67"/>
  <c r="G137" i="67"/>
  <c r="F137" i="67"/>
  <c r="E137" i="67"/>
  <c r="D137" i="67"/>
  <c r="J136" i="67"/>
  <c r="I136" i="67"/>
  <c r="H136" i="67"/>
  <c r="G136" i="67"/>
  <c r="F136" i="67"/>
  <c r="E136" i="67"/>
  <c r="D136" i="67"/>
  <c r="J135" i="67"/>
  <c r="I135" i="67"/>
  <c r="H135" i="67"/>
  <c r="G135" i="67"/>
  <c r="F135" i="67"/>
  <c r="E135" i="67"/>
  <c r="D135" i="67"/>
  <c r="J134" i="67"/>
  <c r="I134" i="67"/>
  <c r="H134" i="67"/>
  <c r="G134" i="67"/>
  <c r="F134" i="67"/>
  <c r="E134" i="67"/>
  <c r="D134" i="67"/>
  <c r="J133" i="67"/>
  <c r="I133" i="67"/>
  <c r="H133" i="67"/>
  <c r="G133" i="67"/>
  <c r="F133" i="67"/>
  <c r="E133" i="67"/>
  <c r="D133" i="67"/>
  <c r="J132" i="67"/>
  <c r="I132" i="67"/>
  <c r="H132" i="67"/>
  <c r="G132" i="67"/>
  <c r="F132" i="67"/>
  <c r="E132" i="67"/>
  <c r="D132" i="67"/>
  <c r="J131" i="67"/>
  <c r="I131" i="67"/>
  <c r="H131" i="67"/>
  <c r="G131" i="67"/>
  <c r="F131" i="67"/>
  <c r="E131" i="67"/>
  <c r="D131" i="67"/>
  <c r="J130" i="67"/>
  <c r="I130" i="67"/>
  <c r="H130" i="67"/>
  <c r="G130" i="67"/>
  <c r="F130" i="67"/>
  <c r="E130" i="67"/>
  <c r="D130" i="67"/>
  <c r="J129" i="67"/>
  <c r="I129" i="67"/>
  <c r="H129" i="67"/>
  <c r="G129" i="67"/>
  <c r="F129" i="67"/>
  <c r="E129" i="67"/>
  <c r="D129" i="67"/>
  <c r="J128" i="67"/>
  <c r="I128" i="67"/>
  <c r="H128" i="67"/>
  <c r="G128" i="67"/>
  <c r="F128" i="67"/>
  <c r="E128" i="67"/>
  <c r="D128" i="67"/>
  <c r="J127" i="67"/>
  <c r="I127" i="67"/>
  <c r="H127" i="67"/>
  <c r="G127" i="67"/>
  <c r="F127" i="67"/>
  <c r="E127" i="67"/>
  <c r="D127" i="67"/>
  <c r="J126" i="67"/>
  <c r="I126" i="67"/>
  <c r="H126" i="67"/>
  <c r="G126" i="67"/>
  <c r="F126" i="67"/>
  <c r="E126" i="67"/>
  <c r="D126" i="67"/>
  <c r="J125" i="67"/>
  <c r="I125" i="67"/>
  <c r="H125" i="67"/>
  <c r="G125" i="67"/>
  <c r="F125" i="67"/>
  <c r="E125" i="67"/>
  <c r="D125" i="67"/>
  <c r="J124" i="67"/>
  <c r="I124" i="67"/>
  <c r="H124" i="67"/>
  <c r="G124" i="67"/>
  <c r="F124" i="67"/>
  <c r="E124" i="67"/>
  <c r="D124" i="67"/>
  <c r="J123" i="67"/>
  <c r="I123" i="67"/>
  <c r="H123" i="67"/>
  <c r="G123" i="67"/>
  <c r="F123" i="67"/>
  <c r="E123" i="67"/>
  <c r="D123" i="67"/>
  <c r="J122" i="67"/>
  <c r="I122" i="67"/>
  <c r="H122" i="67"/>
  <c r="G122" i="67"/>
  <c r="F122" i="67"/>
  <c r="E122" i="67"/>
  <c r="D122" i="67"/>
  <c r="J121" i="67"/>
  <c r="I121" i="67"/>
  <c r="H121" i="67"/>
  <c r="G121" i="67"/>
  <c r="F121" i="67"/>
  <c r="E121" i="67"/>
  <c r="D121" i="67"/>
  <c r="J120" i="67"/>
  <c r="I120" i="67"/>
  <c r="H120" i="67"/>
  <c r="G120" i="67"/>
  <c r="F120" i="67"/>
  <c r="E120" i="67"/>
  <c r="D120" i="67"/>
  <c r="J119" i="67"/>
  <c r="I119" i="67"/>
  <c r="H119" i="67"/>
  <c r="G119" i="67"/>
  <c r="F119" i="67"/>
  <c r="E119" i="67"/>
  <c r="D119" i="67"/>
  <c r="J118" i="67"/>
  <c r="I118" i="67"/>
  <c r="H118" i="67"/>
  <c r="G118" i="67"/>
  <c r="F118" i="67"/>
  <c r="E118" i="67"/>
  <c r="D118" i="67"/>
  <c r="J117" i="67"/>
  <c r="I117" i="67"/>
  <c r="H117" i="67"/>
  <c r="G117" i="67"/>
  <c r="F117" i="67"/>
  <c r="E117" i="67"/>
  <c r="D117" i="67"/>
  <c r="J116" i="67"/>
  <c r="I116" i="67"/>
  <c r="H116" i="67"/>
  <c r="G116" i="67"/>
  <c r="F116" i="67"/>
  <c r="E116" i="67"/>
  <c r="D116" i="67"/>
  <c r="J115" i="67"/>
  <c r="I115" i="67"/>
  <c r="H115" i="67"/>
  <c r="G115" i="67"/>
  <c r="F115" i="67"/>
  <c r="E115" i="67"/>
  <c r="D115" i="67"/>
  <c r="J114" i="67"/>
  <c r="I114" i="67"/>
  <c r="H114" i="67"/>
  <c r="G114" i="67"/>
  <c r="F114" i="67"/>
  <c r="E114" i="67"/>
  <c r="D114" i="67"/>
  <c r="G4" i="97" l="1"/>
  <c r="G4" i="80"/>
  <c r="G4" i="83"/>
  <c r="L4" i="92"/>
  <c r="G40" i="81"/>
  <c r="G40" i="96"/>
  <c r="I4" i="96" s="1"/>
  <c r="L4" i="96" s="1"/>
  <c r="G40" i="75"/>
  <c r="I4" i="75" s="1"/>
  <c r="L4" i="75" s="1"/>
  <c r="B40" i="81"/>
  <c r="I4" i="81" s="1"/>
  <c r="L4" i="81" s="1"/>
  <c r="G40" i="73"/>
  <c r="I4" i="73" s="1"/>
  <c r="L4" i="73" s="1"/>
  <c r="G40" i="82"/>
  <c r="I4" i="82" s="1"/>
  <c r="L4" i="82" s="1"/>
  <c r="G40" i="85"/>
  <c r="I4" i="85" s="1"/>
  <c r="L4" i="85" s="1"/>
  <c r="G40" i="94"/>
  <c r="G40" i="97"/>
  <c r="I4" i="98"/>
  <c r="L4" i="98" s="1"/>
  <c r="I4" i="97"/>
  <c r="L4" i="97" s="1"/>
  <c r="I4" i="95"/>
  <c r="L4" i="95" s="1"/>
  <c r="I4" i="94"/>
  <c r="L4" i="94" s="1"/>
  <c r="I4" i="93"/>
  <c r="L4" i="93" s="1"/>
  <c r="I4" i="91"/>
  <c r="L4" i="91" s="1"/>
  <c r="I4" i="89"/>
  <c r="L4" i="89" s="1"/>
  <c r="I4" i="88"/>
  <c r="L4" i="88" s="1"/>
  <c r="I4" i="87"/>
  <c r="L4" i="87" s="1"/>
  <c r="I4" i="86"/>
  <c r="L4" i="86" s="1"/>
  <c r="I4" i="84"/>
  <c r="L4" i="84" s="1"/>
  <c r="I4" i="83"/>
  <c r="L4" i="83" s="1"/>
  <c r="I4" i="80"/>
  <c r="L4" i="80" s="1"/>
  <c r="I4" i="79"/>
  <c r="L4" i="79" s="1"/>
  <c r="I4" i="78"/>
  <c r="L4" i="78" s="1"/>
  <c r="I4" i="77"/>
  <c r="L4" i="77" s="1"/>
  <c r="I4" i="76"/>
  <c r="L4" i="76" s="1"/>
  <c r="I4" i="74"/>
  <c r="L4" i="74" s="1"/>
  <c r="I4" i="71"/>
  <c r="L4" i="71" s="1"/>
  <c r="I4" i="70"/>
  <c r="L4" i="70" s="1"/>
  <c r="I4" i="69"/>
  <c r="L4" i="69" s="1"/>
  <c r="I4" i="68"/>
  <c r="L4" i="68" s="1"/>
  <c r="G1" i="42"/>
  <c r="D69" i="67" l="1"/>
  <c r="E69" i="67"/>
  <c r="F69" i="67"/>
  <c r="G69" i="67"/>
  <c r="H69" i="67"/>
  <c r="I69" i="67"/>
  <c r="J69" i="67"/>
  <c r="D70" i="67"/>
  <c r="E70" i="67"/>
  <c r="F70" i="67"/>
  <c r="G70" i="67"/>
  <c r="H70" i="67"/>
  <c r="I70" i="67"/>
  <c r="J70" i="67"/>
  <c r="D71" i="67"/>
  <c r="E71" i="67"/>
  <c r="F71" i="67"/>
  <c r="G71" i="67"/>
  <c r="H71" i="67"/>
  <c r="I71" i="67"/>
  <c r="J71" i="67"/>
  <c r="D72" i="67"/>
  <c r="E72" i="67"/>
  <c r="F72" i="67"/>
  <c r="G72" i="67"/>
  <c r="H72" i="67"/>
  <c r="I72" i="67"/>
  <c r="J72" i="67"/>
  <c r="D73" i="67"/>
  <c r="E73" i="67"/>
  <c r="F73" i="67"/>
  <c r="G73" i="67"/>
  <c r="H73" i="67"/>
  <c r="I73" i="67"/>
  <c r="J73" i="67"/>
  <c r="D74" i="67"/>
  <c r="E74" i="67"/>
  <c r="F74" i="67"/>
  <c r="G74" i="67"/>
  <c r="H74" i="67"/>
  <c r="I74" i="67"/>
  <c r="J74" i="67"/>
  <c r="D75" i="67"/>
  <c r="E75" i="67"/>
  <c r="F75" i="67"/>
  <c r="G75" i="67"/>
  <c r="H75" i="67"/>
  <c r="I75" i="67"/>
  <c r="J75" i="67"/>
  <c r="D76" i="67"/>
  <c r="E76" i="67"/>
  <c r="F76" i="67"/>
  <c r="G76" i="67"/>
  <c r="H76" i="67"/>
  <c r="I76" i="67"/>
  <c r="J76" i="67"/>
  <c r="D77" i="67"/>
  <c r="E77" i="67"/>
  <c r="F77" i="67"/>
  <c r="G77" i="67"/>
  <c r="H77" i="67"/>
  <c r="I77" i="67"/>
  <c r="J77" i="67"/>
  <c r="D78" i="67"/>
  <c r="E78" i="67"/>
  <c r="F78" i="67"/>
  <c r="G78" i="67"/>
  <c r="H78" i="67"/>
  <c r="I78" i="67"/>
  <c r="J78" i="67"/>
  <c r="D79" i="67"/>
  <c r="E79" i="67"/>
  <c r="F79" i="67"/>
  <c r="G79" i="67"/>
  <c r="H79" i="67"/>
  <c r="I79" i="67"/>
  <c r="J79" i="67"/>
  <c r="D80" i="67"/>
  <c r="E80" i="67"/>
  <c r="F80" i="67"/>
  <c r="G80" i="67"/>
  <c r="H80" i="67"/>
  <c r="I80" i="67"/>
  <c r="J80" i="67"/>
  <c r="D81" i="67"/>
  <c r="E81" i="67"/>
  <c r="F81" i="67"/>
  <c r="G81" i="67"/>
  <c r="H81" i="67"/>
  <c r="I81" i="67"/>
  <c r="J81" i="67"/>
  <c r="D82" i="67"/>
  <c r="E82" i="67"/>
  <c r="F82" i="67"/>
  <c r="G82" i="67"/>
  <c r="H82" i="67"/>
  <c r="I82" i="67"/>
  <c r="J82" i="67"/>
  <c r="D83" i="67"/>
  <c r="E83" i="67"/>
  <c r="F83" i="67"/>
  <c r="G83" i="67"/>
  <c r="H83" i="67"/>
  <c r="I83" i="67"/>
  <c r="J83" i="67"/>
  <c r="D84" i="67"/>
  <c r="E84" i="67"/>
  <c r="F84" i="67"/>
  <c r="G84" i="67"/>
  <c r="H84" i="67"/>
  <c r="I84" i="67"/>
  <c r="J84" i="67"/>
  <c r="D85" i="67"/>
  <c r="E85" i="67"/>
  <c r="F85" i="67"/>
  <c r="G85" i="67"/>
  <c r="H85" i="67"/>
  <c r="I85" i="67"/>
  <c r="J85" i="67"/>
  <c r="D86" i="67"/>
  <c r="E86" i="67"/>
  <c r="F86" i="67"/>
  <c r="G86" i="67"/>
  <c r="H86" i="67"/>
  <c r="I86" i="67"/>
  <c r="J86" i="67"/>
  <c r="D87" i="67"/>
  <c r="E87" i="67"/>
  <c r="F87" i="67"/>
  <c r="G87" i="67"/>
  <c r="H87" i="67"/>
  <c r="I87" i="67"/>
  <c r="J87" i="67"/>
  <c r="D88" i="67"/>
  <c r="E88" i="67"/>
  <c r="F88" i="67"/>
  <c r="G88" i="67"/>
  <c r="H88" i="67"/>
  <c r="I88" i="67"/>
  <c r="J88" i="67"/>
  <c r="D89" i="67"/>
  <c r="E89" i="67"/>
  <c r="F89" i="67"/>
  <c r="G89" i="67"/>
  <c r="H89" i="67"/>
  <c r="I89" i="67"/>
  <c r="J89" i="67"/>
  <c r="D90" i="67"/>
  <c r="E90" i="67"/>
  <c r="F90" i="67"/>
  <c r="G90" i="67"/>
  <c r="H90" i="67"/>
  <c r="I90" i="67"/>
  <c r="J90" i="67"/>
  <c r="D91" i="67"/>
  <c r="E91" i="67"/>
  <c r="F91" i="67"/>
  <c r="G91" i="67"/>
  <c r="H91" i="67"/>
  <c r="I91" i="67"/>
  <c r="J91" i="67"/>
  <c r="D92" i="67"/>
  <c r="E92" i="67"/>
  <c r="F92" i="67"/>
  <c r="G92" i="67"/>
  <c r="H92" i="67"/>
  <c r="I92" i="67"/>
  <c r="J92" i="67"/>
  <c r="D93" i="67"/>
  <c r="E93" i="67"/>
  <c r="F93" i="67"/>
  <c r="G93" i="67"/>
  <c r="H93" i="67"/>
  <c r="I93" i="67"/>
  <c r="J93" i="67"/>
  <c r="D94" i="67"/>
  <c r="E94" i="67"/>
  <c r="F94" i="67"/>
  <c r="G94" i="67"/>
  <c r="H94" i="67"/>
  <c r="I94" i="67"/>
  <c r="J94" i="67"/>
  <c r="D95" i="67"/>
  <c r="E95" i="67"/>
  <c r="F95" i="67"/>
  <c r="G95" i="67"/>
  <c r="H95" i="67"/>
  <c r="I95" i="67"/>
  <c r="J95" i="67"/>
  <c r="D96" i="67"/>
  <c r="E96" i="67"/>
  <c r="F96" i="67"/>
  <c r="G96" i="67"/>
  <c r="H96" i="67"/>
  <c r="I96" i="67"/>
  <c r="J96" i="67"/>
  <c r="D97" i="67"/>
  <c r="E97" i="67"/>
  <c r="F97" i="67"/>
  <c r="G97" i="67"/>
  <c r="H97" i="67"/>
  <c r="I97" i="67"/>
  <c r="J97" i="67"/>
  <c r="D98" i="67"/>
  <c r="E98" i="67"/>
  <c r="F98" i="67"/>
  <c r="G98" i="67"/>
  <c r="H98" i="67"/>
  <c r="I98" i="67"/>
  <c r="J98" i="67"/>
  <c r="D99" i="67"/>
  <c r="E99" i="67"/>
  <c r="F99" i="67"/>
  <c r="G99" i="67"/>
  <c r="H99" i="67"/>
  <c r="I99" i="67"/>
  <c r="J99" i="67"/>
  <c r="D100" i="67"/>
  <c r="E100" i="67"/>
  <c r="F100" i="67"/>
  <c r="G100" i="67"/>
  <c r="H100" i="67"/>
  <c r="I100" i="67"/>
  <c r="J100" i="67"/>
  <c r="D101" i="67"/>
  <c r="E101" i="67"/>
  <c r="F101" i="67"/>
  <c r="G101" i="67"/>
  <c r="H101" i="67"/>
  <c r="I101" i="67"/>
  <c r="J101" i="67"/>
  <c r="D102" i="67"/>
  <c r="E102" i="67"/>
  <c r="F102" i="67"/>
  <c r="G102" i="67"/>
  <c r="H102" i="67"/>
  <c r="I102" i="67"/>
  <c r="J102" i="67"/>
  <c r="D103" i="67"/>
  <c r="E103" i="67"/>
  <c r="F103" i="67"/>
  <c r="G103" i="67"/>
  <c r="H103" i="67"/>
  <c r="I103" i="67"/>
  <c r="J103" i="67"/>
  <c r="D104" i="67"/>
  <c r="E104" i="67"/>
  <c r="F104" i="67"/>
  <c r="G104" i="67"/>
  <c r="H104" i="67"/>
  <c r="I104" i="67"/>
  <c r="J104" i="67"/>
  <c r="D105" i="67"/>
  <c r="E105" i="67"/>
  <c r="F105" i="67"/>
  <c r="G105" i="67"/>
  <c r="H105" i="67"/>
  <c r="I105" i="67"/>
  <c r="J105" i="67"/>
  <c r="D106" i="67"/>
  <c r="E106" i="67"/>
  <c r="F106" i="67"/>
  <c r="G106" i="67"/>
  <c r="H106" i="67"/>
  <c r="I106" i="67"/>
  <c r="J106" i="67"/>
  <c r="D107" i="67"/>
  <c r="E107" i="67"/>
  <c r="F107" i="67"/>
  <c r="G107" i="67"/>
  <c r="H107" i="67"/>
  <c r="I107" i="67"/>
  <c r="J107" i="67"/>
  <c r="D108" i="67"/>
  <c r="E108" i="67"/>
  <c r="F108" i="67"/>
  <c r="G108" i="67"/>
  <c r="H108" i="67"/>
  <c r="I108" i="67"/>
  <c r="J108" i="67"/>
  <c r="D109" i="67"/>
  <c r="E109" i="67"/>
  <c r="F109" i="67"/>
  <c r="G109" i="67"/>
  <c r="H109" i="67"/>
  <c r="I109" i="67"/>
  <c r="J109" i="67"/>
  <c r="D110" i="67"/>
  <c r="E110" i="67"/>
  <c r="F110" i="67"/>
  <c r="G110" i="67"/>
  <c r="H110" i="67"/>
  <c r="I110" i="67"/>
  <c r="J110" i="67"/>
  <c r="D111" i="67"/>
  <c r="E111" i="67"/>
  <c r="F111" i="67"/>
  <c r="G111" i="67"/>
  <c r="H111" i="67"/>
  <c r="I111" i="67"/>
  <c r="J111" i="67"/>
  <c r="D112" i="67"/>
  <c r="E112" i="67"/>
  <c r="F112" i="67"/>
  <c r="G112" i="67"/>
  <c r="H112" i="67"/>
  <c r="I112" i="67"/>
  <c r="J112" i="67"/>
  <c r="D113" i="67"/>
  <c r="E113" i="67"/>
  <c r="F113" i="67"/>
  <c r="G113" i="67"/>
  <c r="H113" i="67"/>
  <c r="I113" i="67"/>
  <c r="J113" i="67"/>
  <c r="E51" i="67"/>
  <c r="E58" i="67"/>
  <c r="H54" i="67"/>
  <c r="G60" i="67"/>
  <c r="G45" i="67"/>
  <c r="E67" i="67"/>
  <c r="I68" i="67"/>
  <c r="I51" i="67"/>
  <c r="H46" i="67"/>
  <c r="H57" i="67"/>
  <c r="H53" i="67"/>
  <c r="I48" i="67"/>
  <c r="J59" i="67"/>
  <c r="G46" i="67"/>
  <c r="G51" i="67"/>
  <c r="G65" i="67"/>
  <c r="J50" i="67"/>
  <c r="G48" i="67"/>
  <c r="E55" i="67"/>
  <c r="H65" i="67"/>
  <c r="I52" i="67"/>
  <c r="E53" i="67"/>
  <c r="D55" i="67"/>
  <c r="J61" i="67"/>
  <c r="G58" i="67"/>
  <c r="H50" i="67"/>
  <c r="G56" i="67"/>
  <c r="D62" i="67"/>
  <c r="H55" i="67"/>
  <c r="G64" i="67"/>
  <c r="D61" i="67"/>
  <c r="H66" i="67"/>
  <c r="G57" i="67"/>
  <c r="D64" i="67"/>
  <c r="I45" i="67"/>
  <c r="H56" i="67"/>
  <c r="E63" i="67"/>
  <c r="I53" i="67"/>
  <c r="D63" i="67"/>
  <c r="E57" i="67"/>
  <c r="I47" i="67"/>
  <c r="D52" i="67"/>
  <c r="G66" i="67"/>
  <c r="D48" i="67"/>
  <c r="J63" i="67"/>
  <c r="I56" i="67"/>
  <c r="I61" i="67"/>
  <c r="D59" i="67"/>
  <c r="H47" i="67"/>
  <c r="H52" i="67"/>
  <c r="I49" i="67"/>
  <c r="D47" i="67"/>
  <c r="I50" i="67"/>
  <c r="E48" i="67"/>
  <c r="D58" i="67"/>
  <c r="I67" i="67"/>
  <c r="E60" i="67"/>
  <c r="E61" i="67"/>
  <c r="E46" i="67"/>
  <c r="G63" i="67"/>
  <c r="H64" i="67"/>
  <c r="J45" i="67"/>
  <c r="D53" i="67"/>
  <c r="E54" i="67"/>
  <c r="I46" i="67"/>
  <c r="G54" i="67"/>
  <c r="G59" i="67"/>
  <c r="I58" i="67"/>
  <c r="J53" i="67"/>
  <c r="J65" i="67"/>
  <c r="D67" i="67"/>
  <c r="I54" i="67"/>
  <c r="I55" i="67"/>
  <c r="J57" i="67"/>
  <c r="H45" i="67"/>
  <c r="J62" i="67"/>
  <c r="J67" i="67"/>
  <c r="J55" i="67"/>
  <c r="H61" i="67"/>
  <c r="E45" i="67"/>
  <c r="I62" i="67"/>
  <c r="E66" i="67"/>
  <c r="E64" i="67"/>
  <c r="E62" i="67"/>
  <c r="D49" i="67"/>
  <c r="J48" i="67"/>
  <c r="H59" i="67"/>
  <c r="J60" i="67"/>
  <c r="E52" i="67"/>
  <c r="E50" i="67"/>
  <c r="I64" i="67"/>
  <c r="G52" i="67"/>
  <c r="H60" i="67"/>
  <c r="G47" i="67"/>
  <c r="H62" i="67"/>
  <c r="H48" i="67"/>
  <c r="D66" i="67"/>
  <c r="D65" i="67"/>
  <c r="G68" i="67"/>
  <c r="E68" i="67"/>
  <c r="G61" i="67"/>
  <c r="E47" i="67"/>
  <c r="J64" i="67"/>
  <c r="G49" i="67"/>
  <c r="H63" i="67"/>
  <c r="E59" i="67"/>
  <c r="H67" i="67"/>
  <c r="I57" i="67"/>
  <c r="J58" i="67"/>
  <c r="E56" i="67"/>
  <c r="D57" i="67"/>
  <c r="H58" i="67"/>
  <c r="G50" i="67"/>
  <c r="I60" i="67"/>
  <c r="D46" i="67"/>
  <c r="G62" i="67"/>
  <c r="I65" i="67"/>
  <c r="H49" i="67"/>
  <c r="J51" i="67"/>
  <c r="I59" i="67"/>
  <c r="J56" i="67"/>
  <c r="D68" i="67"/>
  <c r="D60" i="67"/>
  <c r="E65" i="67"/>
  <c r="G67" i="67"/>
  <c r="H68" i="67"/>
  <c r="D54" i="67"/>
  <c r="I66" i="67"/>
  <c r="J49" i="67"/>
  <c r="J54" i="67"/>
  <c r="J68" i="67"/>
  <c r="D51" i="67"/>
  <c r="D56" i="67"/>
  <c r="G55" i="67"/>
  <c r="J46" i="67"/>
  <c r="J52" i="67"/>
  <c r="J66" i="67"/>
  <c r="H51" i="67"/>
  <c r="D50" i="67"/>
  <c r="I63" i="67"/>
  <c r="J47" i="67"/>
  <c r="E49" i="67"/>
  <c r="D45" i="67"/>
  <c r="G53" i="67"/>
  <c r="J34" i="67"/>
  <c r="G37" i="67"/>
  <c r="I33" i="67"/>
  <c r="E41" i="67"/>
  <c r="H15" i="67"/>
  <c r="J29" i="67"/>
  <c r="E34" i="67"/>
  <c r="D29" i="67"/>
  <c r="D32" i="67"/>
  <c r="I32" i="67"/>
  <c r="E39" i="67"/>
  <c r="J23" i="67"/>
  <c r="D21" i="67"/>
  <c r="J38" i="67"/>
  <c r="I35" i="67"/>
  <c r="J42" i="67"/>
  <c r="E16" i="67"/>
  <c r="H23" i="67"/>
  <c r="J19" i="67"/>
  <c r="I36" i="67"/>
  <c r="H20" i="67"/>
  <c r="E24" i="67"/>
  <c r="E43" i="67"/>
  <c r="G15" i="67"/>
  <c r="J43" i="67"/>
  <c r="I37" i="67"/>
  <c r="I22" i="67"/>
  <c r="D34" i="67"/>
  <c r="H29" i="67"/>
  <c r="J28" i="67"/>
  <c r="D18" i="67"/>
  <c r="I41" i="67"/>
  <c r="I15" i="67"/>
  <c r="H16" i="67"/>
  <c r="H31" i="67"/>
  <c r="G30" i="67"/>
  <c r="G21" i="67"/>
  <c r="E17" i="67"/>
  <c r="H33" i="67"/>
  <c r="H37" i="67"/>
  <c r="H28" i="67"/>
  <c r="J16" i="67"/>
  <c r="G17" i="67"/>
  <c r="G34" i="67"/>
  <c r="I17" i="67"/>
  <c r="H17" i="67"/>
  <c r="H44" i="67"/>
  <c r="J25" i="67"/>
  <c r="G28" i="67"/>
  <c r="G43" i="67"/>
  <c r="D36" i="67"/>
  <c r="D31" i="67"/>
  <c r="J24" i="67"/>
  <c r="H27" i="67"/>
  <c r="H21" i="67"/>
  <c r="E22" i="67"/>
  <c r="J39" i="67"/>
  <c r="E25" i="67"/>
  <c r="G31" i="67"/>
  <c r="G23" i="67"/>
  <c r="D44" i="67"/>
  <c r="I20" i="67"/>
  <c r="D17" i="67"/>
  <c r="J27" i="67"/>
  <c r="J18" i="67"/>
  <c r="H40" i="67"/>
  <c r="E28" i="67"/>
  <c r="H24" i="67"/>
  <c r="G19" i="67"/>
  <c r="D25" i="67"/>
  <c r="G25" i="67"/>
  <c r="I43" i="67"/>
  <c r="I19" i="67"/>
  <c r="H19" i="67"/>
  <c r="G36" i="67"/>
  <c r="I21" i="67"/>
  <c r="G35" i="67"/>
  <c r="G29" i="67"/>
  <c r="I16" i="67"/>
  <c r="D20" i="67"/>
  <c r="J15" i="67"/>
  <c r="E21" i="67"/>
  <c r="D35" i="67"/>
  <c r="I25" i="67"/>
  <c r="E44" i="67"/>
  <c r="I44" i="67"/>
  <c r="H39" i="67"/>
  <c r="E42" i="67"/>
  <c r="G38" i="67"/>
  <c r="I34" i="67"/>
  <c r="E27" i="67"/>
  <c r="E26" i="67"/>
  <c r="E36" i="67"/>
  <c r="I42" i="67"/>
  <c r="H38" i="67"/>
  <c r="D39" i="67"/>
  <c r="E29" i="67"/>
  <c r="D19" i="67"/>
  <c r="D24" i="67"/>
  <c r="G27" i="67"/>
  <c r="E37" i="67"/>
  <c r="H32" i="67"/>
  <c r="H22" i="67"/>
  <c r="E33" i="67"/>
  <c r="D42" i="67"/>
  <c r="G40" i="67"/>
  <c r="J22" i="67"/>
  <c r="H18" i="67"/>
  <c r="I38" i="67"/>
  <c r="I39" i="67"/>
  <c r="J41" i="67"/>
  <c r="H43" i="67"/>
  <c r="G24" i="67"/>
  <c r="I18" i="67"/>
  <c r="D37" i="67"/>
  <c r="H34" i="67"/>
  <c r="D28" i="67"/>
  <c r="H41" i="67"/>
  <c r="D40" i="67"/>
  <c r="J20" i="67"/>
  <c r="H35" i="67"/>
  <c r="D33" i="67"/>
  <c r="I30" i="67"/>
  <c r="H30" i="67"/>
  <c r="G18" i="67"/>
  <c r="D27" i="67"/>
  <c r="G33" i="67"/>
  <c r="I29" i="67"/>
  <c r="J32" i="67"/>
  <c r="E35" i="67"/>
  <c r="I31" i="67"/>
  <c r="E40" i="67"/>
  <c r="D43" i="67"/>
  <c r="J21" i="67"/>
  <c r="J36" i="67"/>
  <c r="J44" i="67"/>
  <c r="J30" i="67"/>
  <c r="E23" i="67"/>
  <c r="I24" i="67"/>
  <c r="G32" i="67"/>
  <c r="G42" i="67"/>
  <c r="G39" i="67"/>
  <c r="E20" i="67"/>
  <c r="D22" i="67"/>
  <c r="G22" i="67"/>
  <c r="H25" i="67"/>
  <c r="I40" i="67"/>
  <c r="E15" i="67"/>
  <c r="G20" i="67"/>
  <c r="D16" i="67"/>
  <c r="J40" i="67"/>
  <c r="E19" i="67"/>
  <c r="I23" i="67"/>
  <c r="G44" i="67"/>
  <c r="H26" i="67"/>
  <c r="D30" i="67"/>
  <c r="G26" i="67"/>
  <c r="J33" i="67"/>
  <c r="E38" i="67"/>
  <c r="J35" i="67"/>
  <c r="D26" i="67"/>
  <c r="G16" i="67"/>
  <c r="D15" i="67"/>
  <c r="J26" i="67"/>
  <c r="I26" i="67"/>
  <c r="E31" i="67"/>
  <c r="D23" i="67"/>
  <c r="H36" i="67"/>
  <c r="G41" i="67"/>
  <c r="I27" i="67"/>
  <c r="E32" i="67"/>
  <c r="I28" i="67"/>
  <c r="E30" i="67"/>
  <c r="J37" i="67"/>
  <c r="D38" i="67"/>
  <c r="J31" i="67"/>
  <c r="E14" i="67"/>
  <c r="E18" i="67"/>
  <c r="H42" i="67"/>
  <c r="D41" i="67"/>
  <c r="J17" i="67"/>
  <c r="F62" i="67" l="1"/>
  <c r="F54" i="67"/>
  <c r="F46" i="67"/>
  <c r="F38" i="67"/>
  <c r="F30" i="67"/>
  <c r="F22" i="67"/>
  <c r="F55" i="67"/>
  <c r="F47" i="67"/>
  <c r="F31" i="67"/>
  <c r="F64" i="67"/>
  <c r="F56" i="67"/>
  <c r="F48" i="67"/>
  <c r="F40" i="67"/>
  <c r="F32" i="67"/>
  <c r="F24" i="67"/>
  <c r="F63" i="67"/>
  <c r="F39" i="67"/>
  <c r="F23" i="67"/>
  <c r="F65" i="67"/>
  <c r="F57" i="67"/>
  <c r="F49" i="67"/>
  <c r="F41" i="67"/>
  <c r="F33" i="67"/>
  <c r="F25" i="67"/>
  <c r="F50" i="67"/>
  <c r="F42" i="67"/>
  <c r="F34" i="67"/>
  <c r="F26" i="67"/>
  <c r="F66" i="67"/>
  <c r="F67" i="67"/>
  <c r="F59" i="67"/>
  <c r="F51" i="67"/>
  <c r="F43" i="67"/>
  <c r="F35" i="67"/>
  <c r="F27" i="67"/>
  <c r="F58" i="67"/>
  <c r="F68" i="67"/>
  <c r="F60" i="67"/>
  <c r="F52" i="67"/>
  <c r="F44" i="67"/>
  <c r="F36" i="67"/>
  <c r="F28" i="67"/>
  <c r="F61" i="67"/>
  <c r="F53" i="67"/>
  <c r="F45" i="67"/>
  <c r="F37" i="67"/>
  <c r="F29" i="67"/>
  <c r="F21" i="67"/>
  <c r="F20" i="67"/>
  <c r="F16" i="67"/>
  <c r="F17" i="67"/>
  <c r="F18" i="67"/>
  <c r="F19" i="67"/>
  <c r="F15" i="67"/>
  <c r="D14" i="67"/>
  <c r="F14" i="67" l="1"/>
  <c r="F4" i="67" s="1"/>
  <c r="G25" i="42"/>
  <c r="L25" i="42"/>
  <c r="F5" i="67" l="1"/>
  <c r="F6" i="67" s="1"/>
  <c r="H14" i="67"/>
  <c r="G14" i="67"/>
  <c r="J14" i="67"/>
  <c r="I14" i="67"/>
  <c r="J4" i="67" l="1"/>
  <c r="J5" i="67" s="1"/>
  <c r="J6" i="67" s="1"/>
  <c r="H8" i="67" s="1"/>
  <c r="G4" i="67"/>
  <c r="H4" i="67"/>
  <c r="H5" i="67" s="1"/>
  <c r="H6" i="67" s="1"/>
  <c r="I4" i="67"/>
  <c r="I5" i="67" s="1"/>
  <c r="I6" i="67" s="1"/>
  <c r="G5" i="67" l="1"/>
  <c r="G6" i="67" s="1"/>
  <c r="E64" i="42"/>
  <c r="E65" i="42"/>
  <c r="E66" i="42"/>
  <c r="E67" i="42"/>
  <c r="E68" i="42"/>
  <c r="E69" i="42"/>
  <c r="E70" i="42"/>
  <c r="E71" i="42"/>
  <c r="E72" i="42"/>
  <c r="E73" i="42"/>
  <c r="E74" i="42"/>
  <c r="E75" i="42"/>
  <c r="E76" i="42"/>
  <c r="E77" i="42"/>
  <c r="E63" i="42"/>
  <c r="E45" i="42"/>
  <c r="E46" i="42"/>
  <c r="E47" i="42"/>
  <c r="E48" i="42"/>
  <c r="E49" i="42"/>
  <c r="E50" i="42"/>
  <c r="E51" i="42"/>
  <c r="E52" i="42"/>
  <c r="E53" i="42"/>
  <c r="E54" i="42"/>
  <c r="E55" i="42"/>
  <c r="E56" i="42"/>
  <c r="E57" i="42"/>
  <c r="E58" i="42"/>
  <c r="E44" i="42"/>
  <c r="L26" i="42"/>
  <c r="L27" i="42"/>
  <c r="L28" i="42"/>
  <c r="L29" i="42"/>
  <c r="L30" i="42"/>
  <c r="L31" i="42"/>
  <c r="L32" i="42"/>
  <c r="L33" i="42"/>
  <c r="L34" i="42"/>
  <c r="L35" i="42"/>
  <c r="L36" i="42"/>
  <c r="L37" i="42"/>
  <c r="G26" i="42"/>
  <c r="G27" i="42"/>
  <c r="G28" i="42"/>
  <c r="G29" i="42"/>
  <c r="G30" i="42"/>
  <c r="G31" i="42"/>
  <c r="G32" i="42"/>
  <c r="G33" i="42"/>
  <c r="G34" i="42"/>
  <c r="G35" i="42"/>
  <c r="G36" i="42"/>
  <c r="G37" i="42"/>
  <c r="B26" i="42"/>
  <c r="B27" i="42"/>
  <c r="B28" i="42"/>
  <c r="B29" i="42"/>
  <c r="B30" i="42"/>
  <c r="B31" i="42"/>
  <c r="B32" i="42"/>
  <c r="B33" i="42"/>
  <c r="B34" i="42"/>
  <c r="B35" i="42"/>
  <c r="B36" i="42"/>
  <c r="B37" i="42"/>
  <c r="B25" i="42"/>
  <c r="L9" i="42"/>
  <c r="L10" i="42"/>
  <c r="L11" i="42"/>
  <c r="L12" i="42"/>
  <c r="L13" i="42"/>
  <c r="L14" i="42"/>
  <c r="L15" i="42"/>
  <c r="L16" i="42"/>
  <c r="L17" i="42"/>
  <c r="L18" i="42"/>
  <c r="L19" i="42"/>
  <c r="L20" i="42"/>
  <c r="L8" i="42"/>
  <c r="G21" i="42"/>
  <c r="H21" i="42"/>
  <c r="I21" i="42"/>
  <c r="J21" i="42"/>
  <c r="K21" i="42"/>
  <c r="E78" i="42" l="1"/>
  <c r="K4" i="42" s="1"/>
  <c r="B38" i="42"/>
  <c r="E59" i="42"/>
  <c r="J4" i="42" s="1"/>
  <c r="L21" i="42"/>
  <c r="G38" i="42"/>
  <c r="D4" i="67"/>
  <c r="G40" i="42" l="1"/>
  <c r="H4" i="42"/>
  <c r="B40" i="42"/>
  <c r="G4" i="42"/>
  <c r="I4" i="42"/>
  <c r="L4" i="42" s="1"/>
  <c r="C21" i="42" l="1"/>
  <c r="D21" i="42"/>
  <c r="E21" i="42"/>
  <c r="F21" i="42"/>
  <c r="B21" i="42"/>
</calcChain>
</file>

<file path=xl/sharedStrings.xml><?xml version="1.0" encoding="utf-8"?>
<sst xmlns="http://schemas.openxmlformats.org/spreadsheetml/2006/main" count="2301" uniqueCount="183">
  <si>
    <t>KEY WORK ITEM</t>
  </si>
  <si>
    <t>REMARKS</t>
  </si>
  <si>
    <t>TOTAL IN-HOUSE M/Hs</t>
  </si>
  <si>
    <t>DESCRIPTION</t>
  </si>
  <si>
    <t>QUANTITY</t>
  </si>
  <si>
    <t>UNIT OF ISSUE</t>
  </si>
  <si>
    <t>TOTAL</t>
  </si>
  <si>
    <t>MATERIAL COST BREAKDOWN</t>
  </si>
  <si>
    <t>OTHER DIRECT COST (ODC) (IF ANY)</t>
  </si>
  <si>
    <t>IN-HOUSE LABOR HOUR BREAKDOWN</t>
  </si>
  <si>
    <t>SFTR</t>
  </si>
  <si>
    <t>INSL</t>
  </si>
  <si>
    <t>WELD</t>
  </si>
  <si>
    <t>SMTL</t>
  </si>
  <si>
    <t>RGRS</t>
  </si>
  <si>
    <t>PNTR</t>
  </si>
  <si>
    <t>ELEC</t>
  </si>
  <si>
    <t>PFTR</t>
  </si>
  <si>
    <t>QA</t>
  </si>
  <si>
    <t>OTHERS</t>
  </si>
  <si>
    <t>SOLICITATION #:</t>
  </si>
  <si>
    <t>SRF-JRMC TGI #:</t>
  </si>
  <si>
    <t>DESCRIPTION:</t>
  </si>
  <si>
    <t>OFFEROR/COMPANY NAME:</t>
  </si>
  <si>
    <t>IN-HOUSE LABOR BREAKDOWN</t>
  </si>
  <si>
    <t xml:space="preserve">HOURS PER DAY </t>
  </si>
  <si>
    <t xml:space="preserve"># DAYS </t>
  </si>
  <si>
    <t>ADDITIONAL
 HOURS</t>
  </si>
  <si>
    <t>TOTAL M/Hs</t>
  </si>
  <si>
    <t>COST PER M/H (¥)</t>
  </si>
  <si>
    <t>SUB-CONTRACTOR LABOR BREAKDOWN</t>
  </si>
  <si>
    <t>UNIT PRICE  (¥)</t>
  </si>
  <si>
    <t>EXTENDED PRICE (¥)</t>
  </si>
  <si>
    <t>TOTAL (¥)</t>
  </si>
  <si>
    <t># PERSONNEL</t>
  </si>
  <si>
    <t>TGI No.</t>
  </si>
  <si>
    <t>Proposed Price</t>
  </si>
  <si>
    <t>Total Evaluated Price</t>
  </si>
  <si>
    <t>Material/ODCs</t>
  </si>
  <si>
    <t>Growth CLIN %</t>
  </si>
  <si>
    <t>No.</t>
  </si>
  <si>
    <t>Proposed Labor</t>
  </si>
  <si>
    <t>Proposed Price (JPY)</t>
  </si>
  <si>
    <t>In-House Labor (MH)</t>
  </si>
  <si>
    <t>Sub-Contractor Labor (MH)</t>
  </si>
  <si>
    <t>Total Labor (MH)</t>
  </si>
  <si>
    <t>Overall Total Labor Cost (JPY)</t>
  </si>
  <si>
    <t>Material Cost (JPY)</t>
  </si>
  <si>
    <t>ODC (JPY)</t>
  </si>
  <si>
    <t>CLIN</t>
  </si>
  <si>
    <t>CLIN 0002 (Growth CLIN)</t>
  </si>
  <si>
    <t>Total for All CLIN</t>
  </si>
  <si>
    <t>Labor Cost</t>
  </si>
  <si>
    <t>Labor Cost (JPY)</t>
  </si>
  <si>
    <t>Material (JPY)</t>
  </si>
  <si>
    <r>
      <t xml:space="preserve">Total TGIs </t>
    </r>
    <r>
      <rPr>
        <b/>
        <i/>
        <sz val="10"/>
        <color theme="0"/>
        <rFont val="Times New Roman"/>
        <family val="1"/>
      </rPr>
      <t>(Specify Total)</t>
    </r>
  </si>
  <si>
    <t>TOTAL MAN HOURS (MH)</t>
  </si>
  <si>
    <t>LABOR COST (¥)</t>
  </si>
  <si>
    <t>TOTAL (JPY)</t>
  </si>
  <si>
    <t>&lt;--- Please input in-house labor rate</t>
  </si>
  <si>
    <t>&lt;--- Please input sub-contractor labor rate</t>
  </si>
  <si>
    <t>Note to Offerors: The values in this Summary table is linked to the corresponding data from Tabs for each TGI listed, manual input is not necessary.</t>
  </si>
  <si>
    <t>MASTER</t>
  </si>
  <si>
    <t>Material Cost</t>
  </si>
  <si>
    <t>ODC Cost</t>
  </si>
  <si>
    <t>SUMMARY</t>
  </si>
  <si>
    <t>SHIP NAME:</t>
  </si>
  <si>
    <t>SOLICITATION NO:</t>
  </si>
  <si>
    <t>AVAILABILITY:</t>
  </si>
  <si>
    <t>In-House MH</t>
  </si>
  <si>
    <t>Sub-KTR MH</t>
  </si>
  <si>
    <t>TAB</t>
  </si>
  <si>
    <t>SHIP NAME/AVAILABILITY:</t>
  </si>
  <si>
    <t>Note to Offerrors: Please input data on cells highlighted in ORANGE. The TOTAL will not show if KEY WORK ITEM column is empty. Please insert rows as needed.</t>
  </si>
  <si>
    <t>Note: The EXTENDED PRICE will not show if the DESCRIPTION column is empty. Plese insert rows as needed.</t>
  </si>
  <si>
    <t>Note: The EXTENDED PRICE will not show if the DESCRIPTION column is empty. Please insert rows as needed.</t>
  </si>
  <si>
    <t>38K6112001-A01</t>
  </si>
  <si>
    <t>38K6112301-A01</t>
  </si>
  <si>
    <t>FWD Uptake Space; repair</t>
  </si>
  <si>
    <t>38K6112303-A01</t>
  </si>
  <si>
    <t>Incompleted Weld of Bimetallic Transition Joint for Engine Removal Rail in 02-174-1-Q; 
repair</t>
  </si>
  <si>
    <t>38K6112304-A01</t>
  </si>
  <si>
    <t>1A Gas Turbine Module (GTM) Moisture Separator Bonding Strap; install</t>
  </si>
  <si>
    <t>38K6112305-A01</t>
  </si>
  <si>
    <t>Watertight Hatch 02-324-3; overhaul</t>
  </si>
  <si>
    <t>38K6112306-A01</t>
  </si>
  <si>
    <t>Watertight Door 03-178-1; replace</t>
  </si>
  <si>
    <t>38K6112316-A01</t>
  </si>
  <si>
    <t>No. 3 Ship’s Service Gas Turbine Generator (SSGTG) Intake and Exhaust Trunk; preserve</t>
  </si>
  <si>
    <t>38K6112317-A01</t>
  </si>
  <si>
    <t>Hook Assembly for Louver Door of No. 3 Ship Service Gas Turbine Generator (SSGTG) 
Intake; install</t>
  </si>
  <si>
    <t>38K6112318-A01</t>
  </si>
  <si>
    <t>Placard to FWD and AFT Gas Turbine Module (GTM) and Ship Service Gas Turbine 
Generator (SSGTG) Intake Moisture Separator/Blow in Door (BID) Flame; install</t>
  </si>
  <si>
    <t>38K6112320-A01</t>
  </si>
  <si>
    <t>Packing Assembly of Stuffing Tube for Cable Assembly, Fuel Tank Level Indicator 
System for Tank Group-5; replace</t>
  </si>
  <si>
    <t>38K6112321-A01</t>
  </si>
  <si>
    <t>Inspection, Repair, and Preservation of IRS Eductor Secondary Air Inlet Trunk; accomplish</t>
  </si>
  <si>
    <t>38K6112325-A01</t>
  </si>
  <si>
    <t>Replacement of Watertight Door 01-240-1 and Repair of Defect on Collar Plate, 
Stuffing Tube, and 02 Level Deck Plating in 01-240-1-A; accomplish</t>
  </si>
  <si>
    <t>38K6113601-A01</t>
  </si>
  <si>
    <t>Preservation of Vent Hood and Replacement of Weather Screen in 01 Level Weather 
Frame 240; accomplish</t>
  </si>
  <si>
    <t>38K6113602-A01</t>
  </si>
  <si>
    <t>Bulkhead Plating and Antenna 2-4 Platform, between 01 Level and 05 Level Weather, 
Frames between 202 and 247, Port and Starboard (Stbd); preserve</t>
  </si>
  <si>
    <t>38K6113701-A01</t>
  </si>
  <si>
    <t>Replacement of Nonskid System, Preservation of Stanchion, and Installation of  
Equipment on 02 Level Weather; accomplish</t>
  </si>
  <si>
    <t>38K6113702-A01</t>
  </si>
  <si>
    <t>Forward Exhaust Stack and Sloping Transverse Bulkhead in 03 Level Weather,   
Frames between 174 and 178, Port and Starboard (Stbd); preserve</t>
  </si>
  <si>
    <t>38K6113801-A01</t>
  </si>
  <si>
    <t>Replacement of Peel and Stick Nonskid System and Inspection, Repair, and 
Preservation of 03 Level Weather, Deck Plating; accomplish</t>
  </si>
  <si>
    <t>38K6144104-A01</t>
  </si>
  <si>
    <t>Bond Strap of AM-7641A/U Amplifier Filter Unit No. One for AS-4679/U Antenna 3-10B; 
replace</t>
  </si>
  <si>
    <t>38K6145601-A01</t>
  </si>
  <si>
    <t>38K6151101-A01</t>
  </si>
  <si>
    <t>38K6152101-A02</t>
  </si>
  <si>
    <t>38K6154101-A01</t>
  </si>
  <si>
    <t>Panel of Blast Shield and Bonding Assembly of Kingpost for Fueling At Sea (FAS) 
Station No. 7 in 02 Level Weather, Starboard (Stbd); replace</t>
  </si>
  <si>
    <t>38K6154101-T01</t>
  </si>
  <si>
    <t>Tightness &amp; Operational Test for Fuel Transfer System</t>
  </si>
  <si>
    <t>38K6154101-T02</t>
  </si>
  <si>
    <t>Tightness &amp; Operational Test for JP-5 System</t>
  </si>
  <si>
    <t>38K6154103-A02</t>
  </si>
  <si>
    <t>Fuel Tank Group-5 and Group-6; dewater</t>
  </si>
  <si>
    <t>38K6158301-A01</t>
  </si>
  <si>
    <t>Rope Staple on Life Raft Cradle in 02 Level Weather, Frames between 166 and 169, 
Port; replace</t>
  </si>
  <si>
    <t>38K6164401-A01</t>
  </si>
  <si>
    <t>Transverse Bulkhead Plate Frame 338 in 3-338-10-L; repair</t>
  </si>
  <si>
    <t>38K6165401-A01</t>
  </si>
  <si>
    <t>Shore Power Cover on 01 Weather, Frame 240, Port and Starboard; repair</t>
  </si>
  <si>
    <t>38K6169901-A01</t>
  </si>
  <si>
    <t>Bonding Strap Assembly for Inclined Ladder in 02 and 03 Level Weather, 
Port; replace</t>
  </si>
  <si>
    <t>38K6171101-A01</t>
  </si>
  <si>
    <t>Nonskid System on Train Platform and Mounting Plate of AFT Close In Weapon 
System (CIWS); replace</t>
  </si>
  <si>
    <t>38K6186301-A01</t>
  </si>
  <si>
    <t>KTR Service Work for Temporary Utility Service; provide</t>
  </si>
  <si>
    <t>N6264926RA036</t>
  </si>
  <si>
    <t>USS RAFAEL PERALTA (DDG-115)</t>
  </si>
  <si>
    <t xml:space="preserve">USS RAFAEL PERALTA (DDG-115) FY26 SIA BUNDLE #1 </t>
  </si>
  <si>
    <t xml:space="preserve">USS RAFAEL PERALTA (DDG-115) - USS RAFAEL PERALTA (DDG-115) FY26 SIA BUNDLE #1 </t>
  </si>
  <si>
    <t>1_38K6112001-A01</t>
  </si>
  <si>
    <t>2_38K6112301-A01</t>
  </si>
  <si>
    <t>3_38K6112303-A01</t>
  </si>
  <si>
    <t>4_38K6112304-A01</t>
  </si>
  <si>
    <t>5_38K6112305-A01</t>
  </si>
  <si>
    <t>6_38K6112306-A01</t>
  </si>
  <si>
    <t>7_38K6112316-A01</t>
  </si>
  <si>
    <t>8_38K6112317-A01</t>
  </si>
  <si>
    <t>9_38K6112318-A01</t>
  </si>
  <si>
    <t>10_38K6112320-A01</t>
  </si>
  <si>
    <t>11_38K6112321-A01</t>
  </si>
  <si>
    <t>12_38K6112325-A01</t>
  </si>
  <si>
    <t>13_38K6113601-A01</t>
  </si>
  <si>
    <t>14_38K6113602-A01</t>
  </si>
  <si>
    <t>15_38K6113701-A01</t>
  </si>
  <si>
    <t>16_38K6113702-A01</t>
  </si>
  <si>
    <t>17_38K6113801-A01</t>
  </si>
  <si>
    <t>18_38K6144104-A01</t>
  </si>
  <si>
    <t>19_38K6145601-A01</t>
  </si>
  <si>
    <t>20_38K6151101-A01</t>
  </si>
  <si>
    <t>21_38K6152101-A02</t>
  </si>
  <si>
    <t>22_38K6154101-A01</t>
  </si>
  <si>
    <t>23_38K6154101-T01</t>
  </si>
  <si>
    <t>24_38K6154101-T02</t>
  </si>
  <si>
    <t>25_38K6154103-A02</t>
  </si>
  <si>
    <t>26_38K6158301-A01</t>
  </si>
  <si>
    <t>27_38K6164401-A01</t>
  </si>
  <si>
    <t>28_38K6165401-A01</t>
  </si>
  <si>
    <t>29_38K6169901-A01</t>
  </si>
  <si>
    <t>30_38K6171101-A01</t>
  </si>
  <si>
    <t>31_38K6186301-A01</t>
  </si>
  <si>
    <t>Scaffolding for Ship Repair Facility and Japan Regional Maintenance Center (SRF-JRMC) Work; install and remove</t>
  </si>
  <si>
    <t>Incompleted Weld of Bimetallic Transition Joint for Engine Removal Rail in 02-174-1-Q; repair</t>
  </si>
  <si>
    <t>Hook Assembly for Louver Door of No. 3 Ship Service Gas Turbine Generator (SSGTG) Intake; install</t>
  </si>
  <si>
    <t>Placard to FWD and AFT Gas Turbine Module (GTM) and Ship Service Gas Turbine Generator (SSGTG) Intake Moisture Separator/Blow in Door (BID) Flame; install</t>
  </si>
  <si>
    <t>Packing Assembly of Stuffing Tube for Cable Assembly, Fuel Tank Level Indicator System for Tank Group-5; replace</t>
  </si>
  <si>
    <t>Preservation of Vent Hood and Replacement of Weather Screen in 01 Level Weather Frame 240; accomplish</t>
  </si>
  <si>
    <t>Bulkhead Plating and Antenna 2-4 Platform, between 01 Level and 05 Level Weather, Frames between 202 and 247, Port and Starboard (Stbd); preserve</t>
  </si>
  <si>
    <t>Bond Strap of AM-7641A/U Amplifier Filter Unit No. One for AS-4679/U Antenna 3-10B; replace</t>
  </si>
  <si>
    <t>Panel of Blast Shield and Bonding Assembly of Kingpost for Fueling At Sea (FAS) Station No. 7 in 02 Level Weather, Starboard (Stbd); replace</t>
  </si>
  <si>
    <t>Rope Staple on Life Raft Cradle in 02 Level Weather, Frames between 166 and 169, Port; replace</t>
  </si>
  <si>
    <t>Scaffolding for Ship Repair Facility and SRF-JRMC Work for ZONE-2 CMWD SYS PIPING; install and remove</t>
  </si>
  <si>
    <t>Scaffolding for Ship Repair Facility and SRF-JRMC Work for 01-205-0-Q; install and remove</t>
  </si>
  <si>
    <t>Scaffolding for Ship Repair Facility and SRF-JRMC Work for AS-3851/SPY-1D ANT ARRAY; install and remove</t>
  </si>
  <si>
    <t>Scaffolding for Ship Repair and SRF-JRMC Work for FREEBD WEA &amp; 1-304-2-M; install and remove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</si>
</sst>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¥-411]#,##0"/>
    <numFmt numFmtId="165" formatCode="#,##0.0"/>
  </numFmts>
  <fonts count="1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8" tint="0.79998168889431442"/>
      <name val="Arial"/>
      <family val="2"/>
    </font>
    <font>
      <b/>
      <sz val="10"/>
      <color theme="0"/>
      <name val="Arial"/>
      <family val="2"/>
    </font>
    <font>
      <b/>
      <sz val="11"/>
      <color rgb="FFFFFF00"/>
      <name val="Calibri"/>
      <family val="2"/>
      <scheme val="minor"/>
    </font>
    <font>
      <b/>
      <sz val="10"/>
      <color theme="8" tint="0.79998168889431442"/>
      <name val="Calibri"/>
      <family val="2"/>
      <scheme val="minor"/>
    </font>
    <font>
      <b/>
      <sz val="10"/>
      <color rgb="FFFFFF00"/>
      <name val="Arial"/>
      <family val="2"/>
    </font>
    <font>
      <b/>
      <i/>
      <sz val="10"/>
      <color theme="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-0.49998474074526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ck">
        <color rgb="FFFFC000"/>
      </bottom>
      <diagonal/>
    </border>
    <border>
      <left style="thin">
        <color theme="0" tint="-0.24994659260841701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ck">
        <color rgb="FFFFC000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ck">
        <color rgb="FFFFC00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14993743705557422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ck">
        <color rgb="FFFFC000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ck">
        <color rgb="FFFFC000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ck">
        <color rgb="FFFFC000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43" fontId="2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3" fontId="3" fillId="0" borderId="0" xfId="0" applyNumberFormat="1" applyFont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10" fontId="0" fillId="0" borderId="0" xfId="2" applyNumberFormat="1" applyFont="1" applyBorder="1" applyAlignment="1" applyProtection="1">
      <alignment horizontal="left" vertical="center"/>
      <protection locked="0"/>
    </xf>
    <xf numFmtId="0" fontId="1" fillId="0" borderId="0" xfId="3"/>
    <xf numFmtId="3" fontId="3" fillId="0" borderId="0" xfId="4" applyNumberFormat="1" applyFont="1" applyAlignment="1">
      <alignment horizontal="center" vertical="center"/>
    </xf>
    <xf numFmtId="0" fontId="3" fillId="0" borderId="0" xfId="4" applyFont="1" applyAlignment="1">
      <alignment vertical="center"/>
    </xf>
    <xf numFmtId="0" fontId="3" fillId="0" borderId="0" xfId="4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3" xfId="0" quotePrefix="1" applyFont="1" applyBorder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10" fillId="6" borderId="7" xfId="0" applyFont="1" applyFill="1" applyBorder="1" applyAlignment="1">
      <alignment horizontal="center" vertical="center" wrapText="1"/>
    </xf>
    <xf numFmtId="0" fontId="0" fillId="3" borderId="3" xfId="0" applyFill="1" applyBorder="1" applyAlignment="1" applyProtection="1">
      <alignment vertical="center"/>
      <protection locked="0"/>
    </xf>
    <xf numFmtId="0" fontId="3" fillId="2" borderId="3" xfId="0" applyFont="1" applyFill="1" applyBorder="1" applyAlignment="1">
      <alignment horizontal="left" vertical="center"/>
    </xf>
    <xf numFmtId="165" fontId="3" fillId="2" borderId="3" xfId="0" applyNumberFormat="1" applyFont="1" applyFill="1" applyBorder="1" applyAlignment="1">
      <alignment horizontal="center" vertical="center"/>
    </xf>
    <xf numFmtId="0" fontId="3" fillId="2" borderId="3" xfId="4" applyFont="1" applyFill="1" applyBorder="1" applyAlignment="1">
      <alignment horizontal="right" vertical="center"/>
    </xf>
    <xf numFmtId="3" fontId="3" fillId="4" borderId="3" xfId="4" applyNumberFormat="1" applyFont="1" applyFill="1" applyBorder="1" applyAlignment="1">
      <alignment horizontal="center" vertical="center"/>
    </xf>
    <xf numFmtId="0" fontId="2" fillId="3" borderId="3" xfId="4" applyFill="1" applyBorder="1" applyAlignment="1" applyProtection="1">
      <alignment horizontal="left" vertical="center"/>
      <protection locked="0"/>
    </xf>
    <xf numFmtId="3" fontId="2" fillId="3" borderId="3" xfId="4" applyNumberFormat="1" applyFill="1" applyBorder="1" applyAlignment="1" applyProtection="1">
      <alignment horizontal="center" vertical="center"/>
      <protection locked="0"/>
    </xf>
    <xf numFmtId="1" fontId="4" fillId="3" borderId="3" xfId="4" applyNumberFormat="1" applyFont="1" applyFill="1" applyBorder="1" applyAlignment="1" applyProtection="1">
      <alignment horizontal="center" vertical="center"/>
      <protection locked="0"/>
    </xf>
    <xf numFmtId="0" fontId="2" fillId="3" borderId="3" xfId="4" applyFill="1" applyBorder="1" applyAlignment="1" applyProtection="1">
      <alignment horizontal="center" vertical="center"/>
      <protection locked="0"/>
    </xf>
    <xf numFmtId="1" fontId="3" fillId="0" borderId="11" xfId="4" applyNumberFormat="1" applyFont="1" applyBorder="1" applyAlignment="1" applyProtection="1">
      <alignment horizontal="left" vertical="center"/>
      <protection locked="0"/>
    </xf>
    <xf numFmtId="0" fontId="8" fillId="6" borderId="7" xfId="0" applyFont="1" applyFill="1" applyBorder="1" applyAlignment="1">
      <alignment horizontal="center" vertical="center"/>
    </xf>
    <xf numFmtId="3" fontId="3" fillId="0" borderId="0" xfId="4" applyNumberFormat="1" applyFont="1" applyAlignment="1">
      <alignment horizontal="left" vertical="center"/>
    </xf>
    <xf numFmtId="3" fontId="2" fillId="0" borderId="3" xfId="4" applyNumberFormat="1" applyBorder="1" applyAlignment="1" applyProtection="1">
      <alignment horizontal="center" vertical="center"/>
      <protection locked="0"/>
    </xf>
    <xf numFmtId="0" fontId="2" fillId="3" borderId="5" xfId="4" applyFill="1" applyBorder="1" applyAlignment="1" applyProtection="1">
      <alignment horizontal="left" vertical="center"/>
      <protection locked="0"/>
    </xf>
    <xf numFmtId="3" fontId="2" fillId="0" borderId="5" xfId="4" applyNumberFormat="1" applyBorder="1" applyAlignment="1" applyProtection="1">
      <alignment horizontal="center" vertical="center"/>
      <protection locked="0"/>
    </xf>
    <xf numFmtId="3" fontId="2" fillId="3" borderId="5" xfId="4" applyNumberFormat="1" applyFill="1" applyBorder="1" applyAlignment="1" applyProtection="1">
      <alignment horizontal="center" vertical="center"/>
      <protection locked="0"/>
    </xf>
    <xf numFmtId="1" fontId="4" fillId="3" borderId="5" xfId="4" applyNumberFormat="1" applyFont="1" applyFill="1" applyBorder="1" applyAlignment="1" applyProtection="1">
      <alignment horizontal="center" vertical="center"/>
      <protection locked="0"/>
    </xf>
    <xf numFmtId="164" fontId="3" fillId="3" borderId="3" xfId="4" applyNumberFormat="1" applyFont="1" applyFill="1" applyBorder="1" applyAlignment="1">
      <alignment horizontal="center" vertical="center"/>
    </xf>
    <xf numFmtId="164" fontId="3" fillId="4" borderId="3" xfId="4" applyNumberFormat="1" applyFont="1" applyFill="1" applyBorder="1" applyAlignment="1">
      <alignment horizontal="center" vertical="center"/>
    </xf>
    <xf numFmtId="0" fontId="0" fillId="3" borderId="5" xfId="0" applyFill="1" applyBorder="1" applyAlignment="1" applyProtection="1">
      <alignment horizontal="left" vertical="center"/>
      <protection locked="0"/>
    </xf>
    <xf numFmtId="165" fontId="0" fillId="3" borderId="5" xfId="0" applyNumberFormat="1" applyFill="1" applyBorder="1" applyAlignment="1" applyProtection="1">
      <alignment horizontal="center" vertical="center"/>
      <protection locked="0"/>
    </xf>
    <xf numFmtId="165" fontId="2" fillId="3" borderId="5" xfId="1" applyNumberFormat="1" applyFont="1" applyFill="1" applyBorder="1" applyAlignment="1" applyProtection="1">
      <alignment horizontal="center" vertical="center"/>
      <protection locked="0"/>
    </xf>
    <xf numFmtId="165" fontId="2" fillId="0" borderId="5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left" vertical="center" wrapText="1"/>
      <protection locked="0"/>
    </xf>
    <xf numFmtId="165" fontId="0" fillId="3" borderId="3" xfId="0" applyNumberFormat="1" applyFill="1" applyBorder="1" applyAlignment="1" applyProtection="1">
      <alignment horizontal="center" vertical="center" wrapText="1"/>
      <protection locked="0"/>
    </xf>
    <xf numFmtId="165" fontId="2" fillId="3" borderId="3" xfId="1" applyNumberFormat="1" applyFont="1" applyFill="1" applyBorder="1" applyAlignment="1" applyProtection="1">
      <alignment horizontal="center" vertical="center"/>
      <protection locked="0"/>
    </xf>
    <xf numFmtId="0" fontId="0" fillId="3" borderId="3" xfId="0" applyFill="1" applyBorder="1" applyAlignment="1" applyProtection="1">
      <alignment horizontal="left" vertical="center"/>
      <protection locked="0"/>
    </xf>
    <xf numFmtId="165" fontId="0" fillId="3" borderId="3" xfId="0" applyNumberFormat="1" applyFill="1" applyBorder="1" applyAlignment="1" applyProtection="1">
      <alignment horizontal="center" vertical="center"/>
      <protection locked="0"/>
    </xf>
    <xf numFmtId="0" fontId="0" fillId="3" borderId="3" xfId="0" quotePrefix="1" applyFill="1" applyBorder="1" applyAlignment="1" applyProtection="1">
      <alignment horizontal="left" vertical="center"/>
      <protection locked="0"/>
    </xf>
    <xf numFmtId="165" fontId="0" fillId="3" borderId="3" xfId="0" quotePrefix="1" applyNumberFormat="1" applyFill="1" applyBorder="1" applyAlignment="1" applyProtection="1">
      <alignment horizontal="center" vertical="center"/>
      <protection locked="0"/>
    </xf>
    <xf numFmtId="0" fontId="3" fillId="0" borderId="14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8" fillId="9" borderId="7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 wrapText="1"/>
    </xf>
    <xf numFmtId="0" fontId="8" fillId="9" borderId="7" xfId="4" applyFont="1" applyFill="1" applyBorder="1" applyAlignment="1">
      <alignment horizontal="center" vertical="center"/>
    </xf>
    <xf numFmtId="0" fontId="8" fillId="5" borderId="7" xfId="4" applyFont="1" applyFill="1" applyBorder="1" applyAlignment="1">
      <alignment horizontal="center" vertical="center" wrapText="1"/>
    </xf>
    <xf numFmtId="0" fontId="8" fillId="5" borderId="7" xfId="4" applyFont="1" applyFill="1" applyBorder="1" applyAlignment="1">
      <alignment horizontal="center" vertical="center"/>
    </xf>
    <xf numFmtId="0" fontId="0" fillId="3" borderId="5" xfId="0" applyFill="1" applyBorder="1" applyAlignment="1" applyProtection="1">
      <alignment vertical="center"/>
      <protection locked="0"/>
    </xf>
    <xf numFmtId="3" fontId="0" fillId="3" borderId="5" xfId="0" applyNumberFormat="1" applyFill="1" applyBorder="1" applyAlignment="1" applyProtection="1">
      <alignment horizontal="center" vertical="center"/>
      <protection locked="0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164" fontId="0" fillId="0" borderId="5" xfId="0" applyNumberForma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/>
    </xf>
    <xf numFmtId="0" fontId="4" fillId="7" borderId="5" xfId="0" applyFont="1" applyFill="1" applyBorder="1" applyAlignment="1">
      <alignment horizontal="center" vertical="center"/>
    </xf>
    <xf numFmtId="0" fontId="4" fillId="7" borderId="5" xfId="0" quotePrefix="1" applyFont="1" applyFill="1" applyBorder="1" applyAlignment="1">
      <alignment horizontal="left"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quotePrefix="1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7" borderId="9" xfId="0" applyFill="1" applyBorder="1" applyAlignment="1" applyProtection="1">
      <alignment vertical="center"/>
      <protection locked="0"/>
    </xf>
    <xf numFmtId="0" fontId="0" fillId="7" borderId="15" xfId="0" applyFill="1" applyBorder="1" applyAlignment="1" applyProtection="1">
      <alignment horizontal="left" vertical="center"/>
      <protection locked="0"/>
    </xf>
    <xf numFmtId="10" fontId="0" fillId="7" borderId="15" xfId="2" applyNumberFormat="1" applyFont="1" applyFill="1" applyBorder="1" applyAlignment="1" applyProtection="1">
      <alignment horizontal="left" vertical="center"/>
      <protection locked="0"/>
    </xf>
    <xf numFmtId="0" fontId="6" fillId="6" borderId="3" xfId="0" applyFont="1" applyFill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6" fillId="6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3" xfId="0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3" fillId="0" borderId="1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0" fillId="0" borderId="2" xfId="0" applyBorder="1" applyAlignment="1" applyProtection="1">
      <alignment vertical="center"/>
      <protection locked="0"/>
    </xf>
    <xf numFmtId="0" fontId="0" fillId="7" borderId="9" xfId="0" applyFill="1" applyBorder="1" applyAlignment="1" applyProtection="1">
      <alignment horizontal="left" vertical="center"/>
      <protection locked="0"/>
    </xf>
    <xf numFmtId="0" fontId="0" fillId="7" borderId="9" xfId="0" applyFill="1" applyBorder="1" applyAlignment="1" applyProtection="1">
      <alignment horizontal="left" vertical="center" wrapText="1"/>
      <protection locked="0"/>
    </xf>
    <xf numFmtId="164" fontId="0" fillId="3" borderId="5" xfId="0" applyNumberFormat="1" applyFill="1" applyBorder="1" applyAlignment="1" applyProtection="1">
      <alignment horizontal="center" vertical="center"/>
      <protection locked="0"/>
    </xf>
    <xf numFmtId="164" fontId="0" fillId="3" borderId="3" xfId="0" applyNumberFormat="1" applyFill="1" applyBorder="1" applyAlignment="1" applyProtection="1">
      <alignment horizontal="center" vertical="center"/>
      <protection locked="0"/>
    </xf>
    <xf numFmtId="0" fontId="3" fillId="0" borderId="0" xfId="0" applyFont="1"/>
    <xf numFmtId="0" fontId="8" fillId="6" borderId="3" xfId="0" applyFont="1" applyFill="1" applyBorder="1" applyAlignment="1">
      <alignment vertical="center"/>
    </xf>
    <xf numFmtId="0" fontId="8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/>
    </xf>
    <xf numFmtId="0" fontId="0" fillId="0" borderId="21" xfId="0" applyBorder="1" applyAlignment="1" applyProtection="1">
      <alignment vertical="center"/>
      <protection locked="0"/>
    </xf>
    <xf numFmtId="0" fontId="0" fillId="0" borderId="21" xfId="0" applyBorder="1" applyAlignment="1" applyProtection="1">
      <alignment vertical="center" wrapText="1"/>
      <protection locked="0"/>
    </xf>
    <xf numFmtId="0" fontId="0" fillId="0" borderId="5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left" vertical="center"/>
    </xf>
    <xf numFmtId="0" fontId="7" fillId="6" borderId="7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7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left" vertical="center"/>
    </xf>
    <xf numFmtId="0" fontId="10" fillId="6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left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8" fillId="10" borderId="7" xfId="0" applyFont="1" applyFill="1" applyBorder="1" applyAlignment="1">
      <alignment horizontal="center" vertical="center"/>
    </xf>
    <xf numFmtId="0" fontId="0" fillId="0" borderId="9" xfId="0" applyBorder="1" applyAlignment="1" applyProtection="1">
      <alignment horizontal="left"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0" fillId="0" borderId="10" xfId="0" applyBorder="1" applyAlignment="1" applyProtection="1">
      <alignment horizontal="left" vertical="center"/>
      <protection locked="0"/>
    </xf>
    <xf numFmtId="0" fontId="11" fillId="6" borderId="8" xfId="0" applyFont="1" applyFill="1" applyBorder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0" fillId="0" borderId="9" xfId="0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alignment horizontal="left" vertical="center" wrapText="1"/>
      <protection locked="0"/>
    </xf>
    <xf numFmtId="0" fontId="0" fillId="0" borderId="10" xfId="0" applyBorder="1" applyAlignment="1" applyProtection="1">
      <alignment horizontal="left" vertical="center" wrapText="1"/>
      <protection locked="0"/>
    </xf>
    <xf numFmtId="0" fontId="11" fillId="9" borderId="3" xfId="0" applyFont="1" applyFill="1" applyBorder="1" applyAlignment="1">
      <alignment horizontal="center" vertical="center"/>
    </xf>
    <xf numFmtId="0" fontId="8" fillId="9" borderId="4" xfId="4" applyFont="1" applyFill="1" applyBorder="1" applyAlignment="1">
      <alignment horizontal="center" vertical="center"/>
    </xf>
    <xf numFmtId="0" fontId="8" fillId="9" borderId="13" xfId="4" applyFont="1" applyFill="1" applyBorder="1" applyAlignment="1">
      <alignment horizontal="center" vertical="center"/>
    </xf>
    <xf numFmtId="0" fontId="11" fillId="9" borderId="9" xfId="4" applyFont="1" applyFill="1" applyBorder="1" applyAlignment="1">
      <alignment horizontal="center" vertical="center"/>
    </xf>
    <xf numFmtId="0" fontId="11" fillId="9" borderId="2" xfId="4" applyFont="1" applyFill="1" applyBorder="1" applyAlignment="1">
      <alignment horizontal="center" vertical="center"/>
    </xf>
    <xf numFmtId="0" fontId="11" fillId="9" borderId="10" xfId="4" applyFont="1" applyFill="1" applyBorder="1" applyAlignment="1">
      <alignment horizontal="center" vertical="center"/>
    </xf>
    <xf numFmtId="0" fontId="11" fillId="5" borderId="9" xfId="4" applyFont="1" applyFill="1" applyBorder="1" applyAlignment="1">
      <alignment horizontal="center" vertical="center"/>
    </xf>
    <xf numFmtId="0" fontId="11" fillId="5" borderId="2" xfId="4" applyFont="1" applyFill="1" applyBorder="1" applyAlignment="1">
      <alignment horizontal="center" vertical="center"/>
    </xf>
    <xf numFmtId="0" fontId="11" fillId="5" borderId="10" xfId="4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3" fontId="0" fillId="3" borderId="9" xfId="0" applyNumberFormat="1" applyFill="1" applyBorder="1" applyAlignment="1" applyProtection="1">
      <alignment horizontal="left" vertical="center"/>
      <protection locked="0"/>
    </xf>
    <xf numFmtId="3" fontId="0" fillId="3" borderId="2" xfId="0" applyNumberFormat="1" applyFill="1" applyBorder="1" applyAlignment="1" applyProtection="1">
      <alignment horizontal="left" vertical="center"/>
      <protection locked="0"/>
    </xf>
    <xf numFmtId="3" fontId="0" fillId="3" borderId="10" xfId="0" applyNumberFormat="1" applyFill="1" applyBorder="1" applyAlignment="1" applyProtection="1">
      <alignment horizontal="left" vertical="center"/>
      <protection locked="0"/>
    </xf>
    <xf numFmtId="3" fontId="0" fillId="3" borderId="5" xfId="0" applyNumberFormat="1" applyFill="1" applyBorder="1" applyAlignment="1" applyProtection="1">
      <alignment horizontal="left" vertical="center"/>
      <protection locked="0"/>
    </xf>
    <xf numFmtId="3" fontId="0" fillId="3" borderId="3" xfId="0" applyNumberFormat="1" applyFill="1" applyBorder="1" applyAlignment="1" applyProtection="1">
      <alignment horizontal="left" vertical="center"/>
      <protection locked="0"/>
    </xf>
    <xf numFmtId="3" fontId="0" fillId="3" borderId="3" xfId="0" applyNumberForma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>
      <alignment horizontal="right" vertical="center"/>
    </xf>
    <xf numFmtId="0" fontId="11" fillId="8" borderId="3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 wrapText="1"/>
    </xf>
    <xf numFmtId="3" fontId="0" fillId="3" borderId="5" xfId="0" applyNumberForma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>
      <alignment horizontal="right" vertical="center"/>
    </xf>
  </cellXfs>
  <cellStyles count="6">
    <cellStyle name="Comma" xfId="1" builtinId="3"/>
    <cellStyle name="Comma 2" xfId="5" xr:uid="{00000000-0005-0000-0000-000001000000}"/>
    <cellStyle name="Normal" xfId="0" builtinId="0"/>
    <cellStyle name="Normal 2" xfId="4" xr:uid="{00000000-0005-0000-0000-000003000000}"/>
    <cellStyle name="Normal 3" xfId="3" xr:uid="{00000000-0005-0000-0000-000004000000}"/>
    <cellStyle name="Percent" xfId="2" builtinId="5"/>
  </cellStyles>
  <dxfs count="7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rgb="FF002060"/>
      </font>
    </dxf>
    <dxf>
      <font>
        <color theme="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733425</xdr:colOff>
          <xdr:row>0</xdr:row>
          <xdr:rowOff>104775</xdr:rowOff>
        </xdr:from>
        <xdr:to>
          <xdr:col>6</xdr:col>
          <xdr:colOff>1028700</xdr:colOff>
          <xdr:row>1</xdr:row>
          <xdr:rowOff>38100</xdr:rowOff>
        </xdr:to>
        <xdr:sp macro="" textlink="">
          <xdr:nvSpPr>
            <xdr:cNvPr id="1027" name="CommandButton1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476250</xdr:colOff>
          <xdr:row>0</xdr:row>
          <xdr:rowOff>85725</xdr:rowOff>
        </xdr:from>
        <xdr:to>
          <xdr:col>10</xdr:col>
          <xdr:colOff>0</xdr:colOff>
          <xdr:row>1</xdr:row>
          <xdr:rowOff>38100</xdr:rowOff>
        </xdr:to>
        <xdr:sp macro="" textlink="">
          <xdr:nvSpPr>
            <xdr:cNvPr id="1028" name="CommandButton2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7"/>
    <pageSetUpPr fitToPage="1"/>
  </sheetPr>
  <dimension ref="A1:J213"/>
  <sheetViews>
    <sheetView showGridLines="0" tabSelected="1" zoomScale="115" zoomScaleNormal="115" zoomScaleSheetLayoutView="130" workbookViewId="0">
      <selection activeCell="K6" sqref="K6"/>
    </sheetView>
  </sheetViews>
  <sheetFormatPr defaultColWidth="8.7109375" defaultRowHeight="12.75" x14ac:dyDescent="0.2"/>
  <cols>
    <col min="1" max="1" width="5.85546875" style="1" customWidth="1"/>
    <col min="2" max="2" width="22.7109375" style="1" customWidth="1"/>
    <col min="3" max="3" width="87.7109375" style="1" customWidth="1"/>
    <col min="4" max="10" width="15.7109375" style="1" customWidth="1"/>
    <col min="11" max="16384" width="8.7109375" style="1"/>
  </cols>
  <sheetData>
    <row r="1" spans="1:10" ht="25.5" customHeight="1" x14ac:dyDescent="0.2">
      <c r="A1" s="111" t="s">
        <v>23</v>
      </c>
      <c r="B1" s="111"/>
      <c r="C1" s="22"/>
    </row>
    <row r="2" spans="1:10" ht="15.75" customHeight="1" x14ac:dyDescent="0.2">
      <c r="A2" s="85"/>
      <c r="B2" s="85"/>
      <c r="C2" s="86"/>
    </row>
    <row r="3" spans="1:10" ht="15" x14ac:dyDescent="0.2">
      <c r="A3" s="93" t="s">
        <v>71</v>
      </c>
      <c r="B3" s="94" t="s">
        <v>65</v>
      </c>
      <c r="C3" s="75" t="s">
        <v>65</v>
      </c>
      <c r="D3" s="116" t="s">
        <v>49</v>
      </c>
      <c r="E3" s="117"/>
      <c r="F3" s="78" t="s">
        <v>45</v>
      </c>
      <c r="G3" s="78" t="s">
        <v>52</v>
      </c>
      <c r="H3" s="78" t="s">
        <v>63</v>
      </c>
      <c r="I3" s="78" t="s">
        <v>64</v>
      </c>
      <c r="J3" s="78" t="s">
        <v>36</v>
      </c>
    </row>
    <row r="4" spans="1:10" x14ac:dyDescent="0.2">
      <c r="A4" s="111" t="s">
        <v>67</v>
      </c>
      <c r="B4" s="111"/>
      <c r="C4" s="87" t="s">
        <v>134</v>
      </c>
      <c r="D4" s="118" t="str">
        <f>"CLIN 0001" &amp; "(" &amp; C8 &amp; " TGIs)"</f>
        <v>CLIN 0001(31 TGIs)</v>
      </c>
      <c r="E4" s="119"/>
      <c r="F4" s="98">
        <f ca="1">SUM(F14:F213)</f>
        <v>0</v>
      </c>
      <c r="G4" s="79">
        <f ca="1">SUM(G14:G213)</f>
        <v>0</v>
      </c>
      <c r="H4" s="79">
        <f ca="1">SUM(H14:H213)</f>
        <v>0</v>
      </c>
      <c r="I4" s="79">
        <f ca="1">SUM(I14:I213)</f>
        <v>0</v>
      </c>
      <c r="J4" s="79">
        <f ca="1">SUM(J14:J213)</f>
        <v>0</v>
      </c>
    </row>
    <row r="5" spans="1:10" ht="13.5" customHeight="1" x14ac:dyDescent="0.2">
      <c r="A5" s="111" t="s">
        <v>66</v>
      </c>
      <c r="B5" s="111"/>
      <c r="C5" s="87" t="s">
        <v>135</v>
      </c>
      <c r="D5" s="118" t="s">
        <v>50</v>
      </c>
      <c r="E5" s="119"/>
      <c r="F5" s="82">
        <f ca="1">ROUNDDOWN(F4*$C$9,0)</f>
        <v>0</v>
      </c>
      <c r="G5" s="79">
        <f ca="1">J5-I5-H5</f>
        <v>0</v>
      </c>
      <c r="H5" s="79">
        <f ca="1">ROUND(H4*$C$9,0)</f>
        <v>0</v>
      </c>
      <c r="I5" s="79">
        <f t="shared" ref="I5:J5" ca="1" si="0">ROUND(I4*$C$9,0)</f>
        <v>0</v>
      </c>
      <c r="J5" s="79">
        <f t="shared" ca="1" si="0"/>
        <v>0</v>
      </c>
    </row>
    <row r="6" spans="1:10" ht="15.75" customHeight="1" x14ac:dyDescent="0.2">
      <c r="A6" s="111" t="s">
        <v>68</v>
      </c>
      <c r="B6" s="111"/>
      <c r="C6" s="88" t="s">
        <v>136</v>
      </c>
      <c r="D6" s="116" t="s">
        <v>51</v>
      </c>
      <c r="E6" s="117"/>
      <c r="F6" s="78">
        <f ca="1">SUM(F4:F5)</f>
        <v>0</v>
      </c>
      <c r="G6" s="80">
        <f ca="1">SUM(G4:G5)</f>
        <v>0</v>
      </c>
      <c r="H6" s="80">
        <f t="shared" ref="H6:J6" ca="1" si="1">SUM(H4:H5)</f>
        <v>0</v>
      </c>
      <c r="I6" s="80">
        <f t="shared" ca="1" si="1"/>
        <v>0</v>
      </c>
      <c r="J6" s="80">
        <f t="shared" ca="1" si="1"/>
        <v>0</v>
      </c>
    </row>
    <row r="7" spans="1:10" ht="15" x14ac:dyDescent="0.2">
      <c r="A7" s="6"/>
      <c r="B7" s="6"/>
      <c r="C7" s="11"/>
      <c r="D7" s="10"/>
      <c r="E7" s="17"/>
      <c r="F7" s="17"/>
      <c r="G7" s="17"/>
      <c r="H7" s="105"/>
      <c r="I7" s="106"/>
      <c r="J7" s="106"/>
    </row>
    <row r="8" spans="1:10" ht="15" customHeight="1" x14ac:dyDescent="0.2">
      <c r="A8" s="109" t="s">
        <v>55</v>
      </c>
      <c r="B8" s="109"/>
      <c r="C8" s="76">
        <v>31</v>
      </c>
      <c r="D8" s="112" t="s">
        <v>37</v>
      </c>
      <c r="E8" s="113"/>
      <c r="F8" s="113"/>
      <c r="G8" s="113"/>
      <c r="H8" s="107">
        <f ca="1">J6</f>
        <v>0</v>
      </c>
      <c r="I8" s="107"/>
      <c r="J8" s="107"/>
    </row>
    <row r="9" spans="1:10" ht="12.75" customHeight="1" x14ac:dyDescent="0.2">
      <c r="A9" s="109" t="s">
        <v>39</v>
      </c>
      <c r="B9" s="109"/>
      <c r="C9" s="77">
        <v>8.8400000000000006E-2</v>
      </c>
      <c r="D9" s="114"/>
      <c r="E9" s="115"/>
      <c r="F9" s="115"/>
      <c r="G9" s="115"/>
      <c r="H9" s="108"/>
      <c r="I9" s="108"/>
      <c r="J9" s="108"/>
    </row>
    <row r="10" spans="1:10" x14ac:dyDescent="0.2">
      <c r="A10" s="2"/>
      <c r="B10" s="2"/>
      <c r="C10" s="12"/>
      <c r="D10" s="10"/>
    </row>
    <row r="11" spans="1:10" ht="25.5" customHeight="1" x14ac:dyDescent="0.2">
      <c r="A11" s="2" t="s">
        <v>61</v>
      </c>
      <c r="B11" s="2"/>
      <c r="C11" s="3"/>
      <c r="D11" s="3"/>
    </row>
    <row r="12" spans="1:10" ht="23.25" customHeight="1" x14ac:dyDescent="0.2">
      <c r="A12" s="103" t="s">
        <v>40</v>
      </c>
      <c r="B12" s="103" t="s">
        <v>35</v>
      </c>
      <c r="C12" s="101" t="s">
        <v>3</v>
      </c>
      <c r="D12" s="110" t="s">
        <v>41</v>
      </c>
      <c r="E12" s="110"/>
      <c r="F12" s="110"/>
      <c r="G12" s="110"/>
      <c r="H12" s="110" t="s">
        <v>38</v>
      </c>
      <c r="I12" s="110"/>
      <c r="J12" s="99" t="s">
        <v>42</v>
      </c>
    </row>
    <row r="13" spans="1:10" ht="41.25" customHeight="1" thickBot="1" x14ac:dyDescent="0.25">
      <c r="A13" s="104"/>
      <c r="B13" s="104"/>
      <c r="C13" s="102"/>
      <c r="D13" s="21" t="s">
        <v>43</v>
      </c>
      <c r="E13" s="21" t="s">
        <v>44</v>
      </c>
      <c r="F13" s="21" t="s">
        <v>45</v>
      </c>
      <c r="G13" s="21" t="s">
        <v>46</v>
      </c>
      <c r="H13" s="21" t="s">
        <v>47</v>
      </c>
      <c r="I13" s="21" t="s">
        <v>48</v>
      </c>
      <c r="J13" s="100"/>
    </row>
    <row r="14" spans="1:10" ht="13.5" thickTop="1" x14ac:dyDescent="0.2">
      <c r="A14" s="19">
        <v>1</v>
      </c>
      <c r="B14" s="70" t="s">
        <v>76</v>
      </c>
      <c r="C14" s="71" t="s">
        <v>182</v>
      </c>
      <c r="D14" s="20">
        <f ca="1">IF(B14="","",INDIRECT("'" &amp; A14 &amp; "_" &amp; B14 &amp; "'!G4"))</f>
        <v>0</v>
      </c>
      <c r="E14" s="20">
        <f ca="1">IF(B14="","",INDIRECT("'" &amp; A14 &amp; "_" &amp; B14 &amp; "'!H4"))</f>
        <v>0</v>
      </c>
      <c r="F14" s="20">
        <f ca="1">IF(B14="","",SUM(D14,E14))</f>
        <v>0</v>
      </c>
      <c r="G14" s="67">
        <f ca="1">IF(B14="","",INDIRECT("'" &amp; A14 &amp; "_" &amp; B14 &amp; "'!I4"))</f>
        <v>0</v>
      </c>
      <c r="H14" s="67">
        <f ca="1">IF(B14="","",INDIRECT("'" &amp; A14 &amp; "_" &amp; B14 &amp; "'!J4"))</f>
        <v>0</v>
      </c>
      <c r="I14" s="67">
        <f ca="1">IF(B14="","",INDIRECT("'" &amp; A14 &amp; "_" &amp; B14 &amp; "'!K4"))</f>
        <v>0</v>
      </c>
      <c r="J14" s="67">
        <f ca="1">IF(B14="","",INDIRECT("'" &amp; A14 &amp; "_" &amp; B14 &amp; "'!L4"))</f>
        <v>0</v>
      </c>
    </row>
    <row r="15" spans="1:10" x14ac:dyDescent="0.2">
      <c r="A15" s="18">
        <v>2</v>
      </c>
      <c r="B15" s="72" t="s">
        <v>77</v>
      </c>
      <c r="C15" s="73" t="s">
        <v>78</v>
      </c>
      <c r="D15" s="20">
        <f t="shared" ref="D15:D78" ca="1" si="2">IF(B15="","",INDIRECT("'" &amp; A15 &amp; "_" &amp; B15 &amp; "'!G4"))</f>
        <v>0</v>
      </c>
      <c r="E15" s="20">
        <f t="shared" ref="E15:E78" ca="1" si="3">IF(B15="","",INDIRECT("'" &amp; A15 &amp; "_" &amp; B15 &amp; "'!H4"))</f>
        <v>0</v>
      </c>
      <c r="F15" s="20">
        <f t="shared" ref="F15:F78" ca="1" si="4">IF(B15="","",SUM(D15,E15))</f>
        <v>0</v>
      </c>
      <c r="G15" s="67">
        <f t="shared" ref="G15:G78" ca="1" si="5">IF(B15="","",INDIRECT("'" &amp; A15 &amp; "_" &amp; B15 &amp; "'!I4"))</f>
        <v>0</v>
      </c>
      <c r="H15" s="67">
        <f t="shared" ref="H15:H78" ca="1" si="6">IF(B15="","",INDIRECT("'" &amp; A15 &amp; "_" &amp; B15 &amp; "'!J4"))</f>
        <v>0</v>
      </c>
      <c r="I15" s="67">
        <f t="shared" ref="I15:I78" ca="1" si="7">IF(B15="","",INDIRECT("'" &amp; A15 &amp; "_" &amp; B15 &amp; "'!K4"))</f>
        <v>0</v>
      </c>
      <c r="J15" s="67">
        <f t="shared" ref="J15:J78" ca="1" si="8">IF(B15="","",INDIRECT("'" &amp; A15 &amp; "_" &amp; B15 &amp; "'!L4"))</f>
        <v>0</v>
      </c>
    </row>
    <row r="16" spans="1:10" x14ac:dyDescent="0.2">
      <c r="A16" s="18">
        <v>3</v>
      </c>
      <c r="B16" s="72" t="s">
        <v>79</v>
      </c>
      <c r="C16" s="73" t="s">
        <v>80</v>
      </c>
      <c r="D16" s="20">
        <f t="shared" ca="1" si="2"/>
        <v>0</v>
      </c>
      <c r="E16" s="20">
        <f t="shared" ca="1" si="3"/>
        <v>0</v>
      </c>
      <c r="F16" s="20">
        <f t="shared" ca="1" si="4"/>
        <v>0</v>
      </c>
      <c r="G16" s="67">
        <f t="shared" ca="1" si="5"/>
        <v>0</v>
      </c>
      <c r="H16" s="67">
        <f t="shared" ca="1" si="6"/>
        <v>0</v>
      </c>
      <c r="I16" s="67">
        <f t="shared" ca="1" si="7"/>
        <v>0</v>
      </c>
      <c r="J16" s="67">
        <f t="shared" ca="1" si="8"/>
        <v>0</v>
      </c>
    </row>
    <row r="17" spans="1:10" x14ac:dyDescent="0.2">
      <c r="A17" s="18">
        <v>4</v>
      </c>
      <c r="B17" s="72" t="s">
        <v>81</v>
      </c>
      <c r="C17" s="73" t="s">
        <v>82</v>
      </c>
      <c r="D17" s="20">
        <f t="shared" ca="1" si="2"/>
        <v>0</v>
      </c>
      <c r="E17" s="20">
        <f t="shared" ca="1" si="3"/>
        <v>0</v>
      </c>
      <c r="F17" s="20">
        <f t="shared" ca="1" si="4"/>
        <v>0</v>
      </c>
      <c r="G17" s="67">
        <f t="shared" ca="1" si="5"/>
        <v>0</v>
      </c>
      <c r="H17" s="67">
        <f t="shared" ca="1" si="6"/>
        <v>0</v>
      </c>
      <c r="I17" s="67">
        <f t="shared" ca="1" si="7"/>
        <v>0</v>
      </c>
      <c r="J17" s="67">
        <f t="shared" ca="1" si="8"/>
        <v>0</v>
      </c>
    </row>
    <row r="18" spans="1:10" x14ac:dyDescent="0.2">
      <c r="A18" s="18">
        <v>5</v>
      </c>
      <c r="B18" s="72" t="s">
        <v>83</v>
      </c>
      <c r="C18" s="73" t="s">
        <v>84</v>
      </c>
      <c r="D18" s="20">
        <f t="shared" ca="1" si="2"/>
        <v>0</v>
      </c>
      <c r="E18" s="20">
        <f t="shared" ca="1" si="3"/>
        <v>0</v>
      </c>
      <c r="F18" s="20">
        <f t="shared" ca="1" si="4"/>
        <v>0</v>
      </c>
      <c r="G18" s="67">
        <f t="shared" ca="1" si="5"/>
        <v>0</v>
      </c>
      <c r="H18" s="67">
        <f t="shared" ca="1" si="6"/>
        <v>0</v>
      </c>
      <c r="I18" s="67">
        <f t="shared" ca="1" si="7"/>
        <v>0</v>
      </c>
      <c r="J18" s="67">
        <f t="shared" ca="1" si="8"/>
        <v>0</v>
      </c>
    </row>
    <row r="19" spans="1:10" x14ac:dyDescent="0.2">
      <c r="A19" s="18">
        <v>6</v>
      </c>
      <c r="B19" s="72" t="s">
        <v>85</v>
      </c>
      <c r="C19" s="73" t="s">
        <v>86</v>
      </c>
      <c r="D19" s="20">
        <f t="shared" ca="1" si="2"/>
        <v>0</v>
      </c>
      <c r="E19" s="20">
        <f t="shared" ca="1" si="3"/>
        <v>0</v>
      </c>
      <c r="F19" s="20">
        <f t="shared" ca="1" si="4"/>
        <v>0</v>
      </c>
      <c r="G19" s="67">
        <f t="shared" ca="1" si="5"/>
        <v>0</v>
      </c>
      <c r="H19" s="67">
        <f t="shared" ca="1" si="6"/>
        <v>0</v>
      </c>
      <c r="I19" s="67">
        <f t="shared" ca="1" si="7"/>
        <v>0</v>
      </c>
      <c r="J19" s="67">
        <f t="shared" ca="1" si="8"/>
        <v>0</v>
      </c>
    </row>
    <row r="20" spans="1:10" x14ac:dyDescent="0.2">
      <c r="A20" s="18">
        <v>7</v>
      </c>
      <c r="B20" s="72" t="s">
        <v>87</v>
      </c>
      <c r="C20" s="73" t="s">
        <v>88</v>
      </c>
      <c r="D20" s="20">
        <f t="shared" ca="1" si="2"/>
        <v>0</v>
      </c>
      <c r="E20" s="20">
        <f t="shared" ca="1" si="3"/>
        <v>0</v>
      </c>
      <c r="F20" s="20">
        <f t="shared" ca="1" si="4"/>
        <v>0</v>
      </c>
      <c r="G20" s="67">
        <f t="shared" ca="1" si="5"/>
        <v>0</v>
      </c>
      <c r="H20" s="67">
        <f t="shared" ca="1" si="6"/>
        <v>0</v>
      </c>
      <c r="I20" s="67">
        <f t="shared" ca="1" si="7"/>
        <v>0</v>
      </c>
      <c r="J20" s="67">
        <f t="shared" ca="1" si="8"/>
        <v>0</v>
      </c>
    </row>
    <row r="21" spans="1:10" x14ac:dyDescent="0.2">
      <c r="A21" s="18">
        <v>8</v>
      </c>
      <c r="B21" s="72" t="s">
        <v>89</v>
      </c>
      <c r="C21" s="73" t="s">
        <v>90</v>
      </c>
      <c r="D21" s="20">
        <f t="shared" ca="1" si="2"/>
        <v>0</v>
      </c>
      <c r="E21" s="20">
        <f t="shared" ca="1" si="3"/>
        <v>0</v>
      </c>
      <c r="F21" s="20">
        <f t="shared" ca="1" si="4"/>
        <v>0</v>
      </c>
      <c r="G21" s="67">
        <f t="shared" ca="1" si="5"/>
        <v>0</v>
      </c>
      <c r="H21" s="67">
        <f t="shared" ca="1" si="6"/>
        <v>0</v>
      </c>
      <c r="I21" s="67">
        <f t="shared" ca="1" si="7"/>
        <v>0</v>
      </c>
      <c r="J21" s="67">
        <f t="shared" ca="1" si="8"/>
        <v>0</v>
      </c>
    </row>
    <row r="22" spans="1:10" x14ac:dyDescent="0.2">
      <c r="A22" s="18">
        <v>9</v>
      </c>
      <c r="B22" s="72" t="s">
        <v>91</v>
      </c>
      <c r="C22" s="73" t="s">
        <v>92</v>
      </c>
      <c r="D22" s="20">
        <f t="shared" ca="1" si="2"/>
        <v>0</v>
      </c>
      <c r="E22" s="20">
        <f t="shared" ca="1" si="3"/>
        <v>0</v>
      </c>
      <c r="F22" s="20">
        <f t="shared" ca="1" si="4"/>
        <v>0</v>
      </c>
      <c r="G22" s="67">
        <f t="shared" ca="1" si="5"/>
        <v>0</v>
      </c>
      <c r="H22" s="67">
        <f t="shared" ca="1" si="6"/>
        <v>0</v>
      </c>
      <c r="I22" s="67">
        <f t="shared" ca="1" si="7"/>
        <v>0</v>
      </c>
      <c r="J22" s="67">
        <f t="shared" ca="1" si="8"/>
        <v>0</v>
      </c>
    </row>
    <row r="23" spans="1:10" x14ac:dyDescent="0.2">
      <c r="A23" s="18">
        <v>10</v>
      </c>
      <c r="B23" s="72" t="s">
        <v>93</v>
      </c>
      <c r="C23" s="73" t="s">
        <v>94</v>
      </c>
      <c r="D23" s="20">
        <f t="shared" ca="1" si="2"/>
        <v>0</v>
      </c>
      <c r="E23" s="20">
        <f t="shared" ca="1" si="3"/>
        <v>0</v>
      </c>
      <c r="F23" s="20">
        <f t="shared" ca="1" si="4"/>
        <v>0</v>
      </c>
      <c r="G23" s="67">
        <f t="shared" ca="1" si="5"/>
        <v>0</v>
      </c>
      <c r="H23" s="67">
        <f t="shared" ca="1" si="6"/>
        <v>0</v>
      </c>
      <c r="I23" s="67">
        <f t="shared" ca="1" si="7"/>
        <v>0</v>
      </c>
      <c r="J23" s="67">
        <f t="shared" ca="1" si="8"/>
        <v>0</v>
      </c>
    </row>
    <row r="24" spans="1:10" x14ac:dyDescent="0.2">
      <c r="A24" s="18">
        <v>11</v>
      </c>
      <c r="B24" s="72" t="s">
        <v>95</v>
      </c>
      <c r="C24" s="73" t="s">
        <v>96</v>
      </c>
      <c r="D24" s="20">
        <f t="shared" ca="1" si="2"/>
        <v>0</v>
      </c>
      <c r="E24" s="20">
        <f t="shared" ca="1" si="3"/>
        <v>0</v>
      </c>
      <c r="F24" s="20">
        <f t="shared" ca="1" si="4"/>
        <v>0</v>
      </c>
      <c r="G24" s="67">
        <f t="shared" ca="1" si="5"/>
        <v>0</v>
      </c>
      <c r="H24" s="67">
        <f t="shared" ca="1" si="6"/>
        <v>0</v>
      </c>
      <c r="I24" s="67">
        <f t="shared" ca="1" si="7"/>
        <v>0</v>
      </c>
      <c r="J24" s="67">
        <f t="shared" ca="1" si="8"/>
        <v>0</v>
      </c>
    </row>
    <row r="25" spans="1:10" x14ac:dyDescent="0.2">
      <c r="A25" s="18">
        <v>12</v>
      </c>
      <c r="B25" s="72" t="s">
        <v>97</v>
      </c>
      <c r="C25" s="73" t="s">
        <v>98</v>
      </c>
      <c r="D25" s="20">
        <f t="shared" ca="1" si="2"/>
        <v>0</v>
      </c>
      <c r="E25" s="20">
        <f t="shared" ca="1" si="3"/>
        <v>0</v>
      </c>
      <c r="F25" s="20">
        <f t="shared" ca="1" si="4"/>
        <v>0</v>
      </c>
      <c r="G25" s="67">
        <f t="shared" ca="1" si="5"/>
        <v>0</v>
      </c>
      <c r="H25" s="67">
        <f t="shared" ca="1" si="6"/>
        <v>0</v>
      </c>
      <c r="I25" s="67">
        <f t="shared" ca="1" si="7"/>
        <v>0</v>
      </c>
      <c r="J25" s="67">
        <f t="shared" ca="1" si="8"/>
        <v>0</v>
      </c>
    </row>
    <row r="26" spans="1:10" x14ac:dyDescent="0.2">
      <c r="A26" s="18">
        <v>13</v>
      </c>
      <c r="B26" s="72" t="s">
        <v>99</v>
      </c>
      <c r="C26" s="73" t="s">
        <v>100</v>
      </c>
      <c r="D26" s="20">
        <f t="shared" ca="1" si="2"/>
        <v>0</v>
      </c>
      <c r="E26" s="20">
        <f t="shared" ca="1" si="3"/>
        <v>0</v>
      </c>
      <c r="F26" s="20">
        <f t="shared" ca="1" si="4"/>
        <v>0</v>
      </c>
      <c r="G26" s="67">
        <f t="shared" ca="1" si="5"/>
        <v>0</v>
      </c>
      <c r="H26" s="67">
        <f t="shared" ca="1" si="6"/>
        <v>0</v>
      </c>
      <c r="I26" s="67">
        <f t="shared" ca="1" si="7"/>
        <v>0</v>
      </c>
      <c r="J26" s="67">
        <f t="shared" ca="1" si="8"/>
        <v>0</v>
      </c>
    </row>
    <row r="27" spans="1:10" x14ac:dyDescent="0.2">
      <c r="A27" s="18">
        <v>14</v>
      </c>
      <c r="B27" s="72" t="s">
        <v>101</v>
      </c>
      <c r="C27" s="73" t="s">
        <v>102</v>
      </c>
      <c r="D27" s="20">
        <f t="shared" ca="1" si="2"/>
        <v>0</v>
      </c>
      <c r="E27" s="20">
        <f t="shared" ca="1" si="3"/>
        <v>0</v>
      </c>
      <c r="F27" s="20">
        <f t="shared" ca="1" si="4"/>
        <v>0</v>
      </c>
      <c r="G27" s="67">
        <f t="shared" ca="1" si="5"/>
        <v>0</v>
      </c>
      <c r="H27" s="67">
        <f t="shared" ca="1" si="6"/>
        <v>0</v>
      </c>
      <c r="I27" s="67">
        <f t="shared" ca="1" si="7"/>
        <v>0</v>
      </c>
      <c r="J27" s="67">
        <f t="shared" ca="1" si="8"/>
        <v>0</v>
      </c>
    </row>
    <row r="28" spans="1:10" x14ac:dyDescent="0.2">
      <c r="A28" s="18">
        <v>15</v>
      </c>
      <c r="B28" s="72" t="s">
        <v>103</v>
      </c>
      <c r="C28" s="73" t="s">
        <v>104</v>
      </c>
      <c r="D28" s="20">
        <f t="shared" ca="1" si="2"/>
        <v>0</v>
      </c>
      <c r="E28" s="20">
        <f t="shared" ca="1" si="3"/>
        <v>0</v>
      </c>
      <c r="F28" s="20">
        <f t="shared" ca="1" si="4"/>
        <v>0</v>
      </c>
      <c r="G28" s="67">
        <f t="shared" ca="1" si="5"/>
        <v>0</v>
      </c>
      <c r="H28" s="67">
        <f t="shared" ca="1" si="6"/>
        <v>0</v>
      </c>
      <c r="I28" s="67">
        <f t="shared" ca="1" si="7"/>
        <v>0</v>
      </c>
      <c r="J28" s="67">
        <f t="shared" ca="1" si="8"/>
        <v>0</v>
      </c>
    </row>
    <row r="29" spans="1:10" x14ac:dyDescent="0.2">
      <c r="A29" s="18">
        <v>16</v>
      </c>
      <c r="B29" s="72" t="s">
        <v>105</v>
      </c>
      <c r="C29" s="73" t="s">
        <v>106</v>
      </c>
      <c r="D29" s="20">
        <f t="shared" ca="1" si="2"/>
        <v>0</v>
      </c>
      <c r="E29" s="20">
        <f t="shared" ca="1" si="3"/>
        <v>0</v>
      </c>
      <c r="F29" s="20">
        <f t="shared" ca="1" si="4"/>
        <v>0</v>
      </c>
      <c r="G29" s="67">
        <f t="shared" ca="1" si="5"/>
        <v>0</v>
      </c>
      <c r="H29" s="67">
        <f t="shared" ca="1" si="6"/>
        <v>0</v>
      </c>
      <c r="I29" s="67">
        <f t="shared" ca="1" si="7"/>
        <v>0</v>
      </c>
      <c r="J29" s="67">
        <f t="shared" ca="1" si="8"/>
        <v>0</v>
      </c>
    </row>
    <row r="30" spans="1:10" x14ac:dyDescent="0.2">
      <c r="A30" s="18">
        <v>17</v>
      </c>
      <c r="B30" s="72" t="s">
        <v>107</v>
      </c>
      <c r="C30" s="73" t="s">
        <v>108</v>
      </c>
      <c r="D30" s="20">
        <f t="shared" ca="1" si="2"/>
        <v>0</v>
      </c>
      <c r="E30" s="20">
        <f t="shared" ca="1" si="3"/>
        <v>0</v>
      </c>
      <c r="F30" s="20">
        <f t="shared" ca="1" si="4"/>
        <v>0</v>
      </c>
      <c r="G30" s="67">
        <f t="shared" ca="1" si="5"/>
        <v>0</v>
      </c>
      <c r="H30" s="67">
        <f t="shared" ca="1" si="6"/>
        <v>0</v>
      </c>
      <c r="I30" s="67">
        <f t="shared" ca="1" si="7"/>
        <v>0</v>
      </c>
      <c r="J30" s="67">
        <f t="shared" ca="1" si="8"/>
        <v>0</v>
      </c>
    </row>
    <row r="31" spans="1:10" x14ac:dyDescent="0.2">
      <c r="A31" s="18">
        <v>18</v>
      </c>
      <c r="B31" s="72" t="s">
        <v>109</v>
      </c>
      <c r="C31" s="73" t="s">
        <v>110</v>
      </c>
      <c r="D31" s="20">
        <f t="shared" ca="1" si="2"/>
        <v>0</v>
      </c>
      <c r="E31" s="20">
        <f t="shared" ca="1" si="3"/>
        <v>0</v>
      </c>
      <c r="F31" s="20">
        <f t="shared" ca="1" si="4"/>
        <v>0</v>
      </c>
      <c r="G31" s="67">
        <f t="shared" ca="1" si="5"/>
        <v>0</v>
      </c>
      <c r="H31" s="67">
        <f t="shared" ca="1" si="6"/>
        <v>0</v>
      </c>
      <c r="I31" s="67">
        <f t="shared" ca="1" si="7"/>
        <v>0</v>
      </c>
      <c r="J31" s="67">
        <f t="shared" ca="1" si="8"/>
        <v>0</v>
      </c>
    </row>
    <row r="32" spans="1:10" x14ac:dyDescent="0.2">
      <c r="A32" s="18">
        <v>19</v>
      </c>
      <c r="B32" s="72" t="s">
        <v>111</v>
      </c>
      <c r="C32" s="73" t="s">
        <v>181</v>
      </c>
      <c r="D32" s="20">
        <f t="shared" ca="1" si="2"/>
        <v>0</v>
      </c>
      <c r="E32" s="20">
        <f t="shared" ca="1" si="3"/>
        <v>0</v>
      </c>
      <c r="F32" s="20">
        <f t="shared" ca="1" si="4"/>
        <v>0</v>
      </c>
      <c r="G32" s="67">
        <f t="shared" ca="1" si="5"/>
        <v>0</v>
      </c>
      <c r="H32" s="67">
        <f t="shared" ca="1" si="6"/>
        <v>0</v>
      </c>
      <c r="I32" s="67">
        <f t="shared" ca="1" si="7"/>
        <v>0</v>
      </c>
      <c r="J32" s="67">
        <f t="shared" ca="1" si="8"/>
        <v>0</v>
      </c>
    </row>
    <row r="33" spans="1:10" x14ac:dyDescent="0.2">
      <c r="A33" s="18">
        <v>20</v>
      </c>
      <c r="B33" s="72" t="s">
        <v>112</v>
      </c>
      <c r="C33" s="73" t="s">
        <v>180</v>
      </c>
      <c r="D33" s="20">
        <f t="shared" ca="1" si="2"/>
        <v>0</v>
      </c>
      <c r="E33" s="20">
        <f t="shared" ca="1" si="3"/>
        <v>0</v>
      </c>
      <c r="F33" s="20">
        <f t="shared" ca="1" si="4"/>
        <v>0</v>
      </c>
      <c r="G33" s="67">
        <f t="shared" ca="1" si="5"/>
        <v>0</v>
      </c>
      <c r="H33" s="67">
        <f t="shared" ca="1" si="6"/>
        <v>0</v>
      </c>
      <c r="I33" s="67">
        <f t="shared" ca="1" si="7"/>
        <v>0</v>
      </c>
      <c r="J33" s="67">
        <f t="shared" ca="1" si="8"/>
        <v>0</v>
      </c>
    </row>
    <row r="34" spans="1:10" x14ac:dyDescent="0.2">
      <c r="A34" s="18">
        <v>21</v>
      </c>
      <c r="B34" s="72" t="s">
        <v>113</v>
      </c>
      <c r="C34" s="73" t="s">
        <v>179</v>
      </c>
      <c r="D34" s="20">
        <f t="shared" ca="1" si="2"/>
        <v>0</v>
      </c>
      <c r="E34" s="20">
        <f t="shared" ca="1" si="3"/>
        <v>0</v>
      </c>
      <c r="F34" s="20">
        <f t="shared" ca="1" si="4"/>
        <v>0</v>
      </c>
      <c r="G34" s="67">
        <f t="shared" ca="1" si="5"/>
        <v>0</v>
      </c>
      <c r="H34" s="67">
        <f t="shared" ca="1" si="6"/>
        <v>0</v>
      </c>
      <c r="I34" s="67">
        <f t="shared" ca="1" si="7"/>
        <v>0</v>
      </c>
      <c r="J34" s="67">
        <f t="shared" ca="1" si="8"/>
        <v>0</v>
      </c>
    </row>
    <row r="35" spans="1:10" x14ac:dyDescent="0.2">
      <c r="A35" s="18">
        <v>22</v>
      </c>
      <c r="B35" s="72" t="s">
        <v>114</v>
      </c>
      <c r="C35" s="73" t="s">
        <v>115</v>
      </c>
      <c r="D35" s="20">
        <f t="shared" ca="1" si="2"/>
        <v>0</v>
      </c>
      <c r="E35" s="20">
        <f t="shared" ca="1" si="3"/>
        <v>0</v>
      </c>
      <c r="F35" s="20">
        <f t="shared" ca="1" si="4"/>
        <v>0</v>
      </c>
      <c r="G35" s="67">
        <f t="shared" ca="1" si="5"/>
        <v>0</v>
      </c>
      <c r="H35" s="67">
        <f t="shared" ca="1" si="6"/>
        <v>0</v>
      </c>
      <c r="I35" s="67">
        <f t="shared" ca="1" si="7"/>
        <v>0</v>
      </c>
      <c r="J35" s="67">
        <f t="shared" ca="1" si="8"/>
        <v>0</v>
      </c>
    </row>
    <row r="36" spans="1:10" x14ac:dyDescent="0.2">
      <c r="A36" s="18">
        <v>23</v>
      </c>
      <c r="B36" s="72" t="s">
        <v>116</v>
      </c>
      <c r="C36" s="73" t="s">
        <v>117</v>
      </c>
      <c r="D36" s="20">
        <f t="shared" ca="1" si="2"/>
        <v>0</v>
      </c>
      <c r="E36" s="20">
        <f t="shared" ca="1" si="3"/>
        <v>0</v>
      </c>
      <c r="F36" s="20">
        <f t="shared" ca="1" si="4"/>
        <v>0</v>
      </c>
      <c r="G36" s="67">
        <f t="shared" ca="1" si="5"/>
        <v>0</v>
      </c>
      <c r="H36" s="67">
        <f t="shared" ca="1" si="6"/>
        <v>0</v>
      </c>
      <c r="I36" s="67">
        <f t="shared" ca="1" si="7"/>
        <v>0</v>
      </c>
      <c r="J36" s="67">
        <f t="shared" ca="1" si="8"/>
        <v>0</v>
      </c>
    </row>
    <row r="37" spans="1:10" ht="12" customHeight="1" x14ac:dyDescent="0.2">
      <c r="A37" s="18">
        <v>24</v>
      </c>
      <c r="B37" s="72" t="s">
        <v>118</v>
      </c>
      <c r="C37" s="73" t="s">
        <v>119</v>
      </c>
      <c r="D37" s="20">
        <f t="shared" ca="1" si="2"/>
        <v>0</v>
      </c>
      <c r="E37" s="20">
        <f t="shared" ca="1" si="3"/>
        <v>0</v>
      </c>
      <c r="F37" s="20">
        <f t="shared" ca="1" si="4"/>
        <v>0</v>
      </c>
      <c r="G37" s="67">
        <f t="shared" ca="1" si="5"/>
        <v>0</v>
      </c>
      <c r="H37" s="67">
        <f t="shared" ca="1" si="6"/>
        <v>0</v>
      </c>
      <c r="I37" s="67">
        <f t="shared" ca="1" si="7"/>
        <v>0</v>
      </c>
      <c r="J37" s="67">
        <f t="shared" ca="1" si="8"/>
        <v>0</v>
      </c>
    </row>
    <row r="38" spans="1:10" ht="12" customHeight="1" x14ac:dyDescent="0.2">
      <c r="A38" s="18">
        <v>25</v>
      </c>
      <c r="B38" s="72" t="s">
        <v>120</v>
      </c>
      <c r="C38" s="73" t="s">
        <v>121</v>
      </c>
      <c r="D38" s="20">
        <f t="shared" ca="1" si="2"/>
        <v>0</v>
      </c>
      <c r="E38" s="20">
        <f t="shared" ca="1" si="3"/>
        <v>0</v>
      </c>
      <c r="F38" s="20">
        <f t="shared" ca="1" si="4"/>
        <v>0</v>
      </c>
      <c r="G38" s="67">
        <f t="shared" ca="1" si="5"/>
        <v>0</v>
      </c>
      <c r="H38" s="67">
        <f t="shared" ca="1" si="6"/>
        <v>0</v>
      </c>
      <c r="I38" s="67">
        <f t="shared" ca="1" si="7"/>
        <v>0</v>
      </c>
      <c r="J38" s="67">
        <f t="shared" ca="1" si="8"/>
        <v>0</v>
      </c>
    </row>
    <row r="39" spans="1:10" ht="12" customHeight="1" x14ac:dyDescent="0.2">
      <c r="A39" s="18">
        <v>26</v>
      </c>
      <c r="B39" s="72" t="s">
        <v>122</v>
      </c>
      <c r="C39" s="73" t="s">
        <v>123</v>
      </c>
      <c r="D39" s="20">
        <f t="shared" ca="1" si="2"/>
        <v>0</v>
      </c>
      <c r="E39" s="20">
        <f t="shared" ca="1" si="3"/>
        <v>0</v>
      </c>
      <c r="F39" s="20">
        <f t="shared" ca="1" si="4"/>
        <v>0</v>
      </c>
      <c r="G39" s="67">
        <f t="shared" ca="1" si="5"/>
        <v>0</v>
      </c>
      <c r="H39" s="67">
        <f t="shared" ca="1" si="6"/>
        <v>0</v>
      </c>
      <c r="I39" s="67">
        <f t="shared" ca="1" si="7"/>
        <v>0</v>
      </c>
      <c r="J39" s="67">
        <f t="shared" ca="1" si="8"/>
        <v>0</v>
      </c>
    </row>
    <row r="40" spans="1:10" ht="12" customHeight="1" x14ac:dyDescent="0.2">
      <c r="A40" s="18">
        <v>27</v>
      </c>
      <c r="B40" s="72" t="s">
        <v>124</v>
      </c>
      <c r="C40" s="73" t="s">
        <v>125</v>
      </c>
      <c r="D40" s="20">
        <f t="shared" ca="1" si="2"/>
        <v>0</v>
      </c>
      <c r="E40" s="20">
        <f t="shared" ca="1" si="3"/>
        <v>0</v>
      </c>
      <c r="F40" s="20">
        <f t="shared" ca="1" si="4"/>
        <v>0</v>
      </c>
      <c r="G40" s="67">
        <f t="shared" ca="1" si="5"/>
        <v>0</v>
      </c>
      <c r="H40" s="67">
        <f t="shared" ca="1" si="6"/>
        <v>0</v>
      </c>
      <c r="I40" s="67">
        <f t="shared" ca="1" si="7"/>
        <v>0</v>
      </c>
      <c r="J40" s="67">
        <f t="shared" ca="1" si="8"/>
        <v>0</v>
      </c>
    </row>
    <row r="41" spans="1:10" ht="12" customHeight="1" x14ac:dyDescent="0.2">
      <c r="A41" s="18">
        <v>28</v>
      </c>
      <c r="B41" s="72" t="s">
        <v>126</v>
      </c>
      <c r="C41" s="73" t="s">
        <v>127</v>
      </c>
      <c r="D41" s="20">
        <f t="shared" ca="1" si="2"/>
        <v>0</v>
      </c>
      <c r="E41" s="20">
        <f t="shared" ca="1" si="3"/>
        <v>0</v>
      </c>
      <c r="F41" s="20">
        <f t="shared" ca="1" si="4"/>
        <v>0</v>
      </c>
      <c r="G41" s="67">
        <f t="shared" ca="1" si="5"/>
        <v>0</v>
      </c>
      <c r="H41" s="67">
        <f t="shared" ca="1" si="6"/>
        <v>0</v>
      </c>
      <c r="I41" s="67">
        <f t="shared" ca="1" si="7"/>
        <v>0</v>
      </c>
      <c r="J41" s="67">
        <f t="shared" ca="1" si="8"/>
        <v>0</v>
      </c>
    </row>
    <row r="42" spans="1:10" ht="12" customHeight="1" x14ac:dyDescent="0.2">
      <c r="A42" s="18">
        <v>29</v>
      </c>
      <c r="B42" s="72" t="s">
        <v>128</v>
      </c>
      <c r="C42" s="73" t="s">
        <v>129</v>
      </c>
      <c r="D42" s="20">
        <f t="shared" ca="1" si="2"/>
        <v>0</v>
      </c>
      <c r="E42" s="20">
        <f t="shared" ca="1" si="3"/>
        <v>0</v>
      </c>
      <c r="F42" s="20">
        <f t="shared" ca="1" si="4"/>
        <v>0</v>
      </c>
      <c r="G42" s="67">
        <f t="shared" ca="1" si="5"/>
        <v>0</v>
      </c>
      <c r="H42" s="67">
        <f t="shared" ca="1" si="6"/>
        <v>0</v>
      </c>
      <c r="I42" s="67">
        <f t="shared" ca="1" si="7"/>
        <v>0</v>
      </c>
      <c r="J42" s="67">
        <f t="shared" ca="1" si="8"/>
        <v>0</v>
      </c>
    </row>
    <row r="43" spans="1:10" ht="12" customHeight="1" x14ac:dyDescent="0.2">
      <c r="A43" s="18">
        <v>30</v>
      </c>
      <c r="B43" s="72" t="s">
        <v>130</v>
      </c>
      <c r="C43" s="73" t="s">
        <v>131</v>
      </c>
      <c r="D43" s="20">
        <f t="shared" ca="1" si="2"/>
        <v>0</v>
      </c>
      <c r="E43" s="20">
        <f t="shared" ca="1" si="3"/>
        <v>0</v>
      </c>
      <c r="F43" s="20">
        <f t="shared" ca="1" si="4"/>
        <v>0</v>
      </c>
      <c r="G43" s="67">
        <f t="shared" ca="1" si="5"/>
        <v>0</v>
      </c>
      <c r="H43" s="67">
        <f t="shared" ca="1" si="6"/>
        <v>0</v>
      </c>
      <c r="I43" s="67">
        <f t="shared" ca="1" si="7"/>
        <v>0</v>
      </c>
      <c r="J43" s="67">
        <f t="shared" ca="1" si="8"/>
        <v>0</v>
      </c>
    </row>
    <row r="44" spans="1:10" ht="12" customHeight="1" x14ac:dyDescent="0.2">
      <c r="A44" s="18">
        <v>31</v>
      </c>
      <c r="B44" s="72" t="s">
        <v>132</v>
      </c>
      <c r="C44" s="73" t="s">
        <v>133</v>
      </c>
      <c r="D44" s="20">
        <f t="shared" ca="1" si="2"/>
        <v>0</v>
      </c>
      <c r="E44" s="20">
        <f t="shared" ca="1" si="3"/>
        <v>0</v>
      </c>
      <c r="F44" s="20">
        <f t="shared" ca="1" si="4"/>
        <v>0</v>
      </c>
      <c r="G44" s="67">
        <f t="shared" ca="1" si="5"/>
        <v>0</v>
      </c>
      <c r="H44" s="67">
        <f t="shared" ca="1" si="6"/>
        <v>0</v>
      </c>
      <c r="I44" s="67">
        <f t="shared" ca="1" si="7"/>
        <v>0</v>
      </c>
      <c r="J44" s="67">
        <f t="shared" ca="1" si="8"/>
        <v>0</v>
      </c>
    </row>
    <row r="45" spans="1:10" ht="12" customHeight="1" x14ac:dyDescent="0.2">
      <c r="A45" s="18">
        <v>32</v>
      </c>
      <c r="B45" s="72"/>
      <c r="C45" s="73"/>
      <c r="D45" s="20" t="str">
        <f t="shared" ca="1" si="2"/>
        <v/>
      </c>
      <c r="E45" s="20" t="str">
        <f t="shared" ca="1" si="3"/>
        <v/>
      </c>
      <c r="F45" s="20" t="str">
        <f t="shared" si="4"/>
        <v/>
      </c>
      <c r="G45" s="67" t="str">
        <f t="shared" ca="1" si="5"/>
        <v/>
      </c>
      <c r="H45" s="67" t="str">
        <f t="shared" ca="1" si="6"/>
        <v/>
      </c>
      <c r="I45" s="67" t="str">
        <f t="shared" ca="1" si="7"/>
        <v/>
      </c>
      <c r="J45" s="67" t="str">
        <f t="shared" ca="1" si="8"/>
        <v/>
      </c>
    </row>
    <row r="46" spans="1:10" ht="12" customHeight="1" x14ac:dyDescent="0.2">
      <c r="A46" s="18">
        <v>33</v>
      </c>
      <c r="B46" s="72"/>
      <c r="C46" s="73"/>
      <c r="D46" s="20" t="str">
        <f t="shared" ca="1" si="2"/>
        <v/>
      </c>
      <c r="E46" s="20" t="str">
        <f t="shared" ca="1" si="3"/>
        <v/>
      </c>
      <c r="F46" s="20" t="str">
        <f t="shared" si="4"/>
        <v/>
      </c>
      <c r="G46" s="67" t="str">
        <f t="shared" ca="1" si="5"/>
        <v/>
      </c>
      <c r="H46" s="67" t="str">
        <f t="shared" ca="1" si="6"/>
        <v/>
      </c>
      <c r="I46" s="67" t="str">
        <f t="shared" ca="1" si="7"/>
        <v/>
      </c>
      <c r="J46" s="67" t="str">
        <f t="shared" ca="1" si="8"/>
        <v/>
      </c>
    </row>
    <row r="47" spans="1:10" ht="12" customHeight="1" x14ac:dyDescent="0.2">
      <c r="A47" s="18">
        <v>34</v>
      </c>
      <c r="B47" s="72"/>
      <c r="C47" s="73"/>
      <c r="D47" s="20" t="str">
        <f t="shared" ca="1" si="2"/>
        <v/>
      </c>
      <c r="E47" s="20" t="str">
        <f t="shared" ca="1" si="3"/>
        <v/>
      </c>
      <c r="F47" s="20" t="str">
        <f t="shared" si="4"/>
        <v/>
      </c>
      <c r="G47" s="67" t="str">
        <f t="shared" ca="1" si="5"/>
        <v/>
      </c>
      <c r="H47" s="67" t="str">
        <f t="shared" ca="1" si="6"/>
        <v/>
      </c>
      <c r="I47" s="67" t="str">
        <f t="shared" ca="1" si="7"/>
        <v/>
      </c>
      <c r="J47" s="67" t="str">
        <f t="shared" ca="1" si="8"/>
        <v/>
      </c>
    </row>
    <row r="48" spans="1:10" ht="12" customHeight="1" x14ac:dyDescent="0.2">
      <c r="A48" s="18">
        <v>35</v>
      </c>
      <c r="B48" s="72"/>
      <c r="C48" s="73"/>
      <c r="D48" s="20" t="str">
        <f t="shared" ca="1" si="2"/>
        <v/>
      </c>
      <c r="E48" s="20" t="str">
        <f t="shared" ca="1" si="3"/>
        <v/>
      </c>
      <c r="F48" s="20" t="str">
        <f t="shared" si="4"/>
        <v/>
      </c>
      <c r="G48" s="67" t="str">
        <f t="shared" ca="1" si="5"/>
        <v/>
      </c>
      <c r="H48" s="67" t="str">
        <f t="shared" ca="1" si="6"/>
        <v/>
      </c>
      <c r="I48" s="67" t="str">
        <f t="shared" ca="1" si="7"/>
        <v/>
      </c>
      <c r="J48" s="67" t="str">
        <f t="shared" ca="1" si="8"/>
        <v/>
      </c>
    </row>
    <row r="49" spans="1:10" ht="12" customHeight="1" x14ac:dyDescent="0.2">
      <c r="A49" s="18">
        <v>36</v>
      </c>
      <c r="B49" s="72"/>
      <c r="C49" s="73"/>
      <c r="D49" s="20" t="str">
        <f t="shared" ca="1" si="2"/>
        <v/>
      </c>
      <c r="E49" s="20" t="str">
        <f t="shared" ca="1" si="3"/>
        <v/>
      </c>
      <c r="F49" s="20" t="str">
        <f t="shared" si="4"/>
        <v/>
      </c>
      <c r="G49" s="67" t="str">
        <f t="shared" ca="1" si="5"/>
        <v/>
      </c>
      <c r="H49" s="67" t="str">
        <f t="shared" ca="1" si="6"/>
        <v/>
      </c>
      <c r="I49" s="67" t="str">
        <f t="shared" ca="1" si="7"/>
        <v/>
      </c>
      <c r="J49" s="67" t="str">
        <f t="shared" ca="1" si="8"/>
        <v/>
      </c>
    </row>
    <row r="50" spans="1:10" ht="12" customHeight="1" x14ac:dyDescent="0.2">
      <c r="A50" s="18">
        <v>37</v>
      </c>
      <c r="B50" s="72"/>
      <c r="C50" s="73"/>
      <c r="D50" s="20" t="str">
        <f t="shared" ca="1" si="2"/>
        <v/>
      </c>
      <c r="E50" s="20" t="str">
        <f t="shared" ca="1" si="3"/>
        <v/>
      </c>
      <c r="F50" s="20" t="str">
        <f t="shared" si="4"/>
        <v/>
      </c>
      <c r="G50" s="67" t="str">
        <f t="shared" ca="1" si="5"/>
        <v/>
      </c>
      <c r="H50" s="67" t="str">
        <f t="shared" ca="1" si="6"/>
        <v/>
      </c>
      <c r="I50" s="67" t="str">
        <f t="shared" ca="1" si="7"/>
        <v/>
      </c>
      <c r="J50" s="67" t="str">
        <f t="shared" ca="1" si="8"/>
        <v/>
      </c>
    </row>
    <row r="51" spans="1:10" ht="12" customHeight="1" x14ac:dyDescent="0.2">
      <c r="A51" s="18">
        <v>38</v>
      </c>
      <c r="B51" s="72"/>
      <c r="C51" s="73"/>
      <c r="D51" s="20" t="str">
        <f t="shared" ca="1" si="2"/>
        <v/>
      </c>
      <c r="E51" s="20" t="str">
        <f t="shared" ca="1" si="3"/>
        <v/>
      </c>
      <c r="F51" s="20" t="str">
        <f t="shared" si="4"/>
        <v/>
      </c>
      <c r="G51" s="67" t="str">
        <f t="shared" ca="1" si="5"/>
        <v/>
      </c>
      <c r="H51" s="67" t="str">
        <f t="shared" ca="1" si="6"/>
        <v/>
      </c>
      <c r="I51" s="67" t="str">
        <f t="shared" ca="1" si="7"/>
        <v/>
      </c>
      <c r="J51" s="67" t="str">
        <f t="shared" ca="1" si="8"/>
        <v/>
      </c>
    </row>
    <row r="52" spans="1:10" ht="12" customHeight="1" x14ac:dyDescent="0.2">
      <c r="A52" s="18">
        <v>39</v>
      </c>
      <c r="B52" s="72"/>
      <c r="C52" s="73"/>
      <c r="D52" s="20" t="str">
        <f t="shared" ca="1" si="2"/>
        <v/>
      </c>
      <c r="E52" s="20" t="str">
        <f t="shared" ca="1" si="3"/>
        <v/>
      </c>
      <c r="F52" s="20" t="str">
        <f t="shared" si="4"/>
        <v/>
      </c>
      <c r="G52" s="67" t="str">
        <f t="shared" ca="1" si="5"/>
        <v/>
      </c>
      <c r="H52" s="67" t="str">
        <f t="shared" ca="1" si="6"/>
        <v/>
      </c>
      <c r="I52" s="67" t="str">
        <f t="shared" ca="1" si="7"/>
        <v/>
      </c>
      <c r="J52" s="67" t="str">
        <f t="shared" ca="1" si="8"/>
        <v/>
      </c>
    </row>
    <row r="53" spans="1:10" ht="12" customHeight="1" x14ac:dyDescent="0.2">
      <c r="A53" s="18">
        <v>40</v>
      </c>
      <c r="B53" s="72"/>
      <c r="C53" s="73"/>
      <c r="D53" s="20" t="str">
        <f t="shared" ca="1" si="2"/>
        <v/>
      </c>
      <c r="E53" s="20" t="str">
        <f t="shared" ca="1" si="3"/>
        <v/>
      </c>
      <c r="F53" s="20" t="str">
        <f t="shared" si="4"/>
        <v/>
      </c>
      <c r="G53" s="67" t="str">
        <f t="shared" ca="1" si="5"/>
        <v/>
      </c>
      <c r="H53" s="67" t="str">
        <f t="shared" ca="1" si="6"/>
        <v/>
      </c>
      <c r="I53" s="67" t="str">
        <f t="shared" ca="1" si="7"/>
        <v/>
      </c>
      <c r="J53" s="67" t="str">
        <f t="shared" ca="1" si="8"/>
        <v/>
      </c>
    </row>
    <row r="54" spans="1:10" ht="12" customHeight="1" x14ac:dyDescent="0.2">
      <c r="A54" s="18">
        <v>41</v>
      </c>
      <c r="B54" s="72"/>
      <c r="C54" s="73"/>
      <c r="D54" s="20" t="str">
        <f t="shared" ca="1" si="2"/>
        <v/>
      </c>
      <c r="E54" s="20" t="str">
        <f t="shared" ca="1" si="3"/>
        <v/>
      </c>
      <c r="F54" s="20" t="str">
        <f t="shared" si="4"/>
        <v/>
      </c>
      <c r="G54" s="67" t="str">
        <f t="shared" ca="1" si="5"/>
        <v/>
      </c>
      <c r="H54" s="67" t="str">
        <f t="shared" ca="1" si="6"/>
        <v/>
      </c>
      <c r="I54" s="67" t="str">
        <f t="shared" ca="1" si="7"/>
        <v/>
      </c>
      <c r="J54" s="67" t="str">
        <f t="shared" ca="1" si="8"/>
        <v/>
      </c>
    </row>
    <row r="55" spans="1:10" ht="12" customHeight="1" x14ac:dyDescent="0.2">
      <c r="A55" s="18">
        <v>42</v>
      </c>
      <c r="B55" s="72"/>
      <c r="C55" s="73"/>
      <c r="D55" s="20" t="str">
        <f t="shared" ca="1" si="2"/>
        <v/>
      </c>
      <c r="E55" s="20" t="str">
        <f t="shared" ca="1" si="3"/>
        <v/>
      </c>
      <c r="F55" s="20" t="str">
        <f t="shared" si="4"/>
        <v/>
      </c>
      <c r="G55" s="67" t="str">
        <f t="shared" ca="1" si="5"/>
        <v/>
      </c>
      <c r="H55" s="67" t="str">
        <f t="shared" ca="1" si="6"/>
        <v/>
      </c>
      <c r="I55" s="67" t="str">
        <f t="shared" ca="1" si="7"/>
        <v/>
      </c>
      <c r="J55" s="67" t="str">
        <f t="shared" ca="1" si="8"/>
        <v/>
      </c>
    </row>
    <row r="56" spans="1:10" ht="12" customHeight="1" x14ac:dyDescent="0.2">
      <c r="A56" s="18">
        <v>43</v>
      </c>
      <c r="B56" s="72"/>
      <c r="C56" s="73"/>
      <c r="D56" s="20" t="str">
        <f t="shared" ca="1" si="2"/>
        <v/>
      </c>
      <c r="E56" s="20" t="str">
        <f t="shared" ca="1" si="3"/>
        <v/>
      </c>
      <c r="F56" s="20" t="str">
        <f t="shared" si="4"/>
        <v/>
      </c>
      <c r="G56" s="67" t="str">
        <f t="shared" ca="1" si="5"/>
        <v/>
      </c>
      <c r="H56" s="67" t="str">
        <f t="shared" ca="1" si="6"/>
        <v/>
      </c>
      <c r="I56" s="67" t="str">
        <f t="shared" ca="1" si="7"/>
        <v/>
      </c>
      <c r="J56" s="67" t="str">
        <f t="shared" ca="1" si="8"/>
        <v/>
      </c>
    </row>
    <row r="57" spans="1:10" ht="12" customHeight="1" x14ac:dyDescent="0.2">
      <c r="A57" s="18">
        <v>44</v>
      </c>
      <c r="B57" s="72"/>
      <c r="C57" s="73"/>
      <c r="D57" s="20" t="str">
        <f t="shared" ca="1" si="2"/>
        <v/>
      </c>
      <c r="E57" s="20" t="str">
        <f t="shared" ca="1" si="3"/>
        <v/>
      </c>
      <c r="F57" s="20" t="str">
        <f t="shared" si="4"/>
        <v/>
      </c>
      <c r="G57" s="67" t="str">
        <f t="shared" ca="1" si="5"/>
        <v/>
      </c>
      <c r="H57" s="67" t="str">
        <f t="shared" ca="1" si="6"/>
        <v/>
      </c>
      <c r="I57" s="67" t="str">
        <f t="shared" ca="1" si="7"/>
        <v/>
      </c>
      <c r="J57" s="67" t="str">
        <f t="shared" ca="1" si="8"/>
        <v/>
      </c>
    </row>
    <row r="58" spans="1:10" ht="12" customHeight="1" x14ac:dyDescent="0.2">
      <c r="A58" s="18">
        <v>45</v>
      </c>
      <c r="B58" s="72"/>
      <c r="C58" s="73"/>
      <c r="D58" s="20" t="str">
        <f t="shared" ca="1" si="2"/>
        <v/>
      </c>
      <c r="E58" s="20" t="str">
        <f t="shared" ca="1" si="3"/>
        <v/>
      </c>
      <c r="F58" s="20" t="str">
        <f t="shared" si="4"/>
        <v/>
      </c>
      <c r="G58" s="67" t="str">
        <f t="shared" ca="1" si="5"/>
        <v/>
      </c>
      <c r="H58" s="67" t="str">
        <f t="shared" ca="1" si="6"/>
        <v/>
      </c>
      <c r="I58" s="67" t="str">
        <f t="shared" ca="1" si="7"/>
        <v/>
      </c>
      <c r="J58" s="67" t="str">
        <f t="shared" ca="1" si="8"/>
        <v/>
      </c>
    </row>
    <row r="59" spans="1:10" ht="12" customHeight="1" x14ac:dyDescent="0.2">
      <c r="A59" s="18">
        <v>46</v>
      </c>
      <c r="B59" s="72"/>
      <c r="C59" s="73"/>
      <c r="D59" s="20" t="str">
        <f t="shared" ca="1" si="2"/>
        <v/>
      </c>
      <c r="E59" s="20" t="str">
        <f t="shared" ca="1" si="3"/>
        <v/>
      </c>
      <c r="F59" s="20" t="str">
        <f t="shared" si="4"/>
        <v/>
      </c>
      <c r="G59" s="67" t="str">
        <f t="shared" ca="1" si="5"/>
        <v/>
      </c>
      <c r="H59" s="67" t="str">
        <f t="shared" ca="1" si="6"/>
        <v/>
      </c>
      <c r="I59" s="67" t="str">
        <f t="shared" ca="1" si="7"/>
        <v/>
      </c>
      <c r="J59" s="67" t="str">
        <f t="shared" ca="1" si="8"/>
        <v/>
      </c>
    </row>
    <row r="60" spans="1:10" ht="12" customHeight="1" x14ac:dyDescent="0.2">
      <c r="A60" s="18">
        <v>47</v>
      </c>
      <c r="B60" s="72"/>
      <c r="C60" s="73"/>
      <c r="D60" s="20" t="str">
        <f t="shared" ca="1" si="2"/>
        <v/>
      </c>
      <c r="E60" s="20" t="str">
        <f t="shared" ca="1" si="3"/>
        <v/>
      </c>
      <c r="F60" s="20" t="str">
        <f t="shared" si="4"/>
        <v/>
      </c>
      <c r="G60" s="67" t="str">
        <f t="shared" ca="1" si="5"/>
        <v/>
      </c>
      <c r="H60" s="67" t="str">
        <f t="shared" ca="1" si="6"/>
        <v/>
      </c>
      <c r="I60" s="67" t="str">
        <f t="shared" ca="1" si="7"/>
        <v/>
      </c>
      <c r="J60" s="67" t="str">
        <f t="shared" ca="1" si="8"/>
        <v/>
      </c>
    </row>
    <row r="61" spans="1:10" ht="12" customHeight="1" x14ac:dyDescent="0.2">
      <c r="A61" s="18">
        <v>48</v>
      </c>
      <c r="B61" s="72"/>
      <c r="C61" s="73"/>
      <c r="D61" s="20" t="str">
        <f t="shared" ca="1" si="2"/>
        <v/>
      </c>
      <c r="E61" s="20" t="str">
        <f t="shared" ca="1" si="3"/>
        <v/>
      </c>
      <c r="F61" s="20" t="str">
        <f t="shared" si="4"/>
        <v/>
      </c>
      <c r="G61" s="67" t="str">
        <f t="shared" ca="1" si="5"/>
        <v/>
      </c>
      <c r="H61" s="67" t="str">
        <f t="shared" ca="1" si="6"/>
        <v/>
      </c>
      <c r="I61" s="67" t="str">
        <f t="shared" ca="1" si="7"/>
        <v/>
      </c>
      <c r="J61" s="67" t="str">
        <f t="shared" ca="1" si="8"/>
        <v/>
      </c>
    </row>
    <row r="62" spans="1:10" ht="12" customHeight="1" x14ac:dyDescent="0.2">
      <c r="A62" s="18">
        <v>49</v>
      </c>
      <c r="B62" s="72"/>
      <c r="C62" s="73"/>
      <c r="D62" s="20" t="str">
        <f t="shared" ca="1" si="2"/>
        <v/>
      </c>
      <c r="E62" s="20" t="str">
        <f t="shared" ca="1" si="3"/>
        <v/>
      </c>
      <c r="F62" s="20" t="str">
        <f t="shared" si="4"/>
        <v/>
      </c>
      <c r="G62" s="67" t="str">
        <f t="shared" ca="1" si="5"/>
        <v/>
      </c>
      <c r="H62" s="67" t="str">
        <f t="shared" ca="1" si="6"/>
        <v/>
      </c>
      <c r="I62" s="67" t="str">
        <f t="shared" ca="1" si="7"/>
        <v/>
      </c>
      <c r="J62" s="67" t="str">
        <f t="shared" ca="1" si="8"/>
        <v/>
      </c>
    </row>
    <row r="63" spans="1:10" ht="12" customHeight="1" x14ac:dyDescent="0.2">
      <c r="A63" s="18">
        <v>50</v>
      </c>
      <c r="B63" s="72"/>
      <c r="C63" s="73"/>
      <c r="D63" s="20" t="str">
        <f t="shared" ca="1" si="2"/>
        <v/>
      </c>
      <c r="E63" s="20" t="str">
        <f t="shared" ca="1" si="3"/>
        <v/>
      </c>
      <c r="F63" s="20" t="str">
        <f t="shared" si="4"/>
        <v/>
      </c>
      <c r="G63" s="67" t="str">
        <f t="shared" ca="1" si="5"/>
        <v/>
      </c>
      <c r="H63" s="67" t="str">
        <f t="shared" ca="1" si="6"/>
        <v/>
      </c>
      <c r="I63" s="67" t="str">
        <f t="shared" ca="1" si="7"/>
        <v/>
      </c>
      <c r="J63" s="67" t="str">
        <f t="shared" ca="1" si="8"/>
        <v/>
      </c>
    </row>
    <row r="64" spans="1:10" ht="12" customHeight="1" x14ac:dyDescent="0.2">
      <c r="A64" s="18">
        <v>51</v>
      </c>
      <c r="B64" s="72"/>
      <c r="C64" s="73"/>
      <c r="D64" s="20" t="str">
        <f t="shared" ca="1" si="2"/>
        <v/>
      </c>
      <c r="E64" s="20" t="str">
        <f t="shared" ca="1" si="3"/>
        <v/>
      </c>
      <c r="F64" s="20" t="str">
        <f t="shared" si="4"/>
        <v/>
      </c>
      <c r="G64" s="67" t="str">
        <f t="shared" ca="1" si="5"/>
        <v/>
      </c>
      <c r="H64" s="67" t="str">
        <f t="shared" ca="1" si="6"/>
        <v/>
      </c>
      <c r="I64" s="67" t="str">
        <f t="shared" ca="1" si="7"/>
        <v/>
      </c>
      <c r="J64" s="67" t="str">
        <f t="shared" ca="1" si="8"/>
        <v/>
      </c>
    </row>
    <row r="65" spans="1:10" ht="12" customHeight="1" x14ac:dyDescent="0.2">
      <c r="A65" s="18">
        <v>52</v>
      </c>
      <c r="B65" s="72"/>
      <c r="C65" s="73"/>
      <c r="D65" s="20" t="str">
        <f t="shared" ca="1" si="2"/>
        <v/>
      </c>
      <c r="E65" s="20" t="str">
        <f t="shared" ca="1" si="3"/>
        <v/>
      </c>
      <c r="F65" s="20" t="str">
        <f t="shared" si="4"/>
        <v/>
      </c>
      <c r="G65" s="67" t="str">
        <f t="shared" ca="1" si="5"/>
        <v/>
      </c>
      <c r="H65" s="67" t="str">
        <f t="shared" ca="1" si="6"/>
        <v/>
      </c>
      <c r="I65" s="67" t="str">
        <f t="shared" ca="1" si="7"/>
        <v/>
      </c>
      <c r="J65" s="67" t="str">
        <f t="shared" ca="1" si="8"/>
        <v/>
      </c>
    </row>
    <row r="66" spans="1:10" ht="12" customHeight="1" x14ac:dyDescent="0.2">
      <c r="A66" s="18">
        <v>53</v>
      </c>
      <c r="B66" s="72"/>
      <c r="C66" s="73"/>
      <c r="D66" s="20" t="str">
        <f t="shared" ca="1" si="2"/>
        <v/>
      </c>
      <c r="E66" s="20" t="str">
        <f t="shared" ca="1" si="3"/>
        <v/>
      </c>
      <c r="F66" s="20" t="str">
        <f t="shared" si="4"/>
        <v/>
      </c>
      <c r="G66" s="67" t="str">
        <f t="shared" ca="1" si="5"/>
        <v/>
      </c>
      <c r="H66" s="67" t="str">
        <f t="shared" ca="1" si="6"/>
        <v/>
      </c>
      <c r="I66" s="67" t="str">
        <f t="shared" ca="1" si="7"/>
        <v/>
      </c>
      <c r="J66" s="67" t="str">
        <f t="shared" ca="1" si="8"/>
        <v/>
      </c>
    </row>
    <row r="67" spans="1:10" ht="12" customHeight="1" x14ac:dyDescent="0.2">
      <c r="A67" s="18">
        <v>54</v>
      </c>
      <c r="B67" s="72"/>
      <c r="C67" s="73"/>
      <c r="D67" s="20" t="str">
        <f t="shared" ca="1" si="2"/>
        <v/>
      </c>
      <c r="E67" s="20" t="str">
        <f t="shared" ca="1" si="3"/>
        <v/>
      </c>
      <c r="F67" s="20" t="str">
        <f t="shared" si="4"/>
        <v/>
      </c>
      <c r="G67" s="67" t="str">
        <f t="shared" ca="1" si="5"/>
        <v/>
      </c>
      <c r="H67" s="67" t="str">
        <f t="shared" ca="1" si="6"/>
        <v/>
      </c>
      <c r="I67" s="67" t="str">
        <f t="shared" ca="1" si="7"/>
        <v/>
      </c>
      <c r="J67" s="67" t="str">
        <f t="shared" ca="1" si="8"/>
        <v/>
      </c>
    </row>
    <row r="68" spans="1:10" ht="12" customHeight="1" x14ac:dyDescent="0.2">
      <c r="A68" s="18">
        <v>55</v>
      </c>
      <c r="B68" s="72"/>
      <c r="C68" s="73"/>
      <c r="D68" s="20" t="str">
        <f t="shared" ca="1" si="2"/>
        <v/>
      </c>
      <c r="E68" s="20" t="str">
        <f t="shared" ca="1" si="3"/>
        <v/>
      </c>
      <c r="F68" s="20" t="str">
        <f t="shared" si="4"/>
        <v/>
      </c>
      <c r="G68" s="67" t="str">
        <f t="shared" ca="1" si="5"/>
        <v/>
      </c>
      <c r="H68" s="67" t="str">
        <f t="shared" ca="1" si="6"/>
        <v/>
      </c>
      <c r="I68" s="67" t="str">
        <f t="shared" ca="1" si="7"/>
        <v/>
      </c>
      <c r="J68" s="67" t="str">
        <f t="shared" ca="1" si="8"/>
        <v/>
      </c>
    </row>
    <row r="69" spans="1:10" ht="12" customHeight="1" x14ac:dyDescent="0.2">
      <c r="A69" s="18">
        <v>56</v>
      </c>
      <c r="B69" s="72"/>
      <c r="C69" s="73"/>
      <c r="D69" s="20" t="str">
        <f t="shared" ca="1" si="2"/>
        <v/>
      </c>
      <c r="E69" s="20" t="str">
        <f t="shared" ca="1" si="3"/>
        <v/>
      </c>
      <c r="F69" s="20" t="str">
        <f t="shared" si="4"/>
        <v/>
      </c>
      <c r="G69" s="67" t="str">
        <f t="shared" ca="1" si="5"/>
        <v/>
      </c>
      <c r="H69" s="67" t="str">
        <f t="shared" ca="1" si="6"/>
        <v/>
      </c>
      <c r="I69" s="67" t="str">
        <f t="shared" ca="1" si="7"/>
        <v/>
      </c>
      <c r="J69" s="67" t="str">
        <f t="shared" ca="1" si="8"/>
        <v/>
      </c>
    </row>
    <row r="70" spans="1:10" ht="12" customHeight="1" x14ac:dyDescent="0.2">
      <c r="A70" s="18">
        <v>57</v>
      </c>
      <c r="B70" s="72"/>
      <c r="C70" s="73"/>
      <c r="D70" s="20" t="str">
        <f t="shared" ca="1" si="2"/>
        <v/>
      </c>
      <c r="E70" s="20" t="str">
        <f t="shared" ca="1" si="3"/>
        <v/>
      </c>
      <c r="F70" s="20" t="str">
        <f t="shared" si="4"/>
        <v/>
      </c>
      <c r="G70" s="67" t="str">
        <f t="shared" ca="1" si="5"/>
        <v/>
      </c>
      <c r="H70" s="67" t="str">
        <f t="shared" ca="1" si="6"/>
        <v/>
      </c>
      <c r="I70" s="67" t="str">
        <f t="shared" ca="1" si="7"/>
        <v/>
      </c>
      <c r="J70" s="67" t="str">
        <f t="shared" ca="1" si="8"/>
        <v/>
      </c>
    </row>
    <row r="71" spans="1:10" ht="12" customHeight="1" x14ac:dyDescent="0.2">
      <c r="A71" s="18">
        <v>58</v>
      </c>
      <c r="B71" s="72"/>
      <c r="C71" s="73"/>
      <c r="D71" s="20" t="str">
        <f t="shared" ca="1" si="2"/>
        <v/>
      </c>
      <c r="E71" s="20" t="str">
        <f t="shared" ca="1" si="3"/>
        <v/>
      </c>
      <c r="F71" s="20" t="str">
        <f t="shared" si="4"/>
        <v/>
      </c>
      <c r="G71" s="67" t="str">
        <f t="shared" ca="1" si="5"/>
        <v/>
      </c>
      <c r="H71" s="67" t="str">
        <f t="shared" ca="1" si="6"/>
        <v/>
      </c>
      <c r="I71" s="67" t="str">
        <f t="shared" ca="1" si="7"/>
        <v/>
      </c>
      <c r="J71" s="67" t="str">
        <f t="shared" ca="1" si="8"/>
        <v/>
      </c>
    </row>
    <row r="72" spans="1:10" ht="12" customHeight="1" x14ac:dyDescent="0.2">
      <c r="A72" s="18">
        <v>59</v>
      </c>
      <c r="B72" s="72"/>
      <c r="C72" s="73"/>
      <c r="D72" s="20" t="str">
        <f t="shared" ca="1" si="2"/>
        <v/>
      </c>
      <c r="E72" s="20" t="str">
        <f t="shared" ca="1" si="3"/>
        <v/>
      </c>
      <c r="F72" s="20" t="str">
        <f t="shared" si="4"/>
        <v/>
      </c>
      <c r="G72" s="67" t="str">
        <f t="shared" ca="1" si="5"/>
        <v/>
      </c>
      <c r="H72" s="67" t="str">
        <f t="shared" ca="1" si="6"/>
        <v/>
      </c>
      <c r="I72" s="67" t="str">
        <f t="shared" ca="1" si="7"/>
        <v/>
      </c>
      <c r="J72" s="67" t="str">
        <f t="shared" ca="1" si="8"/>
        <v/>
      </c>
    </row>
    <row r="73" spans="1:10" ht="12" customHeight="1" x14ac:dyDescent="0.2">
      <c r="A73" s="18">
        <v>60</v>
      </c>
      <c r="B73" s="72"/>
      <c r="C73" s="73"/>
      <c r="D73" s="20" t="str">
        <f t="shared" ca="1" si="2"/>
        <v/>
      </c>
      <c r="E73" s="20" t="str">
        <f t="shared" ca="1" si="3"/>
        <v/>
      </c>
      <c r="F73" s="20" t="str">
        <f t="shared" si="4"/>
        <v/>
      </c>
      <c r="G73" s="67" t="str">
        <f t="shared" ca="1" si="5"/>
        <v/>
      </c>
      <c r="H73" s="67" t="str">
        <f t="shared" ca="1" si="6"/>
        <v/>
      </c>
      <c r="I73" s="67" t="str">
        <f t="shared" ca="1" si="7"/>
        <v/>
      </c>
      <c r="J73" s="67" t="str">
        <f t="shared" ca="1" si="8"/>
        <v/>
      </c>
    </row>
    <row r="74" spans="1:10" ht="12" customHeight="1" x14ac:dyDescent="0.2">
      <c r="A74" s="18">
        <v>61</v>
      </c>
      <c r="B74" s="72"/>
      <c r="C74" s="73"/>
      <c r="D74" s="20" t="str">
        <f t="shared" ca="1" si="2"/>
        <v/>
      </c>
      <c r="E74" s="20" t="str">
        <f t="shared" ca="1" si="3"/>
        <v/>
      </c>
      <c r="F74" s="20" t="str">
        <f t="shared" si="4"/>
        <v/>
      </c>
      <c r="G74" s="67" t="str">
        <f t="shared" ca="1" si="5"/>
        <v/>
      </c>
      <c r="H74" s="67" t="str">
        <f t="shared" ca="1" si="6"/>
        <v/>
      </c>
      <c r="I74" s="67" t="str">
        <f t="shared" ca="1" si="7"/>
        <v/>
      </c>
      <c r="J74" s="67" t="str">
        <f t="shared" ca="1" si="8"/>
        <v/>
      </c>
    </row>
    <row r="75" spans="1:10" ht="12" customHeight="1" x14ac:dyDescent="0.2">
      <c r="A75" s="18">
        <v>62</v>
      </c>
      <c r="B75" s="72"/>
      <c r="C75" s="73"/>
      <c r="D75" s="20" t="str">
        <f t="shared" ca="1" si="2"/>
        <v/>
      </c>
      <c r="E75" s="20" t="str">
        <f t="shared" ca="1" si="3"/>
        <v/>
      </c>
      <c r="F75" s="20" t="str">
        <f t="shared" si="4"/>
        <v/>
      </c>
      <c r="G75" s="67" t="str">
        <f t="shared" ca="1" si="5"/>
        <v/>
      </c>
      <c r="H75" s="67" t="str">
        <f t="shared" ca="1" si="6"/>
        <v/>
      </c>
      <c r="I75" s="67" t="str">
        <f t="shared" ca="1" si="7"/>
        <v/>
      </c>
      <c r="J75" s="67" t="str">
        <f t="shared" ca="1" si="8"/>
        <v/>
      </c>
    </row>
    <row r="76" spans="1:10" ht="12" customHeight="1" x14ac:dyDescent="0.2">
      <c r="A76" s="18">
        <v>63</v>
      </c>
      <c r="B76" s="72"/>
      <c r="C76" s="73"/>
      <c r="D76" s="20" t="str">
        <f t="shared" ca="1" si="2"/>
        <v/>
      </c>
      <c r="E76" s="20" t="str">
        <f t="shared" ca="1" si="3"/>
        <v/>
      </c>
      <c r="F76" s="20" t="str">
        <f t="shared" si="4"/>
        <v/>
      </c>
      <c r="G76" s="67" t="str">
        <f t="shared" ca="1" si="5"/>
        <v/>
      </c>
      <c r="H76" s="67" t="str">
        <f t="shared" ca="1" si="6"/>
        <v/>
      </c>
      <c r="I76" s="67" t="str">
        <f t="shared" ca="1" si="7"/>
        <v/>
      </c>
      <c r="J76" s="67" t="str">
        <f t="shared" ca="1" si="8"/>
        <v/>
      </c>
    </row>
    <row r="77" spans="1:10" ht="12" customHeight="1" x14ac:dyDescent="0.2">
      <c r="A77" s="18">
        <v>64</v>
      </c>
      <c r="B77" s="72"/>
      <c r="C77" s="73"/>
      <c r="D77" s="20" t="str">
        <f t="shared" ca="1" si="2"/>
        <v/>
      </c>
      <c r="E77" s="20" t="str">
        <f t="shared" ca="1" si="3"/>
        <v/>
      </c>
      <c r="F77" s="20" t="str">
        <f t="shared" si="4"/>
        <v/>
      </c>
      <c r="G77" s="67" t="str">
        <f t="shared" ca="1" si="5"/>
        <v/>
      </c>
      <c r="H77" s="67" t="str">
        <f t="shared" ca="1" si="6"/>
        <v/>
      </c>
      <c r="I77" s="67" t="str">
        <f t="shared" ca="1" si="7"/>
        <v/>
      </c>
      <c r="J77" s="67" t="str">
        <f t="shared" ca="1" si="8"/>
        <v/>
      </c>
    </row>
    <row r="78" spans="1:10" ht="12" customHeight="1" x14ac:dyDescent="0.2">
      <c r="A78" s="18">
        <v>65</v>
      </c>
      <c r="B78" s="72"/>
      <c r="C78" s="73"/>
      <c r="D78" s="20" t="str">
        <f t="shared" ca="1" si="2"/>
        <v/>
      </c>
      <c r="E78" s="20" t="str">
        <f t="shared" ca="1" si="3"/>
        <v/>
      </c>
      <c r="F78" s="20" t="str">
        <f t="shared" si="4"/>
        <v/>
      </c>
      <c r="G78" s="67" t="str">
        <f t="shared" ca="1" si="5"/>
        <v/>
      </c>
      <c r="H78" s="67" t="str">
        <f t="shared" ca="1" si="6"/>
        <v/>
      </c>
      <c r="I78" s="67" t="str">
        <f t="shared" ca="1" si="7"/>
        <v/>
      </c>
      <c r="J78" s="67" t="str">
        <f t="shared" ca="1" si="8"/>
        <v/>
      </c>
    </row>
    <row r="79" spans="1:10" ht="12" customHeight="1" x14ac:dyDescent="0.2">
      <c r="A79" s="18">
        <v>66</v>
      </c>
      <c r="B79" s="72"/>
      <c r="C79" s="73"/>
      <c r="D79" s="20" t="str">
        <f t="shared" ref="D79:D113" ca="1" si="9">IF(B79="","",INDIRECT("'" &amp; A79 &amp; "_" &amp; B79 &amp; "'!G4"))</f>
        <v/>
      </c>
      <c r="E79" s="20" t="str">
        <f t="shared" ref="E79:E113" ca="1" si="10">IF(B79="","",INDIRECT("'" &amp; A79 &amp; "_" &amp; B79 &amp; "'!H4"))</f>
        <v/>
      </c>
      <c r="F79" s="20" t="str">
        <f t="shared" ref="F79:F113" si="11">IF(B79="","",SUM(D79,E79))</f>
        <v/>
      </c>
      <c r="G79" s="67" t="str">
        <f t="shared" ref="G79:G113" ca="1" si="12">IF(B79="","",INDIRECT("'" &amp; A79 &amp; "_" &amp; B79 &amp; "'!I4"))</f>
        <v/>
      </c>
      <c r="H79" s="67" t="str">
        <f t="shared" ref="H79:H113" ca="1" si="13">IF(B79="","",INDIRECT("'" &amp; A79 &amp; "_" &amp; B79 &amp; "'!J4"))</f>
        <v/>
      </c>
      <c r="I79" s="67" t="str">
        <f t="shared" ref="I79:I113" ca="1" si="14">IF(B79="","",INDIRECT("'" &amp; A79 &amp; "_" &amp; B79 &amp; "'!K4"))</f>
        <v/>
      </c>
      <c r="J79" s="67" t="str">
        <f t="shared" ref="J79:J113" ca="1" si="15">IF(B79="","",INDIRECT("'" &amp; A79 &amp; "_" &amp; B79 &amp; "'!L4"))</f>
        <v/>
      </c>
    </row>
    <row r="80" spans="1:10" ht="12" customHeight="1" x14ac:dyDescent="0.2">
      <c r="A80" s="18">
        <v>67</v>
      </c>
      <c r="B80" s="72"/>
      <c r="C80" s="73"/>
      <c r="D80" s="20" t="str">
        <f t="shared" ca="1" si="9"/>
        <v/>
      </c>
      <c r="E80" s="20" t="str">
        <f t="shared" ca="1" si="10"/>
        <v/>
      </c>
      <c r="F80" s="20" t="str">
        <f t="shared" si="11"/>
        <v/>
      </c>
      <c r="G80" s="67" t="str">
        <f t="shared" ca="1" si="12"/>
        <v/>
      </c>
      <c r="H80" s="67" t="str">
        <f t="shared" ca="1" si="13"/>
        <v/>
      </c>
      <c r="I80" s="67" t="str">
        <f t="shared" ca="1" si="14"/>
        <v/>
      </c>
      <c r="J80" s="67" t="str">
        <f t="shared" ca="1" si="15"/>
        <v/>
      </c>
    </row>
    <row r="81" spans="1:10" ht="12" customHeight="1" x14ac:dyDescent="0.2">
      <c r="A81" s="18">
        <v>68</v>
      </c>
      <c r="B81" s="72"/>
      <c r="C81" s="73"/>
      <c r="D81" s="20" t="str">
        <f t="shared" ca="1" si="9"/>
        <v/>
      </c>
      <c r="E81" s="20" t="str">
        <f t="shared" ca="1" si="10"/>
        <v/>
      </c>
      <c r="F81" s="20" t="str">
        <f t="shared" si="11"/>
        <v/>
      </c>
      <c r="G81" s="67" t="str">
        <f t="shared" ca="1" si="12"/>
        <v/>
      </c>
      <c r="H81" s="67" t="str">
        <f t="shared" ca="1" si="13"/>
        <v/>
      </c>
      <c r="I81" s="67" t="str">
        <f t="shared" ca="1" si="14"/>
        <v/>
      </c>
      <c r="J81" s="67" t="str">
        <f t="shared" ca="1" si="15"/>
        <v/>
      </c>
    </row>
    <row r="82" spans="1:10" ht="12" customHeight="1" x14ac:dyDescent="0.2">
      <c r="A82" s="18">
        <v>69</v>
      </c>
      <c r="B82" s="72"/>
      <c r="C82" s="73"/>
      <c r="D82" s="20" t="str">
        <f t="shared" ca="1" si="9"/>
        <v/>
      </c>
      <c r="E82" s="20" t="str">
        <f t="shared" ca="1" si="10"/>
        <v/>
      </c>
      <c r="F82" s="20" t="str">
        <f t="shared" si="11"/>
        <v/>
      </c>
      <c r="G82" s="67" t="str">
        <f t="shared" ca="1" si="12"/>
        <v/>
      </c>
      <c r="H82" s="67" t="str">
        <f t="shared" ca="1" si="13"/>
        <v/>
      </c>
      <c r="I82" s="67" t="str">
        <f t="shared" ca="1" si="14"/>
        <v/>
      </c>
      <c r="J82" s="67" t="str">
        <f t="shared" ca="1" si="15"/>
        <v/>
      </c>
    </row>
    <row r="83" spans="1:10" ht="12" customHeight="1" x14ac:dyDescent="0.2">
      <c r="A83" s="18">
        <v>70</v>
      </c>
      <c r="B83" s="72"/>
      <c r="C83" s="73"/>
      <c r="D83" s="20" t="str">
        <f t="shared" ca="1" si="9"/>
        <v/>
      </c>
      <c r="E83" s="20" t="str">
        <f t="shared" ca="1" si="10"/>
        <v/>
      </c>
      <c r="F83" s="20" t="str">
        <f t="shared" si="11"/>
        <v/>
      </c>
      <c r="G83" s="67" t="str">
        <f t="shared" ca="1" si="12"/>
        <v/>
      </c>
      <c r="H83" s="67" t="str">
        <f t="shared" ca="1" si="13"/>
        <v/>
      </c>
      <c r="I83" s="67" t="str">
        <f t="shared" ca="1" si="14"/>
        <v/>
      </c>
      <c r="J83" s="67" t="str">
        <f t="shared" ca="1" si="15"/>
        <v/>
      </c>
    </row>
    <row r="84" spans="1:10" ht="12" customHeight="1" x14ac:dyDescent="0.2">
      <c r="A84" s="18">
        <v>71</v>
      </c>
      <c r="B84" s="72"/>
      <c r="C84" s="73"/>
      <c r="D84" s="20" t="str">
        <f t="shared" ca="1" si="9"/>
        <v/>
      </c>
      <c r="E84" s="20" t="str">
        <f t="shared" ca="1" si="10"/>
        <v/>
      </c>
      <c r="F84" s="20" t="str">
        <f t="shared" si="11"/>
        <v/>
      </c>
      <c r="G84" s="67" t="str">
        <f t="shared" ca="1" si="12"/>
        <v/>
      </c>
      <c r="H84" s="67" t="str">
        <f t="shared" ca="1" si="13"/>
        <v/>
      </c>
      <c r="I84" s="67" t="str">
        <f t="shared" ca="1" si="14"/>
        <v/>
      </c>
      <c r="J84" s="67" t="str">
        <f t="shared" ca="1" si="15"/>
        <v/>
      </c>
    </row>
    <row r="85" spans="1:10" ht="12" customHeight="1" x14ac:dyDescent="0.2">
      <c r="A85" s="18">
        <v>72</v>
      </c>
      <c r="B85" s="72"/>
      <c r="C85" s="73"/>
      <c r="D85" s="20" t="str">
        <f t="shared" ca="1" si="9"/>
        <v/>
      </c>
      <c r="E85" s="20" t="str">
        <f t="shared" ca="1" si="10"/>
        <v/>
      </c>
      <c r="F85" s="20" t="str">
        <f t="shared" si="11"/>
        <v/>
      </c>
      <c r="G85" s="67" t="str">
        <f t="shared" ca="1" si="12"/>
        <v/>
      </c>
      <c r="H85" s="67" t="str">
        <f t="shared" ca="1" si="13"/>
        <v/>
      </c>
      <c r="I85" s="67" t="str">
        <f t="shared" ca="1" si="14"/>
        <v/>
      </c>
      <c r="J85" s="67" t="str">
        <f t="shared" ca="1" si="15"/>
        <v/>
      </c>
    </row>
    <row r="86" spans="1:10" ht="12" customHeight="1" x14ac:dyDescent="0.2">
      <c r="A86" s="18">
        <v>73</v>
      </c>
      <c r="B86" s="72"/>
      <c r="C86" s="73"/>
      <c r="D86" s="20" t="str">
        <f t="shared" ca="1" si="9"/>
        <v/>
      </c>
      <c r="E86" s="20" t="str">
        <f t="shared" ca="1" si="10"/>
        <v/>
      </c>
      <c r="F86" s="20" t="str">
        <f t="shared" si="11"/>
        <v/>
      </c>
      <c r="G86" s="67" t="str">
        <f t="shared" ca="1" si="12"/>
        <v/>
      </c>
      <c r="H86" s="67" t="str">
        <f t="shared" ca="1" si="13"/>
        <v/>
      </c>
      <c r="I86" s="67" t="str">
        <f t="shared" ca="1" si="14"/>
        <v/>
      </c>
      <c r="J86" s="67" t="str">
        <f t="shared" ca="1" si="15"/>
        <v/>
      </c>
    </row>
    <row r="87" spans="1:10" ht="12" customHeight="1" x14ac:dyDescent="0.2">
      <c r="A87" s="18">
        <v>74</v>
      </c>
      <c r="B87" s="72"/>
      <c r="C87" s="73"/>
      <c r="D87" s="20" t="str">
        <f t="shared" ca="1" si="9"/>
        <v/>
      </c>
      <c r="E87" s="20" t="str">
        <f t="shared" ca="1" si="10"/>
        <v/>
      </c>
      <c r="F87" s="20" t="str">
        <f t="shared" si="11"/>
        <v/>
      </c>
      <c r="G87" s="67" t="str">
        <f t="shared" ca="1" si="12"/>
        <v/>
      </c>
      <c r="H87" s="67" t="str">
        <f t="shared" ca="1" si="13"/>
        <v/>
      </c>
      <c r="I87" s="67" t="str">
        <f t="shared" ca="1" si="14"/>
        <v/>
      </c>
      <c r="J87" s="67" t="str">
        <f t="shared" ca="1" si="15"/>
        <v/>
      </c>
    </row>
    <row r="88" spans="1:10" ht="12" customHeight="1" x14ac:dyDescent="0.2">
      <c r="A88" s="18">
        <v>75</v>
      </c>
      <c r="B88" s="72"/>
      <c r="C88" s="73"/>
      <c r="D88" s="20" t="str">
        <f t="shared" ca="1" si="9"/>
        <v/>
      </c>
      <c r="E88" s="20" t="str">
        <f t="shared" ca="1" si="10"/>
        <v/>
      </c>
      <c r="F88" s="20" t="str">
        <f t="shared" si="11"/>
        <v/>
      </c>
      <c r="G88" s="67" t="str">
        <f t="shared" ca="1" si="12"/>
        <v/>
      </c>
      <c r="H88" s="67" t="str">
        <f t="shared" ca="1" si="13"/>
        <v/>
      </c>
      <c r="I88" s="67" t="str">
        <f t="shared" ca="1" si="14"/>
        <v/>
      </c>
      <c r="J88" s="67" t="str">
        <f t="shared" ca="1" si="15"/>
        <v/>
      </c>
    </row>
    <row r="89" spans="1:10" ht="12" customHeight="1" x14ac:dyDescent="0.2">
      <c r="A89" s="18">
        <v>76</v>
      </c>
      <c r="B89" s="72"/>
      <c r="C89" s="73"/>
      <c r="D89" s="20" t="str">
        <f t="shared" ca="1" si="9"/>
        <v/>
      </c>
      <c r="E89" s="20" t="str">
        <f t="shared" ca="1" si="10"/>
        <v/>
      </c>
      <c r="F89" s="20" t="str">
        <f t="shared" si="11"/>
        <v/>
      </c>
      <c r="G89" s="67" t="str">
        <f t="shared" ca="1" si="12"/>
        <v/>
      </c>
      <c r="H89" s="67" t="str">
        <f t="shared" ca="1" si="13"/>
        <v/>
      </c>
      <c r="I89" s="67" t="str">
        <f t="shared" ca="1" si="14"/>
        <v/>
      </c>
      <c r="J89" s="67" t="str">
        <f t="shared" ca="1" si="15"/>
        <v/>
      </c>
    </row>
    <row r="90" spans="1:10" ht="12" customHeight="1" x14ac:dyDescent="0.2">
      <c r="A90" s="18">
        <v>77</v>
      </c>
      <c r="B90" s="72"/>
      <c r="C90" s="73"/>
      <c r="D90" s="20" t="str">
        <f t="shared" ca="1" si="9"/>
        <v/>
      </c>
      <c r="E90" s="20" t="str">
        <f t="shared" ca="1" si="10"/>
        <v/>
      </c>
      <c r="F90" s="20" t="str">
        <f t="shared" si="11"/>
        <v/>
      </c>
      <c r="G90" s="67" t="str">
        <f t="shared" ca="1" si="12"/>
        <v/>
      </c>
      <c r="H90" s="67" t="str">
        <f t="shared" ca="1" si="13"/>
        <v/>
      </c>
      <c r="I90" s="67" t="str">
        <f t="shared" ca="1" si="14"/>
        <v/>
      </c>
      <c r="J90" s="67" t="str">
        <f t="shared" ca="1" si="15"/>
        <v/>
      </c>
    </row>
    <row r="91" spans="1:10" ht="12" customHeight="1" x14ac:dyDescent="0.2">
      <c r="A91" s="18">
        <v>78</v>
      </c>
      <c r="B91" s="72"/>
      <c r="C91" s="73"/>
      <c r="D91" s="20" t="str">
        <f t="shared" ca="1" si="9"/>
        <v/>
      </c>
      <c r="E91" s="20" t="str">
        <f t="shared" ca="1" si="10"/>
        <v/>
      </c>
      <c r="F91" s="20" t="str">
        <f t="shared" si="11"/>
        <v/>
      </c>
      <c r="G91" s="67" t="str">
        <f t="shared" ca="1" si="12"/>
        <v/>
      </c>
      <c r="H91" s="67" t="str">
        <f t="shared" ca="1" si="13"/>
        <v/>
      </c>
      <c r="I91" s="67" t="str">
        <f t="shared" ca="1" si="14"/>
        <v/>
      </c>
      <c r="J91" s="67" t="str">
        <f t="shared" ca="1" si="15"/>
        <v/>
      </c>
    </row>
    <row r="92" spans="1:10" ht="12" customHeight="1" x14ac:dyDescent="0.2">
      <c r="A92" s="18">
        <v>79</v>
      </c>
      <c r="B92" s="72"/>
      <c r="C92" s="73"/>
      <c r="D92" s="20" t="str">
        <f t="shared" ca="1" si="9"/>
        <v/>
      </c>
      <c r="E92" s="20" t="str">
        <f t="shared" ca="1" si="10"/>
        <v/>
      </c>
      <c r="F92" s="20" t="str">
        <f t="shared" si="11"/>
        <v/>
      </c>
      <c r="G92" s="67" t="str">
        <f t="shared" ca="1" si="12"/>
        <v/>
      </c>
      <c r="H92" s="67" t="str">
        <f t="shared" ca="1" si="13"/>
        <v/>
      </c>
      <c r="I92" s="67" t="str">
        <f t="shared" ca="1" si="14"/>
        <v/>
      </c>
      <c r="J92" s="67" t="str">
        <f t="shared" ca="1" si="15"/>
        <v/>
      </c>
    </row>
    <row r="93" spans="1:10" ht="12" customHeight="1" x14ac:dyDescent="0.2">
      <c r="A93" s="18">
        <v>80</v>
      </c>
      <c r="B93" s="72"/>
      <c r="C93" s="73"/>
      <c r="D93" s="20" t="str">
        <f t="shared" ca="1" si="9"/>
        <v/>
      </c>
      <c r="E93" s="20" t="str">
        <f t="shared" ca="1" si="10"/>
        <v/>
      </c>
      <c r="F93" s="20" t="str">
        <f t="shared" si="11"/>
        <v/>
      </c>
      <c r="G93" s="67" t="str">
        <f t="shared" ca="1" si="12"/>
        <v/>
      </c>
      <c r="H93" s="67" t="str">
        <f t="shared" ca="1" si="13"/>
        <v/>
      </c>
      <c r="I93" s="67" t="str">
        <f t="shared" ca="1" si="14"/>
        <v/>
      </c>
      <c r="J93" s="67" t="str">
        <f t="shared" ca="1" si="15"/>
        <v/>
      </c>
    </row>
    <row r="94" spans="1:10" ht="12" customHeight="1" x14ac:dyDescent="0.2">
      <c r="A94" s="18">
        <v>81</v>
      </c>
      <c r="B94" s="72"/>
      <c r="C94" s="73"/>
      <c r="D94" s="20" t="str">
        <f t="shared" ca="1" si="9"/>
        <v/>
      </c>
      <c r="E94" s="20" t="str">
        <f t="shared" ca="1" si="10"/>
        <v/>
      </c>
      <c r="F94" s="20" t="str">
        <f t="shared" si="11"/>
        <v/>
      </c>
      <c r="G94" s="67" t="str">
        <f t="shared" ca="1" si="12"/>
        <v/>
      </c>
      <c r="H94" s="67" t="str">
        <f t="shared" ca="1" si="13"/>
        <v/>
      </c>
      <c r="I94" s="67" t="str">
        <f t="shared" ca="1" si="14"/>
        <v/>
      </c>
      <c r="J94" s="67" t="str">
        <f t="shared" ca="1" si="15"/>
        <v/>
      </c>
    </row>
    <row r="95" spans="1:10" ht="12" customHeight="1" x14ac:dyDescent="0.2">
      <c r="A95" s="18">
        <v>82</v>
      </c>
      <c r="B95" s="72"/>
      <c r="C95" s="73"/>
      <c r="D95" s="20" t="str">
        <f t="shared" ca="1" si="9"/>
        <v/>
      </c>
      <c r="E95" s="20" t="str">
        <f t="shared" ca="1" si="10"/>
        <v/>
      </c>
      <c r="F95" s="20" t="str">
        <f t="shared" si="11"/>
        <v/>
      </c>
      <c r="G95" s="67" t="str">
        <f t="shared" ca="1" si="12"/>
        <v/>
      </c>
      <c r="H95" s="67" t="str">
        <f t="shared" ca="1" si="13"/>
        <v/>
      </c>
      <c r="I95" s="67" t="str">
        <f t="shared" ca="1" si="14"/>
        <v/>
      </c>
      <c r="J95" s="67" t="str">
        <f t="shared" ca="1" si="15"/>
        <v/>
      </c>
    </row>
    <row r="96" spans="1:10" ht="12" customHeight="1" x14ac:dyDescent="0.2">
      <c r="A96" s="18">
        <v>83</v>
      </c>
      <c r="B96" s="72"/>
      <c r="C96" s="73"/>
      <c r="D96" s="20" t="str">
        <f t="shared" ca="1" si="9"/>
        <v/>
      </c>
      <c r="E96" s="20" t="str">
        <f t="shared" ca="1" si="10"/>
        <v/>
      </c>
      <c r="F96" s="20" t="str">
        <f t="shared" si="11"/>
        <v/>
      </c>
      <c r="G96" s="67" t="str">
        <f t="shared" ca="1" si="12"/>
        <v/>
      </c>
      <c r="H96" s="67" t="str">
        <f t="shared" ca="1" si="13"/>
        <v/>
      </c>
      <c r="I96" s="67" t="str">
        <f t="shared" ca="1" si="14"/>
        <v/>
      </c>
      <c r="J96" s="67" t="str">
        <f t="shared" ca="1" si="15"/>
        <v/>
      </c>
    </row>
    <row r="97" spans="1:10" ht="12" customHeight="1" x14ac:dyDescent="0.2">
      <c r="A97" s="18">
        <v>84</v>
      </c>
      <c r="B97" s="72"/>
      <c r="C97" s="73"/>
      <c r="D97" s="20" t="str">
        <f t="shared" ca="1" si="9"/>
        <v/>
      </c>
      <c r="E97" s="20" t="str">
        <f t="shared" ca="1" si="10"/>
        <v/>
      </c>
      <c r="F97" s="20" t="str">
        <f t="shared" si="11"/>
        <v/>
      </c>
      <c r="G97" s="67" t="str">
        <f t="shared" ca="1" si="12"/>
        <v/>
      </c>
      <c r="H97" s="67" t="str">
        <f t="shared" ca="1" si="13"/>
        <v/>
      </c>
      <c r="I97" s="67" t="str">
        <f t="shared" ca="1" si="14"/>
        <v/>
      </c>
      <c r="J97" s="67" t="str">
        <f t="shared" ca="1" si="15"/>
        <v/>
      </c>
    </row>
    <row r="98" spans="1:10" ht="12" customHeight="1" x14ac:dyDescent="0.2">
      <c r="A98" s="18">
        <v>85</v>
      </c>
      <c r="B98" s="72"/>
      <c r="C98" s="73"/>
      <c r="D98" s="20" t="str">
        <f t="shared" ca="1" si="9"/>
        <v/>
      </c>
      <c r="E98" s="20" t="str">
        <f t="shared" ca="1" si="10"/>
        <v/>
      </c>
      <c r="F98" s="20" t="str">
        <f t="shared" si="11"/>
        <v/>
      </c>
      <c r="G98" s="67" t="str">
        <f t="shared" ca="1" si="12"/>
        <v/>
      </c>
      <c r="H98" s="67" t="str">
        <f t="shared" ca="1" si="13"/>
        <v/>
      </c>
      <c r="I98" s="67" t="str">
        <f t="shared" ca="1" si="14"/>
        <v/>
      </c>
      <c r="J98" s="67" t="str">
        <f t="shared" ca="1" si="15"/>
        <v/>
      </c>
    </row>
    <row r="99" spans="1:10" ht="12" customHeight="1" x14ac:dyDescent="0.2">
      <c r="A99" s="18">
        <v>86</v>
      </c>
      <c r="B99" s="72"/>
      <c r="C99" s="73"/>
      <c r="D99" s="20" t="str">
        <f t="shared" ca="1" si="9"/>
        <v/>
      </c>
      <c r="E99" s="20" t="str">
        <f t="shared" ca="1" si="10"/>
        <v/>
      </c>
      <c r="F99" s="20" t="str">
        <f t="shared" si="11"/>
        <v/>
      </c>
      <c r="G99" s="67" t="str">
        <f t="shared" ca="1" si="12"/>
        <v/>
      </c>
      <c r="H99" s="67" t="str">
        <f t="shared" ca="1" si="13"/>
        <v/>
      </c>
      <c r="I99" s="67" t="str">
        <f t="shared" ca="1" si="14"/>
        <v/>
      </c>
      <c r="J99" s="67" t="str">
        <f t="shared" ca="1" si="15"/>
        <v/>
      </c>
    </row>
    <row r="100" spans="1:10" ht="12" customHeight="1" x14ac:dyDescent="0.2">
      <c r="A100" s="18">
        <v>87</v>
      </c>
      <c r="B100" s="72"/>
      <c r="C100" s="73"/>
      <c r="D100" s="20" t="str">
        <f t="shared" ca="1" si="9"/>
        <v/>
      </c>
      <c r="E100" s="20" t="str">
        <f t="shared" ca="1" si="10"/>
        <v/>
      </c>
      <c r="F100" s="20" t="str">
        <f t="shared" si="11"/>
        <v/>
      </c>
      <c r="G100" s="67" t="str">
        <f t="shared" ca="1" si="12"/>
        <v/>
      </c>
      <c r="H100" s="67" t="str">
        <f t="shared" ca="1" si="13"/>
        <v/>
      </c>
      <c r="I100" s="67" t="str">
        <f t="shared" ca="1" si="14"/>
        <v/>
      </c>
      <c r="J100" s="67" t="str">
        <f t="shared" ca="1" si="15"/>
        <v/>
      </c>
    </row>
    <row r="101" spans="1:10" ht="12" customHeight="1" x14ac:dyDescent="0.2">
      <c r="A101" s="18">
        <v>88</v>
      </c>
      <c r="B101" s="72"/>
      <c r="C101" s="73"/>
      <c r="D101" s="20" t="str">
        <f t="shared" ca="1" si="9"/>
        <v/>
      </c>
      <c r="E101" s="20" t="str">
        <f t="shared" ca="1" si="10"/>
        <v/>
      </c>
      <c r="F101" s="20" t="str">
        <f t="shared" si="11"/>
        <v/>
      </c>
      <c r="G101" s="67" t="str">
        <f t="shared" ca="1" si="12"/>
        <v/>
      </c>
      <c r="H101" s="67" t="str">
        <f t="shared" ca="1" si="13"/>
        <v/>
      </c>
      <c r="I101" s="67" t="str">
        <f t="shared" ca="1" si="14"/>
        <v/>
      </c>
      <c r="J101" s="67" t="str">
        <f t="shared" ca="1" si="15"/>
        <v/>
      </c>
    </row>
    <row r="102" spans="1:10" ht="12" customHeight="1" x14ac:dyDescent="0.2">
      <c r="A102" s="18">
        <v>89</v>
      </c>
      <c r="B102" s="72"/>
      <c r="C102" s="73"/>
      <c r="D102" s="20" t="str">
        <f t="shared" ca="1" si="9"/>
        <v/>
      </c>
      <c r="E102" s="20" t="str">
        <f t="shared" ca="1" si="10"/>
        <v/>
      </c>
      <c r="F102" s="20" t="str">
        <f t="shared" si="11"/>
        <v/>
      </c>
      <c r="G102" s="67" t="str">
        <f t="shared" ca="1" si="12"/>
        <v/>
      </c>
      <c r="H102" s="67" t="str">
        <f t="shared" ca="1" si="13"/>
        <v/>
      </c>
      <c r="I102" s="67" t="str">
        <f t="shared" ca="1" si="14"/>
        <v/>
      </c>
      <c r="J102" s="67" t="str">
        <f t="shared" ca="1" si="15"/>
        <v/>
      </c>
    </row>
    <row r="103" spans="1:10" ht="12" customHeight="1" x14ac:dyDescent="0.2">
      <c r="A103" s="18">
        <v>90</v>
      </c>
      <c r="B103" s="72"/>
      <c r="C103" s="73"/>
      <c r="D103" s="20" t="str">
        <f t="shared" ca="1" si="9"/>
        <v/>
      </c>
      <c r="E103" s="20" t="str">
        <f t="shared" ca="1" si="10"/>
        <v/>
      </c>
      <c r="F103" s="20" t="str">
        <f t="shared" si="11"/>
        <v/>
      </c>
      <c r="G103" s="67" t="str">
        <f t="shared" ca="1" si="12"/>
        <v/>
      </c>
      <c r="H103" s="67" t="str">
        <f t="shared" ca="1" si="13"/>
        <v/>
      </c>
      <c r="I103" s="67" t="str">
        <f t="shared" ca="1" si="14"/>
        <v/>
      </c>
      <c r="J103" s="67" t="str">
        <f t="shared" ca="1" si="15"/>
        <v/>
      </c>
    </row>
    <row r="104" spans="1:10" ht="12" customHeight="1" x14ac:dyDescent="0.2">
      <c r="A104" s="18">
        <v>91</v>
      </c>
      <c r="B104" s="72"/>
      <c r="C104" s="73"/>
      <c r="D104" s="20" t="str">
        <f t="shared" ca="1" si="9"/>
        <v/>
      </c>
      <c r="E104" s="20" t="str">
        <f t="shared" ca="1" si="10"/>
        <v/>
      </c>
      <c r="F104" s="20" t="str">
        <f t="shared" si="11"/>
        <v/>
      </c>
      <c r="G104" s="67" t="str">
        <f t="shared" ca="1" si="12"/>
        <v/>
      </c>
      <c r="H104" s="67" t="str">
        <f t="shared" ca="1" si="13"/>
        <v/>
      </c>
      <c r="I104" s="67" t="str">
        <f t="shared" ca="1" si="14"/>
        <v/>
      </c>
      <c r="J104" s="67" t="str">
        <f t="shared" ca="1" si="15"/>
        <v/>
      </c>
    </row>
    <row r="105" spans="1:10" ht="12" customHeight="1" x14ac:dyDescent="0.2">
      <c r="A105" s="18">
        <v>92</v>
      </c>
      <c r="B105" s="72"/>
      <c r="C105" s="73"/>
      <c r="D105" s="20" t="str">
        <f t="shared" ca="1" si="9"/>
        <v/>
      </c>
      <c r="E105" s="20" t="str">
        <f t="shared" ca="1" si="10"/>
        <v/>
      </c>
      <c r="F105" s="20" t="str">
        <f t="shared" si="11"/>
        <v/>
      </c>
      <c r="G105" s="67" t="str">
        <f t="shared" ca="1" si="12"/>
        <v/>
      </c>
      <c r="H105" s="67" t="str">
        <f t="shared" ca="1" si="13"/>
        <v/>
      </c>
      <c r="I105" s="67" t="str">
        <f t="shared" ca="1" si="14"/>
        <v/>
      </c>
      <c r="J105" s="67" t="str">
        <f t="shared" ca="1" si="15"/>
        <v/>
      </c>
    </row>
    <row r="106" spans="1:10" ht="12" customHeight="1" x14ac:dyDescent="0.2">
      <c r="A106" s="18">
        <v>93</v>
      </c>
      <c r="B106" s="72"/>
      <c r="C106" s="73"/>
      <c r="D106" s="20" t="str">
        <f t="shared" ca="1" si="9"/>
        <v/>
      </c>
      <c r="E106" s="20" t="str">
        <f t="shared" ca="1" si="10"/>
        <v/>
      </c>
      <c r="F106" s="20" t="str">
        <f t="shared" si="11"/>
        <v/>
      </c>
      <c r="G106" s="67" t="str">
        <f t="shared" ca="1" si="12"/>
        <v/>
      </c>
      <c r="H106" s="67" t="str">
        <f t="shared" ca="1" si="13"/>
        <v/>
      </c>
      <c r="I106" s="67" t="str">
        <f t="shared" ca="1" si="14"/>
        <v/>
      </c>
      <c r="J106" s="67" t="str">
        <f t="shared" ca="1" si="15"/>
        <v/>
      </c>
    </row>
    <row r="107" spans="1:10" ht="12" customHeight="1" x14ac:dyDescent="0.2">
      <c r="A107" s="18">
        <v>94</v>
      </c>
      <c r="B107" s="72"/>
      <c r="C107" s="73"/>
      <c r="D107" s="20" t="str">
        <f t="shared" ca="1" si="9"/>
        <v/>
      </c>
      <c r="E107" s="20" t="str">
        <f t="shared" ca="1" si="10"/>
        <v/>
      </c>
      <c r="F107" s="20" t="str">
        <f t="shared" si="11"/>
        <v/>
      </c>
      <c r="G107" s="67" t="str">
        <f t="shared" ca="1" si="12"/>
        <v/>
      </c>
      <c r="H107" s="67" t="str">
        <f t="shared" ca="1" si="13"/>
        <v/>
      </c>
      <c r="I107" s="67" t="str">
        <f t="shared" ca="1" si="14"/>
        <v/>
      </c>
      <c r="J107" s="67" t="str">
        <f t="shared" ca="1" si="15"/>
        <v/>
      </c>
    </row>
    <row r="108" spans="1:10" ht="12" customHeight="1" x14ac:dyDescent="0.2">
      <c r="A108" s="18">
        <v>95</v>
      </c>
      <c r="B108" s="72"/>
      <c r="C108" s="73"/>
      <c r="D108" s="20" t="str">
        <f t="shared" ca="1" si="9"/>
        <v/>
      </c>
      <c r="E108" s="20" t="str">
        <f t="shared" ca="1" si="10"/>
        <v/>
      </c>
      <c r="F108" s="20" t="str">
        <f t="shared" si="11"/>
        <v/>
      </c>
      <c r="G108" s="67" t="str">
        <f t="shared" ca="1" si="12"/>
        <v/>
      </c>
      <c r="H108" s="67" t="str">
        <f t="shared" ca="1" si="13"/>
        <v/>
      </c>
      <c r="I108" s="67" t="str">
        <f t="shared" ca="1" si="14"/>
        <v/>
      </c>
      <c r="J108" s="67" t="str">
        <f t="shared" ca="1" si="15"/>
        <v/>
      </c>
    </row>
    <row r="109" spans="1:10" ht="12" customHeight="1" x14ac:dyDescent="0.2">
      <c r="A109" s="18">
        <v>96</v>
      </c>
      <c r="B109" s="72"/>
      <c r="C109" s="73"/>
      <c r="D109" s="20" t="str">
        <f t="shared" ca="1" si="9"/>
        <v/>
      </c>
      <c r="E109" s="20" t="str">
        <f t="shared" ca="1" si="10"/>
        <v/>
      </c>
      <c r="F109" s="20" t="str">
        <f t="shared" si="11"/>
        <v/>
      </c>
      <c r="G109" s="67" t="str">
        <f t="shared" ca="1" si="12"/>
        <v/>
      </c>
      <c r="H109" s="67" t="str">
        <f t="shared" ca="1" si="13"/>
        <v/>
      </c>
      <c r="I109" s="67" t="str">
        <f t="shared" ca="1" si="14"/>
        <v/>
      </c>
      <c r="J109" s="67" t="str">
        <f t="shared" ca="1" si="15"/>
        <v/>
      </c>
    </row>
    <row r="110" spans="1:10" ht="12" customHeight="1" x14ac:dyDescent="0.2">
      <c r="A110" s="18">
        <v>97</v>
      </c>
      <c r="B110" s="72"/>
      <c r="C110" s="73"/>
      <c r="D110" s="20" t="str">
        <f t="shared" ca="1" si="9"/>
        <v/>
      </c>
      <c r="E110" s="20" t="str">
        <f t="shared" ca="1" si="10"/>
        <v/>
      </c>
      <c r="F110" s="20" t="str">
        <f t="shared" si="11"/>
        <v/>
      </c>
      <c r="G110" s="67" t="str">
        <f t="shared" ca="1" si="12"/>
        <v/>
      </c>
      <c r="H110" s="67" t="str">
        <f t="shared" ca="1" si="13"/>
        <v/>
      </c>
      <c r="I110" s="67" t="str">
        <f t="shared" ca="1" si="14"/>
        <v/>
      </c>
      <c r="J110" s="67" t="str">
        <f t="shared" ca="1" si="15"/>
        <v/>
      </c>
    </row>
    <row r="111" spans="1:10" ht="12" customHeight="1" x14ac:dyDescent="0.2">
      <c r="A111" s="18">
        <v>98</v>
      </c>
      <c r="B111" s="72"/>
      <c r="C111" s="73"/>
      <c r="D111" s="20" t="str">
        <f t="shared" ca="1" si="9"/>
        <v/>
      </c>
      <c r="E111" s="20" t="str">
        <f t="shared" ca="1" si="10"/>
        <v/>
      </c>
      <c r="F111" s="20" t="str">
        <f t="shared" si="11"/>
        <v/>
      </c>
      <c r="G111" s="67" t="str">
        <f t="shared" ca="1" si="12"/>
        <v/>
      </c>
      <c r="H111" s="67" t="str">
        <f t="shared" ca="1" si="13"/>
        <v/>
      </c>
      <c r="I111" s="67" t="str">
        <f t="shared" ca="1" si="14"/>
        <v/>
      </c>
      <c r="J111" s="67" t="str">
        <f t="shared" ca="1" si="15"/>
        <v/>
      </c>
    </row>
    <row r="112" spans="1:10" ht="12" customHeight="1" x14ac:dyDescent="0.2">
      <c r="A112" s="18">
        <v>99</v>
      </c>
      <c r="B112" s="72"/>
      <c r="C112" s="73"/>
      <c r="D112" s="20" t="str">
        <f t="shared" ca="1" si="9"/>
        <v/>
      </c>
      <c r="E112" s="20" t="str">
        <f t="shared" ca="1" si="10"/>
        <v/>
      </c>
      <c r="F112" s="20" t="str">
        <f t="shared" si="11"/>
        <v/>
      </c>
      <c r="G112" s="67" t="str">
        <f t="shared" ca="1" si="12"/>
        <v/>
      </c>
      <c r="H112" s="67" t="str">
        <f t="shared" ca="1" si="13"/>
        <v/>
      </c>
      <c r="I112" s="67" t="str">
        <f t="shared" ca="1" si="14"/>
        <v/>
      </c>
      <c r="J112" s="67" t="str">
        <f t="shared" ca="1" si="15"/>
        <v/>
      </c>
    </row>
    <row r="113" spans="1:10" ht="12" customHeight="1" x14ac:dyDescent="0.2">
      <c r="A113" s="18">
        <v>100</v>
      </c>
      <c r="B113" s="72"/>
      <c r="C113" s="73"/>
      <c r="D113" s="20" t="str">
        <f t="shared" ca="1" si="9"/>
        <v/>
      </c>
      <c r="E113" s="20" t="str">
        <f t="shared" ca="1" si="10"/>
        <v/>
      </c>
      <c r="F113" s="20" t="str">
        <f t="shared" si="11"/>
        <v/>
      </c>
      <c r="G113" s="67" t="str">
        <f t="shared" ca="1" si="12"/>
        <v/>
      </c>
      <c r="H113" s="67" t="str">
        <f t="shared" ca="1" si="13"/>
        <v/>
      </c>
      <c r="I113" s="67" t="str">
        <f t="shared" ca="1" si="14"/>
        <v/>
      </c>
      <c r="J113" s="67" t="str">
        <f t="shared" ca="1" si="15"/>
        <v/>
      </c>
    </row>
    <row r="114" spans="1:10" x14ac:dyDescent="0.2">
      <c r="A114" s="18">
        <v>101</v>
      </c>
      <c r="B114" s="72"/>
      <c r="C114" s="73"/>
      <c r="D114" s="20" t="str">
        <f t="shared" ref="D114:D177" ca="1" si="16">IF(B114="","",INDIRECT("'" &amp; A114 &amp; "_" &amp; B114 &amp; "'!G4"))</f>
        <v/>
      </c>
      <c r="E114" s="20" t="str">
        <f t="shared" ref="E114:E177" ca="1" si="17">IF(B114="","",INDIRECT("'" &amp; A114 &amp; "_" &amp; B114 &amp; "'!H4"))</f>
        <v/>
      </c>
      <c r="F114" s="20" t="str">
        <f t="shared" ref="F114:F177" si="18">IF(B114="","",SUM(D114,E114))</f>
        <v/>
      </c>
      <c r="G114" s="67" t="str">
        <f t="shared" ref="G114:G177" ca="1" si="19">IF(B114="","",INDIRECT("'" &amp; A114 &amp; "_" &amp; B114 &amp; "'!I4"))</f>
        <v/>
      </c>
      <c r="H114" s="67" t="str">
        <f t="shared" ref="H114:H177" ca="1" si="20">IF(B114="","",INDIRECT("'" &amp; A114 &amp; "_" &amp; B114 &amp; "'!J4"))</f>
        <v/>
      </c>
      <c r="I114" s="67" t="str">
        <f t="shared" ref="I114:I177" ca="1" si="21">IF(B114="","",INDIRECT("'" &amp; A114 &amp; "_" &amp; B114 &amp; "'!K4"))</f>
        <v/>
      </c>
      <c r="J114" s="67" t="str">
        <f t="shared" ref="J114:J177" ca="1" si="22">IF(B114="","",INDIRECT("'" &amp; A114 &amp; "_" &amp; B114 &amp; "'!L4"))</f>
        <v/>
      </c>
    </row>
    <row r="115" spans="1:10" x14ac:dyDescent="0.2">
      <c r="A115" s="18">
        <v>102</v>
      </c>
      <c r="B115" s="72"/>
      <c r="C115" s="73"/>
      <c r="D115" s="20" t="str">
        <f t="shared" ca="1" si="16"/>
        <v/>
      </c>
      <c r="E115" s="20" t="str">
        <f t="shared" ca="1" si="17"/>
        <v/>
      </c>
      <c r="F115" s="20" t="str">
        <f t="shared" si="18"/>
        <v/>
      </c>
      <c r="G115" s="67" t="str">
        <f t="shared" ca="1" si="19"/>
        <v/>
      </c>
      <c r="H115" s="67" t="str">
        <f t="shared" ca="1" si="20"/>
        <v/>
      </c>
      <c r="I115" s="67" t="str">
        <f t="shared" ca="1" si="21"/>
        <v/>
      </c>
      <c r="J115" s="67" t="str">
        <f t="shared" ca="1" si="22"/>
        <v/>
      </c>
    </row>
    <row r="116" spans="1:10" x14ac:dyDescent="0.2">
      <c r="A116" s="18">
        <v>103</v>
      </c>
      <c r="B116" s="72"/>
      <c r="C116" s="73"/>
      <c r="D116" s="20" t="str">
        <f t="shared" ca="1" si="16"/>
        <v/>
      </c>
      <c r="E116" s="20" t="str">
        <f t="shared" ca="1" si="17"/>
        <v/>
      </c>
      <c r="F116" s="20" t="str">
        <f t="shared" si="18"/>
        <v/>
      </c>
      <c r="G116" s="67" t="str">
        <f t="shared" ca="1" si="19"/>
        <v/>
      </c>
      <c r="H116" s="67" t="str">
        <f t="shared" ca="1" si="20"/>
        <v/>
      </c>
      <c r="I116" s="67" t="str">
        <f t="shared" ca="1" si="21"/>
        <v/>
      </c>
      <c r="J116" s="67" t="str">
        <f t="shared" ca="1" si="22"/>
        <v/>
      </c>
    </row>
    <row r="117" spans="1:10" x14ac:dyDescent="0.2">
      <c r="A117" s="18">
        <v>104</v>
      </c>
      <c r="B117" s="72"/>
      <c r="C117" s="73"/>
      <c r="D117" s="20" t="str">
        <f t="shared" ca="1" si="16"/>
        <v/>
      </c>
      <c r="E117" s="20" t="str">
        <f t="shared" ca="1" si="17"/>
        <v/>
      </c>
      <c r="F117" s="20" t="str">
        <f t="shared" si="18"/>
        <v/>
      </c>
      <c r="G117" s="67" t="str">
        <f t="shared" ca="1" si="19"/>
        <v/>
      </c>
      <c r="H117" s="67" t="str">
        <f t="shared" ca="1" si="20"/>
        <v/>
      </c>
      <c r="I117" s="67" t="str">
        <f t="shared" ca="1" si="21"/>
        <v/>
      </c>
      <c r="J117" s="67" t="str">
        <f t="shared" ca="1" si="22"/>
        <v/>
      </c>
    </row>
    <row r="118" spans="1:10" x14ac:dyDescent="0.2">
      <c r="A118" s="18">
        <v>105</v>
      </c>
      <c r="B118" s="72"/>
      <c r="C118" s="73"/>
      <c r="D118" s="20" t="str">
        <f t="shared" ca="1" si="16"/>
        <v/>
      </c>
      <c r="E118" s="20" t="str">
        <f t="shared" ca="1" si="17"/>
        <v/>
      </c>
      <c r="F118" s="20" t="str">
        <f t="shared" si="18"/>
        <v/>
      </c>
      <c r="G118" s="67" t="str">
        <f t="shared" ca="1" si="19"/>
        <v/>
      </c>
      <c r="H118" s="67" t="str">
        <f t="shared" ca="1" si="20"/>
        <v/>
      </c>
      <c r="I118" s="67" t="str">
        <f t="shared" ca="1" si="21"/>
        <v/>
      </c>
      <c r="J118" s="67" t="str">
        <f t="shared" ca="1" si="22"/>
        <v/>
      </c>
    </row>
    <row r="119" spans="1:10" x14ac:dyDescent="0.2">
      <c r="A119" s="18">
        <v>106</v>
      </c>
      <c r="B119" s="72"/>
      <c r="C119" s="73"/>
      <c r="D119" s="20" t="str">
        <f t="shared" ca="1" si="16"/>
        <v/>
      </c>
      <c r="E119" s="20" t="str">
        <f t="shared" ca="1" si="17"/>
        <v/>
      </c>
      <c r="F119" s="20" t="str">
        <f t="shared" si="18"/>
        <v/>
      </c>
      <c r="G119" s="67" t="str">
        <f t="shared" ca="1" si="19"/>
        <v/>
      </c>
      <c r="H119" s="67" t="str">
        <f t="shared" ca="1" si="20"/>
        <v/>
      </c>
      <c r="I119" s="67" t="str">
        <f t="shared" ca="1" si="21"/>
        <v/>
      </c>
      <c r="J119" s="67" t="str">
        <f t="shared" ca="1" si="22"/>
        <v/>
      </c>
    </row>
    <row r="120" spans="1:10" x14ac:dyDescent="0.2">
      <c r="A120" s="18">
        <v>107</v>
      </c>
      <c r="B120" s="72"/>
      <c r="C120" s="73"/>
      <c r="D120" s="20" t="str">
        <f t="shared" ca="1" si="16"/>
        <v/>
      </c>
      <c r="E120" s="20" t="str">
        <f t="shared" ca="1" si="17"/>
        <v/>
      </c>
      <c r="F120" s="20" t="str">
        <f t="shared" si="18"/>
        <v/>
      </c>
      <c r="G120" s="67" t="str">
        <f t="shared" ca="1" si="19"/>
        <v/>
      </c>
      <c r="H120" s="67" t="str">
        <f t="shared" ca="1" si="20"/>
        <v/>
      </c>
      <c r="I120" s="67" t="str">
        <f t="shared" ca="1" si="21"/>
        <v/>
      </c>
      <c r="J120" s="67" t="str">
        <f t="shared" ca="1" si="22"/>
        <v/>
      </c>
    </row>
    <row r="121" spans="1:10" x14ac:dyDescent="0.2">
      <c r="A121" s="18">
        <v>108</v>
      </c>
      <c r="B121" s="72"/>
      <c r="C121" s="73"/>
      <c r="D121" s="20" t="str">
        <f t="shared" ca="1" si="16"/>
        <v/>
      </c>
      <c r="E121" s="20" t="str">
        <f t="shared" ca="1" si="17"/>
        <v/>
      </c>
      <c r="F121" s="20" t="str">
        <f t="shared" si="18"/>
        <v/>
      </c>
      <c r="G121" s="67" t="str">
        <f t="shared" ca="1" si="19"/>
        <v/>
      </c>
      <c r="H121" s="67" t="str">
        <f t="shared" ca="1" si="20"/>
        <v/>
      </c>
      <c r="I121" s="67" t="str">
        <f t="shared" ca="1" si="21"/>
        <v/>
      </c>
      <c r="J121" s="67" t="str">
        <f t="shared" ca="1" si="22"/>
        <v/>
      </c>
    </row>
    <row r="122" spans="1:10" x14ac:dyDescent="0.2">
      <c r="A122" s="18">
        <v>109</v>
      </c>
      <c r="B122" s="72"/>
      <c r="C122" s="73"/>
      <c r="D122" s="20" t="str">
        <f t="shared" ca="1" si="16"/>
        <v/>
      </c>
      <c r="E122" s="20" t="str">
        <f t="shared" ca="1" si="17"/>
        <v/>
      </c>
      <c r="F122" s="20" t="str">
        <f t="shared" si="18"/>
        <v/>
      </c>
      <c r="G122" s="67" t="str">
        <f t="shared" ca="1" si="19"/>
        <v/>
      </c>
      <c r="H122" s="67" t="str">
        <f t="shared" ca="1" si="20"/>
        <v/>
      </c>
      <c r="I122" s="67" t="str">
        <f t="shared" ca="1" si="21"/>
        <v/>
      </c>
      <c r="J122" s="67" t="str">
        <f t="shared" ca="1" si="22"/>
        <v/>
      </c>
    </row>
    <row r="123" spans="1:10" x14ac:dyDescent="0.2">
      <c r="A123" s="18">
        <v>110</v>
      </c>
      <c r="B123" s="72"/>
      <c r="C123" s="73"/>
      <c r="D123" s="20" t="str">
        <f t="shared" ca="1" si="16"/>
        <v/>
      </c>
      <c r="E123" s="20" t="str">
        <f t="shared" ca="1" si="17"/>
        <v/>
      </c>
      <c r="F123" s="20" t="str">
        <f t="shared" si="18"/>
        <v/>
      </c>
      <c r="G123" s="67" t="str">
        <f t="shared" ca="1" si="19"/>
        <v/>
      </c>
      <c r="H123" s="67" t="str">
        <f t="shared" ca="1" si="20"/>
        <v/>
      </c>
      <c r="I123" s="67" t="str">
        <f t="shared" ca="1" si="21"/>
        <v/>
      </c>
      <c r="J123" s="67" t="str">
        <f t="shared" ca="1" si="22"/>
        <v/>
      </c>
    </row>
    <row r="124" spans="1:10" x14ac:dyDescent="0.2">
      <c r="A124" s="18">
        <v>111</v>
      </c>
      <c r="B124" s="72"/>
      <c r="C124" s="73"/>
      <c r="D124" s="20" t="str">
        <f t="shared" ca="1" si="16"/>
        <v/>
      </c>
      <c r="E124" s="20" t="str">
        <f t="shared" ca="1" si="17"/>
        <v/>
      </c>
      <c r="F124" s="20" t="str">
        <f t="shared" si="18"/>
        <v/>
      </c>
      <c r="G124" s="67" t="str">
        <f t="shared" ca="1" si="19"/>
        <v/>
      </c>
      <c r="H124" s="67" t="str">
        <f t="shared" ca="1" si="20"/>
        <v/>
      </c>
      <c r="I124" s="67" t="str">
        <f t="shared" ca="1" si="21"/>
        <v/>
      </c>
      <c r="J124" s="67" t="str">
        <f t="shared" ca="1" si="22"/>
        <v/>
      </c>
    </row>
    <row r="125" spans="1:10" x14ac:dyDescent="0.2">
      <c r="A125" s="18">
        <v>112</v>
      </c>
      <c r="B125" s="72"/>
      <c r="C125" s="73"/>
      <c r="D125" s="20" t="str">
        <f t="shared" ca="1" si="16"/>
        <v/>
      </c>
      <c r="E125" s="20" t="str">
        <f t="shared" ca="1" si="17"/>
        <v/>
      </c>
      <c r="F125" s="20" t="str">
        <f t="shared" si="18"/>
        <v/>
      </c>
      <c r="G125" s="67" t="str">
        <f t="shared" ca="1" si="19"/>
        <v/>
      </c>
      <c r="H125" s="67" t="str">
        <f t="shared" ca="1" si="20"/>
        <v/>
      </c>
      <c r="I125" s="67" t="str">
        <f t="shared" ca="1" si="21"/>
        <v/>
      </c>
      <c r="J125" s="67" t="str">
        <f t="shared" ca="1" si="22"/>
        <v/>
      </c>
    </row>
    <row r="126" spans="1:10" x14ac:dyDescent="0.2">
      <c r="A126" s="18">
        <v>113</v>
      </c>
      <c r="B126" s="72"/>
      <c r="C126" s="73"/>
      <c r="D126" s="20" t="str">
        <f t="shared" ca="1" si="16"/>
        <v/>
      </c>
      <c r="E126" s="20" t="str">
        <f t="shared" ca="1" si="17"/>
        <v/>
      </c>
      <c r="F126" s="20" t="str">
        <f t="shared" si="18"/>
        <v/>
      </c>
      <c r="G126" s="67" t="str">
        <f t="shared" ca="1" si="19"/>
        <v/>
      </c>
      <c r="H126" s="67" t="str">
        <f t="shared" ca="1" si="20"/>
        <v/>
      </c>
      <c r="I126" s="67" t="str">
        <f t="shared" ca="1" si="21"/>
        <v/>
      </c>
      <c r="J126" s="67" t="str">
        <f t="shared" ca="1" si="22"/>
        <v/>
      </c>
    </row>
    <row r="127" spans="1:10" x14ac:dyDescent="0.2">
      <c r="A127" s="18">
        <v>114</v>
      </c>
      <c r="B127" s="72"/>
      <c r="C127" s="73"/>
      <c r="D127" s="20" t="str">
        <f t="shared" ca="1" si="16"/>
        <v/>
      </c>
      <c r="E127" s="20" t="str">
        <f t="shared" ca="1" si="17"/>
        <v/>
      </c>
      <c r="F127" s="20" t="str">
        <f t="shared" si="18"/>
        <v/>
      </c>
      <c r="G127" s="67" t="str">
        <f t="shared" ca="1" si="19"/>
        <v/>
      </c>
      <c r="H127" s="67" t="str">
        <f t="shared" ca="1" si="20"/>
        <v/>
      </c>
      <c r="I127" s="67" t="str">
        <f t="shared" ca="1" si="21"/>
        <v/>
      </c>
      <c r="J127" s="67" t="str">
        <f t="shared" ca="1" si="22"/>
        <v/>
      </c>
    </row>
    <row r="128" spans="1:10" x14ac:dyDescent="0.2">
      <c r="A128" s="18">
        <v>115</v>
      </c>
      <c r="B128" s="72"/>
      <c r="C128" s="73"/>
      <c r="D128" s="20" t="str">
        <f t="shared" ca="1" si="16"/>
        <v/>
      </c>
      <c r="E128" s="20" t="str">
        <f t="shared" ca="1" si="17"/>
        <v/>
      </c>
      <c r="F128" s="20" t="str">
        <f t="shared" si="18"/>
        <v/>
      </c>
      <c r="G128" s="67" t="str">
        <f t="shared" ca="1" si="19"/>
        <v/>
      </c>
      <c r="H128" s="67" t="str">
        <f t="shared" ca="1" si="20"/>
        <v/>
      </c>
      <c r="I128" s="67" t="str">
        <f t="shared" ca="1" si="21"/>
        <v/>
      </c>
      <c r="J128" s="67" t="str">
        <f t="shared" ca="1" si="22"/>
        <v/>
      </c>
    </row>
    <row r="129" spans="1:10" x14ac:dyDescent="0.2">
      <c r="A129" s="18">
        <v>116</v>
      </c>
      <c r="B129" s="72"/>
      <c r="C129" s="73"/>
      <c r="D129" s="20" t="str">
        <f t="shared" ca="1" si="16"/>
        <v/>
      </c>
      <c r="E129" s="20" t="str">
        <f t="shared" ca="1" si="17"/>
        <v/>
      </c>
      <c r="F129" s="20" t="str">
        <f t="shared" si="18"/>
        <v/>
      </c>
      <c r="G129" s="67" t="str">
        <f t="shared" ca="1" si="19"/>
        <v/>
      </c>
      <c r="H129" s="67" t="str">
        <f t="shared" ca="1" si="20"/>
        <v/>
      </c>
      <c r="I129" s="67" t="str">
        <f t="shared" ca="1" si="21"/>
        <v/>
      </c>
      <c r="J129" s="67" t="str">
        <f t="shared" ca="1" si="22"/>
        <v/>
      </c>
    </row>
    <row r="130" spans="1:10" x14ac:dyDescent="0.2">
      <c r="A130" s="18">
        <v>117</v>
      </c>
      <c r="B130" s="72"/>
      <c r="C130" s="73"/>
      <c r="D130" s="20" t="str">
        <f t="shared" ca="1" si="16"/>
        <v/>
      </c>
      <c r="E130" s="20" t="str">
        <f t="shared" ca="1" si="17"/>
        <v/>
      </c>
      <c r="F130" s="20" t="str">
        <f t="shared" si="18"/>
        <v/>
      </c>
      <c r="G130" s="67" t="str">
        <f t="shared" ca="1" si="19"/>
        <v/>
      </c>
      <c r="H130" s="67" t="str">
        <f t="shared" ca="1" si="20"/>
        <v/>
      </c>
      <c r="I130" s="67" t="str">
        <f t="shared" ca="1" si="21"/>
        <v/>
      </c>
      <c r="J130" s="67" t="str">
        <f t="shared" ca="1" si="22"/>
        <v/>
      </c>
    </row>
    <row r="131" spans="1:10" x14ac:dyDescent="0.2">
      <c r="A131" s="18">
        <v>118</v>
      </c>
      <c r="B131" s="72"/>
      <c r="C131" s="73"/>
      <c r="D131" s="20" t="str">
        <f t="shared" ca="1" si="16"/>
        <v/>
      </c>
      <c r="E131" s="20" t="str">
        <f t="shared" ca="1" si="17"/>
        <v/>
      </c>
      <c r="F131" s="20" t="str">
        <f t="shared" si="18"/>
        <v/>
      </c>
      <c r="G131" s="67" t="str">
        <f t="shared" ca="1" si="19"/>
        <v/>
      </c>
      <c r="H131" s="67" t="str">
        <f t="shared" ca="1" si="20"/>
        <v/>
      </c>
      <c r="I131" s="67" t="str">
        <f t="shared" ca="1" si="21"/>
        <v/>
      </c>
      <c r="J131" s="67" t="str">
        <f t="shared" ca="1" si="22"/>
        <v/>
      </c>
    </row>
    <row r="132" spans="1:10" x14ac:dyDescent="0.2">
      <c r="A132" s="18">
        <v>119</v>
      </c>
      <c r="B132" s="72"/>
      <c r="C132" s="73"/>
      <c r="D132" s="20" t="str">
        <f t="shared" ca="1" si="16"/>
        <v/>
      </c>
      <c r="E132" s="20" t="str">
        <f t="shared" ca="1" si="17"/>
        <v/>
      </c>
      <c r="F132" s="20" t="str">
        <f t="shared" si="18"/>
        <v/>
      </c>
      <c r="G132" s="67" t="str">
        <f t="shared" ca="1" si="19"/>
        <v/>
      </c>
      <c r="H132" s="67" t="str">
        <f t="shared" ca="1" si="20"/>
        <v/>
      </c>
      <c r="I132" s="67" t="str">
        <f t="shared" ca="1" si="21"/>
        <v/>
      </c>
      <c r="J132" s="67" t="str">
        <f t="shared" ca="1" si="22"/>
        <v/>
      </c>
    </row>
    <row r="133" spans="1:10" x14ac:dyDescent="0.2">
      <c r="A133" s="18">
        <v>120</v>
      </c>
      <c r="B133" s="72"/>
      <c r="C133" s="73"/>
      <c r="D133" s="20" t="str">
        <f t="shared" ca="1" si="16"/>
        <v/>
      </c>
      <c r="E133" s="20" t="str">
        <f t="shared" ca="1" si="17"/>
        <v/>
      </c>
      <c r="F133" s="20" t="str">
        <f t="shared" si="18"/>
        <v/>
      </c>
      <c r="G133" s="67" t="str">
        <f t="shared" ca="1" si="19"/>
        <v/>
      </c>
      <c r="H133" s="67" t="str">
        <f t="shared" ca="1" si="20"/>
        <v/>
      </c>
      <c r="I133" s="67" t="str">
        <f t="shared" ca="1" si="21"/>
        <v/>
      </c>
      <c r="J133" s="67" t="str">
        <f t="shared" ca="1" si="22"/>
        <v/>
      </c>
    </row>
    <row r="134" spans="1:10" x14ac:dyDescent="0.2">
      <c r="A134" s="18">
        <v>121</v>
      </c>
      <c r="B134" s="72"/>
      <c r="C134" s="73"/>
      <c r="D134" s="20" t="str">
        <f t="shared" ca="1" si="16"/>
        <v/>
      </c>
      <c r="E134" s="20" t="str">
        <f t="shared" ca="1" si="17"/>
        <v/>
      </c>
      <c r="F134" s="20" t="str">
        <f t="shared" si="18"/>
        <v/>
      </c>
      <c r="G134" s="67" t="str">
        <f t="shared" ca="1" si="19"/>
        <v/>
      </c>
      <c r="H134" s="67" t="str">
        <f t="shared" ca="1" si="20"/>
        <v/>
      </c>
      <c r="I134" s="67" t="str">
        <f t="shared" ca="1" si="21"/>
        <v/>
      </c>
      <c r="J134" s="67" t="str">
        <f t="shared" ca="1" si="22"/>
        <v/>
      </c>
    </row>
    <row r="135" spans="1:10" x14ac:dyDescent="0.2">
      <c r="A135" s="18">
        <v>122</v>
      </c>
      <c r="B135" s="72"/>
      <c r="C135" s="73"/>
      <c r="D135" s="20" t="str">
        <f t="shared" ca="1" si="16"/>
        <v/>
      </c>
      <c r="E135" s="20" t="str">
        <f t="shared" ca="1" si="17"/>
        <v/>
      </c>
      <c r="F135" s="20" t="str">
        <f t="shared" si="18"/>
        <v/>
      </c>
      <c r="G135" s="67" t="str">
        <f t="shared" ca="1" si="19"/>
        <v/>
      </c>
      <c r="H135" s="67" t="str">
        <f t="shared" ca="1" si="20"/>
        <v/>
      </c>
      <c r="I135" s="67" t="str">
        <f t="shared" ca="1" si="21"/>
        <v/>
      </c>
      <c r="J135" s="67" t="str">
        <f t="shared" ca="1" si="22"/>
        <v/>
      </c>
    </row>
    <row r="136" spans="1:10" x14ac:dyDescent="0.2">
      <c r="A136" s="18">
        <v>123</v>
      </c>
      <c r="B136" s="72"/>
      <c r="C136" s="73"/>
      <c r="D136" s="20" t="str">
        <f t="shared" ca="1" si="16"/>
        <v/>
      </c>
      <c r="E136" s="20" t="str">
        <f t="shared" ca="1" si="17"/>
        <v/>
      </c>
      <c r="F136" s="20" t="str">
        <f t="shared" si="18"/>
        <v/>
      </c>
      <c r="G136" s="67" t="str">
        <f t="shared" ca="1" si="19"/>
        <v/>
      </c>
      <c r="H136" s="67" t="str">
        <f t="shared" ca="1" si="20"/>
        <v/>
      </c>
      <c r="I136" s="67" t="str">
        <f t="shared" ca="1" si="21"/>
        <v/>
      </c>
      <c r="J136" s="67" t="str">
        <f t="shared" ca="1" si="22"/>
        <v/>
      </c>
    </row>
    <row r="137" spans="1:10" x14ac:dyDescent="0.2">
      <c r="A137" s="18">
        <v>124</v>
      </c>
      <c r="B137" s="72"/>
      <c r="C137" s="73"/>
      <c r="D137" s="20" t="str">
        <f t="shared" ca="1" si="16"/>
        <v/>
      </c>
      <c r="E137" s="20" t="str">
        <f t="shared" ca="1" si="17"/>
        <v/>
      </c>
      <c r="F137" s="20" t="str">
        <f t="shared" si="18"/>
        <v/>
      </c>
      <c r="G137" s="67" t="str">
        <f t="shared" ca="1" si="19"/>
        <v/>
      </c>
      <c r="H137" s="67" t="str">
        <f t="shared" ca="1" si="20"/>
        <v/>
      </c>
      <c r="I137" s="67" t="str">
        <f t="shared" ca="1" si="21"/>
        <v/>
      </c>
      <c r="J137" s="67" t="str">
        <f t="shared" ca="1" si="22"/>
        <v/>
      </c>
    </row>
    <row r="138" spans="1:10" x14ac:dyDescent="0.2">
      <c r="A138" s="18">
        <v>125</v>
      </c>
      <c r="B138" s="72"/>
      <c r="C138" s="73"/>
      <c r="D138" s="20" t="str">
        <f t="shared" ca="1" si="16"/>
        <v/>
      </c>
      <c r="E138" s="20" t="str">
        <f t="shared" ca="1" si="17"/>
        <v/>
      </c>
      <c r="F138" s="20" t="str">
        <f t="shared" si="18"/>
        <v/>
      </c>
      <c r="G138" s="67" t="str">
        <f t="shared" ca="1" si="19"/>
        <v/>
      </c>
      <c r="H138" s="67" t="str">
        <f t="shared" ca="1" si="20"/>
        <v/>
      </c>
      <c r="I138" s="67" t="str">
        <f t="shared" ca="1" si="21"/>
        <v/>
      </c>
      <c r="J138" s="67" t="str">
        <f t="shared" ca="1" si="22"/>
        <v/>
      </c>
    </row>
    <row r="139" spans="1:10" x14ac:dyDescent="0.2">
      <c r="A139" s="18">
        <v>126</v>
      </c>
      <c r="B139" s="72"/>
      <c r="C139" s="73"/>
      <c r="D139" s="20" t="str">
        <f t="shared" ca="1" si="16"/>
        <v/>
      </c>
      <c r="E139" s="20" t="str">
        <f t="shared" ca="1" si="17"/>
        <v/>
      </c>
      <c r="F139" s="20" t="str">
        <f t="shared" si="18"/>
        <v/>
      </c>
      <c r="G139" s="67" t="str">
        <f t="shared" ca="1" si="19"/>
        <v/>
      </c>
      <c r="H139" s="67" t="str">
        <f t="shared" ca="1" si="20"/>
        <v/>
      </c>
      <c r="I139" s="67" t="str">
        <f t="shared" ca="1" si="21"/>
        <v/>
      </c>
      <c r="J139" s="67" t="str">
        <f t="shared" ca="1" si="22"/>
        <v/>
      </c>
    </row>
    <row r="140" spans="1:10" x14ac:dyDescent="0.2">
      <c r="A140" s="18">
        <v>127</v>
      </c>
      <c r="B140" s="72"/>
      <c r="C140" s="73"/>
      <c r="D140" s="20" t="str">
        <f t="shared" ca="1" si="16"/>
        <v/>
      </c>
      <c r="E140" s="20" t="str">
        <f t="shared" ca="1" si="17"/>
        <v/>
      </c>
      <c r="F140" s="20" t="str">
        <f t="shared" si="18"/>
        <v/>
      </c>
      <c r="G140" s="67" t="str">
        <f t="shared" ca="1" si="19"/>
        <v/>
      </c>
      <c r="H140" s="67" t="str">
        <f t="shared" ca="1" si="20"/>
        <v/>
      </c>
      <c r="I140" s="67" t="str">
        <f t="shared" ca="1" si="21"/>
        <v/>
      </c>
      <c r="J140" s="67" t="str">
        <f t="shared" ca="1" si="22"/>
        <v/>
      </c>
    </row>
    <row r="141" spans="1:10" x14ac:dyDescent="0.2">
      <c r="A141" s="18">
        <v>128</v>
      </c>
      <c r="B141" s="72"/>
      <c r="C141" s="73"/>
      <c r="D141" s="20" t="str">
        <f t="shared" ca="1" si="16"/>
        <v/>
      </c>
      <c r="E141" s="20" t="str">
        <f t="shared" ca="1" si="17"/>
        <v/>
      </c>
      <c r="F141" s="20" t="str">
        <f t="shared" si="18"/>
        <v/>
      </c>
      <c r="G141" s="67" t="str">
        <f t="shared" ca="1" si="19"/>
        <v/>
      </c>
      <c r="H141" s="67" t="str">
        <f t="shared" ca="1" si="20"/>
        <v/>
      </c>
      <c r="I141" s="67" t="str">
        <f t="shared" ca="1" si="21"/>
        <v/>
      </c>
      <c r="J141" s="67" t="str">
        <f t="shared" ca="1" si="22"/>
        <v/>
      </c>
    </row>
    <row r="142" spans="1:10" x14ac:dyDescent="0.2">
      <c r="A142" s="18">
        <v>129</v>
      </c>
      <c r="B142" s="72"/>
      <c r="C142" s="73"/>
      <c r="D142" s="20" t="str">
        <f t="shared" ca="1" si="16"/>
        <v/>
      </c>
      <c r="E142" s="20" t="str">
        <f t="shared" ca="1" si="17"/>
        <v/>
      </c>
      <c r="F142" s="20" t="str">
        <f t="shared" si="18"/>
        <v/>
      </c>
      <c r="G142" s="67" t="str">
        <f t="shared" ca="1" si="19"/>
        <v/>
      </c>
      <c r="H142" s="67" t="str">
        <f t="shared" ca="1" si="20"/>
        <v/>
      </c>
      <c r="I142" s="67" t="str">
        <f t="shared" ca="1" si="21"/>
        <v/>
      </c>
      <c r="J142" s="67" t="str">
        <f t="shared" ca="1" si="22"/>
        <v/>
      </c>
    </row>
    <row r="143" spans="1:10" x14ac:dyDescent="0.2">
      <c r="A143" s="18">
        <v>130</v>
      </c>
      <c r="B143" s="72"/>
      <c r="C143" s="73"/>
      <c r="D143" s="20" t="str">
        <f t="shared" ca="1" si="16"/>
        <v/>
      </c>
      <c r="E143" s="20" t="str">
        <f t="shared" ca="1" si="17"/>
        <v/>
      </c>
      <c r="F143" s="20" t="str">
        <f t="shared" si="18"/>
        <v/>
      </c>
      <c r="G143" s="67" t="str">
        <f t="shared" ca="1" si="19"/>
        <v/>
      </c>
      <c r="H143" s="67" t="str">
        <f t="shared" ca="1" si="20"/>
        <v/>
      </c>
      <c r="I143" s="67" t="str">
        <f t="shared" ca="1" si="21"/>
        <v/>
      </c>
      <c r="J143" s="67" t="str">
        <f t="shared" ca="1" si="22"/>
        <v/>
      </c>
    </row>
    <row r="144" spans="1:10" x14ac:dyDescent="0.2">
      <c r="A144" s="18">
        <v>131</v>
      </c>
      <c r="B144" s="72"/>
      <c r="C144" s="73"/>
      <c r="D144" s="20" t="str">
        <f t="shared" ca="1" si="16"/>
        <v/>
      </c>
      <c r="E144" s="20" t="str">
        <f t="shared" ca="1" si="17"/>
        <v/>
      </c>
      <c r="F144" s="20" t="str">
        <f t="shared" si="18"/>
        <v/>
      </c>
      <c r="G144" s="67" t="str">
        <f t="shared" ca="1" si="19"/>
        <v/>
      </c>
      <c r="H144" s="67" t="str">
        <f t="shared" ca="1" si="20"/>
        <v/>
      </c>
      <c r="I144" s="67" t="str">
        <f t="shared" ca="1" si="21"/>
        <v/>
      </c>
      <c r="J144" s="67" t="str">
        <f t="shared" ca="1" si="22"/>
        <v/>
      </c>
    </row>
    <row r="145" spans="1:10" x14ac:dyDescent="0.2">
      <c r="A145" s="18">
        <v>132</v>
      </c>
      <c r="B145" s="72"/>
      <c r="C145" s="73"/>
      <c r="D145" s="20" t="str">
        <f t="shared" ca="1" si="16"/>
        <v/>
      </c>
      <c r="E145" s="20" t="str">
        <f t="shared" ca="1" si="17"/>
        <v/>
      </c>
      <c r="F145" s="20" t="str">
        <f t="shared" si="18"/>
        <v/>
      </c>
      <c r="G145" s="67" t="str">
        <f t="shared" ca="1" si="19"/>
        <v/>
      </c>
      <c r="H145" s="67" t="str">
        <f t="shared" ca="1" si="20"/>
        <v/>
      </c>
      <c r="I145" s="67" t="str">
        <f t="shared" ca="1" si="21"/>
        <v/>
      </c>
      <c r="J145" s="67" t="str">
        <f t="shared" ca="1" si="22"/>
        <v/>
      </c>
    </row>
    <row r="146" spans="1:10" x14ac:dyDescent="0.2">
      <c r="A146" s="18">
        <v>133</v>
      </c>
      <c r="B146" s="72"/>
      <c r="C146" s="73"/>
      <c r="D146" s="20" t="str">
        <f t="shared" ca="1" si="16"/>
        <v/>
      </c>
      <c r="E146" s="20" t="str">
        <f t="shared" ca="1" si="17"/>
        <v/>
      </c>
      <c r="F146" s="20" t="str">
        <f t="shared" si="18"/>
        <v/>
      </c>
      <c r="G146" s="67" t="str">
        <f t="shared" ca="1" si="19"/>
        <v/>
      </c>
      <c r="H146" s="67" t="str">
        <f t="shared" ca="1" si="20"/>
        <v/>
      </c>
      <c r="I146" s="67" t="str">
        <f t="shared" ca="1" si="21"/>
        <v/>
      </c>
      <c r="J146" s="67" t="str">
        <f t="shared" ca="1" si="22"/>
        <v/>
      </c>
    </row>
    <row r="147" spans="1:10" x14ac:dyDescent="0.2">
      <c r="A147" s="18">
        <v>134</v>
      </c>
      <c r="B147" s="72"/>
      <c r="C147" s="73"/>
      <c r="D147" s="20" t="str">
        <f t="shared" ca="1" si="16"/>
        <v/>
      </c>
      <c r="E147" s="20" t="str">
        <f t="shared" ca="1" si="17"/>
        <v/>
      </c>
      <c r="F147" s="20" t="str">
        <f t="shared" si="18"/>
        <v/>
      </c>
      <c r="G147" s="67" t="str">
        <f t="shared" ca="1" si="19"/>
        <v/>
      </c>
      <c r="H147" s="67" t="str">
        <f t="shared" ca="1" si="20"/>
        <v/>
      </c>
      <c r="I147" s="67" t="str">
        <f t="shared" ca="1" si="21"/>
        <v/>
      </c>
      <c r="J147" s="67" t="str">
        <f t="shared" ca="1" si="22"/>
        <v/>
      </c>
    </row>
    <row r="148" spans="1:10" x14ac:dyDescent="0.2">
      <c r="A148" s="18">
        <v>135</v>
      </c>
      <c r="B148" s="72"/>
      <c r="C148" s="73"/>
      <c r="D148" s="20" t="str">
        <f t="shared" ca="1" si="16"/>
        <v/>
      </c>
      <c r="E148" s="20" t="str">
        <f t="shared" ca="1" si="17"/>
        <v/>
      </c>
      <c r="F148" s="20" t="str">
        <f t="shared" si="18"/>
        <v/>
      </c>
      <c r="G148" s="67" t="str">
        <f t="shared" ca="1" si="19"/>
        <v/>
      </c>
      <c r="H148" s="67" t="str">
        <f t="shared" ca="1" si="20"/>
        <v/>
      </c>
      <c r="I148" s="67" t="str">
        <f t="shared" ca="1" si="21"/>
        <v/>
      </c>
      <c r="J148" s="67" t="str">
        <f t="shared" ca="1" si="22"/>
        <v/>
      </c>
    </row>
    <row r="149" spans="1:10" x14ac:dyDescent="0.2">
      <c r="A149" s="18">
        <v>136</v>
      </c>
      <c r="B149" s="72"/>
      <c r="C149" s="73"/>
      <c r="D149" s="20" t="str">
        <f t="shared" ca="1" si="16"/>
        <v/>
      </c>
      <c r="E149" s="20" t="str">
        <f t="shared" ca="1" si="17"/>
        <v/>
      </c>
      <c r="F149" s="20" t="str">
        <f t="shared" si="18"/>
        <v/>
      </c>
      <c r="G149" s="67" t="str">
        <f t="shared" ca="1" si="19"/>
        <v/>
      </c>
      <c r="H149" s="67" t="str">
        <f t="shared" ca="1" si="20"/>
        <v/>
      </c>
      <c r="I149" s="67" t="str">
        <f t="shared" ca="1" si="21"/>
        <v/>
      </c>
      <c r="J149" s="67" t="str">
        <f t="shared" ca="1" si="22"/>
        <v/>
      </c>
    </row>
    <row r="150" spans="1:10" x14ac:dyDescent="0.2">
      <c r="A150" s="18">
        <v>137</v>
      </c>
      <c r="B150" s="72"/>
      <c r="C150" s="73"/>
      <c r="D150" s="20" t="str">
        <f t="shared" ca="1" si="16"/>
        <v/>
      </c>
      <c r="E150" s="20" t="str">
        <f t="shared" ca="1" si="17"/>
        <v/>
      </c>
      <c r="F150" s="20" t="str">
        <f t="shared" si="18"/>
        <v/>
      </c>
      <c r="G150" s="67" t="str">
        <f t="shared" ca="1" si="19"/>
        <v/>
      </c>
      <c r="H150" s="67" t="str">
        <f t="shared" ca="1" si="20"/>
        <v/>
      </c>
      <c r="I150" s="67" t="str">
        <f t="shared" ca="1" si="21"/>
        <v/>
      </c>
      <c r="J150" s="67" t="str">
        <f t="shared" ca="1" si="22"/>
        <v/>
      </c>
    </row>
    <row r="151" spans="1:10" x14ac:dyDescent="0.2">
      <c r="A151" s="18">
        <v>138</v>
      </c>
      <c r="B151" s="72"/>
      <c r="C151" s="73"/>
      <c r="D151" s="20" t="str">
        <f t="shared" ca="1" si="16"/>
        <v/>
      </c>
      <c r="E151" s="20" t="str">
        <f t="shared" ca="1" si="17"/>
        <v/>
      </c>
      <c r="F151" s="20" t="str">
        <f t="shared" si="18"/>
        <v/>
      </c>
      <c r="G151" s="67" t="str">
        <f t="shared" ca="1" si="19"/>
        <v/>
      </c>
      <c r="H151" s="67" t="str">
        <f t="shared" ca="1" si="20"/>
        <v/>
      </c>
      <c r="I151" s="67" t="str">
        <f t="shared" ca="1" si="21"/>
        <v/>
      </c>
      <c r="J151" s="67" t="str">
        <f t="shared" ca="1" si="22"/>
        <v/>
      </c>
    </row>
    <row r="152" spans="1:10" x14ac:dyDescent="0.2">
      <c r="A152" s="18">
        <v>139</v>
      </c>
      <c r="B152" s="72"/>
      <c r="C152" s="73"/>
      <c r="D152" s="20" t="str">
        <f t="shared" ca="1" si="16"/>
        <v/>
      </c>
      <c r="E152" s="20" t="str">
        <f t="shared" ca="1" si="17"/>
        <v/>
      </c>
      <c r="F152" s="20" t="str">
        <f t="shared" si="18"/>
        <v/>
      </c>
      <c r="G152" s="67" t="str">
        <f t="shared" ca="1" si="19"/>
        <v/>
      </c>
      <c r="H152" s="67" t="str">
        <f t="shared" ca="1" si="20"/>
        <v/>
      </c>
      <c r="I152" s="67" t="str">
        <f t="shared" ca="1" si="21"/>
        <v/>
      </c>
      <c r="J152" s="67" t="str">
        <f t="shared" ca="1" si="22"/>
        <v/>
      </c>
    </row>
    <row r="153" spans="1:10" x14ac:dyDescent="0.2">
      <c r="A153" s="18">
        <v>140</v>
      </c>
      <c r="B153" s="72"/>
      <c r="C153" s="73"/>
      <c r="D153" s="20" t="str">
        <f t="shared" ca="1" si="16"/>
        <v/>
      </c>
      <c r="E153" s="20" t="str">
        <f t="shared" ca="1" si="17"/>
        <v/>
      </c>
      <c r="F153" s="20" t="str">
        <f t="shared" si="18"/>
        <v/>
      </c>
      <c r="G153" s="67" t="str">
        <f t="shared" ca="1" si="19"/>
        <v/>
      </c>
      <c r="H153" s="67" t="str">
        <f t="shared" ca="1" si="20"/>
        <v/>
      </c>
      <c r="I153" s="67" t="str">
        <f t="shared" ca="1" si="21"/>
        <v/>
      </c>
      <c r="J153" s="67" t="str">
        <f t="shared" ca="1" si="22"/>
        <v/>
      </c>
    </row>
    <row r="154" spans="1:10" x14ac:dyDescent="0.2">
      <c r="A154" s="18">
        <v>141</v>
      </c>
      <c r="B154" s="72"/>
      <c r="C154" s="73"/>
      <c r="D154" s="20" t="str">
        <f t="shared" ca="1" si="16"/>
        <v/>
      </c>
      <c r="E154" s="20" t="str">
        <f t="shared" ca="1" si="17"/>
        <v/>
      </c>
      <c r="F154" s="20" t="str">
        <f t="shared" si="18"/>
        <v/>
      </c>
      <c r="G154" s="67" t="str">
        <f t="shared" ca="1" si="19"/>
        <v/>
      </c>
      <c r="H154" s="67" t="str">
        <f t="shared" ca="1" si="20"/>
        <v/>
      </c>
      <c r="I154" s="67" t="str">
        <f t="shared" ca="1" si="21"/>
        <v/>
      </c>
      <c r="J154" s="67" t="str">
        <f t="shared" ca="1" si="22"/>
        <v/>
      </c>
    </row>
    <row r="155" spans="1:10" x14ac:dyDescent="0.2">
      <c r="A155" s="18">
        <v>142</v>
      </c>
      <c r="B155" s="72"/>
      <c r="C155" s="73"/>
      <c r="D155" s="20" t="str">
        <f t="shared" ca="1" si="16"/>
        <v/>
      </c>
      <c r="E155" s="20" t="str">
        <f t="shared" ca="1" si="17"/>
        <v/>
      </c>
      <c r="F155" s="20" t="str">
        <f t="shared" si="18"/>
        <v/>
      </c>
      <c r="G155" s="67" t="str">
        <f t="shared" ca="1" si="19"/>
        <v/>
      </c>
      <c r="H155" s="67" t="str">
        <f t="shared" ca="1" si="20"/>
        <v/>
      </c>
      <c r="I155" s="67" t="str">
        <f t="shared" ca="1" si="21"/>
        <v/>
      </c>
      <c r="J155" s="67" t="str">
        <f t="shared" ca="1" si="22"/>
        <v/>
      </c>
    </row>
    <row r="156" spans="1:10" x14ac:dyDescent="0.2">
      <c r="A156" s="18">
        <v>143</v>
      </c>
      <c r="B156" s="72"/>
      <c r="C156" s="73"/>
      <c r="D156" s="20" t="str">
        <f t="shared" ca="1" si="16"/>
        <v/>
      </c>
      <c r="E156" s="20" t="str">
        <f t="shared" ca="1" si="17"/>
        <v/>
      </c>
      <c r="F156" s="20" t="str">
        <f t="shared" si="18"/>
        <v/>
      </c>
      <c r="G156" s="67" t="str">
        <f t="shared" ca="1" si="19"/>
        <v/>
      </c>
      <c r="H156" s="67" t="str">
        <f t="shared" ca="1" si="20"/>
        <v/>
      </c>
      <c r="I156" s="67" t="str">
        <f t="shared" ca="1" si="21"/>
        <v/>
      </c>
      <c r="J156" s="67" t="str">
        <f t="shared" ca="1" si="22"/>
        <v/>
      </c>
    </row>
    <row r="157" spans="1:10" x14ac:dyDescent="0.2">
      <c r="A157" s="18">
        <v>144</v>
      </c>
      <c r="B157" s="72"/>
      <c r="C157" s="73"/>
      <c r="D157" s="20" t="str">
        <f t="shared" ca="1" si="16"/>
        <v/>
      </c>
      <c r="E157" s="20" t="str">
        <f t="shared" ca="1" si="17"/>
        <v/>
      </c>
      <c r="F157" s="20" t="str">
        <f t="shared" si="18"/>
        <v/>
      </c>
      <c r="G157" s="67" t="str">
        <f t="shared" ca="1" si="19"/>
        <v/>
      </c>
      <c r="H157" s="67" t="str">
        <f t="shared" ca="1" si="20"/>
        <v/>
      </c>
      <c r="I157" s="67" t="str">
        <f t="shared" ca="1" si="21"/>
        <v/>
      </c>
      <c r="J157" s="67" t="str">
        <f t="shared" ca="1" si="22"/>
        <v/>
      </c>
    </row>
    <row r="158" spans="1:10" x14ac:dyDescent="0.2">
      <c r="A158" s="18">
        <v>145</v>
      </c>
      <c r="B158" s="72"/>
      <c r="C158" s="73"/>
      <c r="D158" s="20" t="str">
        <f t="shared" ca="1" si="16"/>
        <v/>
      </c>
      <c r="E158" s="20" t="str">
        <f t="shared" ca="1" si="17"/>
        <v/>
      </c>
      <c r="F158" s="20" t="str">
        <f t="shared" si="18"/>
        <v/>
      </c>
      <c r="G158" s="67" t="str">
        <f t="shared" ca="1" si="19"/>
        <v/>
      </c>
      <c r="H158" s="67" t="str">
        <f t="shared" ca="1" si="20"/>
        <v/>
      </c>
      <c r="I158" s="67" t="str">
        <f t="shared" ca="1" si="21"/>
        <v/>
      </c>
      <c r="J158" s="67" t="str">
        <f t="shared" ca="1" si="22"/>
        <v/>
      </c>
    </row>
    <row r="159" spans="1:10" x14ac:dyDescent="0.2">
      <c r="A159" s="18">
        <v>146</v>
      </c>
      <c r="B159" s="72"/>
      <c r="C159" s="73"/>
      <c r="D159" s="20" t="str">
        <f t="shared" ca="1" si="16"/>
        <v/>
      </c>
      <c r="E159" s="20" t="str">
        <f t="shared" ca="1" si="17"/>
        <v/>
      </c>
      <c r="F159" s="20" t="str">
        <f t="shared" si="18"/>
        <v/>
      </c>
      <c r="G159" s="67" t="str">
        <f t="shared" ca="1" si="19"/>
        <v/>
      </c>
      <c r="H159" s="67" t="str">
        <f t="shared" ca="1" si="20"/>
        <v/>
      </c>
      <c r="I159" s="67" t="str">
        <f t="shared" ca="1" si="21"/>
        <v/>
      </c>
      <c r="J159" s="67" t="str">
        <f t="shared" ca="1" si="22"/>
        <v/>
      </c>
    </row>
    <row r="160" spans="1:10" x14ac:dyDescent="0.2">
      <c r="A160" s="18">
        <v>147</v>
      </c>
      <c r="B160" s="72"/>
      <c r="C160" s="73"/>
      <c r="D160" s="20" t="str">
        <f t="shared" ca="1" si="16"/>
        <v/>
      </c>
      <c r="E160" s="20" t="str">
        <f t="shared" ca="1" si="17"/>
        <v/>
      </c>
      <c r="F160" s="20" t="str">
        <f t="shared" si="18"/>
        <v/>
      </c>
      <c r="G160" s="67" t="str">
        <f t="shared" ca="1" si="19"/>
        <v/>
      </c>
      <c r="H160" s="67" t="str">
        <f t="shared" ca="1" si="20"/>
        <v/>
      </c>
      <c r="I160" s="67" t="str">
        <f t="shared" ca="1" si="21"/>
        <v/>
      </c>
      <c r="J160" s="67" t="str">
        <f t="shared" ca="1" si="22"/>
        <v/>
      </c>
    </row>
    <row r="161" spans="1:10" x14ac:dyDescent="0.2">
      <c r="A161" s="18">
        <v>148</v>
      </c>
      <c r="B161" s="72"/>
      <c r="C161" s="73"/>
      <c r="D161" s="20" t="str">
        <f t="shared" ca="1" si="16"/>
        <v/>
      </c>
      <c r="E161" s="20" t="str">
        <f t="shared" ca="1" si="17"/>
        <v/>
      </c>
      <c r="F161" s="20" t="str">
        <f t="shared" si="18"/>
        <v/>
      </c>
      <c r="G161" s="67" t="str">
        <f t="shared" ca="1" si="19"/>
        <v/>
      </c>
      <c r="H161" s="67" t="str">
        <f t="shared" ca="1" si="20"/>
        <v/>
      </c>
      <c r="I161" s="67" t="str">
        <f t="shared" ca="1" si="21"/>
        <v/>
      </c>
      <c r="J161" s="67" t="str">
        <f t="shared" ca="1" si="22"/>
        <v/>
      </c>
    </row>
    <row r="162" spans="1:10" x14ac:dyDescent="0.2">
      <c r="A162" s="18">
        <v>149</v>
      </c>
      <c r="B162" s="72"/>
      <c r="C162" s="73"/>
      <c r="D162" s="20" t="str">
        <f t="shared" ca="1" si="16"/>
        <v/>
      </c>
      <c r="E162" s="20" t="str">
        <f t="shared" ca="1" si="17"/>
        <v/>
      </c>
      <c r="F162" s="20" t="str">
        <f t="shared" si="18"/>
        <v/>
      </c>
      <c r="G162" s="67" t="str">
        <f t="shared" ca="1" si="19"/>
        <v/>
      </c>
      <c r="H162" s="67" t="str">
        <f t="shared" ca="1" si="20"/>
        <v/>
      </c>
      <c r="I162" s="67" t="str">
        <f t="shared" ca="1" si="21"/>
        <v/>
      </c>
      <c r="J162" s="67" t="str">
        <f t="shared" ca="1" si="22"/>
        <v/>
      </c>
    </row>
    <row r="163" spans="1:10" x14ac:dyDescent="0.2">
      <c r="A163" s="18">
        <v>150</v>
      </c>
      <c r="B163" s="72"/>
      <c r="C163" s="73"/>
      <c r="D163" s="20" t="str">
        <f t="shared" ca="1" si="16"/>
        <v/>
      </c>
      <c r="E163" s="20" t="str">
        <f t="shared" ca="1" si="17"/>
        <v/>
      </c>
      <c r="F163" s="20" t="str">
        <f t="shared" si="18"/>
        <v/>
      </c>
      <c r="G163" s="67" t="str">
        <f t="shared" ca="1" si="19"/>
        <v/>
      </c>
      <c r="H163" s="67" t="str">
        <f t="shared" ca="1" si="20"/>
        <v/>
      </c>
      <c r="I163" s="67" t="str">
        <f t="shared" ca="1" si="21"/>
        <v/>
      </c>
      <c r="J163" s="67" t="str">
        <f t="shared" ca="1" si="22"/>
        <v/>
      </c>
    </row>
    <row r="164" spans="1:10" x14ac:dyDescent="0.2">
      <c r="A164" s="18">
        <v>151</v>
      </c>
      <c r="B164" s="72"/>
      <c r="C164" s="73"/>
      <c r="D164" s="20" t="str">
        <f t="shared" ca="1" si="16"/>
        <v/>
      </c>
      <c r="E164" s="20" t="str">
        <f t="shared" ca="1" si="17"/>
        <v/>
      </c>
      <c r="F164" s="20" t="str">
        <f t="shared" si="18"/>
        <v/>
      </c>
      <c r="G164" s="67" t="str">
        <f t="shared" ca="1" si="19"/>
        <v/>
      </c>
      <c r="H164" s="67" t="str">
        <f t="shared" ca="1" si="20"/>
        <v/>
      </c>
      <c r="I164" s="67" t="str">
        <f t="shared" ca="1" si="21"/>
        <v/>
      </c>
      <c r="J164" s="67" t="str">
        <f t="shared" ca="1" si="22"/>
        <v/>
      </c>
    </row>
    <row r="165" spans="1:10" x14ac:dyDescent="0.2">
      <c r="A165" s="18">
        <v>152</v>
      </c>
      <c r="B165" s="72"/>
      <c r="C165" s="73"/>
      <c r="D165" s="20" t="str">
        <f t="shared" ca="1" si="16"/>
        <v/>
      </c>
      <c r="E165" s="20" t="str">
        <f t="shared" ca="1" si="17"/>
        <v/>
      </c>
      <c r="F165" s="20" t="str">
        <f t="shared" si="18"/>
        <v/>
      </c>
      <c r="G165" s="67" t="str">
        <f t="shared" ca="1" si="19"/>
        <v/>
      </c>
      <c r="H165" s="67" t="str">
        <f t="shared" ca="1" si="20"/>
        <v/>
      </c>
      <c r="I165" s="67" t="str">
        <f t="shared" ca="1" si="21"/>
        <v/>
      </c>
      <c r="J165" s="67" t="str">
        <f t="shared" ca="1" si="22"/>
        <v/>
      </c>
    </row>
    <row r="166" spans="1:10" x14ac:dyDescent="0.2">
      <c r="A166" s="18">
        <v>153</v>
      </c>
      <c r="B166" s="72"/>
      <c r="C166" s="73"/>
      <c r="D166" s="20" t="str">
        <f t="shared" ca="1" si="16"/>
        <v/>
      </c>
      <c r="E166" s="20" t="str">
        <f t="shared" ca="1" si="17"/>
        <v/>
      </c>
      <c r="F166" s="20" t="str">
        <f t="shared" si="18"/>
        <v/>
      </c>
      <c r="G166" s="67" t="str">
        <f t="shared" ca="1" si="19"/>
        <v/>
      </c>
      <c r="H166" s="67" t="str">
        <f t="shared" ca="1" si="20"/>
        <v/>
      </c>
      <c r="I166" s="67" t="str">
        <f t="shared" ca="1" si="21"/>
        <v/>
      </c>
      <c r="J166" s="67" t="str">
        <f t="shared" ca="1" si="22"/>
        <v/>
      </c>
    </row>
    <row r="167" spans="1:10" x14ac:dyDescent="0.2">
      <c r="A167" s="18">
        <v>154</v>
      </c>
      <c r="B167" s="72"/>
      <c r="C167" s="73"/>
      <c r="D167" s="20" t="str">
        <f t="shared" ca="1" si="16"/>
        <v/>
      </c>
      <c r="E167" s="20" t="str">
        <f t="shared" ca="1" si="17"/>
        <v/>
      </c>
      <c r="F167" s="20" t="str">
        <f t="shared" si="18"/>
        <v/>
      </c>
      <c r="G167" s="67" t="str">
        <f t="shared" ca="1" si="19"/>
        <v/>
      </c>
      <c r="H167" s="67" t="str">
        <f t="shared" ca="1" si="20"/>
        <v/>
      </c>
      <c r="I167" s="67" t="str">
        <f t="shared" ca="1" si="21"/>
        <v/>
      </c>
      <c r="J167" s="67" t="str">
        <f t="shared" ca="1" si="22"/>
        <v/>
      </c>
    </row>
    <row r="168" spans="1:10" x14ac:dyDescent="0.2">
      <c r="A168" s="18">
        <v>155</v>
      </c>
      <c r="B168" s="72"/>
      <c r="C168" s="73"/>
      <c r="D168" s="20" t="str">
        <f t="shared" ca="1" si="16"/>
        <v/>
      </c>
      <c r="E168" s="20" t="str">
        <f t="shared" ca="1" si="17"/>
        <v/>
      </c>
      <c r="F168" s="20" t="str">
        <f t="shared" si="18"/>
        <v/>
      </c>
      <c r="G168" s="67" t="str">
        <f t="shared" ca="1" si="19"/>
        <v/>
      </c>
      <c r="H168" s="67" t="str">
        <f t="shared" ca="1" si="20"/>
        <v/>
      </c>
      <c r="I168" s="67" t="str">
        <f t="shared" ca="1" si="21"/>
        <v/>
      </c>
      <c r="J168" s="67" t="str">
        <f t="shared" ca="1" si="22"/>
        <v/>
      </c>
    </row>
    <row r="169" spans="1:10" x14ac:dyDescent="0.2">
      <c r="A169" s="18">
        <v>156</v>
      </c>
      <c r="B169" s="72"/>
      <c r="C169" s="73"/>
      <c r="D169" s="20" t="str">
        <f t="shared" ca="1" si="16"/>
        <v/>
      </c>
      <c r="E169" s="20" t="str">
        <f t="shared" ca="1" si="17"/>
        <v/>
      </c>
      <c r="F169" s="20" t="str">
        <f t="shared" si="18"/>
        <v/>
      </c>
      <c r="G169" s="67" t="str">
        <f t="shared" ca="1" si="19"/>
        <v/>
      </c>
      <c r="H169" s="67" t="str">
        <f t="shared" ca="1" si="20"/>
        <v/>
      </c>
      <c r="I169" s="67" t="str">
        <f t="shared" ca="1" si="21"/>
        <v/>
      </c>
      <c r="J169" s="67" t="str">
        <f t="shared" ca="1" si="22"/>
        <v/>
      </c>
    </row>
    <row r="170" spans="1:10" x14ac:dyDescent="0.2">
      <c r="A170" s="18">
        <v>157</v>
      </c>
      <c r="B170" s="72"/>
      <c r="C170" s="73"/>
      <c r="D170" s="20" t="str">
        <f t="shared" ca="1" si="16"/>
        <v/>
      </c>
      <c r="E170" s="20" t="str">
        <f t="shared" ca="1" si="17"/>
        <v/>
      </c>
      <c r="F170" s="20" t="str">
        <f t="shared" si="18"/>
        <v/>
      </c>
      <c r="G170" s="67" t="str">
        <f t="shared" ca="1" si="19"/>
        <v/>
      </c>
      <c r="H170" s="67" t="str">
        <f t="shared" ca="1" si="20"/>
        <v/>
      </c>
      <c r="I170" s="67" t="str">
        <f t="shared" ca="1" si="21"/>
        <v/>
      </c>
      <c r="J170" s="67" t="str">
        <f t="shared" ca="1" si="22"/>
        <v/>
      </c>
    </row>
    <row r="171" spans="1:10" x14ac:dyDescent="0.2">
      <c r="A171" s="18">
        <v>158</v>
      </c>
      <c r="B171" s="72"/>
      <c r="C171" s="73"/>
      <c r="D171" s="20" t="str">
        <f t="shared" ca="1" si="16"/>
        <v/>
      </c>
      <c r="E171" s="20" t="str">
        <f t="shared" ca="1" si="17"/>
        <v/>
      </c>
      <c r="F171" s="20" t="str">
        <f t="shared" si="18"/>
        <v/>
      </c>
      <c r="G171" s="67" t="str">
        <f t="shared" ca="1" si="19"/>
        <v/>
      </c>
      <c r="H171" s="67" t="str">
        <f t="shared" ca="1" si="20"/>
        <v/>
      </c>
      <c r="I171" s="67" t="str">
        <f t="shared" ca="1" si="21"/>
        <v/>
      </c>
      <c r="J171" s="67" t="str">
        <f t="shared" ca="1" si="22"/>
        <v/>
      </c>
    </row>
    <row r="172" spans="1:10" x14ac:dyDescent="0.2">
      <c r="A172" s="18">
        <v>159</v>
      </c>
      <c r="B172" s="72"/>
      <c r="C172" s="73"/>
      <c r="D172" s="20" t="str">
        <f t="shared" ca="1" si="16"/>
        <v/>
      </c>
      <c r="E172" s="20" t="str">
        <f t="shared" ca="1" si="17"/>
        <v/>
      </c>
      <c r="F172" s="20" t="str">
        <f t="shared" si="18"/>
        <v/>
      </c>
      <c r="G172" s="67" t="str">
        <f t="shared" ca="1" si="19"/>
        <v/>
      </c>
      <c r="H172" s="67" t="str">
        <f t="shared" ca="1" si="20"/>
        <v/>
      </c>
      <c r="I172" s="67" t="str">
        <f t="shared" ca="1" si="21"/>
        <v/>
      </c>
      <c r="J172" s="67" t="str">
        <f t="shared" ca="1" si="22"/>
        <v/>
      </c>
    </row>
    <row r="173" spans="1:10" x14ac:dyDescent="0.2">
      <c r="A173" s="18">
        <v>160</v>
      </c>
      <c r="B173" s="72"/>
      <c r="C173" s="73"/>
      <c r="D173" s="20" t="str">
        <f t="shared" ca="1" si="16"/>
        <v/>
      </c>
      <c r="E173" s="20" t="str">
        <f t="shared" ca="1" si="17"/>
        <v/>
      </c>
      <c r="F173" s="20" t="str">
        <f t="shared" si="18"/>
        <v/>
      </c>
      <c r="G173" s="67" t="str">
        <f t="shared" ca="1" si="19"/>
        <v/>
      </c>
      <c r="H173" s="67" t="str">
        <f t="shared" ca="1" si="20"/>
        <v/>
      </c>
      <c r="I173" s="67" t="str">
        <f t="shared" ca="1" si="21"/>
        <v/>
      </c>
      <c r="J173" s="67" t="str">
        <f t="shared" ca="1" si="22"/>
        <v/>
      </c>
    </row>
    <row r="174" spans="1:10" x14ac:dyDescent="0.2">
      <c r="A174" s="18">
        <v>161</v>
      </c>
      <c r="B174" s="72"/>
      <c r="C174" s="73"/>
      <c r="D174" s="20" t="str">
        <f t="shared" ca="1" si="16"/>
        <v/>
      </c>
      <c r="E174" s="20" t="str">
        <f t="shared" ca="1" si="17"/>
        <v/>
      </c>
      <c r="F174" s="20" t="str">
        <f t="shared" si="18"/>
        <v/>
      </c>
      <c r="G174" s="67" t="str">
        <f t="shared" ca="1" si="19"/>
        <v/>
      </c>
      <c r="H174" s="67" t="str">
        <f t="shared" ca="1" si="20"/>
        <v/>
      </c>
      <c r="I174" s="67" t="str">
        <f t="shared" ca="1" si="21"/>
        <v/>
      </c>
      <c r="J174" s="67" t="str">
        <f t="shared" ca="1" si="22"/>
        <v/>
      </c>
    </row>
    <row r="175" spans="1:10" x14ac:dyDescent="0.2">
      <c r="A175" s="18">
        <v>162</v>
      </c>
      <c r="B175" s="72"/>
      <c r="C175" s="73"/>
      <c r="D175" s="20" t="str">
        <f t="shared" ca="1" si="16"/>
        <v/>
      </c>
      <c r="E175" s="20" t="str">
        <f t="shared" ca="1" si="17"/>
        <v/>
      </c>
      <c r="F175" s="20" t="str">
        <f t="shared" si="18"/>
        <v/>
      </c>
      <c r="G175" s="67" t="str">
        <f t="shared" ca="1" si="19"/>
        <v/>
      </c>
      <c r="H175" s="67" t="str">
        <f t="shared" ca="1" si="20"/>
        <v/>
      </c>
      <c r="I175" s="67" t="str">
        <f t="shared" ca="1" si="21"/>
        <v/>
      </c>
      <c r="J175" s="67" t="str">
        <f t="shared" ca="1" si="22"/>
        <v/>
      </c>
    </row>
    <row r="176" spans="1:10" x14ac:dyDescent="0.2">
      <c r="A176" s="18">
        <v>163</v>
      </c>
      <c r="B176" s="72"/>
      <c r="C176" s="73"/>
      <c r="D176" s="20" t="str">
        <f t="shared" ca="1" si="16"/>
        <v/>
      </c>
      <c r="E176" s="20" t="str">
        <f t="shared" ca="1" si="17"/>
        <v/>
      </c>
      <c r="F176" s="20" t="str">
        <f t="shared" si="18"/>
        <v/>
      </c>
      <c r="G176" s="67" t="str">
        <f t="shared" ca="1" si="19"/>
        <v/>
      </c>
      <c r="H176" s="67" t="str">
        <f t="shared" ca="1" si="20"/>
        <v/>
      </c>
      <c r="I176" s="67" t="str">
        <f t="shared" ca="1" si="21"/>
        <v/>
      </c>
      <c r="J176" s="67" t="str">
        <f t="shared" ca="1" si="22"/>
        <v/>
      </c>
    </row>
    <row r="177" spans="1:10" x14ac:dyDescent="0.2">
      <c r="A177" s="18">
        <v>164</v>
      </c>
      <c r="B177" s="72"/>
      <c r="C177" s="73"/>
      <c r="D177" s="20" t="str">
        <f t="shared" ca="1" si="16"/>
        <v/>
      </c>
      <c r="E177" s="20" t="str">
        <f t="shared" ca="1" si="17"/>
        <v/>
      </c>
      <c r="F177" s="20" t="str">
        <f t="shared" si="18"/>
        <v/>
      </c>
      <c r="G177" s="67" t="str">
        <f t="shared" ca="1" si="19"/>
        <v/>
      </c>
      <c r="H177" s="67" t="str">
        <f t="shared" ca="1" si="20"/>
        <v/>
      </c>
      <c r="I177" s="67" t="str">
        <f t="shared" ca="1" si="21"/>
        <v/>
      </c>
      <c r="J177" s="67" t="str">
        <f t="shared" ca="1" si="22"/>
        <v/>
      </c>
    </row>
    <row r="178" spans="1:10" x14ac:dyDescent="0.2">
      <c r="A178" s="18">
        <v>165</v>
      </c>
      <c r="B178" s="72"/>
      <c r="C178" s="73"/>
      <c r="D178" s="20" t="str">
        <f t="shared" ref="D178:D213" ca="1" si="23">IF(B178="","",INDIRECT("'" &amp; A178 &amp; "_" &amp; B178 &amp; "'!G4"))</f>
        <v/>
      </c>
      <c r="E178" s="20" t="str">
        <f t="shared" ref="E178:E213" ca="1" si="24">IF(B178="","",INDIRECT("'" &amp; A178 &amp; "_" &amp; B178 &amp; "'!H4"))</f>
        <v/>
      </c>
      <c r="F178" s="20" t="str">
        <f t="shared" ref="F178:F213" si="25">IF(B178="","",SUM(D178,E178))</f>
        <v/>
      </c>
      <c r="G178" s="67" t="str">
        <f t="shared" ref="G178:G213" ca="1" si="26">IF(B178="","",INDIRECT("'" &amp; A178 &amp; "_" &amp; B178 &amp; "'!I4"))</f>
        <v/>
      </c>
      <c r="H178" s="67" t="str">
        <f t="shared" ref="H178:H213" ca="1" si="27">IF(B178="","",INDIRECT("'" &amp; A178 &amp; "_" &amp; B178 &amp; "'!J4"))</f>
        <v/>
      </c>
      <c r="I178" s="67" t="str">
        <f t="shared" ref="I178:I213" ca="1" si="28">IF(B178="","",INDIRECT("'" &amp; A178 &amp; "_" &amp; B178 &amp; "'!K4"))</f>
        <v/>
      </c>
      <c r="J178" s="67" t="str">
        <f t="shared" ref="J178:J213" ca="1" si="29">IF(B178="","",INDIRECT("'" &amp; A178 &amp; "_" &amp; B178 &amp; "'!L4"))</f>
        <v/>
      </c>
    </row>
    <row r="179" spans="1:10" x14ac:dyDescent="0.2">
      <c r="A179" s="18">
        <v>166</v>
      </c>
      <c r="B179" s="72"/>
      <c r="C179" s="73"/>
      <c r="D179" s="20" t="str">
        <f t="shared" ca="1" si="23"/>
        <v/>
      </c>
      <c r="E179" s="20" t="str">
        <f t="shared" ca="1" si="24"/>
        <v/>
      </c>
      <c r="F179" s="20" t="str">
        <f t="shared" si="25"/>
        <v/>
      </c>
      <c r="G179" s="67" t="str">
        <f t="shared" ca="1" si="26"/>
        <v/>
      </c>
      <c r="H179" s="67" t="str">
        <f t="shared" ca="1" si="27"/>
        <v/>
      </c>
      <c r="I179" s="67" t="str">
        <f t="shared" ca="1" si="28"/>
        <v/>
      </c>
      <c r="J179" s="67" t="str">
        <f t="shared" ca="1" si="29"/>
        <v/>
      </c>
    </row>
    <row r="180" spans="1:10" x14ac:dyDescent="0.2">
      <c r="A180" s="18">
        <v>167</v>
      </c>
      <c r="B180" s="72"/>
      <c r="C180" s="73"/>
      <c r="D180" s="20" t="str">
        <f t="shared" ca="1" si="23"/>
        <v/>
      </c>
      <c r="E180" s="20" t="str">
        <f t="shared" ca="1" si="24"/>
        <v/>
      </c>
      <c r="F180" s="20" t="str">
        <f t="shared" si="25"/>
        <v/>
      </c>
      <c r="G180" s="67" t="str">
        <f t="shared" ca="1" si="26"/>
        <v/>
      </c>
      <c r="H180" s="67" t="str">
        <f t="shared" ca="1" si="27"/>
        <v/>
      </c>
      <c r="I180" s="67" t="str">
        <f t="shared" ca="1" si="28"/>
        <v/>
      </c>
      <c r="J180" s="67" t="str">
        <f t="shared" ca="1" si="29"/>
        <v/>
      </c>
    </row>
    <row r="181" spans="1:10" x14ac:dyDescent="0.2">
      <c r="A181" s="18">
        <v>168</v>
      </c>
      <c r="B181" s="72"/>
      <c r="C181" s="73"/>
      <c r="D181" s="20" t="str">
        <f t="shared" ca="1" si="23"/>
        <v/>
      </c>
      <c r="E181" s="20" t="str">
        <f t="shared" ca="1" si="24"/>
        <v/>
      </c>
      <c r="F181" s="20" t="str">
        <f t="shared" si="25"/>
        <v/>
      </c>
      <c r="G181" s="67" t="str">
        <f t="shared" ca="1" si="26"/>
        <v/>
      </c>
      <c r="H181" s="67" t="str">
        <f t="shared" ca="1" si="27"/>
        <v/>
      </c>
      <c r="I181" s="67" t="str">
        <f t="shared" ca="1" si="28"/>
        <v/>
      </c>
      <c r="J181" s="67" t="str">
        <f t="shared" ca="1" si="29"/>
        <v/>
      </c>
    </row>
    <row r="182" spans="1:10" x14ac:dyDescent="0.2">
      <c r="A182" s="18">
        <v>169</v>
      </c>
      <c r="B182" s="72"/>
      <c r="C182" s="73"/>
      <c r="D182" s="20" t="str">
        <f t="shared" ca="1" si="23"/>
        <v/>
      </c>
      <c r="E182" s="20" t="str">
        <f t="shared" ca="1" si="24"/>
        <v/>
      </c>
      <c r="F182" s="20" t="str">
        <f t="shared" si="25"/>
        <v/>
      </c>
      <c r="G182" s="67" t="str">
        <f t="shared" ca="1" si="26"/>
        <v/>
      </c>
      <c r="H182" s="67" t="str">
        <f t="shared" ca="1" si="27"/>
        <v/>
      </c>
      <c r="I182" s="67" t="str">
        <f t="shared" ca="1" si="28"/>
        <v/>
      </c>
      <c r="J182" s="67" t="str">
        <f t="shared" ca="1" si="29"/>
        <v/>
      </c>
    </row>
    <row r="183" spans="1:10" x14ac:dyDescent="0.2">
      <c r="A183" s="18">
        <v>170</v>
      </c>
      <c r="B183" s="72"/>
      <c r="C183" s="73"/>
      <c r="D183" s="20" t="str">
        <f t="shared" ca="1" si="23"/>
        <v/>
      </c>
      <c r="E183" s="20" t="str">
        <f t="shared" ca="1" si="24"/>
        <v/>
      </c>
      <c r="F183" s="20" t="str">
        <f t="shared" si="25"/>
        <v/>
      </c>
      <c r="G183" s="67" t="str">
        <f t="shared" ca="1" si="26"/>
        <v/>
      </c>
      <c r="H183" s="67" t="str">
        <f t="shared" ca="1" si="27"/>
        <v/>
      </c>
      <c r="I183" s="67" t="str">
        <f t="shared" ca="1" si="28"/>
        <v/>
      </c>
      <c r="J183" s="67" t="str">
        <f t="shared" ca="1" si="29"/>
        <v/>
      </c>
    </row>
    <row r="184" spans="1:10" x14ac:dyDescent="0.2">
      <c r="A184" s="18">
        <v>171</v>
      </c>
      <c r="B184" s="72"/>
      <c r="C184" s="73"/>
      <c r="D184" s="20" t="str">
        <f t="shared" ca="1" si="23"/>
        <v/>
      </c>
      <c r="E184" s="20" t="str">
        <f t="shared" ca="1" si="24"/>
        <v/>
      </c>
      <c r="F184" s="20" t="str">
        <f t="shared" si="25"/>
        <v/>
      </c>
      <c r="G184" s="67" t="str">
        <f t="shared" ca="1" si="26"/>
        <v/>
      </c>
      <c r="H184" s="67" t="str">
        <f t="shared" ca="1" si="27"/>
        <v/>
      </c>
      <c r="I184" s="67" t="str">
        <f t="shared" ca="1" si="28"/>
        <v/>
      </c>
      <c r="J184" s="67" t="str">
        <f t="shared" ca="1" si="29"/>
        <v/>
      </c>
    </row>
    <row r="185" spans="1:10" x14ac:dyDescent="0.2">
      <c r="A185" s="18">
        <v>172</v>
      </c>
      <c r="B185" s="72"/>
      <c r="C185" s="73"/>
      <c r="D185" s="20" t="str">
        <f t="shared" ca="1" si="23"/>
        <v/>
      </c>
      <c r="E185" s="20" t="str">
        <f t="shared" ca="1" si="24"/>
        <v/>
      </c>
      <c r="F185" s="20" t="str">
        <f t="shared" si="25"/>
        <v/>
      </c>
      <c r="G185" s="67" t="str">
        <f t="shared" ca="1" si="26"/>
        <v/>
      </c>
      <c r="H185" s="67" t="str">
        <f t="shared" ca="1" si="27"/>
        <v/>
      </c>
      <c r="I185" s="67" t="str">
        <f t="shared" ca="1" si="28"/>
        <v/>
      </c>
      <c r="J185" s="67" t="str">
        <f t="shared" ca="1" si="29"/>
        <v/>
      </c>
    </row>
    <row r="186" spans="1:10" x14ac:dyDescent="0.2">
      <c r="A186" s="18">
        <v>173</v>
      </c>
      <c r="B186" s="72"/>
      <c r="C186" s="73"/>
      <c r="D186" s="20" t="str">
        <f t="shared" ca="1" si="23"/>
        <v/>
      </c>
      <c r="E186" s="20" t="str">
        <f t="shared" ca="1" si="24"/>
        <v/>
      </c>
      <c r="F186" s="20" t="str">
        <f t="shared" si="25"/>
        <v/>
      </c>
      <c r="G186" s="67" t="str">
        <f t="shared" ca="1" si="26"/>
        <v/>
      </c>
      <c r="H186" s="67" t="str">
        <f t="shared" ca="1" si="27"/>
        <v/>
      </c>
      <c r="I186" s="67" t="str">
        <f t="shared" ca="1" si="28"/>
        <v/>
      </c>
      <c r="J186" s="67" t="str">
        <f t="shared" ca="1" si="29"/>
        <v/>
      </c>
    </row>
    <row r="187" spans="1:10" x14ac:dyDescent="0.2">
      <c r="A187" s="18">
        <v>174</v>
      </c>
      <c r="B187" s="72"/>
      <c r="C187" s="73"/>
      <c r="D187" s="20" t="str">
        <f t="shared" ca="1" si="23"/>
        <v/>
      </c>
      <c r="E187" s="20" t="str">
        <f t="shared" ca="1" si="24"/>
        <v/>
      </c>
      <c r="F187" s="20" t="str">
        <f t="shared" si="25"/>
        <v/>
      </c>
      <c r="G187" s="67" t="str">
        <f t="shared" ca="1" si="26"/>
        <v/>
      </c>
      <c r="H187" s="67" t="str">
        <f t="shared" ca="1" si="27"/>
        <v/>
      </c>
      <c r="I187" s="67" t="str">
        <f t="shared" ca="1" si="28"/>
        <v/>
      </c>
      <c r="J187" s="67" t="str">
        <f t="shared" ca="1" si="29"/>
        <v/>
      </c>
    </row>
    <row r="188" spans="1:10" x14ac:dyDescent="0.2">
      <c r="A188" s="18">
        <v>175</v>
      </c>
      <c r="B188" s="72"/>
      <c r="C188" s="73"/>
      <c r="D188" s="20" t="str">
        <f t="shared" ca="1" si="23"/>
        <v/>
      </c>
      <c r="E188" s="20" t="str">
        <f t="shared" ca="1" si="24"/>
        <v/>
      </c>
      <c r="F188" s="20" t="str">
        <f t="shared" si="25"/>
        <v/>
      </c>
      <c r="G188" s="67" t="str">
        <f t="shared" ca="1" si="26"/>
        <v/>
      </c>
      <c r="H188" s="67" t="str">
        <f t="shared" ca="1" si="27"/>
        <v/>
      </c>
      <c r="I188" s="67" t="str">
        <f t="shared" ca="1" si="28"/>
        <v/>
      </c>
      <c r="J188" s="67" t="str">
        <f t="shared" ca="1" si="29"/>
        <v/>
      </c>
    </row>
    <row r="189" spans="1:10" x14ac:dyDescent="0.2">
      <c r="A189" s="18">
        <v>176</v>
      </c>
      <c r="B189" s="72"/>
      <c r="C189" s="73"/>
      <c r="D189" s="20" t="str">
        <f t="shared" ca="1" si="23"/>
        <v/>
      </c>
      <c r="E189" s="20" t="str">
        <f t="shared" ca="1" si="24"/>
        <v/>
      </c>
      <c r="F189" s="20" t="str">
        <f t="shared" si="25"/>
        <v/>
      </c>
      <c r="G189" s="67" t="str">
        <f t="shared" ca="1" si="26"/>
        <v/>
      </c>
      <c r="H189" s="67" t="str">
        <f t="shared" ca="1" si="27"/>
        <v/>
      </c>
      <c r="I189" s="67" t="str">
        <f t="shared" ca="1" si="28"/>
        <v/>
      </c>
      <c r="J189" s="67" t="str">
        <f t="shared" ca="1" si="29"/>
        <v/>
      </c>
    </row>
    <row r="190" spans="1:10" x14ac:dyDescent="0.2">
      <c r="A190" s="18">
        <v>177</v>
      </c>
      <c r="B190" s="72"/>
      <c r="C190" s="73"/>
      <c r="D190" s="20" t="str">
        <f t="shared" ca="1" si="23"/>
        <v/>
      </c>
      <c r="E190" s="20" t="str">
        <f t="shared" ca="1" si="24"/>
        <v/>
      </c>
      <c r="F190" s="20" t="str">
        <f t="shared" si="25"/>
        <v/>
      </c>
      <c r="G190" s="67" t="str">
        <f t="shared" ca="1" si="26"/>
        <v/>
      </c>
      <c r="H190" s="67" t="str">
        <f t="shared" ca="1" si="27"/>
        <v/>
      </c>
      <c r="I190" s="67" t="str">
        <f t="shared" ca="1" si="28"/>
        <v/>
      </c>
      <c r="J190" s="67" t="str">
        <f t="shared" ca="1" si="29"/>
        <v/>
      </c>
    </row>
    <row r="191" spans="1:10" x14ac:dyDescent="0.2">
      <c r="A191" s="18">
        <v>178</v>
      </c>
      <c r="B191" s="72"/>
      <c r="C191" s="73"/>
      <c r="D191" s="20" t="str">
        <f t="shared" ca="1" si="23"/>
        <v/>
      </c>
      <c r="E191" s="20" t="str">
        <f t="shared" ca="1" si="24"/>
        <v/>
      </c>
      <c r="F191" s="20" t="str">
        <f t="shared" si="25"/>
        <v/>
      </c>
      <c r="G191" s="67" t="str">
        <f t="shared" ca="1" si="26"/>
        <v/>
      </c>
      <c r="H191" s="67" t="str">
        <f t="shared" ca="1" si="27"/>
        <v/>
      </c>
      <c r="I191" s="67" t="str">
        <f t="shared" ca="1" si="28"/>
        <v/>
      </c>
      <c r="J191" s="67" t="str">
        <f t="shared" ca="1" si="29"/>
        <v/>
      </c>
    </row>
    <row r="192" spans="1:10" x14ac:dyDescent="0.2">
      <c r="A192" s="18">
        <v>179</v>
      </c>
      <c r="B192" s="72"/>
      <c r="C192" s="73"/>
      <c r="D192" s="20" t="str">
        <f t="shared" ca="1" si="23"/>
        <v/>
      </c>
      <c r="E192" s="20" t="str">
        <f t="shared" ca="1" si="24"/>
        <v/>
      </c>
      <c r="F192" s="20" t="str">
        <f t="shared" si="25"/>
        <v/>
      </c>
      <c r="G192" s="67" t="str">
        <f t="shared" ca="1" si="26"/>
        <v/>
      </c>
      <c r="H192" s="67" t="str">
        <f t="shared" ca="1" si="27"/>
        <v/>
      </c>
      <c r="I192" s="67" t="str">
        <f t="shared" ca="1" si="28"/>
        <v/>
      </c>
      <c r="J192" s="67" t="str">
        <f t="shared" ca="1" si="29"/>
        <v/>
      </c>
    </row>
    <row r="193" spans="1:10" x14ac:dyDescent="0.2">
      <c r="A193" s="18">
        <v>180</v>
      </c>
      <c r="B193" s="72"/>
      <c r="C193" s="73"/>
      <c r="D193" s="20" t="str">
        <f t="shared" ca="1" si="23"/>
        <v/>
      </c>
      <c r="E193" s="20" t="str">
        <f t="shared" ca="1" si="24"/>
        <v/>
      </c>
      <c r="F193" s="20" t="str">
        <f t="shared" si="25"/>
        <v/>
      </c>
      <c r="G193" s="67" t="str">
        <f t="shared" ca="1" si="26"/>
        <v/>
      </c>
      <c r="H193" s="67" t="str">
        <f t="shared" ca="1" si="27"/>
        <v/>
      </c>
      <c r="I193" s="67" t="str">
        <f t="shared" ca="1" si="28"/>
        <v/>
      </c>
      <c r="J193" s="67" t="str">
        <f t="shared" ca="1" si="29"/>
        <v/>
      </c>
    </row>
    <row r="194" spans="1:10" x14ac:dyDescent="0.2">
      <c r="A194" s="18">
        <v>181</v>
      </c>
      <c r="B194" s="72"/>
      <c r="C194" s="73"/>
      <c r="D194" s="20" t="str">
        <f t="shared" ca="1" si="23"/>
        <v/>
      </c>
      <c r="E194" s="20" t="str">
        <f t="shared" ca="1" si="24"/>
        <v/>
      </c>
      <c r="F194" s="20" t="str">
        <f t="shared" si="25"/>
        <v/>
      </c>
      <c r="G194" s="67" t="str">
        <f t="shared" ca="1" si="26"/>
        <v/>
      </c>
      <c r="H194" s="67" t="str">
        <f t="shared" ca="1" si="27"/>
        <v/>
      </c>
      <c r="I194" s="67" t="str">
        <f t="shared" ca="1" si="28"/>
        <v/>
      </c>
      <c r="J194" s="67" t="str">
        <f t="shared" ca="1" si="29"/>
        <v/>
      </c>
    </row>
    <row r="195" spans="1:10" x14ac:dyDescent="0.2">
      <c r="A195" s="18">
        <v>182</v>
      </c>
      <c r="B195" s="72"/>
      <c r="C195" s="73"/>
      <c r="D195" s="20" t="str">
        <f t="shared" ca="1" si="23"/>
        <v/>
      </c>
      <c r="E195" s="20" t="str">
        <f t="shared" ca="1" si="24"/>
        <v/>
      </c>
      <c r="F195" s="20" t="str">
        <f t="shared" si="25"/>
        <v/>
      </c>
      <c r="G195" s="67" t="str">
        <f t="shared" ca="1" si="26"/>
        <v/>
      </c>
      <c r="H195" s="67" t="str">
        <f t="shared" ca="1" si="27"/>
        <v/>
      </c>
      <c r="I195" s="67" t="str">
        <f t="shared" ca="1" si="28"/>
        <v/>
      </c>
      <c r="J195" s="67" t="str">
        <f t="shared" ca="1" si="29"/>
        <v/>
      </c>
    </row>
    <row r="196" spans="1:10" x14ac:dyDescent="0.2">
      <c r="A196" s="18">
        <v>183</v>
      </c>
      <c r="B196" s="72"/>
      <c r="C196" s="73"/>
      <c r="D196" s="20" t="str">
        <f t="shared" ca="1" si="23"/>
        <v/>
      </c>
      <c r="E196" s="20" t="str">
        <f t="shared" ca="1" si="24"/>
        <v/>
      </c>
      <c r="F196" s="20" t="str">
        <f t="shared" si="25"/>
        <v/>
      </c>
      <c r="G196" s="67" t="str">
        <f t="shared" ca="1" si="26"/>
        <v/>
      </c>
      <c r="H196" s="67" t="str">
        <f t="shared" ca="1" si="27"/>
        <v/>
      </c>
      <c r="I196" s="67" t="str">
        <f t="shared" ca="1" si="28"/>
        <v/>
      </c>
      <c r="J196" s="67" t="str">
        <f t="shared" ca="1" si="29"/>
        <v/>
      </c>
    </row>
    <row r="197" spans="1:10" x14ac:dyDescent="0.2">
      <c r="A197" s="18">
        <v>184</v>
      </c>
      <c r="B197" s="72"/>
      <c r="C197" s="73"/>
      <c r="D197" s="20" t="str">
        <f t="shared" ca="1" si="23"/>
        <v/>
      </c>
      <c r="E197" s="20" t="str">
        <f t="shared" ca="1" si="24"/>
        <v/>
      </c>
      <c r="F197" s="20" t="str">
        <f t="shared" si="25"/>
        <v/>
      </c>
      <c r="G197" s="67" t="str">
        <f t="shared" ca="1" si="26"/>
        <v/>
      </c>
      <c r="H197" s="67" t="str">
        <f t="shared" ca="1" si="27"/>
        <v/>
      </c>
      <c r="I197" s="67" t="str">
        <f t="shared" ca="1" si="28"/>
        <v/>
      </c>
      <c r="J197" s="67" t="str">
        <f t="shared" ca="1" si="29"/>
        <v/>
      </c>
    </row>
    <row r="198" spans="1:10" x14ac:dyDescent="0.2">
      <c r="A198" s="18">
        <v>185</v>
      </c>
      <c r="B198" s="72"/>
      <c r="C198" s="73"/>
      <c r="D198" s="20" t="str">
        <f t="shared" ca="1" si="23"/>
        <v/>
      </c>
      <c r="E198" s="20" t="str">
        <f t="shared" ca="1" si="24"/>
        <v/>
      </c>
      <c r="F198" s="20" t="str">
        <f t="shared" si="25"/>
        <v/>
      </c>
      <c r="G198" s="67" t="str">
        <f t="shared" ca="1" si="26"/>
        <v/>
      </c>
      <c r="H198" s="67" t="str">
        <f t="shared" ca="1" si="27"/>
        <v/>
      </c>
      <c r="I198" s="67" t="str">
        <f t="shared" ca="1" si="28"/>
        <v/>
      </c>
      <c r="J198" s="67" t="str">
        <f t="shared" ca="1" si="29"/>
        <v/>
      </c>
    </row>
    <row r="199" spans="1:10" x14ac:dyDescent="0.2">
      <c r="A199" s="18">
        <v>186</v>
      </c>
      <c r="B199" s="72"/>
      <c r="C199" s="73"/>
      <c r="D199" s="20" t="str">
        <f t="shared" ca="1" si="23"/>
        <v/>
      </c>
      <c r="E199" s="20" t="str">
        <f t="shared" ca="1" si="24"/>
        <v/>
      </c>
      <c r="F199" s="20" t="str">
        <f t="shared" si="25"/>
        <v/>
      </c>
      <c r="G199" s="67" t="str">
        <f t="shared" ca="1" si="26"/>
        <v/>
      </c>
      <c r="H199" s="67" t="str">
        <f t="shared" ca="1" si="27"/>
        <v/>
      </c>
      <c r="I199" s="67" t="str">
        <f t="shared" ca="1" si="28"/>
        <v/>
      </c>
      <c r="J199" s="67" t="str">
        <f t="shared" ca="1" si="29"/>
        <v/>
      </c>
    </row>
    <row r="200" spans="1:10" x14ac:dyDescent="0.2">
      <c r="A200" s="18">
        <v>187</v>
      </c>
      <c r="B200" s="72"/>
      <c r="C200" s="73"/>
      <c r="D200" s="20" t="str">
        <f t="shared" ca="1" si="23"/>
        <v/>
      </c>
      <c r="E200" s="20" t="str">
        <f t="shared" ca="1" si="24"/>
        <v/>
      </c>
      <c r="F200" s="20" t="str">
        <f t="shared" si="25"/>
        <v/>
      </c>
      <c r="G200" s="67" t="str">
        <f t="shared" ca="1" si="26"/>
        <v/>
      </c>
      <c r="H200" s="67" t="str">
        <f t="shared" ca="1" si="27"/>
        <v/>
      </c>
      <c r="I200" s="67" t="str">
        <f t="shared" ca="1" si="28"/>
        <v/>
      </c>
      <c r="J200" s="67" t="str">
        <f t="shared" ca="1" si="29"/>
        <v/>
      </c>
    </row>
    <row r="201" spans="1:10" x14ac:dyDescent="0.2">
      <c r="A201" s="18">
        <v>188</v>
      </c>
      <c r="B201" s="72"/>
      <c r="C201" s="73"/>
      <c r="D201" s="20" t="str">
        <f t="shared" ca="1" si="23"/>
        <v/>
      </c>
      <c r="E201" s="20" t="str">
        <f t="shared" ca="1" si="24"/>
        <v/>
      </c>
      <c r="F201" s="20" t="str">
        <f t="shared" si="25"/>
        <v/>
      </c>
      <c r="G201" s="67" t="str">
        <f t="shared" ca="1" si="26"/>
        <v/>
      </c>
      <c r="H201" s="67" t="str">
        <f t="shared" ca="1" si="27"/>
        <v/>
      </c>
      <c r="I201" s="67" t="str">
        <f t="shared" ca="1" si="28"/>
        <v/>
      </c>
      <c r="J201" s="67" t="str">
        <f t="shared" ca="1" si="29"/>
        <v/>
      </c>
    </row>
    <row r="202" spans="1:10" x14ac:dyDescent="0.2">
      <c r="A202" s="18">
        <v>189</v>
      </c>
      <c r="B202" s="72"/>
      <c r="C202" s="73"/>
      <c r="D202" s="20" t="str">
        <f t="shared" ca="1" si="23"/>
        <v/>
      </c>
      <c r="E202" s="20" t="str">
        <f t="shared" ca="1" si="24"/>
        <v/>
      </c>
      <c r="F202" s="20" t="str">
        <f t="shared" si="25"/>
        <v/>
      </c>
      <c r="G202" s="67" t="str">
        <f t="shared" ca="1" si="26"/>
        <v/>
      </c>
      <c r="H202" s="67" t="str">
        <f t="shared" ca="1" si="27"/>
        <v/>
      </c>
      <c r="I202" s="67" t="str">
        <f t="shared" ca="1" si="28"/>
        <v/>
      </c>
      <c r="J202" s="67" t="str">
        <f t="shared" ca="1" si="29"/>
        <v/>
      </c>
    </row>
    <row r="203" spans="1:10" x14ac:dyDescent="0.2">
      <c r="A203" s="18">
        <v>190</v>
      </c>
      <c r="B203" s="72"/>
      <c r="C203" s="73"/>
      <c r="D203" s="20" t="str">
        <f t="shared" ca="1" si="23"/>
        <v/>
      </c>
      <c r="E203" s="20" t="str">
        <f t="shared" ca="1" si="24"/>
        <v/>
      </c>
      <c r="F203" s="20" t="str">
        <f t="shared" si="25"/>
        <v/>
      </c>
      <c r="G203" s="67" t="str">
        <f t="shared" ca="1" si="26"/>
        <v/>
      </c>
      <c r="H203" s="67" t="str">
        <f t="shared" ca="1" si="27"/>
        <v/>
      </c>
      <c r="I203" s="67" t="str">
        <f t="shared" ca="1" si="28"/>
        <v/>
      </c>
      <c r="J203" s="67" t="str">
        <f t="shared" ca="1" si="29"/>
        <v/>
      </c>
    </row>
    <row r="204" spans="1:10" x14ac:dyDescent="0.2">
      <c r="A204" s="18">
        <v>191</v>
      </c>
      <c r="B204" s="72"/>
      <c r="C204" s="73"/>
      <c r="D204" s="20" t="str">
        <f t="shared" ca="1" si="23"/>
        <v/>
      </c>
      <c r="E204" s="20" t="str">
        <f t="shared" ca="1" si="24"/>
        <v/>
      </c>
      <c r="F204" s="20" t="str">
        <f t="shared" si="25"/>
        <v/>
      </c>
      <c r="G204" s="67" t="str">
        <f t="shared" ca="1" si="26"/>
        <v/>
      </c>
      <c r="H204" s="67" t="str">
        <f t="shared" ca="1" si="27"/>
        <v/>
      </c>
      <c r="I204" s="67" t="str">
        <f t="shared" ca="1" si="28"/>
        <v/>
      </c>
      <c r="J204" s="67" t="str">
        <f t="shared" ca="1" si="29"/>
        <v/>
      </c>
    </row>
    <row r="205" spans="1:10" x14ac:dyDescent="0.2">
      <c r="A205" s="18">
        <v>192</v>
      </c>
      <c r="B205" s="72"/>
      <c r="C205" s="73"/>
      <c r="D205" s="20" t="str">
        <f t="shared" ca="1" si="23"/>
        <v/>
      </c>
      <c r="E205" s="20" t="str">
        <f t="shared" ca="1" si="24"/>
        <v/>
      </c>
      <c r="F205" s="20" t="str">
        <f t="shared" si="25"/>
        <v/>
      </c>
      <c r="G205" s="67" t="str">
        <f t="shared" ca="1" si="26"/>
        <v/>
      </c>
      <c r="H205" s="67" t="str">
        <f t="shared" ca="1" si="27"/>
        <v/>
      </c>
      <c r="I205" s="67" t="str">
        <f t="shared" ca="1" si="28"/>
        <v/>
      </c>
      <c r="J205" s="67" t="str">
        <f t="shared" ca="1" si="29"/>
        <v/>
      </c>
    </row>
    <row r="206" spans="1:10" x14ac:dyDescent="0.2">
      <c r="A206" s="18">
        <v>193</v>
      </c>
      <c r="B206" s="72"/>
      <c r="C206" s="73"/>
      <c r="D206" s="20" t="str">
        <f t="shared" ca="1" si="23"/>
        <v/>
      </c>
      <c r="E206" s="20" t="str">
        <f t="shared" ca="1" si="24"/>
        <v/>
      </c>
      <c r="F206" s="20" t="str">
        <f t="shared" si="25"/>
        <v/>
      </c>
      <c r="G206" s="67" t="str">
        <f t="shared" ca="1" si="26"/>
        <v/>
      </c>
      <c r="H206" s="67" t="str">
        <f t="shared" ca="1" si="27"/>
        <v/>
      </c>
      <c r="I206" s="67" t="str">
        <f t="shared" ca="1" si="28"/>
        <v/>
      </c>
      <c r="J206" s="67" t="str">
        <f t="shared" ca="1" si="29"/>
        <v/>
      </c>
    </row>
    <row r="207" spans="1:10" x14ac:dyDescent="0.2">
      <c r="A207" s="18">
        <v>194</v>
      </c>
      <c r="B207" s="72"/>
      <c r="C207" s="73"/>
      <c r="D207" s="20" t="str">
        <f t="shared" ca="1" si="23"/>
        <v/>
      </c>
      <c r="E207" s="20" t="str">
        <f t="shared" ca="1" si="24"/>
        <v/>
      </c>
      <c r="F207" s="20" t="str">
        <f t="shared" si="25"/>
        <v/>
      </c>
      <c r="G207" s="67" t="str">
        <f t="shared" ca="1" si="26"/>
        <v/>
      </c>
      <c r="H207" s="67" t="str">
        <f t="shared" ca="1" si="27"/>
        <v/>
      </c>
      <c r="I207" s="67" t="str">
        <f t="shared" ca="1" si="28"/>
        <v/>
      </c>
      <c r="J207" s="67" t="str">
        <f t="shared" ca="1" si="29"/>
        <v/>
      </c>
    </row>
    <row r="208" spans="1:10" x14ac:dyDescent="0.2">
      <c r="A208" s="18">
        <v>195</v>
      </c>
      <c r="B208" s="72"/>
      <c r="C208" s="73"/>
      <c r="D208" s="20" t="str">
        <f t="shared" ca="1" si="23"/>
        <v/>
      </c>
      <c r="E208" s="20" t="str">
        <f t="shared" ca="1" si="24"/>
        <v/>
      </c>
      <c r="F208" s="20" t="str">
        <f t="shared" si="25"/>
        <v/>
      </c>
      <c r="G208" s="67" t="str">
        <f t="shared" ca="1" si="26"/>
        <v/>
      </c>
      <c r="H208" s="67" t="str">
        <f t="shared" ca="1" si="27"/>
        <v/>
      </c>
      <c r="I208" s="67" t="str">
        <f t="shared" ca="1" si="28"/>
        <v/>
      </c>
      <c r="J208" s="67" t="str">
        <f t="shared" ca="1" si="29"/>
        <v/>
      </c>
    </row>
    <row r="209" spans="1:10" x14ac:dyDescent="0.2">
      <c r="A209" s="18">
        <v>196</v>
      </c>
      <c r="B209" s="72"/>
      <c r="C209" s="73"/>
      <c r="D209" s="20" t="str">
        <f t="shared" ca="1" si="23"/>
        <v/>
      </c>
      <c r="E209" s="20" t="str">
        <f t="shared" ca="1" si="24"/>
        <v/>
      </c>
      <c r="F209" s="20" t="str">
        <f t="shared" si="25"/>
        <v/>
      </c>
      <c r="G209" s="67" t="str">
        <f t="shared" ca="1" si="26"/>
        <v/>
      </c>
      <c r="H209" s="67" t="str">
        <f t="shared" ca="1" si="27"/>
        <v/>
      </c>
      <c r="I209" s="67" t="str">
        <f t="shared" ca="1" si="28"/>
        <v/>
      </c>
      <c r="J209" s="67" t="str">
        <f t="shared" ca="1" si="29"/>
        <v/>
      </c>
    </row>
    <row r="210" spans="1:10" x14ac:dyDescent="0.2">
      <c r="A210" s="18">
        <v>197</v>
      </c>
      <c r="B210" s="72"/>
      <c r="C210" s="73"/>
      <c r="D210" s="20" t="str">
        <f t="shared" ca="1" si="23"/>
        <v/>
      </c>
      <c r="E210" s="20" t="str">
        <f t="shared" ca="1" si="24"/>
        <v/>
      </c>
      <c r="F210" s="20" t="str">
        <f t="shared" si="25"/>
        <v/>
      </c>
      <c r="G210" s="67" t="str">
        <f t="shared" ca="1" si="26"/>
        <v/>
      </c>
      <c r="H210" s="67" t="str">
        <f t="shared" ca="1" si="27"/>
        <v/>
      </c>
      <c r="I210" s="67" t="str">
        <f t="shared" ca="1" si="28"/>
        <v/>
      </c>
      <c r="J210" s="67" t="str">
        <f t="shared" ca="1" si="29"/>
        <v/>
      </c>
    </row>
    <row r="211" spans="1:10" x14ac:dyDescent="0.2">
      <c r="A211" s="18">
        <v>198</v>
      </c>
      <c r="B211" s="72"/>
      <c r="C211" s="73"/>
      <c r="D211" s="20" t="str">
        <f t="shared" ca="1" si="23"/>
        <v/>
      </c>
      <c r="E211" s="20" t="str">
        <f t="shared" ca="1" si="24"/>
        <v/>
      </c>
      <c r="F211" s="20" t="str">
        <f t="shared" si="25"/>
        <v/>
      </c>
      <c r="G211" s="67" t="str">
        <f t="shared" ca="1" si="26"/>
        <v/>
      </c>
      <c r="H211" s="67" t="str">
        <f t="shared" ca="1" si="27"/>
        <v/>
      </c>
      <c r="I211" s="67" t="str">
        <f t="shared" ca="1" si="28"/>
        <v/>
      </c>
      <c r="J211" s="67" t="str">
        <f t="shared" ca="1" si="29"/>
        <v/>
      </c>
    </row>
    <row r="212" spans="1:10" x14ac:dyDescent="0.2">
      <c r="A212" s="18">
        <v>199</v>
      </c>
      <c r="B212" s="72"/>
      <c r="C212" s="73"/>
      <c r="D212" s="20" t="str">
        <f t="shared" ca="1" si="23"/>
        <v/>
      </c>
      <c r="E212" s="20" t="str">
        <f t="shared" ca="1" si="24"/>
        <v/>
      </c>
      <c r="F212" s="20" t="str">
        <f t="shared" si="25"/>
        <v/>
      </c>
      <c r="G212" s="67" t="str">
        <f t="shared" ca="1" si="26"/>
        <v/>
      </c>
      <c r="H212" s="67" t="str">
        <f t="shared" ca="1" si="27"/>
        <v/>
      </c>
      <c r="I212" s="67" t="str">
        <f t="shared" ca="1" si="28"/>
        <v/>
      </c>
      <c r="J212" s="67" t="str">
        <f t="shared" ca="1" si="29"/>
        <v/>
      </c>
    </row>
    <row r="213" spans="1:10" x14ac:dyDescent="0.2">
      <c r="A213" s="18">
        <v>200</v>
      </c>
      <c r="B213" s="72"/>
      <c r="C213" s="73"/>
      <c r="D213" s="20" t="str">
        <f t="shared" ca="1" si="23"/>
        <v/>
      </c>
      <c r="E213" s="20" t="str">
        <f t="shared" ca="1" si="24"/>
        <v/>
      </c>
      <c r="F213" s="20" t="str">
        <f t="shared" si="25"/>
        <v/>
      </c>
      <c r="G213" s="67" t="str">
        <f t="shared" ca="1" si="26"/>
        <v/>
      </c>
      <c r="H213" s="67" t="str">
        <f t="shared" ca="1" si="27"/>
        <v/>
      </c>
      <c r="I213" s="67" t="str">
        <f t="shared" ca="1" si="28"/>
        <v/>
      </c>
      <c r="J213" s="67" t="str">
        <f t="shared" ca="1" si="29"/>
        <v/>
      </c>
    </row>
  </sheetData>
  <mergeCells count="19">
    <mergeCell ref="A1:B1"/>
    <mergeCell ref="D8:G9"/>
    <mergeCell ref="A4:B4"/>
    <mergeCell ref="A5:B5"/>
    <mergeCell ref="A6:B6"/>
    <mergeCell ref="D3:E3"/>
    <mergeCell ref="D4:E4"/>
    <mergeCell ref="D5:E5"/>
    <mergeCell ref="D6:E6"/>
    <mergeCell ref="J12:J13"/>
    <mergeCell ref="C12:C13"/>
    <mergeCell ref="B12:B13"/>
    <mergeCell ref="A12:A13"/>
    <mergeCell ref="H7:J7"/>
    <mergeCell ref="H8:J9"/>
    <mergeCell ref="A8:B8"/>
    <mergeCell ref="A9:B9"/>
    <mergeCell ref="D12:G12"/>
    <mergeCell ref="H12:I12"/>
  </mergeCells>
  <conditionalFormatting sqref="F4:J5">
    <cfRule type="containsErrors" dxfId="6" priority="8">
      <formula>ISERROR(F4)</formula>
    </cfRule>
  </conditionalFormatting>
  <conditionalFormatting sqref="F6:J6">
    <cfRule type="containsErrors" dxfId="5" priority="6">
      <formula>ISERROR(F6)</formula>
    </cfRule>
  </conditionalFormatting>
  <conditionalFormatting sqref="D14:J113">
    <cfRule type="containsErrors" dxfId="4" priority="5">
      <formula>ISERROR(D14)</formula>
    </cfRule>
  </conditionalFormatting>
  <conditionalFormatting sqref="H8:J9">
    <cfRule type="containsErrors" dxfId="3" priority="4">
      <formula>ISERROR(H8)</formula>
    </cfRule>
  </conditionalFormatting>
  <conditionalFormatting sqref="B14:B113">
    <cfRule type="duplicateValues" dxfId="2" priority="3"/>
  </conditionalFormatting>
  <conditionalFormatting sqref="D114:J213">
    <cfRule type="containsErrors" dxfId="1" priority="2">
      <formula>ISERROR(D114)</formula>
    </cfRule>
  </conditionalFormatting>
  <conditionalFormatting sqref="B114:B213">
    <cfRule type="duplicateValues" dxfId="0" priority="1"/>
  </conditionalFormatting>
  <pageMargins left="0.25" right="0.25" top="0.75" bottom="0.75" header="0.3" footer="0.3"/>
  <pageSetup scale="45" fitToHeight="0" orientation="portrait" horizontalDpi="1200" verticalDpi="1200" r:id="rId1"/>
  <drawing r:id="rId2"/>
  <legacyDrawing r:id="rId3"/>
  <controls>
    <mc:AlternateContent xmlns:mc="http://schemas.openxmlformats.org/markup-compatibility/2006">
      <mc:Choice Requires="x14">
        <control shapeId="1028" r:id="rId4" name="CommandButton2">
          <controlPr defaultSize="0" autoLine="0" r:id="rId5">
            <anchor moveWithCells="1">
              <from>
                <xdr:col>7</xdr:col>
                <xdr:colOff>476250</xdr:colOff>
                <xdr:row>0</xdr:row>
                <xdr:rowOff>85725</xdr:rowOff>
              </from>
              <to>
                <xdr:col>10</xdr:col>
                <xdr:colOff>0</xdr:colOff>
                <xdr:row>1</xdr:row>
                <xdr:rowOff>38100</xdr:rowOff>
              </to>
            </anchor>
          </controlPr>
        </control>
      </mc:Choice>
      <mc:Fallback>
        <control shapeId="1028" r:id="rId4" name="CommandButton2"/>
      </mc:Fallback>
    </mc:AlternateContent>
    <mc:AlternateContent xmlns:mc="http://schemas.openxmlformats.org/markup-compatibility/2006">
      <mc:Choice Requires="x14">
        <control shapeId="1027" r:id="rId6" name="CommandButton1">
          <controlPr defaultSize="0" autoLine="0" r:id="rId7">
            <anchor moveWithCells="1">
              <from>
                <xdr:col>4</xdr:col>
                <xdr:colOff>733425</xdr:colOff>
                <xdr:row>0</xdr:row>
                <xdr:rowOff>104775</xdr:rowOff>
              </from>
              <to>
                <xdr:col>6</xdr:col>
                <xdr:colOff>1028700</xdr:colOff>
                <xdr:row>1</xdr:row>
                <xdr:rowOff>38100</xdr:rowOff>
              </to>
            </anchor>
          </controlPr>
        </control>
      </mc:Choice>
      <mc:Fallback>
        <control shapeId="1027" r:id="rId6" name="CommandButton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P10" sqref="P10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1_38K6112001-A01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138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169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2_38K6112301-A01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139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78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3_38K6112303-A01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140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170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4_38K6112304-A01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141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82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5_38K6112305-A01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142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84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6_38K6112306-A01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143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86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7_38K6112316-A01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144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88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8_38K6112317-A01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145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171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P16" sqref="P16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9_38K6112318-A01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146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172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O9" sqref="O9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10_38K6112320-A01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147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173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11_38K6112321-A01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148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96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12_38K6112325-A01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149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98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13_38K6113601-A01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150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174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14_38K6113602-A01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151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175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15_38K6113701-A01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152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104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16_38K6113702-A01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153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106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17_38K6113801-A01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154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108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18_38K6144104-A01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155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176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19_38K6145601-A01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156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169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20_38K6151101-A01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157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169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21_38K6152101-A02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158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169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22_38K6154101-A01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159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177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5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23_38K6154101-T01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160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117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6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24_38K6154101-T02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161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119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7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25_38K6154103-A02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162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121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8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B4" sqref="B4:E4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26_38K6158301-A01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163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178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9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27_38K6164401-A01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164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125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0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28_38K6165401-A01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165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127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1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29_38K6169901-A01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166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129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30_38K6171101-A01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167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131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3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 t="s">
        <v>137</v>
      </c>
      <c r="C1" s="122"/>
      <c r="D1" s="122"/>
      <c r="E1" s="123"/>
      <c r="F1" s="95"/>
      <c r="G1" s="124" t="str">
        <f xml:space="preserve"> "TGI " &amp; B3 &amp; " SUMMARY "</f>
        <v xml:space="preserve">TGI 31_38K6186301-A01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 t="s">
        <v>134</v>
      </c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168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 t="s">
        <v>133</v>
      </c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F75:H75"/>
    <mergeCell ref="F76:H76"/>
    <mergeCell ref="F77:H77"/>
    <mergeCell ref="A78:D78"/>
    <mergeCell ref="F69:H69"/>
    <mergeCell ref="F70:H70"/>
    <mergeCell ref="F71:H71"/>
    <mergeCell ref="F72:H72"/>
    <mergeCell ref="F73:H73"/>
    <mergeCell ref="F74:H74"/>
    <mergeCell ref="F68:H68"/>
    <mergeCell ref="F56:H56"/>
    <mergeCell ref="F57:H57"/>
    <mergeCell ref="F58:H58"/>
    <mergeCell ref="A59:D59"/>
    <mergeCell ref="A61:H61"/>
    <mergeCell ref="F62:H62"/>
    <mergeCell ref="F63:H63"/>
    <mergeCell ref="F64:H64"/>
    <mergeCell ref="F65:H65"/>
    <mergeCell ref="F66:H66"/>
    <mergeCell ref="F67:H67"/>
    <mergeCell ref="F55:H55"/>
    <mergeCell ref="F44:H44"/>
    <mergeCell ref="F45:H45"/>
    <mergeCell ref="F46:H46"/>
    <mergeCell ref="F47:H47"/>
    <mergeCell ref="F48:H48"/>
    <mergeCell ref="F49:H49"/>
    <mergeCell ref="F50:H50"/>
    <mergeCell ref="F51:H51"/>
    <mergeCell ref="F52:H52"/>
    <mergeCell ref="F53:H53"/>
    <mergeCell ref="F54:H54"/>
    <mergeCell ref="F43:H43"/>
    <mergeCell ref="B1:E1"/>
    <mergeCell ref="G1:L2"/>
    <mergeCell ref="B2:E2"/>
    <mergeCell ref="B3:E3"/>
    <mergeCell ref="B4:E4"/>
    <mergeCell ref="A6:L6"/>
    <mergeCell ref="A23:A24"/>
    <mergeCell ref="B23:F23"/>
    <mergeCell ref="G23:K23"/>
    <mergeCell ref="L23:L24"/>
    <mergeCell ref="A42:H42"/>
  </mergeCells>
  <pageMargins left="0.25" right="0.25" top="0.75" bottom="0.75" header="0.3" footer="0.3"/>
  <pageSetup scale="49" fitToHeight="0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2">
    <pageSetUpPr fitToPage="1"/>
  </sheetPr>
  <dimension ref="A1:L80"/>
  <sheetViews>
    <sheetView showGridLines="0" zoomScaleNormal="100" zoomScaleSheetLayoutView="100" workbookViewId="0">
      <pane ySplit="5" topLeftCell="A6" activePane="bottomLeft" state="frozen"/>
      <selection pane="bottomLeft" activeCell="A12" sqref="A12"/>
    </sheetView>
  </sheetViews>
  <sheetFormatPr defaultColWidth="8.7109375" defaultRowHeight="12.75" x14ac:dyDescent="0.2"/>
  <cols>
    <col min="1" max="1" width="25.5703125" style="1" customWidth="1"/>
    <col min="2" max="12" width="16.7109375" style="1" customWidth="1"/>
    <col min="13" max="16384" width="8.7109375" style="1"/>
  </cols>
  <sheetData>
    <row r="1" spans="1:12" ht="18" customHeight="1" x14ac:dyDescent="0.2">
      <c r="A1" s="92" t="s">
        <v>72</v>
      </c>
      <c r="B1" s="121"/>
      <c r="C1" s="122"/>
      <c r="D1" s="122"/>
      <c r="E1" s="123"/>
      <c r="F1" s="95"/>
      <c r="G1" s="124" t="str">
        <f xml:space="preserve"> "TGI " &amp; B3 &amp; " SUMMARY "</f>
        <v xml:space="preserve">TGI MASTER SUMMARY </v>
      </c>
      <c r="H1" s="125"/>
      <c r="I1" s="125"/>
      <c r="J1" s="125"/>
      <c r="K1" s="125"/>
      <c r="L1" s="126"/>
    </row>
    <row r="2" spans="1:12" ht="18" customHeight="1" x14ac:dyDescent="0.2">
      <c r="A2" s="92" t="s">
        <v>20</v>
      </c>
      <c r="B2" s="121"/>
      <c r="C2" s="122"/>
      <c r="D2" s="122"/>
      <c r="E2" s="123"/>
      <c r="F2" s="95"/>
      <c r="G2" s="124"/>
      <c r="H2" s="125"/>
      <c r="I2" s="125"/>
      <c r="J2" s="125"/>
      <c r="K2" s="125"/>
      <c r="L2" s="126"/>
    </row>
    <row r="3" spans="1:12" ht="18" customHeight="1" thickBot="1" x14ac:dyDescent="0.25">
      <c r="A3" s="92" t="s">
        <v>21</v>
      </c>
      <c r="B3" s="121" t="s">
        <v>62</v>
      </c>
      <c r="C3" s="122"/>
      <c r="D3" s="122"/>
      <c r="E3" s="123"/>
      <c r="F3" s="95"/>
      <c r="G3" s="32" t="s">
        <v>69</v>
      </c>
      <c r="H3" s="32" t="s">
        <v>70</v>
      </c>
      <c r="I3" s="32" t="s">
        <v>53</v>
      </c>
      <c r="J3" s="32" t="s">
        <v>54</v>
      </c>
      <c r="K3" s="32" t="s">
        <v>48</v>
      </c>
      <c r="L3" s="32" t="s">
        <v>58</v>
      </c>
    </row>
    <row r="4" spans="1:12" ht="32.25" customHeight="1" thickTop="1" x14ac:dyDescent="0.2">
      <c r="A4" s="92" t="s">
        <v>22</v>
      </c>
      <c r="B4" s="127"/>
      <c r="C4" s="128"/>
      <c r="D4" s="128"/>
      <c r="E4" s="129"/>
      <c r="F4" s="96"/>
      <c r="G4" s="83">
        <f>B38</f>
        <v>0</v>
      </c>
      <c r="H4" s="83">
        <f>G38</f>
        <v>0</v>
      </c>
      <c r="I4" s="84">
        <f>SUM(B40,G40)</f>
        <v>0</v>
      </c>
      <c r="J4" s="84">
        <f>E59</f>
        <v>0</v>
      </c>
      <c r="K4" s="84">
        <f>E78</f>
        <v>0</v>
      </c>
      <c r="L4" s="84">
        <f>SUM(I4,J4,K4)</f>
        <v>0</v>
      </c>
    </row>
    <row r="5" spans="1:12" ht="32.25" customHeight="1" x14ac:dyDescent="0.2">
      <c r="A5" s="81" t="s">
        <v>73</v>
      </c>
      <c r="B5" s="3"/>
      <c r="C5" s="3"/>
      <c r="D5" s="3"/>
      <c r="L5" s="74"/>
    </row>
    <row r="6" spans="1:12" customFormat="1" ht="21.95" customHeight="1" x14ac:dyDescent="0.2">
      <c r="A6" s="130" t="s">
        <v>9</v>
      </c>
      <c r="B6" s="130"/>
      <c r="C6" s="130"/>
      <c r="D6" s="130"/>
      <c r="E6" s="130"/>
      <c r="F6" s="130"/>
      <c r="G6" s="130"/>
      <c r="H6" s="130"/>
      <c r="I6" s="130"/>
      <c r="J6" s="130"/>
      <c r="K6" s="130"/>
      <c r="L6" s="130"/>
    </row>
    <row r="7" spans="1:12" customFormat="1" ht="21.75" customHeight="1" thickBot="1" x14ac:dyDescent="0.25">
      <c r="A7" s="56" t="s">
        <v>0</v>
      </c>
      <c r="B7" s="56" t="s">
        <v>10</v>
      </c>
      <c r="C7" s="56" t="s">
        <v>11</v>
      </c>
      <c r="D7" s="56" t="s">
        <v>12</v>
      </c>
      <c r="E7" s="56" t="s">
        <v>13</v>
      </c>
      <c r="F7" s="56" t="s">
        <v>14</v>
      </c>
      <c r="G7" s="56" t="s">
        <v>15</v>
      </c>
      <c r="H7" s="56" t="s">
        <v>16</v>
      </c>
      <c r="I7" s="56" t="s">
        <v>17</v>
      </c>
      <c r="J7" s="56" t="s">
        <v>18</v>
      </c>
      <c r="K7" s="56" t="s">
        <v>19</v>
      </c>
      <c r="L7" s="56" t="s">
        <v>6</v>
      </c>
    </row>
    <row r="8" spans="1:12" customFormat="1" ht="15" customHeight="1" thickTop="1" x14ac:dyDescent="0.2">
      <c r="A8" s="41"/>
      <c r="B8" s="42"/>
      <c r="C8" s="42"/>
      <c r="D8" s="42"/>
      <c r="E8" s="42"/>
      <c r="F8" s="42"/>
      <c r="G8" s="43"/>
      <c r="H8" s="43"/>
      <c r="I8" s="43"/>
      <c r="J8" s="43"/>
      <c r="K8" s="43"/>
      <c r="L8" s="44" t="str">
        <f>IF(A8="","",SUM(B8:K8))</f>
        <v/>
      </c>
    </row>
    <row r="9" spans="1:12" customFormat="1" ht="15" customHeight="1" x14ac:dyDescent="0.2">
      <c r="A9" s="45"/>
      <c r="B9" s="46"/>
      <c r="C9" s="46"/>
      <c r="D9" s="46"/>
      <c r="E9" s="46"/>
      <c r="F9" s="46"/>
      <c r="G9" s="47"/>
      <c r="H9" s="47"/>
      <c r="I9" s="47"/>
      <c r="J9" s="47"/>
      <c r="K9" s="47"/>
      <c r="L9" s="44" t="str">
        <f t="shared" ref="L9:L20" si="0">IF(A9="","",SUM(B9:K9))</f>
        <v/>
      </c>
    </row>
    <row r="10" spans="1:12" customFormat="1" ht="15" customHeight="1" x14ac:dyDescent="0.2">
      <c r="A10" s="45"/>
      <c r="B10" s="46"/>
      <c r="C10" s="46"/>
      <c r="D10" s="46"/>
      <c r="E10" s="46"/>
      <c r="F10" s="46"/>
      <c r="G10" s="47"/>
      <c r="H10" s="47"/>
      <c r="I10" s="47"/>
      <c r="J10" s="47"/>
      <c r="K10" s="47"/>
      <c r="L10" s="44" t="str">
        <f t="shared" si="0"/>
        <v/>
      </c>
    </row>
    <row r="11" spans="1:12" customFormat="1" ht="15" customHeight="1" x14ac:dyDescent="0.2">
      <c r="A11" s="45"/>
      <c r="B11" s="46"/>
      <c r="C11" s="46"/>
      <c r="D11" s="46"/>
      <c r="E11" s="46"/>
      <c r="F11" s="46"/>
      <c r="G11" s="47"/>
      <c r="H11" s="47"/>
      <c r="I11" s="47"/>
      <c r="J11" s="47"/>
      <c r="K11" s="47"/>
      <c r="L11" s="44" t="str">
        <f t="shared" si="0"/>
        <v/>
      </c>
    </row>
    <row r="12" spans="1:12" customFormat="1" ht="15" customHeight="1" x14ac:dyDescent="0.2">
      <c r="A12" s="48"/>
      <c r="B12" s="49"/>
      <c r="C12" s="49"/>
      <c r="D12" s="49"/>
      <c r="E12" s="49"/>
      <c r="F12" s="49"/>
      <c r="G12" s="47"/>
      <c r="H12" s="47"/>
      <c r="I12" s="47"/>
      <c r="J12" s="47"/>
      <c r="K12" s="47"/>
      <c r="L12" s="44" t="str">
        <f t="shared" si="0"/>
        <v/>
      </c>
    </row>
    <row r="13" spans="1:12" customFormat="1" ht="15" customHeight="1" x14ac:dyDescent="0.2">
      <c r="A13" s="48"/>
      <c r="B13" s="49"/>
      <c r="C13" s="49"/>
      <c r="D13" s="49"/>
      <c r="E13" s="49"/>
      <c r="F13" s="49"/>
      <c r="G13" s="47"/>
      <c r="H13" s="47"/>
      <c r="I13" s="47"/>
      <c r="J13" s="47"/>
      <c r="K13" s="47"/>
      <c r="L13" s="44" t="str">
        <f t="shared" si="0"/>
        <v/>
      </c>
    </row>
    <row r="14" spans="1:12" customFormat="1" ht="15" customHeight="1" x14ac:dyDescent="0.2">
      <c r="A14" s="48"/>
      <c r="B14" s="49"/>
      <c r="C14" s="49"/>
      <c r="D14" s="49"/>
      <c r="E14" s="49"/>
      <c r="F14" s="49"/>
      <c r="G14" s="47"/>
      <c r="H14" s="47"/>
      <c r="I14" s="47"/>
      <c r="J14" s="47"/>
      <c r="K14" s="47"/>
      <c r="L14" s="44" t="str">
        <f t="shared" si="0"/>
        <v/>
      </c>
    </row>
    <row r="15" spans="1:12" customFormat="1" ht="15" customHeight="1" x14ac:dyDescent="0.2">
      <c r="A15" s="48"/>
      <c r="B15" s="49"/>
      <c r="C15" s="49"/>
      <c r="D15" s="49"/>
      <c r="E15" s="49"/>
      <c r="F15" s="49"/>
      <c r="G15" s="47"/>
      <c r="H15" s="47"/>
      <c r="I15" s="47"/>
      <c r="J15" s="47"/>
      <c r="K15" s="47"/>
      <c r="L15" s="44" t="str">
        <f t="shared" si="0"/>
        <v/>
      </c>
    </row>
    <row r="16" spans="1:12" customFormat="1" ht="15" customHeight="1" x14ac:dyDescent="0.2">
      <c r="A16" s="48"/>
      <c r="B16" s="49"/>
      <c r="C16" s="49"/>
      <c r="D16" s="49"/>
      <c r="E16" s="49"/>
      <c r="F16" s="49"/>
      <c r="G16" s="47"/>
      <c r="H16" s="47"/>
      <c r="I16" s="47"/>
      <c r="J16" s="47"/>
      <c r="K16" s="47"/>
      <c r="L16" s="44" t="str">
        <f t="shared" si="0"/>
        <v/>
      </c>
    </row>
    <row r="17" spans="1:12" customFormat="1" ht="15" customHeight="1" x14ac:dyDescent="0.2">
      <c r="A17" s="50"/>
      <c r="B17" s="51"/>
      <c r="C17" s="51"/>
      <c r="D17" s="51"/>
      <c r="E17" s="51"/>
      <c r="F17" s="51"/>
      <c r="G17" s="47"/>
      <c r="H17" s="47"/>
      <c r="I17" s="47"/>
      <c r="J17" s="47"/>
      <c r="K17" s="47"/>
      <c r="L17" s="44" t="str">
        <f t="shared" si="0"/>
        <v/>
      </c>
    </row>
    <row r="18" spans="1:12" customFormat="1" ht="15" customHeight="1" x14ac:dyDescent="0.2">
      <c r="A18" s="48"/>
      <c r="B18" s="49"/>
      <c r="C18" s="49"/>
      <c r="D18" s="49"/>
      <c r="E18" s="49"/>
      <c r="F18" s="49"/>
      <c r="G18" s="47"/>
      <c r="H18" s="47"/>
      <c r="I18" s="47"/>
      <c r="J18" s="47"/>
      <c r="K18" s="47"/>
      <c r="L18" s="44" t="str">
        <f t="shared" si="0"/>
        <v/>
      </c>
    </row>
    <row r="19" spans="1:12" customFormat="1" ht="15" customHeight="1" x14ac:dyDescent="0.2">
      <c r="A19" s="48"/>
      <c r="B19" s="49"/>
      <c r="C19" s="49"/>
      <c r="D19" s="49"/>
      <c r="E19" s="49"/>
      <c r="F19" s="49"/>
      <c r="G19" s="47"/>
      <c r="H19" s="47"/>
      <c r="I19" s="47"/>
      <c r="J19" s="47"/>
      <c r="K19" s="47"/>
      <c r="L19" s="44" t="str">
        <f t="shared" si="0"/>
        <v/>
      </c>
    </row>
    <row r="20" spans="1:12" customFormat="1" ht="15" customHeight="1" x14ac:dyDescent="0.2">
      <c r="A20" s="48"/>
      <c r="B20" s="49"/>
      <c r="C20" s="49"/>
      <c r="D20" s="49"/>
      <c r="E20" s="49"/>
      <c r="F20" s="49"/>
      <c r="G20" s="47"/>
      <c r="H20" s="47"/>
      <c r="I20" s="47"/>
      <c r="J20" s="47"/>
      <c r="K20" s="47"/>
      <c r="L20" s="44" t="str">
        <f t="shared" si="0"/>
        <v/>
      </c>
    </row>
    <row r="21" spans="1:12" customFormat="1" ht="18" customHeight="1" x14ac:dyDescent="0.2">
      <c r="A21" s="23" t="s">
        <v>2</v>
      </c>
      <c r="B21" s="24">
        <f>SUM(B8:B20)</f>
        <v>0</v>
      </c>
      <c r="C21" s="24">
        <f t="shared" ref="C21:K21" si="1">SUM(C8:C20)</f>
        <v>0</v>
      </c>
      <c r="D21" s="24">
        <f t="shared" si="1"/>
        <v>0</v>
      </c>
      <c r="E21" s="24">
        <f t="shared" si="1"/>
        <v>0</v>
      </c>
      <c r="F21" s="24">
        <f t="shared" si="1"/>
        <v>0</v>
      </c>
      <c r="G21" s="24">
        <f t="shared" si="1"/>
        <v>0</v>
      </c>
      <c r="H21" s="24">
        <f t="shared" si="1"/>
        <v>0</v>
      </c>
      <c r="I21" s="24">
        <f t="shared" si="1"/>
        <v>0</v>
      </c>
      <c r="J21" s="24">
        <f t="shared" si="1"/>
        <v>0</v>
      </c>
      <c r="K21" s="24">
        <f t="shared" si="1"/>
        <v>0</v>
      </c>
      <c r="L21" s="24">
        <f>SUM(L8:L20)</f>
        <v>0</v>
      </c>
    </row>
    <row r="22" spans="1:12" customFormat="1" ht="22.5" customHeight="1" x14ac:dyDescent="0.2">
      <c r="A22" s="2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</row>
    <row r="23" spans="1:12" ht="21.95" customHeight="1" x14ac:dyDescent="0.2">
      <c r="A23" s="131" t="s">
        <v>0</v>
      </c>
      <c r="B23" s="133" t="s">
        <v>24</v>
      </c>
      <c r="C23" s="134"/>
      <c r="D23" s="134"/>
      <c r="E23" s="134"/>
      <c r="F23" s="135"/>
      <c r="G23" s="136" t="s">
        <v>30</v>
      </c>
      <c r="H23" s="137"/>
      <c r="I23" s="137"/>
      <c r="J23" s="137"/>
      <c r="K23" s="138"/>
      <c r="L23" s="139" t="s">
        <v>6</v>
      </c>
    </row>
    <row r="24" spans="1:12" s="4" customFormat="1" ht="26.25" thickBot="1" x14ac:dyDescent="0.25">
      <c r="A24" s="132"/>
      <c r="B24" s="60" t="s">
        <v>56</v>
      </c>
      <c r="C24" s="61" t="s">
        <v>34</v>
      </c>
      <c r="D24" s="61" t="s">
        <v>25</v>
      </c>
      <c r="E24" s="61" t="s">
        <v>26</v>
      </c>
      <c r="F24" s="60" t="s">
        <v>27</v>
      </c>
      <c r="G24" s="62" t="s">
        <v>56</v>
      </c>
      <c r="H24" s="63" t="s">
        <v>34</v>
      </c>
      <c r="I24" s="63" t="s">
        <v>25</v>
      </c>
      <c r="J24" s="63" t="s">
        <v>26</v>
      </c>
      <c r="K24" s="62" t="s">
        <v>27</v>
      </c>
      <c r="L24" s="140"/>
    </row>
    <row r="25" spans="1:12" ht="15" customHeight="1" thickTop="1" x14ac:dyDescent="0.2">
      <c r="A25" s="35"/>
      <c r="B25" s="36" t="str">
        <f>IF(A25="","",(C25*D25*E25)+F25)</f>
        <v/>
      </c>
      <c r="C25" s="37"/>
      <c r="D25" s="38"/>
      <c r="E25" s="38"/>
      <c r="F25" s="38"/>
      <c r="G25" s="36" t="str">
        <f>IF(A25="","",(H25*I25*J25)+K25)</f>
        <v/>
      </c>
      <c r="H25" s="37"/>
      <c r="I25" s="38"/>
      <c r="J25" s="38"/>
      <c r="K25" s="38"/>
      <c r="L25" s="97" t="str">
        <f>IF(A25="","",SUM(B25,G25))</f>
        <v/>
      </c>
    </row>
    <row r="26" spans="1:12" ht="15" customHeight="1" x14ac:dyDescent="0.2">
      <c r="A26" s="27"/>
      <c r="B26" s="34" t="str">
        <f t="shared" ref="B26:B37" si="2">IF(A26="","",(C26*D26*E26)+F26)</f>
        <v/>
      </c>
      <c r="C26" s="28"/>
      <c r="D26" s="29"/>
      <c r="E26" s="29"/>
      <c r="F26" s="29"/>
      <c r="G26" s="34" t="str">
        <f t="shared" ref="G26:G37" si="3">IF(A26="","",(H26*I26*J26)+K26)</f>
        <v/>
      </c>
      <c r="H26" s="28"/>
      <c r="I26" s="29"/>
      <c r="J26" s="29"/>
      <c r="K26" s="29"/>
      <c r="L26" s="82" t="str">
        <f t="shared" ref="L26:L37" si="4">IF(A26="","",SUM(B26,G26))</f>
        <v/>
      </c>
    </row>
    <row r="27" spans="1:12" ht="15" customHeight="1" x14ac:dyDescent="0.2">
      <c r="A27" s="27"/>
      <c r="B27" s="34" t="str">
        <f t="shared" si="2"/>
        <v/>
      </c>
      <c r="C27" s="28"/>
      <c r="D27" s="29"/>
      <c r="E27" s="29"/>
      <c r="F27" s="29"/>
      <c r="G27" s="34" t="str">
        <f t="shared" si="3"/>
        <v/>
      </c>
      <c r="H27" s="28"/>
      <c r="I27" s="29"/>
      <c r="J27" s="29"/>
      <c r="K27" s="29"/>
      <c r="L27" s="82" t="str">
        <f t="shared" si="4"/>
        <v/>
      </c>
    </row>
    <row r="28" spans="1:12" ht="15" customHeight="1" x14ac:dyDescent="0.2">
      <c r="A28" s="27"/>
      <c r="B28" s="34" t="str">
        <f t="shared" si="2"/>
        <v/>
      </c>
      <c r="C28" s="28"/>
      <c r="D28" s="29"/>
      <c r="E28" s="29"/>
      <c r="F28" s="29"/>
      <c r="G28" s="34" t="str">
        <f t="shared" si="3"/>
        <v/>
      </c>
      <c r="H28" s="28"/>
      <c r="I28" s="29"/>
      <c r="J28" s="29"/>
      <c r="K28" s="29"/>
      <c r="L28" s="82" t="str">
        <f t="shared" si="4"/>
        <v/>
      </c>
    </row>
    <row r="29" spans="1:12" ht="15" customHeight="1" x14ac:dyDescent="0.2">
      <c r="A29" s="27"/>
      <c r="B29" s="34" t="str">
        <f t="shared" si="2"/>
        <v/>
      </c>
      <c r="C29" s="28"/>
      <c r="D29" s="29"/>
      <c r="E29" s="29"/>
      <c r="F29" s="29"/>
      <c r="G29" s="34" t="str">
        <f t="shared" si="3"/>
        <v/>
      </c>
      <c r="H29" s="28"/>
      <c r="I29" s="29"/>
      <c r="J29" s="29"/>
      <c r="K29" s="29"/>
      <c r="L29" s="82" t="str">
        <f t="shared" si="4"/>
        <v/>
      </c>
    </row>
    <row r="30" spans="1:12" ht="15" customHeight="1" x14ac:dyDescent="0.2">
      <c r="A30" s="27"/>
      <c r="B30" s="34" t="str">
        <f t="shared" si="2"/>
        <v/>
      </c>
      <c r="C30" s="28"/>
      <c r="D30" s="29"/>
      <c r="E30" s="29"/>
      <c r="F30" s="29"/>
      <c r="G30" s="34" t="str">
        <f t="shared" si="3"/>
        <v/>
      </c>
      <c r="H30" s="28"/>
      <c r="I30" s="29"/>
      <c r="J30" s="29"/>
      <c r="K30" s="29"/>
      <c r="L30" s="82" t="str">
        <f t="shared" si="4"/>
        <v/>
      </c>
    </row>
    <row r="31" spans="1:12" ht="15" customHeight="1" x14ac:dyDescent="0.2">
      <c r="A31" s="27"/>
      <c r="B31" s="34" t="str">
        <f t="shared" si="2"/>
        <v/>
      </c>
      <c r="C31" s="28"/>
      <c r="D31" s="29"/>
      <c r="E31" s="29"/>
      <c r="F31" s="29"/>
      <c r="G31" s="34" t="str">
        <f t="shared" si="3"/>
        <v/>
      </c>
      <c r="H31" s="28"/>
      <c r="I31" s="29"/>
      <c r="J31" s="29"/>
      <c r="K31" s="29"/>
      <c r="L31" s="82" t="str">
        <f t="shared" si="4"/>
        <v/>
      </c>
    </row>
    <row r="32" spans="1:12" ht="15" customHeight="1" x14ac:dyDescent="0.2">
      <c r="A32" s="27"/>
      <c r="B32" s="34" t="str">
        <f t="shared" si="2"/>
        <v/>
      </c>
      <c r="C32" s="28"/>
      <c r="D32" s="29"/>
      <c r="E32" s="29"/>
      <c r="F32" s="29"/>
      <c r="G32" s="34" t="str">
        <f t="shared" si="3"/>
        <v/>
      </c>
      <c r="H32" s="28"/>
      <c r="I32" s="29"/>
      <c r="J32" s="29"/>
      <c r="K32" s="29"/>
      <c r="L32" s="82" t="str">
        <f t="shared" si="4"/>
        <v/>
      </c>
    </row>
    <row r="33" spans="1:12" ht="15" customHeight="1" x14ac:dyDescent="0.2">
      <c r="A33" s="27"/>
      <c r="B33" s="34" t="str">
        <f t="shared" si="2"/>
        <v/>
      </c>
      <c r="C33" s="28"/>
      <c r="D33" s="29"/>
      <c r="E33" s="29"/>
      <c r="F33" s="29"/>
      <c r="G33" s="34" t="str">
        <f t="shared" si="3"/>
        <v/>
      </c>
      <c r="H33" s="28"/>
      <c r="I33" s="29"/>
      <c r="J33" s="29"/>
      <c r="K33" s="29"/>
      <c r="L33" s="82" t="str">
        <f t="shared" si="4"/>
        <v/>
      </c>
    </row>
    <row r="34" spans="1:12" ht="15" customHeight="1" x14ac:dyDescent="0.2">
      <c r="A34" s="27"/>
      <c r="B34" s="34" t="str">
        <f t="shared" si="2"/>
        <v/>
      </c>
      <c r="C34" s="28"/>
      <c r="D34" s="29"/>
      <c r="E34" s="29"/>
      <c r="F34" s="29"/>
      <c r="G34" s="34" t="str">
        <f t="shared" si="3"/>
        <v/>
      </c>
      <c r="H34" s="28"/>
      <c r="I34" s="29"/>
      <c r="J34" s="29"/>
      <c r="K34" s="29"/>
      <c r="L34" s="82" t="str">
        <f t="shared" si="4"/>
        <v/>
      </c>
    </row>
    <row r="35" spans="1:12" ht="15" customHeight="1" x14ac:dyDescent="0.2">
      <c r="A35" s="27"/>
      <c r="B35" s="34" t="str">
        <f t="shared" si="2"/>
        <v/>
      </c>
      <c r="C35" s="28"/>
      <c r="D35" s="29"/>
      <c r="E35" s="29"/>
      <c r="F35" s="29"/>
      <c r="G35" s="34" t="str">
        <f t="shared" si="3"/>
        <v/>
      </c>
      <c r="H35" s="28"/>
      <c r="I35" s="29"/>
      <c r="J35" s="29"/>
      <c r="K35" s="29"/>
      <c r="L35" s="82" t="str">
        <f t="shared" si="4"/>
        <v/>
      </c>
    </row>
    <row r="36" spans="1:12" ht="15" customHeight="1" x14ac:dyDescent="0.2">
      <c r="A36" s="27"/>
      <c r="B36" s="34" t="str">
        <f t="shared" si="2"/>
        <v/>
      </c>
      <c r="C36" s="28"/>
      <c r="D36" s="29"/>
      <c r="E36" s="29"/>
      <c r="F36" s="29"/>
      <c r="G36" s="34" t="str">
        <f t="shared" si="3"/>
        <v/>
      </c>
      <c r="H36" s="28"/>
      <c r="I36" s="29"/>
      <c r="J36" s="29"/>
      <c r="K36" s="29"/>
      <c r="L36" s="82" t="str">
        <f t="shared" si="4"/>
        <v/>
      </c>
    </row>
    <row r="37" spans="1:12" ht="15" customHeight="1" x14ac:dyDescent="0.2">
      <c r="A37" s="30"/>
      <c r="B37" s="34" t="str">
        <f t="shared" si="2"/>
        <v/>
      </c>
      <c r="C37" s="28"/>
      <c r="D37" s="29"/>
      <c r="E37" s="29"/>
      <c r="F37" s="29"/>
      <c r="G37" s="34" t="str">
        <f t="shared" si="3"/>
        <v/>
      </c>
      <c r="H37" s="28"/>
      <c r="I37" s="29"/>
      <c r="J37" s="29"/>
      <c r="K37" s="29"/>
      <c r="L37" s="82" t="str">
        <f t="shared" si="4"/>
        <v/>
      </c>
    </row>
    <row r="38" spans="1:12" ht="15" customHeight="1" x14ac:dyDescent="0.25">
      <c r="A38" s="25" t="s">
        <v>28</v>
      </c>
      <c r="B38" s="26">
        <f>SUM(B25:B37)</f>
        <v>0</v>
      </c>
      <c r="C38" s="14"/>
      <c r="D38" s="13"/>
      <c r="E38" s="13"/>
      <c r="F38" s="25" t="s">
        <v>28</v>
      </c>
      <c r="G38" s="26">
        <f>SUM(G25:G37)</f>
        <v>0</v>
      </c>
      <c r="H38" s="31"/>
    </row>
    <row r="39" spans="1:12" ht="15" customHeight="1" x14ac:dyDescent="0.25">
      <c r="A39" s="25" t="s">
        <v>29</v>
      </c>
      <c r="B39" s="39"/>
      <c r="C39" s="33" t="s">
        <v>59</v>
      </c>
      <c r="D39" s="13"/>
      <c r="E39" s="13"/>
      <c r="F39" s="25" t="s">
        <v>29</v>
      </c>
      <c r="G39" s="39"/>
      <c r="H39" s="33" t="s">
        <v>60</v>
      </c>
    </row>
    <row r="40" spans="1:12" ht="15" customHeight="1" x14ac:dyDescent="0.2">
      <c r="A40" s="25" t="s">
        <v>57</v>
      </c>
      <c r="B40" s="40">
        <f>IF(B38="","",(B38*B39))</f>
        <v>0</v>
      </c>
      <c r="C40" s="14"/>
      <c r="D40" s="15"/>
      <c r="E40" s="16"/>
      <c r="F40" s="25" t="s">
        <v>57</v>
      </c>
      <c r="G40" s="40">
        <f>IF(G38="","",(G38*G39))</f>
        <v>0</v>
      </c>
      <c r="H40" s="16"/>
      <c r="I40" s="7"/>
    </row>
    <row r="41" spans="1:12" ht="24" customHeight="1" x14ac:dyDescent="0.2">
      <c r="A41" s="91" t="s">
        <v>74</v>
      </c>
      <c r="B41" s="6"/>
      <c r="C41" s="6"/>
      <c r="D41" s="6"/>
      <c r="E41" s="7"/>
      <c r="F41" s="7"/>
      <c r="G41" s="7"/>
      <c r="H41" s="7"/>
      <c r="I41" s="7"/>
    </row>
    <row r="42" spans="1:12" ht="20.100000000000001" customHeight="1" x14ac:dyDescent="0.2">
      <c r="A42" s="141" t="s">
        <v>7</v>
      </c>
      <c r="B42" s="141"/>
      <c r="C42" s="141"/>
      <c r="D42" s="141"/>
      <c r="E42" s="141"/>
      <c r="F42" s="141"/>
      <c r="G42" s="141"/>
      <c r="H42" s="141"/>
    </row>
    <row r="43" spans="1:12" ht="26.25" thickBot="1" x14ac:dyDescent="0.25">
      <c r="A43" s="58" t="s">
        <v>3</v>
      </c>
      <c r="B43" s="58" t="s">
        <v>4</v>
      </c>
      <c r="C43" s="58" t="s">
        <v>5</v>
      </c>
      <c r="D43" s="58" t="s">
        <v>31</v>
      </c>
      <c r="E43" s="59" t="s">
        <v>32</v>
      </c>
      <c r="F43" s="120" t="s">
        <v>1</v>
      </c>
      <c r="G43" s="120"/>
      <c r="H43" s="120"/>
    </row>
    <row r="44" spans="1:12" ht="15" customHeight="1" thickTop="1" x14ac:dyDescent="0.2">
      <c r="A44" s="64"/>
      <c r="B44" s="65"/>
      <c r="C44" s="65"/>
      <c r="D44" s="89"/>
      <c r="E44" s="67" t="str">
        <f>IF(A44="","",(B44*D44))</f>
        <v/>
      </c>
      <c r="F44" s="145"/>
      <c r="G44" s="145"/>
      <c r="H44" s="145"/>
    </row>
    <row r="45" spans="1:12" ht="15" customHeight="1" x14ac:dyDescent="0.2">
      <c r="A45" s="22"/>
      <c r="B45" s="66"/>
      <c r="C45" s="66"/>
      <c r="D45" s="90"/>
      <c r="E45" s="67" t="str">
        <f t="shared" ref="E45:E58" si="5">IF(A45="","",(B45*D45))</f>
        <v/>
      </c>
      <c r="F45" s="146"/>
      <c r="G45" s="146"/>
      <c r="H45" s="146"/>
    </row>
    <row r="46" spans="1:12" ht="15" customHeight="1" x14ac:dyDescent="0.2">
      <c r="A46" s="22"/>
      <c r="B46" s="66"/>
      <c r="C46" s="66"/>
      <c r="D46" s="90"/>
      <c r="E46" s="67" t="str">
        <f t="shared" si="5"/>
        <v/>
      </c>
      <c r="F46" s="146"/>
      <c r="G46" s="146"/>
      <c r="H46" s="146"/>
    </row>
    <row r="47" spans="1:12" ht="15" customHeight="1" x14ac:dyDescent="0.2">
      <c r="A47" s="22"/>
      <c r="B47" s="66"/>
      <c r="C47" s="66"/>
      <c r="D47" s="90"/>
      <c r="E47" s="67" t="str">
        <f t="shared" si="5"/>
        <v/>
      </c>
      <c r="F47" s="146"/>
      <c r="G47" s="146"/>
      <c r="H47" s="146"/>
    </row>
    <row r="48" spans="1:12" ht="15" customHeight="1" x14ac:dyDescent="0.2">
      <c r="A48" s="22"/>
      <c r="B48" s="66"/>
      <c r="C48" s="66"/>
      <c r="D48" s="90"/>
      <c r="E48" s="67" t="str">
        <f t="shared" si="5"/>
        <v/>
      </c>
      <c r="F48" s="146"/>
      <c r="G48" s="146"/>
      <c r="H48" s="146"/>
    </row>
    <row r="49" spans="1:8" ht="15" customHeight="1" x14ac:dyDescent="0.2">
      <c r="A49" s="22"/>
      <c r="B49" s="66"/>
      <c r="C49" s="66"/>
      <c r="D49" s="90"/>
      <c r="E49" s="67" t="str">
        <f t="shared" si="5"/>
        <v/>
      </c>
      <c r="F49" s="146"/>
      <c r="G49" s="146"/>
      <c r="H49" s="146"/>
    </row>
    <row r="50" spans="1:8" ht="15" customHeight="1" x14ac:dyDescent="0.2">
      <c r="A50" s="22"/>
      <c r="B50" s="66"/>
      <c r="C50" s="66"/>
      <c r="D50" s="90"/>
      <c r="E50" s="67" t="str">
        <f t="shared" si="5"/>
        <v/>
      </c>
      <c r="F50" s="146"/>
      <c r="G50" s="146"/>
      <c r="H50" s="146"/>
    </row>
    <row r="51" spans="1:8" ht="15" customHeight="1" x14ac:dyDescent="0.2">
      <c r="A51" s="22"/>
      <c r="B51" s="66"/>
      <c r="C51" s="66"/>
      <c r="D51" s="90"/>
      <c r="E51" s="67" t="str">
        <f t="shared" si="5"/>
        <v/>
      </c>
      <c r="F51" s="142"/>
      <c r="G51" s="143"/>
      <c r="H51" s="144"/>
    </row>
    <row r="52" spans="1:8" ht="15" customHeight="1" x14ac:dyDescent="0.2">
      <c r="A52" s="22"/>
      <c r="B52" s="66"/>
      <c r="C52" s="66"/>
      <c r="D52" s="90"/>
      <c r="E52" s="67" t="str">
        <f t="shared" si="5"/>
        <v/>
      </c>
      <c r="F52" s="142"/>
      <c r="G52" s="143"/>
      <c r="H52" s="144"/>
    </row>
    <row r="53" spans="1:8" ht="15" customHeight="1" x14ac:dyDescent="0.2">
      <c r="A53" s="22"/>
      <c r="B53" s="66"/>
      <c r="C53" s="66"/>
      <c r="D53" s="90"/>
      <c r="E53" s="67" t="str">
        <f t="shared" si="5"/>
        <v/>
      </c>
      <c r="F53" s="142"/>
      <c r="G53" s="143"/>
      <c r="H53" s="144"/>
    </row>
    <row r="54" spans="1:8" ht="15" customHeight="1" x14ac:dyDescent="0.2">
      <c r="A54" s="22"/>
      <c r="B54" s="66"/>
      <c r="C54" s="66"/>
      <c r="D54" s="90"/>
      <c r="E54" s="67" t="str">
        <f t="shared" si="5"/>
        <v/>
      </c>
      <c r="F54" s="142"/>
      <c r="G54" s="143"/>
      <c r="H54" s="144"/>
    </row>
    <row r="55" spans="1:8" ht="15" customHeight="1" x14ac:dyDescent="0.2">
      <c r="A55" s="22"/>
      <c r="B55" s="66"/>
      <c r="C55" s="66"/>
      <c r="D55" s="90"/>
      <c r="E55" s="67" t="str">
        <f t="shared" si="5"/>
        <v/>
      </c>
      <c r="F55" s="142"/>
      <c r="G55" s="143"/>
      <c r="H55" s="144"/>
    </row>
    <row r="56" spans="1:8" ht="15" customHeight="1" x14ac:dyDescent="0.2">
      <c r="A56" s="22"/>
      <c r="B56" s="66"/>
      <c r="C56" s="66"/>
      <c r="D56" s="90"/>
      <c r="E56" s="67" t="str">
        <f t="shared" si="5"/>
        <v/>
      </c>
      <c r="F56" s="142"/>
      <c r="G56" s="143"/>
      <c r="H56" s="144"/>
    </row>
    <row r="57" spans="1:8" ht="15" customHeight="1" x14ac:dyDescent="0.2">
      <c r="A57" s="22"/>
      <c r="B57" s="66"/>
      <c r="C57" s="66"/>
      <c r="D57" s="90"/>
      <c r="E57" s="67" t="str">
        <f t="shared" si="5"/>
        <v/>
      </c>
      <c r="F57" s="142"/>
      <c r="G57" s="143"/>
      <c r="H57" s="144"/>
    </row>
    <row r="58" spans="1:8" ht="15" customHeight="1" x14ac:dyDescent="0.2">
      <c r="A58" s="22"/>
      <c r="B58" s="66"/>
      <c r="C58" s="66"/>
      <c r="D58" s="90"/>
      <c r="E58" s="67" t="str">
        <f t="shared" si="5"/>
        <v/>
      </c>
      <c r="F58" s="146"/>
      <c r="G58" s="146"/>
      <c r="H58" s="146"/>
    </row>
    <row r="59" spans="1:8" ht="15" customHeight="1" x14ac:dyDescent="0.2">
      <c r="A59" s="148" t="s">
        <v>33</v>
      </c>
      <c r="B59" s="148"/>
      <c r="C59" s="148"/>
      <c r="D59" s="148"/>
      <c r="E59" s="68">
        <f>SUM(E44:E58)</f>
        <v>0</v>
      </c>
      <c r="F59" s="52"/>
      <c r="G59" s="53"/>
      <c r="H59" s="53"/>
    </row>
    <row r="60" spans="1:8" ht="21" customHeight="1" x14ac:dyDescent="0.2">
      <c r="A60" s="91" t="s">
        <v>75</v>
      </c>
      <c r="B60" s="6"/>
      <c r="C60" s="6"/>
      <c r="D60" s="8"/>
      <c r="E60" s="5"/>
      <c r="F60" s="6"/>
      <c r="G60" s="6"/>
      <c r="H60" s="6"/>
    </row>
    <row r="61" spans="1:8" ht="20.100000000000001" customHeight="1" x14ac:dyDescent="0.2">
      <c r="A61" s="149" t="s">
        <v>8</v>
      </c>
      <c r="B61" s="149"/>
      <c r="C61" s="149"/>
      <c r="D61" s="149"/>
      <c r="E61" s="149"/>
      <c r="F61" s="149"/>
      <c r="G61" s="149"/>
      <c r="H61" s="149"/>
    </row>
    <row r="62" spans="1:8" s="55" customFormat="1" ht="26.25" thickBot="1" x14ac:dyDescent="0.25">
      <c r="A62" s="57" t="s">
        <v>3</v>
      </c>
      <c r="B62" s="57" t="s">
        <v>4</v>
      </c>
      <c r="C62" s="57" t="s">
        <v>5</v>
      </c>
      <c r="D62" s="57" t="s">
        <v>31</v>
      </c>
      <c r="E62" s="57" t="s">
        <v>32</v>
      </c>
      <c r="F62" s="150" t="s">
        <v>1</v>
      </c>
      <c r="G62" s="150"/>
      <c r="H62" s="150"/>
    </row>
    <row r="63" spans="1:8" ht="15" customHeight="1" thickTop="1" x14ac:dyDescent="0.2">
      <c r="A63" s="64"/>
      <c r="B63" s="65"/>
      <c r="C63" s="65"/>
      <c r="D63" s="89"/>
      <c r="E63" s="67" t="str">
        <f>IF(A63="","",(B63*D63))</f>
        <v/>
      </c>
      <c r="F63" s="151"/>
      <c r="G63" s="151"/>
      <c r="H63" s="151"/>
    </row>
    <row r="64" spans="1:8" ht="15" customHeight="1" x14ac:dyDescent="0.2">
      <c r="A64" s="22"/>
      <c r="B64" s="66"/>
      <c r="C64" s="66"/>
      <c r="D64" s="90"/>
      <c r="E64" s="67" t="str">
        <f t="shared" ref="E64:E77" si="6">IF(A64="","",(B64*D64))</f>
        <v/>
      </c>
      <c r="F64" s="147"/>
      <c r="G64" s="147"/>
      <c r="H64" s="147"/>
    </row>
    <row r="65" spans="1:9" ht="15" customHeight="1" x14ac:dyDescent="0.2">
      <c r="A65" s="22"/>
      <c r="B65" s="66"/>
      <c r="C65" s="66"/>
      <c r="D65" s="90"/>
      <c r="E65" s="67" t="str">
        <f t="shared" si="6"/>
        <v/>
      </c>
      <c r="F65" s="147"/>
      <c r="G65" s="147"/>
      <c r="H65" s="147"/>
    </row>
    <row r="66" spans="1:9" ht="15" customHeight="1" x14ac:dyDescent="0.2">
      <c r="A66" s="22"/>
      <c r="B66" s="66"/>
      <c r="C66" s="66"/>
      <c r="D66" s="90"/>
      <c r="E66" s="67" t="str">
        <f t="shared" si="6"/>
        <v/>
      </c>
      <c r="F66" s="147"/>
      <c r="G66" s="147"/>
      <c r="H66" s="147"/>
    </row>
    <row r="67" spans="1:9" ht="15" customHeight="1" x14ac:dyDescent="0.2">
      <c r="A67" s="22"/>
      <c r="B67" s="66"/>
      <c r="C67" s="66"/>
      <c r="D67" s="90"/>
      <c r="E67" s="67" t="str">
        <f t="shared" si="6"/>
        <v/>
      </c>
      <c r="F67" s="147"/>
      <c r="G67" s="147"/>
      <c r="H67" s="147"/>
    </row>
    <row r="68" spans="1:9" ht="15" customHeight="1" x14ac:dyDescent="0.2">
      <c r="A68" s="22"/>
      <c r="B68" s="66"/>
      <c r="C68" s="66"/>
      <c r="D68" s="90"/>
      <c r="E68" s="67" t="str">
        <f t="shared" si="6"/>
        <v/>
      </c>
      <c r="F68" s="147"/>
      <c r="G68" s="147"/>
      <c r="H68" s="147"/>
    </row>
    <row r="69" spans="1:9" ht="15" customHeight="1" x14ac:dyDescent="0.2">
      <c r="A69" s="22"/>
      <c r="B69" s="66"/>
      <c r="C69" s="66"/>
      <c r="D69" s="90"/>
      <c r="E69" s="67" t="str">
        <f t="shared" si="6"/>
        <v/>
      </c>
      <c r="F69" s="147"/>
      <c r="G69" s="147"/>
      <c r="H69" s="147"/>
    </row>
    <row r="70" spans="1:9" ht="15" customHeight="1" x14ac:dyDescent="0.2">
      <c r="A70" s="22"/>
      <c r="B70" s="66"/>
      <c r="C70" s="66"/>
      <c r="D70" s="90"/>
      <c r="E70" s="67" t="str">
        <f t="shared" si="6"/>
        <v/>
      </c>
      <c r="F70" s="142"/>
      <c r="G70" s="143"/>
      <c r="H70" s="144"/>
    </row>
    <row r="71" spans="1:9" ht="15" customHeight="1" x14ac:dyDescent="0.2">
      <c r="A71" s="22"/>
      <c r="B71" s="66"/>
      <c r="C71" s="66"/>
      <c r="D71" s="90"/>
      <c r="E71" s="67" t="str">
        <f t="shared" si="6"/>
        <v/>
      </c>
      <c r="F71" s="142"/>
      <c r="G71" s="143"/>
      <c r="H71" s="144"/>
    </row>
    <row r="72" spans="1:9" ht="15" customHeight="1" x14ac:dyDescent="0.2">
      <c r="A72" s="22"/>
      <c r="B72" s="66"/>
      <c r="C72" s="66"/>
      <c r="D72" s="90"/>
      <c r="E72" s="67" t="str">
        <f t="shared" si="6"/>
        <v/>
      </c>
      <c r="F72" s="142"/>
      <c r="G72" s="143"/>
      <c r="H72" s="144"/>
    </row>
    <row r="73" spans="1:9" ht="15" customHeight="1" x14ac:dyDescent="0.2">
      <c r="A73" s="22"/>
      <c r="B73" s="66"/>
      <c r="C73" s="66"/>
      <c r="D73" s="90"/>
      <c r="E73" s="67" t="str">
        <f t="shared" si="6"/>
        <v/>
      </c>
      <c r="F73" s="142"/>
      <c r="G73" s="143"/>
      <c r="H73" s="144"/>
    </row>
    <row r="74" spans="1:9" ht="15" customHeight="1" x14ac:dyDescent="0.2">
      <c r="A74" s="22"/>
      <c r="B74" s="66"/>
      <c r="C74" s="66"/>
      <c r="D74" s="90"/>
      <c r="E74" s="67" t="str">
        <f t="shared" si="6"/>
        <v/>
      </c>
      <c r="F74" s="142"/>
      <c r="G74" s="143"/>
      <c r="H74" s="144"/>
    </row>
    <row r="75" spans="1:9" ht="15" customHeight="1" x14ac:dyDescent="0.2">
      <c r="A75" s="22"/>
      <c r="B75" s="66"/>
      <c r="C75" s="66"/>
      <c r="D75" s="90"/>
      <c r="E75" s="67" t="str">
        <f t="shared" si="6"/>
        <v/>
      </c>
      <c r="F75" s="142"/>
      <c r="G75" s="143"/>
      <c r="H75" s="144"/>
    </row>
    <row r="76" spans="1:9" ht="15" customHeight="1" x14ac:dyDescent="0.2">
      <c r="A76" s="22"/>
      <c r="B76" s="66"/>
      <c r="C76" s="66"/>
      <c r="D76" s="90"/>
      <c r="E76" s="67" t="str">
        <f t="shared" si="6"/>
        <v/>
      </c>
      <c r="F76" s="142"/>
      <c r="G76" s="143"/>
      <c r="H76" s="144"/>
    </row>
    <row r="77" spans="1:9" ht="15" customHeight="1" x14ac:dyDescent="0.2">
      <c r="A77" s="22"/>
      <c r="B77" s="66"/>
      <c r="C77" s="66"/>
      <c r="D77" s="90"/>
      <c r="E77" s="67" t="str">
        <f t="shared" si="6"/>
        <v/>
      </c>
      <c r="F77" s="147"/>
      <c r="G77" s="147"/>
      <c r="H77" s="147"/>
    </row>
    <row r="78" spans="1:9" ht="15" customHeight="1" x14ac:dyDescent="0.2">
      <c r="A78" s="152" t="s">
        <v>33</v>
      </c>
      <c r="B78" s="152"/>
      <c r="C78" s="152"/>
      <c r="D78" s="152"/>
      <c r="E78" s="69">
        <f>SUM(E63:E77)</f>
        <v>0</v>
      </c>
      <c r="F78" s="6"/>
      <c r="G78" s="6"/>
      <c r="H78" s="6"/>
    </row>
    <row r="79" spans="1:9" x14ac:dyDescent="0.2">
      <c r="A79" s="6"/>
      <c r="B79" s="6"/>
      <c r="C79" s="6"/>
      <c r="D79" s="8"/>
      <c r="E79" s="5"/>
      <c r="F79" s="6"/>
      <c r="G79" s="6"/>
      <c r="H79" s="6"/>
    </row>
    <row r="80" spans="1:9" x14ac:dyDescent="0.2">
      <c r="I80" s="9"/>
    </row>
  </sheetData>
  <mergeCells count="46">
    <mergeCell ref="A78:D78"/>
    <mergeCell ref="F70:H70"/>
    <mergeCell ref="F71:H71"/>
    <mergeCell ref="F72:H72"/>
    <mergeCell ref="F73:H73"/>
    <mergeCell ref="F74:H74"/>
    <mergeCell ref="F75:H75"/>
    <mergeCell ref="F76:H76"/>
    <mergeCell ref="A59:D59"/>
    <mergeCell ref="F51:H51"/>
    <mergeCell ref="F52:H52"/>
    <mergeCell ref="F53:H53"/>
    <mergeCell ref="F54:H54"/>
    <mergeCell ref="F55:H55"/>
    <mergeCell ref="F56:H56"/>
    <mergeCell ref="F57:H57"/>
    <mergeCell ref="F58:H58"/>
    <mergeCell ref="F67:H67"/>
    <mergeCell ref="F68:H68"/>
    <mergeCell ref="F69:H69"/>
    <mergeCell ref="F77:H77"/>
    <mergeCell ref="A61:H61"/>
    <mergeCell ref="F62:H62"/>
    <mergeCell ref="F63:H63"/>
    <mergeCell ref="F64:H64"/>
    <mergeCell ref="F65:H65"/>
    <mergeCell ref="F66:H66"/>
    <mergeCell ref="G1:L2"/>
    <mergeCell ref="F45:H45"/>
    <mergeCell ref="A6:L6"/>
    <mergeCell ref="A23:A24"/>
    <mergeCell ref="B1:E1"/>
    <mergeCell ref="B2:E2"/>
    <mergeCell ref="B3:E3"/>
    <mergeCell ref="B4:E4"/>
    <mergeCell ref="F50:H50"/>
    <mergeCell ref="L23:L24"/>
    <mergeCell ref="G23:K23"/>
    <mergeCell ref="B23:F23"/>
    <mergeCell ref="A42:H42"/>
    <mergeCell ref="F43:H43"/>
    <mergeCell ref="F44:H44"/>
    <mergeCell ref="F46:H46"/>
    <mergeCell ref="F47:H47"/>
    <mergeCell ref="F48:H48"/>
    <mergeCell ref="F49:H49"/>
  </mergeCells>
  <pageMargins left="0.25" right="0.25" top="0.75" bottom="0.75" header="0.3" footer="0.3"/>
  <pageSetup scale="49" fitToHeight="0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e15a99-2787-4658-9a49-e1375a37af8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CE74FF56111874F8528354EA601358C" ma:contentTypeVersion="11" ma:contentTypeDescription="Create a new document." ma:contentTypeScope="" ma:versionID="5a4dddd8cfcc38c30be893cc62aa9255">
  <xsd:schema xmlns:xsd="http://www.w3.org/2001/XMLSchema" xmlns:xs="http://www.w3.org/2001/XMLSchema" xmlns:p="http://schemas.microsoft.com/office/2006/metadata/properties" xmlns:ns3="30e15a99-2787-4658-9a49-e1375a37af84" targetNamespace="http://schemas.microsoft.com/office/2006/metadata/properties" ma:root="true" ma:fieldsID="bef8db1c7fb7209d75cc8fb4c67de40f" ns3:_="">
    <xsd:import namespace="30e15a99-2787-4658-9a49-e1375a37af8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e15a99-2787-4658-9a49-e1375a37af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088A51-0FCB-4B66-B0BA-47486386769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9A8B3F-6B90-4920-BDB0-9534834F187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30e15a99-2787-4658-9a49-e1375a37af84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814D3D9-8EEA-4EEC-917B-391A3AA394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e15a99-2787-4658-9a49-e1375a37af8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33</vt:i4>
      </vt:variant>
      <vt:variant>
        <vt:lpstr>Named Ranges</vt:lpstr>
      </vt:variant>
      <vt:variant>
        <vt:i4>32</vt:i4>
      </vt:variant>
    </vt:vector>
  </HeadingPairs>
  <TitlesOfParts>
    <vt:vector size="65" baseType="lpstr">
      <vt:lpstr>SUMMARY</vt:lpstr>
      <vt:lpstr>1_38K6112001-A01</vt:lpstr>
      <vt:lpstr>2_38K6112301-A01</vt:lpstr>
      <vt:lpstr>3_38K6112303-A01</vt:lpstr>
      <vt:lpstr>4_38K6112304-A01</vt:lpstr>
      <vt:lpstr>5_38K6112305-A01</vt:lpstr>
      <vt:lpstr>6_38K6112306-A01</vt:lpstr>
      <vt:lpstr>7_38K6112316-A01</vt:lpstr>
      <vt:lpstr>8_38K6112317-A01</vt:lpstr>
      <vt:lpstr>9_38K6112318-A01</vt:lpstr>
      <vt:lpstr>10_38K6112320-A01</vt:lpstr>
      <vt:lpstr>11_38K6112321-A01</vt:lpstr>
      <vt:lpstr>12_38K6112325-A01</vt:lpstr>
      <vt:lpstr>13_38K6113601-A01</vt:lpstr>
      <vt:lpstr>14_38K6113602-A01</vt:lpstr>
      <vt:lpstr>15_38K6113701-A01</vt:lpstr>
      <vt:lpstr>16_38K6113702-A01</vt:lpstr>
      <vt:lpstr>17_38K6113801-A01</vt:lpstr>
      <vt:lpstr>18_38K6144104-A01</vt:lpstr>
      <vt:lpstr>19_38K6145601-A01</vt:lpstr>
      <vt:lpstr>20_38K6151101-A01</vt:lpstr>
      <vt:lpstr>21_38K6152101-A02</vt:lpstr>
      <vt:lpstr>22_38K6154101-A01</vt:lpstr>
      <vt:lpstr>23_38K6154101-T01</vt:lpstr>
      <vt:lpstr>24_38K6154101-T02</vt:lpstr>
      <vt:lpstr>25_38K6154103-A02</vt:lpstr>
      <vt:lpstr>26_38K6158301-A01</vt:lpstr>
      <vt:lpstr>27_38K6164401-A01</vt:lpstr>
      <vt:lpstr>28_38K6165401-A01</vt:lpstr>
      <vt:lpstr>29_38K6169901-A01</vt:lpstr>
      <vt:lpstr>30_38K6171101-A01</vt:lpstr>
      <vt:lpstr>31_38K6186301-A01</vt:lpstr>
      <vt:lpstr>MASTER</vt:lpstr>
      <vt:lpstr>'1_38K6112001-A01'!Print_Area</vt:lpstr>
      <vt:lpstr>'10_38K6112320-A01'!Print_Area</vt:lpstr>
      <vt:lpstr>'11_38K6112321-A01'!Print_Area</vt:lpstr>
      <vt:lpstr>'12_38K6112325-A01'!Print_Area</vt:lpstr>
      <vt:lpstr>'13_38K6113601-A01'!Print_Area</vt:lpstr>
      <vt:lpstr>'14_38K6113602-A01'!Print_Area</vt:lpstr>
      <vt:lpstr>'15_38K6113701-A01'!Print_Area</vt:lpstr>
      <vt:lpstr>'16_38K6113702-A01'!Print_Area</vt:lpstr>
      <vt:lpstr>'17_38K6113801-A01'!Print_Area</vt:lpstr>
      <vt:lpstr>'18_38K6144104-A01'!Print_Area</vt:lpstr>
      <vt:lpstr>'19_38K6145601-A01'!Print_Area</vt:lpstr>
      <vt:lpstr>'2_38K6112301-A01'!Print_Area</vt:lpstr>
      <vt:lpstr>'20_38K6151101-A01'!Print_Area</vt:lpstr>
      <vt:lpstr>'21_38K6152101-A02'!Print_Area</vt:lpstr>
      <vt:lpstr>'22_38K6154101-A01'!Print_Area</vt:lpstr>
      <vt:lpstr>'23_38K6154101-T01'!Print_Area</vt:lpstr>
      <vt:lpstr>'24_38K6154101-T02'!Print_Area</vt:lpstr>
      <vt:lpstr>'25_38K6154103-A02'!Print_Area</vt:lpstr>
      <vt:lpstr>'26_38K6158301-A01'!Print_Area</vt:lpstr>
      <vt:lpstr>'27_38K6164401-A01'!Print_Area</vt:lpstr>
      <vt:lpstr>'28_38K6165401-A01'!Print_Area</vt:lpstr>
      <vt:lpstr>'29_38K6169901-A01'!Print_Area</vt:lpstr>
      <vt:lpstr>'3_38K6112303-A01'!Print_Area</vt:lpstr>
      <vt:lpstr>'30_38K6171101-A01'!Print_Area</vt:lpstr>
      <vt:lpstr>'31_38K6186301-A01'!Print_Area</vt:lpstr>
      <vt:lpstr>'4_38K6112304-A01'!Print_Area</vt:lpstr>
      <vt:lpstr>'5_38K6112305-A01'!Print_Area</vt:lpstr>
      <vt:lpstr>'6_38K6112306-A01'!Print_Area</vt:lpstr>
      <vt:lpstr>'7_38K6112316-A01'!Print_Area</vt:lpstr>
      <vt:lpstr>'8_38K6112317-A01'!Print_Area</vt:lpstr>
      <vt:lpstr>'9_38K6112318-A01'!Print_Area</vt:lpstr>
      <vt:lpstr>MASTER!Print_Area</vt:lpstr>
    </vt:vector>
  </TitlesOfParts>
  <Company>U.S. NAVY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C211 SHIP REPAIR</dc:creator>
  <cp:lastModifiedBy>Takahashi, Miwa LN USN NAVSUP FLCY (JPN)</cp:lastModifiedBy>
  <cp:lastPrinted>2025-02-14T00:08:21Z</cp:lastPrinted>
  <dcterms:created xsi:type="dcterms:W3CDTF">2010-02-23T06:36:56Z</dcterms:created>
  <dcterms:modified xsi:type="dcterms:W3CDTF">2026-04-03T07:39:31Z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0x0101002CE74FF56111874F8528354EA601358C</vt:lpwstr>
  </property>
</Properties>
</file>