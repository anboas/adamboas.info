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cynthia_thompson2_va_gov/Documents/Desktop/Incomplete Contracts Need to finish/5YR Primary Refernce Laboratory Services/Pre-Solicitation Notice/"/>
    </mc:Choice>
  </mc:AlternateContent>
  <xr:revisionPtr revIDLastSave="0" documentId="8_{35C9573A-1393-43A6-9618-7ECAE568EA6E}" xr6:coauthVersionLast="47" xr6:coauthVersionMax="47" xr10:uidLastSave="{00000000-0000-0000-0000-000000000000}"/>
  <bookViews>
    <workbookView xWindow="28680" yWindow="-120" windowWidth="29040" windowHeight="15720" xr2:uid="{E371C5AE-FBC9-48BC-A018-29480C9DD11B}"/>
  </bookViews>
  <sheets>
    <sheet name="Phlebotomy Services" sheetId="11" r:id="rId1"/>
    <sheet name="Courier Services " sheetId="12" r:id="rId2"/>
    <sheet name="Sheet1" sheetId="13" state="hidden" r:id="rId3"/>
  </sheets>
  <definedNames>
    <definedName name="_xlnm._FilterDatabase" localSheetId="0" hidden="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1" l="1"/>
  <c r="J19" i="11"/>
  <c r="L19" i="11"/>
  <c r="N19" i="11"/>
  <c r="P19" i="11"/>
  <c r="R19" i="11"/>
  <c r="H19" i="11"/>
  <c r="H16" i="11"/>
  <c r="J16" i="11"/>
  <c r="L16" i="11"/>
  <c r="N16" i="11"/>
  <c r="P16" i="11"/>
  <c r="R16" i="11"/>
  <c r="H17" i="11"/>
  <c r="J17" i="11"/>
  <c r="L17" i="11"/>
  <c r="N17" i="11"/>
  <c r="P17" i="11"/>
  <c r="R17" i="11"/>
  <c r="H18" i="11"/>
  <c r="J18" i="11"/>
  <c r="L18" i="11"/>
  <c r="N18" i="11"/>
  <c r="P18" i="11"/>
  <c r="R18" i="11"/>
  <c r="H15" i="11"/>
  <c r="J15" i="11"/>
  <c r="L15" i="11"/>
  <c r="N15" i="11"/>
  <c r="P15" i="11"/>
  <c r="R15" i="11"/>
  <c r="H14" i="11"/>
  <c r="J14" i="11"/>
  <c r="L14" i="11"/>
  <c r="N14" i="11"/>
  <c r="P14" i="11"/>
  <c r="R14" i="11"/>
  <c r="H13" i="11"/>
  <c r="J13" i="11"/>
  <c r="L13" i="11"/>
  <c r="N13" i="11"/>
  <c r="P13" i="11"/>
  <c r="R13" i="11"/>
  <c r="D3" i="12"/>
  <c r="G3" i="12"/>
  <c r="J3" i="12"/>
  <c r="M3" i="12"/>
  <c r="P3" i="12"/>
  <c r="S3" i="12"/>
  <c r="D4" i="12"/>
  <c r="G4" i="12"/>
  <c r="J4" i="12"/>
  <c r="M4" i="12"/>
  <c r="P4" i="12"/>
  <c r="S4" i="12"/>
  <c r="D5" i="12"/>
  <c r="G5" i="12"/>
  <c r="J5" i="12"/>
  <c r="M5" i="12"/>
  <c r="P5" i="12"/>
  <c r="S5" i="12"/>
  <c r="D6" i="12"/>
  <c r="G6" i="12"/>
  <c r="J6" i="12"/>
  <c r="M6" i="12"/>
  <c r="P6" i="12"/>
  <c r="S6" i="12"/>
  <c r="D7" i="12"/>
  <c r="G7" i="12"/>
  <c r="J7" i="12"/>
  <c r="M7" i="12"/>
  <c r="P7" i="12"/>
  <c r="S7" i="12"/>
  <c r="D8" i="12"/>
  <c r="G8" i="12"/>
  <c r="J8" i="12"/>
  <c r="M8" i="12"/>
  <c r="P8" i="12"/>
  <c r="S8" i="12"/>
  <c r="D9" i="12"/>
  <c r="G9" i="12"/>
  <c r="J9" i="12"/>
  <c r="M9" i="12"/>
  <c r="P9" i="12"/>
  <c r="S9" i="12"/>
  <c r="D10" i="12"/>
  <c r="G10" i="12"/>
  <c r="J10" i="12"/>
  <c r="M10" i="12"/>
  <c r="P10" i="12"/>
  <c r="S10" i="12"/>
  <c r="D11" i="12"/>
  <c r="G11" i="12"/>
  <c r="J11" i="12"/>
  <c r="M11" i="12"/>
  <c r="P11" i="12"/>
  <c r="S11" i="12"/>
  <c r="D12" i="12"/>
  <c r="G12" i="12"/>
  <c r="J12" i="12"/>
  <c r="M12" i="12"/>
  <c r="P12" i="12"/>
  <c r="S12" i="12"/>
  <c r="D13" i="12"/>
  <c r="G13" i="12"/>
  <c r="J13" i="12"/>
  <c r="M13" i="12"/>
  <c r="P13" i="12"/>
  <c r="S13" i="12"/>
  <c r="D14" i="12"/>
  <c r="G14" i="12"/>
  <c r="J14" i="12"/>
  <c r="M14" i="12"/>
  <c r="P14" i="12"/>
  <c r="S14" i="12"/>
  <c r="D15" i="12"/>
  <c r="G15" i="12"/>
  <c r="J15" i="12"/>
  <c r="M15" i="12"/>
  <c r="P15" i="12"/>
  <c r="S15" i="12"/>
  <c r="D16" i="12"/>
  <c r="G16" i="12"/>
  <c r="J16" i="12"/>
  <c r="M16" i="12"/>
  <c r="P16" i="12"/>
  <c r="S16" i="12"/>
  <c r="D17" i="12"/>
  <c r="G17" i="12"/>
  <c r="J17" i="12"/>
  <c r="M17" i="12"/>
  <c r="P17" i="12"/>
  <c r="S17" i="12"/>
  <c r="B18" i="12"/>
  <c r="D23" i="12"/>
  <c r="G23" i="12"/>
  <c r="J23" i="12"/>
  <c r="M23" i="12"/>
  <c r="P23" i="12"/>
  <c r="S23" i="12"/>
  <c r="D24" i="12"/>
  <c r="G24" i="12"/>
  <c r="J24" i="12"/>
  <c r="M24" i="12"/>
  <c r="P24" i="12"/>
  <c r="S24" i="12"/>
  <c r="D25" i="12"/>
  <c r="G25" i="12"/>
  <c r="J25" i="12"/>
  <c r="M25" i="12"/>
  <c r="P25" i="12"/>
  <c r="S25" i="12"/>
  <c r="D26" i="12"/>
  <c r="G26" i="12"/>
  <c r="J26" i="12"/>
  <c r="M26" i="12"/>
  <c r="P26" i="12"/>
  <c r="S26" i="12"/>
  <c r="D27" i="12"/>
  <c r="G27" i="12"/>
  <c r="J27" i="12"/>
  <c r="M27" i="12"/>
  <c r="P27" i="12"/>
  <c r="S27" i="12"/>
  <c r="D28" i="12"/>
  <c r="G28" i="12"/>
  <c r="J28" i="12"/>
  <c r="M28" i="12"/>
  <c r="P28" i="12"/>
  <c r="S28" i="12"/>
  <c r="D29" i="12"/>
  <c r="G29" i="12"/>
  <c r="J29" i="12"/>
  <c r="M29" i="12"/>
  <c r="P29" i="12"/>
  <c r="S29" i="12"/>
  <c r="D30" i="12"/>
  <c r="G30" i="12"/>
  <c r="J30" i="12"/>
  <c r="M30" i="12"/>
  <c r="P30" i="12"/>
  <c r="S30" i="12"/>
  <c r="D31" i="12"/>
  <c r="G31" i="12"/>
  <c r="J31" i="12"/>
  <c r="M31" i="12"/>
  <c r="P31" i="12"/>
  <c r="S31" i="12"/>
  <c r="D32" i="12"/>
  <c r="G32" i="12"/>
  <c r="J32" i="12"/>
  <c r="M32" i="12"/>
  <c r="P32" i="12"/>
  <c r="S32" i="12"/>
  <c r="D33" i="12"/>
  <c r="G33" i="12"/>
  <c r="J33" i="12"/>
  <c r="M33" i="12"/>
  <c r="P33" i="12"/>
  <c r="S33" i="12"/>
  <c r="D34" i="12"/>
  <c r="G34" i="12"/>
  <c r="J34" i="12"/>
  <c r="M34" i="12"/>
  <c r="P34" i="12"/>
  <c r="S34" i="12"/>
  <c r="D35" i="12"/>
  <c r="G35" i="12"/>
  <c r="J35" i="12"/>
  <c r="M35" i="12"/>
  <c r="P35" i="12"/>
  <c r="S35" i="12"/>
  <c r="D36" i="12"/>
  <c r="G36" i="12"/>
  <c r="J36" i="12"/>
  <c r="M36" i="12"/>
  <c r="P36" i="12"/>
  <c r="S36" i="12"/>
  <c r="D37" i="12"/>
  <c r="G37" i="12"/>
  <c r="J37" i="12"/>
  <c r="M37" i="12"/>
  <c r="P37" i="12"/>
  <c r="S37" i="12"/>
  <c r="B38" i="12"/>
  <c r="H3" i="11"/>
  <c r="J3" i="11"/>
  <c r="L3" i="11"/>
  <c r="N3" i="11"/>
  <c r="P3" i="11"/>
  <c r="R3" i="11"/>
  <c r="H4" i="11"/>
  <c r="J4" i="11"/>
  <c r="L4" i="11"/>
  <c r="N4" i="11"/>
  <c r="P4" i="11"/>
  <c r="R4" i="11"/>
  <c r="H5" i="11"/>
  <c r="J5" i="11"/>
  <c r="L5" i="11"/>
  <c r="N5" i="11"/>
  <c r="P5" i="11"/>
  <c r="R5" i="11"/>
  <c r="H6" i="11"/>
  <c r="J6" i="11"/>
  <c r="L6" i="11"/>
  <c r="N6" i="11"/>
  <c r="P6" i="11"/>
  <c r="R6" i="11"/>
  <c r="H7" i="11"/>
  <c r="J7" i="11"/>
  <c r="L7" i="11"/>
  <c r="N7" i="11"/>
  <c r="P7" i="11"/>
  <c r="R7" i="11"/>
  <c r="H8" i="11"/>
  <c r="J8" i="11"/>
  <c r="L8" i="11"/>
  <c r="N8" i="11"/>
  <c r="P8" i="11"/>
  <c r="R8" i="11"/>
  <c r="H9" i="11"/>
  <c r="J9" i="11"/>
  <c r="L9" i="11"/>
  <c r="N9" i="11"/>
  <c r="P9" i="11"/>
  <c r="R9" i="11"/>
  <c r="H10" i="11"/>
  <c r="J10" i="11"/>
  <c r="L10" i="11"/>
  <c r="N10" i="11"/>
  <c r="P10" i="11"/>
  <c r="R10" i="11"/>
  <c r="H11" i="11"/>
  <c r="J11" i="11"/>
  <c r="L11" i="11"/>
  <c r="N11" i="11"/>
  <c r="P11" i="11"/>
  <c r="R11" i="11"/>
  <c r="H12" i="11"/>
  <c r="J12" i="11"/>
  <c r="L12" i="11"/>
  <c r="N12" i="11"/>
  <c r="P12" i="11"/>
  <c r="R12" i="11"/>
</calcChain>
</file>

<file path=xl/sharedStrings.xml><?xml version="1.0" encoding="utf-8"?>
<sst xmlns="http://schemas.openxmlformats.org/spreadsheetml/2006/main" count="236" uniqueCount="126">
  <si>
    <t xml:space="preserve"> Phlebotomy Draws for CBOCs - Drawing Fee</t>
  </si>
  <si>
    <t>Base Year</t>
  </si>
  <si>
    <t>Option Year 1</t>
  </si>
  <si>
    <t>Option Year 2</t>
  </si>
  <si>
    <t>Option Year 3</t>
  </si>
  <si>
    <t>Option Year 4</t>
  </si>
  <si>
    <t>Optional 6 month Extension</t>
  </si>
  <si>
    <t>CBOC Location 
(Draw location must be within 5 miles of the CBOC)</t>
  </si>
  <si>
    <t>Reference Lab 
Draw Station</t>
  </si>
  <si>
    <t>Distance from CBOC</t>
  </si>
  <si>
    <t>Days/Hours available for Veteran 
Specimen Collection</t>
  </si>
  <si>
    <t>Minumum Required Days/Hours of Draw</t>
  </si>
  <si>
    <t>EST Draws / YR</t>
  </si>
  <si>
    <t>PRICE</t>
  </si>
  <si>
    <t>EXTENDED PRICE</t>
  </si>
  <si>
    <t>Danbury VA Clinic - Danbury, CT</t>
  </si>
  <si>
    <t>M-F      6am-12pm</t>
  </si>
  <si>
    <t>Stamford VA Clinic - Stamford, CT</t>
  </si>
  <si>
    <t>M-F      7am-12pm</t>
  </si>
  <si>
    <t>Waterbury VA Clinic - Waterbury, CT</t>
  </si>
  <si>
    <t>M-F   6am-11:30am</t>
  </si>
  <si>
    <t>Willimantic VA Clinic - Willimantic, CT</t>
  </si>
  <si>
    <t>M-F       7am-11am</t>
  </si>
  <si>
    <t>John J. McGuirk VA Clinic - New London, CT</t>
  </si>
  <si>
    <t>Winsted VA Clinic (Torrington) - Winsted, CT</t>
  </si>
  <si>
    <t>M-F       7am-12pm</t>
  </si>
  <si>
    <t>Framingham VA Clinic - Framingham, MA</t>
  </si>
  <si>
    <t>M-F       7am-3pm</t>
  </si>
  <si>
    <t>Plymouth VA Clinic - Plymouth, MA</t>
  </si>
  <si>
    <t>Hyannis VA Clinic - Hyannis, MA</t>
  </si>
  <si>
    <t xml:space="preserve">Pittsfield VA Clinic - Pittsfield, MA </t>
  </si>
  <si>
    <t>Quincy VA Clinic - Quincy, MA</t>
  </si>
  <si>
    <t>Wareham, MA</t>
  </si>
  <si>
    <t>Lowell VA Clinic - Lowell, MA</t>
  </si>
  <si>
    <t>Newington VA - Newington, CT</t>
  </si>
  <si>
    <t>New Bedford VA Clinic - New Bedford, MA</t>
  </si>
  <si>
    <t>TOTAL PRICING PHLEBOTOMY DRAWS</t>
  </si>
  <si>
    <t>TOTAL 5 YEAR PRICING PHLEBOTOMY DRAWS</t>
  </si>
  <si>
    <t>Additional Reference Lab Draw Station Locations</t>
  </si>
  <si>
    <t>Days / Hours of Draw</t>
  </si>
  <si>
    <t>Optional 6 mo</t>
  </si>
  <si>
    <t>6 Month Option</t>
  </si>
  <si>
    <r>
      <t xml:space="preserve">Courier Service 
</t>
    </r>
    <r>
      <rPr>
        <b/>
        <sz val="16"/>
        <color indexed="10"/>
        <rFont val="Arial"/>
        <family val="2"/>
      </rPr>
      <t>To West Roxbury and West Haven</t>
    </r>
  </si>
  <si>
    <t>EST QTY / YR</t>
  </si>
  <si>
    <t>Togus VAMC 1 VA Center Augusta, ME</t>
  </si>
  <si>
    <t>Bedford, VAMC 200 Springs Road, Bedford, MA</t>
  </si>
  <si>
    <t>West Roxbury VAMC 1400 VFW Parkway, West Roxbury MA</t>
  </si>
  <si>
    <t>Brockton VAMC, 940 Belmont Street, Brockton, MA</t>
  </si>
  <si>
    <t>Manchester VAMC, 718 Smyth Road Manchester, NH</t>
  </si>
  <si>
    <t>Providence VAMC, 830 Chalkstone Ave, Providence RI</t>
  </si>
  <si>
    <t>West Haven VAMC, 950 Campbell Ave, West Haven, CT</t>
  </si>
  <si>
    <t xml:space="preserve">Newington VA, 555 Willard Ave, Newington, CT </t>
  </si>
  <si>
    <t xml:space="preserve">Boston VAMC, 150 S Huntington Ave, Boston, MA  </t>
  </si>
  <si>
    <t>Northampton VAMC, 421 North Main St, Leeds, MA</t>
  </si>
  <si>
    <t>White River Junction VAMC, 215 N Main St, White River Junction VT</t>
  </si>
  <si>
    <t>VA Outpatient Clinic, Quincy, MA</t>
  </si>
  <si>
    <t>VA Outpatient Clinic, Framingham, MA</t>
  </si>
  <si>
    <t>VA Outpatient Clinic, Plymouth MA</t>
  </si>
  <si>
    <t>TOTAL PRICING - COURIER SERVICES</t>
  </si>
  <si>
    <t>TOTAL 5 YEAR PRICING - COURIER SERVICES</t>
  </si>
  <si>
    <r>
      <t xml:space="preserve">Courier Service 
</t>
    </r>
    <r>
      <rPr>
        <b/>
        <sz val="16"/>
        <color indexed="10"/>
        <rFont val="Arial"/>
        <family val="2"/>
      </rPr>
      <t>Drawn Location to VA Hospital</t>
    </r>
  </si>
  <si>
    <t xml:space="preserve">enter name of PSC and VA location from previous tab </t>
  </si>
  <si>
    <t>Draw Station for Danbury VA Clinic  to VA West Haven</t>
  </si>
  <si>
    <t xml:space="preserve">Draw Station for Stamford VA Clinic to VA West Haven </t>
  </si>
  <si>
    <t>Draw Station for Waterbury VA Clinic  to VA West Haven</t>
  </si>
  <si>
    <t>Draw Station for Willimantic VA Clinic to VA West Haven</t>
  </si>
  <si>
    <t>Draw Station for John J. McGuirk (New London) VA Clinic to VA West Haven</t>
  </si>
  <si>
    <t>Draw Station for Winsted VA Clinic (Torrington) to VA West Haven</t>
  </si>
  <si>
    <t xml:space="preserve">Draw Station for Framingham VA Clinic to VA West Roxbury </t>
  </si>
  <si>
    <t xml:space="preserve">Draw Station for Plymouth VA Clinic to VA West Roxbury </t>
  </si>
  <si>
    <t xml:space="preserve">Draw Station for Hyannis VA Clinic to VA West Roxbury </t>
  </si>
  <si>
    <t xml:space="preserve">Draw Station for Pittsfield VA Clinic to VA West Roxbury </t>
  </si>
  <si>
    <t>Burlington Lakeside VA Clinic</t>
  </si>
  <si>
    <t>VT</t>
  </si>
  <si>
    <t>Bennington VA Clinic</t>
  </si>
  <si>
    <t>Brattleboro VA Clinic</t>
  </si>
  <si>
    <t>Keene VA Clinic</t>
  </si>
  <si>
    <t>NH</t>
  </si>
  <si>
    <t>Littleton VA Clinic</t>
  </si>
  <si>
    <t>Newport VA Clinic</t>
  </si>
  <si>
    <t>Rutland VA Clinic</t>
  </si>
  <si>
    <t>Eagle Square VA Clinic</t>
  </si>
  <si>
    <t>RI</t>
  </si>
  <si>
    <t>Eagle Street VA Clinic</t>
  </si>
  <si>
    <t>Hyannis VA Clinic</t>
  </si>
  <si>
    <t>MA</t>
  </si>
  <si>
    <t>Middletown VA Clinic</t>
  </si>
  <si>
    <t>New Bedford VA Clinic</t>
  </si>
  <si>
    <t>Conway VA Clinic</t>
  </si>
  <si>
    <t>Portsmouth VA Clinic</t>
  </si>
  <si>
    <t>Somersworth VA Clinic</t>
  </si>
  <si>
    <t>Tilton VA Clinic</t>
  </si>
  <si>
    <t>Fitchburg VA Clinic</t>
  </si>
  <si>
    <t>Greenfield VA Clinic</t>
  </si>
  <si>
    <t>Springfield VA Clinic</t>
  </si>
  <si>
    <t>Pittsfield VA Clinic</t>
  </si>
  <si>
    <t>Plantation Street VA Clinic</t>
  </si>
  <si>
    <t>Worcester VA Clinic</t>
  </si>
  <si>
    <t>Bangor VA Clinic</t>
  </si>
  <si>
    <t>ME</t>
  </si>
  <si>
    <t>Calais VA Clinic</t>
  </si>
  <si>
    <t>Caribou VA Clinic</t>
  </si>
  <si>
    <t>Fort Kent VA Clinic</t>
  </si>
  <si>
    <t>Houlton VA Clinic</t>
  </si>
  <si>
    <t>Lewiston VA Clinic</t>
  </si>
  <si>
    <t>Lincoln VA Clinic</t>
  </si>
  <si>
    <t>Portland VA Clinic</t>
  </si>
  <si>
    <t>Rumford VA Clinic</t>
  </si>
  <si>
    <t>Causeway VA Clinic</t>
  </si>
  <si>
    <t>Framingham VA Clinic</t>
  </si>
  <si>
    <t>Lowell VA Clinic</t>
  </si>
  <si>
    <t>Plymouth VA Clinic</t>
  </si>
  <si>
    <t>Quincy VA Clinic</t>
  </si>
  <si>
    <t>Danbury VA Clinic</t>
  </si>
  <si>
    <t>CT</t>
  </si>
  <si>
    <t>Errera VA Clinic</t>
  </si>
  <si>
    <t>John J. McGuirk VA Clinic</t>
  </si>
  <si>
    <t>Newington VA Clinic</t>
  </si>
  <si>
    <t>Orange VA Clinic</t>
  </si>
  <si>
    <t>Stamford VA Clinic</t>
  </si>
  <si>
    <t>Waterbury VA Clinic</t>
  </si>
  <si>
    <t>Willimantic VA Clinic</t>
  </si>
  <si>
    <t>Winsted VA Clinic</t>
  </si>
  <si>
    <t>Gloucester VA Clinic</t>
  </si>
  <si>
    <t>Haverhill VA Clinic</t>
  </si>
  <si>
    <t>Lynn VA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</si>
</sst>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Times New Roman"/>
      <family val="1"/>
    </font>
    <font>
      <b/>
      <sz val="16"/>
      <color indexed="1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1" fillId="0" borderId="1" xfId="1" applyBorder="1" applyAlignment="1">
      <alignment horizontal="left" shrinkToFit="1"/>
    </xf>
    <xf numFmtId="0" fontId="2" fillId="0" borderId="1" xfId="0" applyFont="1" applyBorder="1" applyAlignment="1">
      <alignment shrinkToFit="1"/>
    </xf>
    <xf numFmtId="0" fontId="0" fillId="0" borderId="1" xfId="0" applyBorder="1" applyAlignment="1">
      <alignment shrinkToFit="1"/>
    </xf>
    <xf numFmtId="0" fontId="0" fillId="0" borderId="1" xfId="0" applyBorder="1"/>
    <xf numFmtId="0" fontId="3" fillId="0" borderId="1" xfId="1" applyFont="1" applyBorder="1" applyAlignment="1">
      <alignment horizontal="right" shrinkToFit="1"/>
    </xf>
    <xf numFmtId="0" fontId="2" fillId="0" borderId="1" xfId="0" applyFont="1" applyBorder="1" applyAlignment="1">
      <alignment horizontal="left" shrinkToFit="1"/>
    </xf>
    <xf numFmtId="0" fontId="0" fillId="0" borderId="1" xfId="0" applyBorder="1" applyAlignment="1">
      <alignment horizontal="center" vertical="center" shrinkToFit="1"/>
    </xf>
    <xf numFmtId="0" fontId="2" fillId="0" borderId="1" xfId="0" applyFont="1" applyBorder="1" applyAlignment="1">
      <alignment horizontal="right" shrinkToFit="1"/>
    </xf>
    <xf numFmtId="0" fontId="2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" fillId="0" borderId="2" xfId="1" applyBorder="1" applyAlignment="1">
      <alignment horizontal="center" shrinkToFit="1"/>
    </xf>
    <xf numFmtId="0" fontId="6" fillId="0" borderId="0" xfId="0" applyFont="1" applyAlignment="1">
      <alignment horizontal="left"/>
    </xf>
    <xf numFmtId="0" fontId="4" fillId="0" borderId="0" xfId="0" applyFont="1"/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 shrinkToFit="1"/>
    </xf>
    <xf numFmtId="0" fontId="8" fillId="0" borderId="1" xfId="1" applyFont="1" applyBorder="1" applyAlignment="1">
      <alignment horizontal="right" shrinkToFit="1"/>
    </xf>
    <xf numFmtId="0" fontId="2" fillId="0" borderId="1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left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2" xfId="0" applyFont="1" applyBorder="1" applyAlignment="1">
      <alignment horizontal="right" shrinkToFit="1"/>
    </xf>
    <xf numFmtId="0" fontId="4" fillId="0" borderId="2" xfId="1" applyFont="1" applyBorder="1" applyAlignment="1">
      <alignment horizontal="right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left" shrinkToFit="1"/>
    </xf>
    <xf numFmtId="0" fontId="4" fillId="2" borderId="1" xfId="1" applyFont="1" applyFill="1" applyBorder="1" applyAlignment="1">
      <alignment horizontal="left" shrinkToFit="1"/>
    </xf>
    <xf numFmtId="0" fontId="0" fillId="2" borderId="1" xfId="0" applyFill="1" applyBorder="1" applyAlignment="1">
      <alignment horizontal="left"/>
    </xf>
    <xf numFmtId="0" fontId="10" fillId="2" borderId="1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shrinkToFit="1"/>
    </xf>
    <xf numFmtId="0" fontId="5" fillId="0" borderId="1" xfId="0" applyFont="1" applyBorder="1" applyAlignment="1">
      <alignment wrapText="1" shrinkToFit="1"/>
    </xf>
    <xf numFmtId="0" fontId="0" fillId="3" borderId="1" xfId="0" applyFill="1" applyBorder="1" applyAlignment="1">
      <alignment horizontal="center" vertical="center" shrinkToFit="1"/>
    </xf>
    <xf numFmtId="0" fontId="4" fillId="3" borderId="1" xfId="1" applyFont="1" applyFill="1" applyBorder="1" applyAlignment="1">
      <alignment horizontal="left" shrinkToFit="1"/>
    </xf>
    <xf numFmtId="0" fontId="4" fillId="3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2" xfId="1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left" shrinkToFit="1"/>
    </xf>
    <xf numFmtId="0" fontId="1" fillId="3" borderId="1" xfId="1" applyFill="1" applyBorder="1" applyAlignment="1">
      <alignment horizontal="left" shrinkToFit="1"/>
    </xf>
    <xf numFmtId="0" fontId="0" fillId="3" borderId="1" xfId="0" applyFill="1" applyBorder="1" applyAlignment="1">
      <alignment shrinkToFit="1"/>
    </xf>
    <xf numFmtId="0" fontId="4" fillId="3" borderId="0" xfId="0" applyFont="1" applyFill="1"/>
    <xf numFmtId="0" fontId="12" fillId="0" borderId="1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left"/>
    </xf>
    <xf numFmtId="0" fontId="13" fillId="0" borderId="8" xfId="0" applyFont="1" applyBorder="1"/>
    <xf numFmtId="0" fontId="4" fillId="3" borderId="7" xfId="1" applyFont="1" applyFill="1" applyBorder="1" applyAlignment="1">
      <alignment horizontal="left" shrinkToFit="1"/>
    </xf>
    <xf numFmtId="0" fontId="4" fillId="3" borderId="9" xfId="1" applyFont="1" applyFill="1" applyBorder="1" applyAlignment="1">
      <alignment horizontal="left" shrinkToFit="1"/>
    </xf>
    <xf numFmtId="0" fontId="8" fillId="0" borderId="6" xfId="1" applyFont="1" applyBorder="1" applyAlignment="1">
      <alignment horizontal="right" shrinkToFit="1"/>
    </xf>
    <xf numFmtId="0" fontId="4" fillId="3" borderId="8" xfId="1" applyFont="1" applyFill="1" applyBorder="1" applyAlignment="1">
      <alignment horizontal="left" shrinkToFit="1"/>
    </xf>
    <xf numFmtId="0" fontId="4" fillId="3" borderId="10" xfId="1" applyFont="1" applyFill="1" applyBorder="1" applyAlignment="1">
      <alignment horizontal="left" shrinkToFit="1"/>
    </xf>
    <xf numFmtId="0" fontId="3" fillId="0" borderId="6" xfId="1" applyFont="1" applyBorder="1" applyAlignment="1">
      <alignment horizontal="right" shrinkToFit="1"/>
    </xf>
    <xf numFmtId="0" fontId="6" fillId="0" borderId="5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_Sheet1" xfId="1" xr:uid="{49D8A06B-BAB8-4E56-82FB-D519789E75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238125</xdr:colOff>
      <xdr:row>19</xdr:row>
      <xdr:rowOff>133350</xdr:rowOff>
    </xdr:from>
    <xdr:ext cx="3600450" cy="14573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9EACBD-0D9F-B9CE-6732-512B1D37FBD4}"/>
            </a:ext>
          </a:extLst>
        </xdr:cNvPr>
        <xdr:cNvSpPr txBox="1"/>
      </xdr:nvSpPr>
      <xdr:spPr>
        <a:xfrm>
          <a:off x="12687300" y="3667125"/>
          <a:ext cx="3600450" cy="145732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2000" b="1"/>
            <a:t>VENDOR - </a:t>
          </a:r>
        </a:p>
        <a:p>
          <a:pPr algn="l"/>
          <a:r>
            <a:rPr lang="en-US" sz="2000" b="1"/>
            <a:t>Fill in BLUE</a:t>
          </a:r>
          <a:r>
            <a:rPr lang="en-US" sz="2000" b="1" baseline="0"/>
            <a:t> boxes </a:t>
          </a:r>
        </a:p>
        <a:p>
          <a:pPr algn="l"/>
          <a:r>
            <a:rPr lang="en-US" sz="2000" b="1" baseline="0"/>
            <a:t>Fill in GREEN boxes if additional </a:t>
          </a:r>
        </a:p>
        <a:p>
          <a:pPr algn="l"/>
          <a:r>
            <a:rPr lang="en-US" sz="2000" b="1" baseline="0"/>
            <a:t>draw sites are available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3C2F-6746-4588-B65D-A6FA65E429CB}">
  <dimension ref="A1:R63"/>
  <sheetViews>
    <sheetView tabSelected="1" workbookViewId="0">
      <selection activeCell="E18" sqref="E18"/>
    </sheetView>
  </sheetViews>
  <sheetFormatPr defaultRowHeight="12.75" x14ac:dyDescent="0.2"/>
  <cols>
    <col min="1" max="1" width="47.28515625" customWidth="1"/>
    <col min="2" max="2" width="24.140625" customWidth="1"/>
    <col min="3" max="3" width="17" customWidth="1"/>
    <col min="4" max="4" width="20.42578125" customWidth="1"/>
    <col min="5" max="5" width="17" customWidth="1"/>
    <col min="6" max="6" width="17.85546875" customWidth="1"/>
    <col min="7" max="18" width="16.85546875" customWidth="1"/>
    <col min="19" max="19" width="12.5703125" customWidth="1"/>
    <col min="20" max="20" width="16.28515625" customWidth="1"/>
  </cols>
  <sheetData>
    <row r="1" spans="1:18" ht="31.5" customHeight="1" x14ac:dyDescent="0.2">
      <c r="A1" s="22" t="s">
        <v>0</v>
      </c>
      <c r="B1" s="22"/>
      <c r="C1" s="22"/>
      <c r="D1" s="22"/>
      <c r="E1" s="22"/>
      <c r="F1" s="23"/>
      <c r="G1" s="58" t="s">
        <v>1</v>
      </c>
      <c r="H1" s="58"/>
      <c r="I1" s="59" t="s">
        <v>2</v>
      </c>
      <c r="J1" s="60"/>
      <c r="K1" s="58" t="s">
        <v>3</v>
      </c>
      <c r="L1" s="58"/>
      <c r="M1" s="58" t="s">
        <v>4</v>
      </c>
      <c r="N1" s="58"/>
      <c r="O1" s="58" t="s">
        <v>5</v>
      </c>
      <c r="P1" s="58"/>
      <c r="Q1" s="58" t="s">
        <v>6</v>
      </c>
      <c r="R1" s="58"/>
    </row>
    <row r="2" spans="1:18" ht="72.75" customHeight="1" x14ac:dyDescent="0.2">
      <c r="A2" s="54" t="s">
        <v>7</v>
      </c>
      <c r="B2" s="16" t="s">
        <v>8</v>
      </c>
      <c r="C2" s="16" t="s">
        <v>9</v>
      </c>
      <c r="D2" s="18" t="s">
        <v>10</v>
      </c>
      <c r="E2" s="45" t="s">
        <v>11</v>
      </c>
      <c r="F2" s="18" t="s">
        <v>12</v>
      </c>
      <c r="G2" s="10" t="s">
        <v>13</v>
      </c>
      <c r="H2" s="10" t="s">
        <v>14</v>
      </c>
      <c r="I2" s="10" t="s">
        <v>13</v>
      </c>
      <c r="J2" s="10" t="s">
        <v>14</v>
      </c>
      <c r="K2" s="10" t="s">
        <v>13</v>
      </c>
      <c r="L2" s="10" t="s">
        <v>14</v>
      </c>
      <c r="M2" s="10" t="s">
        <v>13</v>
      </c>
      <c r="N2" s="10" t="s">
        <v>14</v>
      </c>
      <c r="O2" s="10" t="s">
        <v>13</v>
      </c>
      <c r="P2" s="10" t="s">
        <v>14</v>
      </c>
      <c r="Q2" s="10" t="s">
        <v>13</v>
      </c>
      <c r="R2" s="10" t="s">
        <v>14</v>
      </c>
    </row>
    <row r="3" spans="1:18" ht="16.5" customHeight="1" x14ac:dyDescent="0.2">
      <c r="A3" s="46" t="s">
        <v>15</v>
      </c>
      <c r="B3" s="48"/>
      <c r="C3" s="38"/>
      <c r="D3" s="39"/>
      <c r="E3" s="19" t="s">
        <v>16</v>
      </c>
      <c r="F3" s="24">
        <v>1988</v>
      </c>
      <c r="G3" s="41"/>
      <c r="H3" s="3">
        <f>G3*F3</f>
        <v>0</v>
      </c>
      <c r="I3" s="43"/>
      <c r="J3" s="3">
        <f t="shared" ref="J3:J12" si="0">I3*F3</f>
        <v>0</v>
      </c>
      <c r="K3" s="43"/>
      <c r="L3" s="3">
        <f t="shared" ref="L3:L12" si="1">K3*F3</f>
        <v>0</v>
      </c>
      <c r="M3" s="43"/>
      <c r="N3" s="3">
        <f t="shared" ref="N3:N12" si="2">M3*F3</f>
        <v>0</v>
      </c>
      <c r="O3" s="43"/>
      <c r="P3" s="3">
        <f t="shared" ref="P3:P12" si="3">O3*F3</f>
        <v>0</v>
      </c>
      <c r="Q3" s="43"/>
      <c r="R3" s="3">
        <f t="shared" ref="R3:R12" si="4">(Q3*F3)/2</f>
        <v>0</v>
      </c>
    </row>
    <row r="4" spans="1:18" ht="15.75" x14ac:dyDescent="0.25">
      <c r="A4" s="46" t="s">
        <v>17</v>
      </c>
      <c r="B4" s="48"/>
      <c r="C4" s="38"/>
      <c r="D4" s="39"/>
      <c r="E4" s="19" t="s">
        <v>18</v>
      </c>
      <c r="F4" s="25">
        <v>722</v>
      </c>
      <c r="G4" s="37"/>
      <c r="H4" s="3">
        <f t="shared" ref="H4:H11" si="5">G4*F4</f>
        <v>0</v>
      </c>
      <c r="I4" s="42"/>
      <c r="J4" s="3">
        <f t="shared" si="0"/>
        <v>0</v>
      </c>
      <c r="K4" s="42"/>
      <c r="L4" s="3">
        <f t="shared" si="1"/>
        <v>0</v>
      </c>
      <c r="M4" s="42"/>
      <c r="N4" s="3">
        <f t="shared" si="2"/>
        <v>0</v>
      </c>
      <c r="O4" s="42"/>
      <c r="P4" s="3">
        <f t="shared" si="3"/>
        <v>0</v>
      </c>
      <c r="Q4" s="42"/>
      <c r="R4" s="3">
        <f t="shared" si="4"/>
        <v>0</v>
      </c>
    </row>
    <row r="5" spans="1:18" ht="15.75" x14ac:dyDescent="0.25">
      <c r="A5" s="46" t="s">
        <v>19</v>
      </c>
      <c r="B5" s="48"/>
      <c r="C5" s="38"/>
      <c r="D5" s="39"/>
      <c r="E5" s="19" t="s">
        <v>20</v>
      </c>
      <c r="F5" s="25">
        <v>2219</v>
      </c>
      <c r="G5" s="37"/>
      <c r="H5" s="3">
        <f t="shared" si="5"/>
        <v>0</v>
      </c>
      <c r="I5" s="42"/>
      <c r="J5" s="3">
        <f t="shared" si="0"/>
        <v>0</v>
      </c>
      <c r="K5" s="42"/>
      <c r="L5" s="3">
        <f t="shared" si="1"/>
        <v>0</v>
      </c>
      <c r="M5" s="42"/>
      <c r="N5" s="3">
        <f t="shared" si="2"/>
        <v>0</v>
      </c>
      <c r="O5" s="42"/>
      <c r="P5" s="3">
        <f t="shared" si="3"/>
        <v>0</v>
      </c>
      <c r="Q5" s="42"/>
      <c r="R5" s="3">
        <f t="shared" si="4"/>
        <v>0</v>
      </c>
    </row>
    <row r="6" spans="1:18" ht="15.75" x14ac:dyDescent="0.25">
      <c r="A6" s="46" t="s">
        <v>21</v>
      </c>
      <c r="B6" s="48"/>
      <c r="C6" s="38"/>
      <c r="D6" s="39"/>
      <c r="E6" s="19" t="s">
        <v>22</v>
      </c>
      <c r="F6" s="25">
        <v>2229</v>
      </c>
      <c r="G6" s="37"/>
      <c r="H6" s="3">
        <f t="shared" si="5"/>
        <v>0</v>
      </c>
      <c r="I6" s="42"/>
      <c r="J6" s="3">
        <f t="shared" si="0"/>
        <v>0</v>
      </c>
      <c r="K6" s="42"/>
      <c r="L6" s="3">
        <f t="shared" si="1"/>
        <v>0</v>
      </c>
      <c r="M6" s="42"/>
      <c r="N6" s="3">
        <f t="shared" si="2"/>
        <v>0</v>
      </c>
      <c r="O6" s="42"/>
      <c r="P6" s="3">
        <f t="shared" si="3"/>
        <v>0</v>
      </c>
      <c r="Q6" s="42"/>
      <c r="R6" s="3">
        <f t="shared" si="4"/>
        <v>0</v>
      </c>
    </row>
    <row r="7" spans="1:18" ht="15.75" x14ac:dyDescent="0.25">
      <c r="A7" s="46" t="s">
        <v>23</v>
      </c>
      <c r="B7" s="49"/>
      <c r="C7" s="40"/>
      <c r="D7" s="40"/>
      <c r="E7" s="19" t="s">
        <v>22</v>
      </c>
      <c r="F7" s="25">
        <v>5473</v>
      </c>
      <c r="G7" s="37"/>
      <c r="H7" s="3">
        <f>G7*F7</f>
        <v>0</v>
      </c>
      <c r="I7" s="42"/>
      <c r="J7" s="3">
        <f t="shared" si="0"/>
        <v>0</v>
      </c>
      <c r="K7" s="42"/>
      <c r="L7" s="3">
        <f t="shared" si="1"/>
        <v>0</v>
      </c>
      <c r="M7" s="42"/>
      <c r="N7" s="3">
        <f t="shared" si="2"/>
        <v>0</v>
      </c>
      <c r="O7" s="42"/>
      <c r="P7" s="3">
        <f t="shared" si="3"/>
        <v>0</v>
      </c>
      <c r="Q7" s="42"/>
      <c r="R7" s="3">
        <f t="shared" si="4"/>
        <v>0</v>
      </c>
    </row>
    <row r="8" spans="1:18" ht="15.75" x14ac:dyDescent="0.25">
      <c r="A8" s="46" t="s">
        <v>24</v>
      </c>
      <c r="B8" s="49"/>
      <c r="C8" s="40"/>
      <c r="D8" s="40"/>
      <c r="E8" s="19" t="s">
        <v>25</v>
      </c>
      <c r="F8" s="25">
        <v>1542</v>
      </c>
      <c r="G8" s="37"/>
      <c r="H8" s="3">
        <f>G8*F8</f>
        <v>0</v>
      </c>
      <c r="I8" s="42"/>
      <c r="J8" s="3">
        <f t="shared" si="0"/>
        <v>0</v>
      </c>
      <c r="K8" s="42"/>
      <c r="L8" s="3">
        <f t="shared" si="1"/>
        <v>0</v>
      </c>
      <c r="M8" s="42"/>
      <c r="N8" s="3">
        <f t="shared" si="2"/>
        <v>0</v>
      </c>
      <c r="O8" s="42"/>
      <c r="P8" s="3">
        <f t="shared" si="3"/>
        <v>0</v>
      </c>
      <c r="Q8" s="42"/>
      <c r="R8" s="3">
        <f t="shared" si="4"/>
        <v>0</v>
      </c>
    </row>
    <row r="9" spans="1:18" ht="15.75" x14ac:dyDescent="0.25">
      <c r="A9" s="46" t="s">
        <v>26</v>
      </c>
      <c r="B9" s="48"/>
      <c r="C9" s="38"/>
      <c r="D9" s="39"/>
      <c r="E9" s="19" t="s">
        <v>27</v>
      </c>
      <c r="F9" s="25">
        <v>1093</v>
      </c>
      <c r="G9" s="37"/>
      <c r="H9" s="3">
        <f t="shared" si="5"/>
        <v>0</v>
      </c>
      <c r="I9" s="42"/>
      <c r="J9" s="3">
        <f t="shared" si="0"/>
        <v>0</v>
      </c>
      <c r="K9" s="42"/>
      <c r="L9" s="3">
        <f t="shared" si="1"/>
        <v>0</v>
      </c>
      <c r="M9" s="42"/>
      <c r="N9" s="3">
        <f t="shared" si="2"/>
        <v>0</v>
      </c>
      <c r="O9" s="42"/>
      <c r="P9" s="3">
        <f t="shared" si="3"/>
        <v>0</v>
      </c>
      <c r="Q9" s="42"/>
      <c r="R9" s="3">
        <f t="shared" si="4"/>
        <v>0</v>
      </c>
    </row>
    <row r="10" spans="1:18" ht="15.75" x14ac:dyDescent="0.25">
      <c r="A10" s="46" t="s">
        <v>28</v>
      </c>
      <c r="B10" s="48"/>
      <c r="C10" s="38"/>
      <c r="D10" s="39"/>
      <c r="E10" s="19" t="s">
        <v>27</v>
      </c>
      <c r="F10" s="25">
        <v>3284</v>
      </c>
      <c r="G10" s="37"/>
      <c r="H10" s="3">
        <f t="shared" si="5"/>
        <v>0</v>
      </c>
      <c r="I10" s="42"/>
      <c r="J10" s="3">
        <f t="shared" si="0"/>
        <v>0</v>
      </c>
      <c r="K10" s="42"/>
      <c r="L10" s="3">
        <f t="shared" si="1"/>
        <v>0</v>
      </c>
      <c r="M10" s="42"/>
      <c r="N10" s="3">
        <f t="shared" si="2"/>
        <v>0</v>
      </c>
      <c r="O10" s="42"/>
      <c r="P10" s="3">
        <f t="shared" si="3"/>
        <v>0</v>
      </c>
      <c r="Q10" s="42"/>
      <c r="R10" s="3">
        <f t="shared" si="4"/>
        <v>0</v>
      </c>
    </row>
    <row r="11" spans="1:18" ht="15.75" x14ac:dyDescent="0.25">
      <c r="A11" s="46" t="s">
        <v>29</v>
      </c>
      <c r="B11" s="49"/>
      <c r="C11" s="40"/>
      <c r="D11" s="40"/>
      <c r="E11" s="19" t="s">
        <v>27</v>
      </c>
      <c r="F11" s="25">
        <v>2080</v>
      </c>
      <c r="G11" s="37"/>
      <c r="H11" s="3">
        <f t="shared" si="5"/>
        <v>0</v>
      </c>
      <c r="I11" s="42"/>
      <c r="J11" s="3">
        <f t="shared" si="0"/>
        <v>0</v>
      </c>
      <c r="K11" s="42"/>
      <c r="L11" s="3">
        <f t="shared" si="1"/>
        <v>0</v>
      </c>
      <c r="M11" s="42"/>
      <c r="N11" s="3">
        <f t="shared" si="2"/>
        <v>0</v>
      </c>
      <c r="O11" s="42"/>
      <c r="P11" s="3">
        <f t="shared" si="3"/>
        <v>0</v>
      </c>
      <c r="Q11" s="42"/>
      <c r="R11" s="3">
        <f t="shared" si="4"/>
        <v>0</v>
      </c>
    </row>
    <row r="12" spans="1:18" ht="15.75" x14ac:dyDescent="0.25">
      <c r="A12" s="46" t="s">
        <v>30</v>
      </c>
      <c r="B12" s="49"/>
      <c r="C12" s="40"/>
      <c r="D12" s="40"/>
      <c r="E12" s="19" t="s">
        <v>27</v>
      </c>
      <c r="F12" s="25">
        <v>2080</v>
      </c>
      <c r="G12" s="37"/>
      <c r="H12" s="3">
        <f>G12*F12</f>
        <v>0</v>
      </c>
      <c r="I12" s="42"/>
      <c r="J12" s="3">
        <f t="shared" si="0"/>
        <v>0</v>
      </c>
      <c r="K12" s="42"/>
      <c r="L12" s="3">
        <f t="shared" si="1"/>
        <v>0</v>
      </c>
      <c r="M12" s="42"/>
      <c r="N12" s="3">
        <f t="shared" si="2"/>
        <v>0</v>
      </c>
      <c r="O12" s="42"/>
      <c r="P12" s="3">
        <f t="shared" si="3"/>
        <v>0</v>
      </c>
      <c r="Q12" s="42"/>
      <c r="R12" s="3">
        <f t="shared" si="4"/>
        <v>0</v>
      </c>
    </row>
    <row r="13" spans="1:18" ht="15.75" x14ac:dyDescent="0.25">
      <c r="A13" s="46" t="s">
        <v>31</v>
      </c>
      <c r="B13" s="49"/>
      <c r="C13" s="40"/>
      <c r="D13" s="40"/>
      <c r="E13" s="19" t="s">
        <v>27</v>
      </c>
      <c r="F13" s="25">
        <v>2080</v>
      </c>
      <c r="G13" s="37"/>
      <c r="H13" s="3">
        <f>G13*F13</f>
        <v>0</v>
      </c>
      <c r="I13" s="42"/>
      <c r="J13" s="3">
        <f t="shared" ref="J13" si="6">I13*F13</f>
        <v>0</v>
      </c>
      <c r="K13" s="42"/>
      <c r="L13" s="3">
        <f t="shared" ref="L13" si="7">K13*F13</f>
        <v>0</v>
      </c>
      <c r="M13" s="42"/>
      <c r="N13" s="3">
        <f t="shared" ref="N13" si="8">M13*F13</f>
        <v>0</v>
      </c>
      <c r="O13" s="42"/>
      <c r="P13" s="3">
        <f t="shared" ref="P13" si="9">O13*F13</f>
        <v>0</v>
      </c>
      <c r="Q13" s="42"/>
      <c r="R13" s="3">
        <f t="shared" ref="R13" si="10">(Q13*F13)/2</f>
        <v>0</v>
      </c>
    </row>
    <row r="14" spans="1:18" ht="15.75" x14ac:dyDescent="0.25">
      <c r="A14" s="46" t="s">
        <v>32</v>
      </c>
      <c r="B14" s="49"/>
      <c r="C14" s="40"/>
      <c r="D14" s="40"/>
      <c r="E14" s="19" t="s">
        <v>27</v>
      </c>
      <c r="F14" s="25">
        <v>2080</v>
      </c>
      <c r="G14" s="37"/>
      <c r="H14" s="3">
        <f>G14*F14</f>
        <v>0</v>
      </c>
      <c r="I14" s="42"/>
      <c r="J14" s="3">
        <f t="shared" ref="J14" si="11">I14*F14</f>
        <v>0</v>
      </c>
      <c r="K14" s="42"/>
      <c r="L14" s="3">
        <f t="shared" ref="L14" si="12">K14*F14</f>
        <v>0</v>
      </c>
      <c r="M14" s="42"/>
      <c r="N14" s="3">
        <f t="shared" ref="N14" si="13">M14*F14</f>
        <v>0</v>
      </c>
      <c r="O14" s="42"/>
      <c r="P14" s="3">
        <f t="shared" ref="P14" si="14">O14*F14</f>
        <v>0</v>
      </c>
      <c r="Q14" s="42"/>
      <c r="R14" s="3">
        <f t="shared" ref="R14" si="15">(Q14*F14)/2</f>
        <v>0</v>
      </c>
    </row>
    <row r="15" spans="1:18" ht="15.75" x14ac:dyDescent="0.25">
      <c r="A15" s="46" t="s">
        <v>33</v>
      </c>
      <c r="B15" s="52"/>
      <c r="C15" s="40"/>
      <c r="D15" s="40"/>
      <c r="E15" s="19" t="s">
        <v>27</v>
      </c>
      <c r="F15" s="25">
        <v>2080</v>
      </c>
      <c r="G15" s="37"/>
      <c r="H15" s="3">
        <f>G15*F15</f>
        <v>0</v>
      </c>
      <c r="I15" s="42"/>
      <c r="J15" s="3">
        <f t="shared" ref="J15" si="16">I15*F15</f>
        <v>0</v>
      </c>
      <c r="K15" s="42"/>
      <c r="L15" s="3">
        <f t="shared" ref="L15" si="17">K15*F15</f>
        <v>0</v>
      </c>
      <c r="M15" s="42"/>
      <c r="N15" s="3">
        <f t="shared" ref="N15" si="18">M15*F15</f>
        <v>0</v>
      </c>
      <c r="O15" s="42"/>
      <c r="P15" s="3">
        <f t="shared" ref="P15" si="19">O15*F15</f>
        <v>0</v>
      </c>
      <c r="Q15" s="42"/>
      <c r="R15" s="3">
        <f t="shared" ref="R15" si="20">(Q15*F15)/2</f>
        <v>0</v>
      </c>
    </row>
    <row r="16" spans="1:18" ht="15.75" x14ac:dyDescent="0.25">
      <c r="A16" s="46" t="s">
        <v>34</v>
      </c>
      <c r="B16" s="51"/>
      <c r="C16" s="49"/>
      <c r="D16" s="40"/>
      <c r="E16" s="19" t="s">
        <v>27</v>
      </c>
      <c r="F16" s="25">
        <v>2080</v>
      </c>
      <c r="G16" s="37"/>
      <c r="H16" s="3">
        <f t="shared" ref="H16:H18" si="21">G16*F16</f>
        <v>0</v>
      </c>
      <c r="I16" s="42"/>
      <c r="J16" s="3">
        <f t="shared" ref="J16:J18" si="22">I16*F16</f>
        <v>0</v>
      </c>
      <c r="K16" s="42"/>
      <c r="L16" s="3">
        <f t="shared" ref="L16:L18" si="23">K16*F16</f>
        <v>0</v>
      </c>
      <c r="M16" s="42"/>
      <c r="N16" s="3">
        <f t="shared" ref="N16:N18" si="24">M16*F16</f>
        <v>0</v>
      </c>
      <c r="O16" s="42"/>
      <c r="P16" s="3">
        <f t="shared" ref="P16:P18" si="25">O16*F16</f>
        <v>0</v>
      </c>
      <c r="Q16" s="42"/>
      <c r="R16" s="3">
        <f t="shared" ref="R16:R18" si="26">(Q16*F16)/2</f>
        <v>0</v>
      </c>
    </row>
    <row r="17" spans="1:18" ht="15.75" x14ac:dyDescent="0.25">
      <c r="A17" s="46" t="s">
        <v>35</v>
      </c>
      <c r="B17" s="51"/>
      <c r="C17" s="49"/>
      <c r="D17" s="40"/>
      <c r="E17" s="19" t="s">
        <v>27</v>
      </c>
      <c r="F17" s="25">
        <v>2080</v>
      </c>
      <c r="G17" s="37"/>
      <c r="H17" s="3">
        <f t="shared" si="21"/>
        <v>0</v>
      </c>
      <c r="I17" s="42"/>
      <c r="J17" s="3">
        <f t="shared" si="22"/>
        <v>0</v>
      </c>
      <c r="K17" s="42"/>
      <c r="L17" s="3">
        <f t="shared" si="23"/>
        <v>0</v>
      </c>
      <c r="M17" s="42"/>
      <c r="N17" s="3">
        <f t="shared" si="24"/>
        <v>0</v>
      </c>
      <c r="O17" s="42"/>
      <c r="P17" s="3">
        <f t="shared" si="25"/>
        <v>0</v>
      </c>
      <c r="Q17" s="42"/>
      <c r="R17" s="3">
        <f t="shared" si="26"/>
        <v>0</v>
      </c>
    </row>
    <row r="18" spans="1:18" ht="15.75" x14ac:dyDescent="0.25">
      <c r="A18" s="47"/>
      <c r="B18" s="51"/>
      <c r="C18" s="49"/>
      <c r="D18" s="40"/>
      <c r="E18" s="19"/>
      <c r="F18" s="25"/>
      <c r="G18" s="37"/>
      <c r="H18" s="3">
        <f t="shared" si="21"/>
        <v>0</v>
      </c>
      <c r="I18" s="42"/>
      <c r="J18" s="3">
        <f t="shared" si="22"/>
        <v>0</v>
      </c>
      <c r="K18" s="42"/>
      <c r="L18" s="3">
        <f t="shared" si="23"/>
        <v>0</v>
      </c>
      <c r="M18" s="42"/>
      <c r="N18" s="3">
        <f t="shared" si="24"/>
        <v>0</v>
      </c>
      <c r="O18" s="42"/>
      <c r="P18" s="3">
        <f t="shared" si="25"/>
        <v>0</v>
      </c>
      <c r="Q18" s="42"/>
      <c r="R18" s="3">
        <f t="shared" si="26"/>
        <v>0</v>
      </c>
    </row>
    <row r="19" spans="1:18" ht="15.75" x14ac:dyDescent="0.25">
      <c r="A19" s="50" t="s">
        <v>36</v>
      </c>
      <c r="B19" s="53"/>
      <c r="C19" s="5"/>
      <c r="D19" s="5"/>
      <c r="E19" s="5"/>
      <c r="F19" s="5"/>
      <c r="G19" s="6"/>
      <c r="H19" s="6">
        <f>SUM(H3:H18)</f>
        <v>0</v>
      </c>
      <c r="I19" s="6"/>
      <c r="J19" s="6">
        <f t="shared" ref="J19:R19" si="27">SUM(J3:J18)</f>
        <v>0</v>
      </c>
      <c r="K19" s="6"/>
      <c r="L19" s="6">
        <f t="shared" si="27"/>
        <v>0</v>
      </c>
      <c r="M19" s="6"/>
      <c r="N19" s="6">
        <f t="shared" si="27"/>
        <v>0</v>
      </c>
      <c r="O19" s="6"/>
      <c r="P19" s="6">
        <f t="shared" si="27"/>
        <v>0</v>
      </c>
      <c r="Q19" s="6"/>
      <c r="R19" s="6">
        <f t="shared" si="27"/>
        <v>0</v>
      </c>
    </row>
    <row r="20" spans="1:18" ht="14.25" x14ac:dyDescent="0.2">
      <c r="A20" s="17" t="s">
        <v>37</v>
      </c>
      <c r="B20" s="4">
        <f>H19+J19+L19+N19+P19+R19</f>
        <v>0</v>
      </c>
    </row>
    <row r="22" spans="1:18" x14ac:dyDescent="0.2">
      <c r="B22" s="15"/>
    </row>
    <row r="23" spans="1:18" ht="39.75" customHeight="1" x14ac:dyDescent="0.2">
      <c r="A23" s="55" t="s">
        <v>38</v>
      </c>
      <c r="B23" s="56" t="s">
        <v>39</v>
      </c>
      <c r="C23" s="26" t="s">
        <v>1</v>
      </c>
      <c r="D23" s="27" t="s">
        <v>2</v>
      </c>
      <c r="E23" s="27" t="s">
        <v>3</v>
      </c>
      <c r="F23" s="27" t="s">
        <v>4</v>
      </c>
      <c r="G23" s="27" t="s">
        <v>5</v>
      </c>
      <c r="H23" s="26" t="s">
        <v>40</v>
      </c>
    </row>
    <row r="24" spans="1:18" ht="12.75" customHeight="1" x14ac:dyDescent="0.2">
      <c r="A24" s="55"/>
      <c r="B24" s="57"/>
      <c r="C24" s="10" t="s">
        <v>13</v>
      </c>
      <c r="D24" s="10" t="s">
        <v>13</v>
      </c>
      <c r="E24" s="10" t="s">
        <v>13</v>
      </c>
      <c r="F24" s="10" t="s">
        <v>13</v>
      </c>
      <c r="G24" s="10" t="s">
        <v>13</v>
      </c>
      <c r="H24" s="10" t="s">
        <v>13</v>
      </c>
    </row>
    <row r="25" spans="1:18" ht="15" customHeight="1" x14ac:dyDescent="0.2">
      <c r="A25" s="28"/>
      <c r="B25" s="29"/>
      <c r="C25" s="30"/>
      <c r="D25" s="30"/>
      <c r="E25" s="30"/>
      <c r="F25" s="30"/>
      <c r="G25" s="30"/>
      <c r="H25" s="30"/>
    </row>
    <row r="26" spans="1:18" x14ac:dyDescent="0.2">
      <c r="A26" s="28"/>
      <c r="B26" s="29"/>
      <c r="C26" s="31"/>
      <c r="D26" s="31"/>
      <c r="E26" s="31"/>
      <c r="F26" s="31"/>
      <c r="G26" s="31"/>
      <c r="H26" s="31"/>
    </row>
    <row r="27" spans="1:18" x14ac:dyDescent="0.2">
      <c r="A27" s="28"/>
      <c r="B27" s="29"/>
      <c r="C27" s="31"/>
      <c r="D27" s="31"/>
      <c r="E27" s="31"/>
      <c r="F27" s="31"/>
      <c r="G27" s="31"/>
      <c r="H27" s="31"/>
    </row>
    <row r="28" spans="1:18" x14ac:dyDescent="0.2">
      <c r="A28" s="28"/>
      <c r="B28" s="29"/>
      <c r="C28" s="31"/>
      <c r="D28" s="31"/>
      <c r="E28" s="31"/>
      <c r="F28" s="31"/>
      <c r="G28" s="31"/>
      <c r="H28" s="31"/>
    </row>
    <row r="29" spans="1:18" x14ac:dyDescent="0.2">
      <c r="A29" s="28"/>
      <c r="B29" s="29"/>
      <c r="C29" s="31"/>
      <c r="D29" s="31"/>
      <c r="E29" s="31"/>
      <c r="F29" s="31"/>
      <c r="G29" s="31"/>
      <c r="H29" s="31"/>
    </row>
    <row r="30" spans="1:18" x14ac:dyDescent="0.2">
      <c r="A30" s="28"/>
      <c r="B30" s="29"/>
      <c r="C30" s="31"/>
      <c r="D30" s="31"/>
      <c r="E30" s="31"/>
      <c r="F30" s="31"/>
      <c r="G30" s="31"/>
      <c r="H30" s="31"/>
    </row>
    <row r="31" spans="1:18" x14ac:dyDescent="0.2">
      <c r="A31" s="32"/>
      <c r="B31" s="29"/>
      <c r="C31" s="31"/>
      <c r="D31" s="31"/>
      <c r="E31" s="31"/>
      <c r="F31" s="31"/>
      <c r="G31" s="31"/>
      <c r="H31" s="31"/>
    </row>
    <row r="32" spans="1:18" x14ac:dyDescent="0.2">
      <c r="A32" s="33"/>
      <c r="B32" s="29"/>
      <c r="C32" s="31"/>
      <c r="D32" s="31"/>
      <c r="E32" s="31"/>
      <c r="F32" s="31"/>
      <c r="G32" s="31"/>
      <c r="H32" s="31"/>
    </row>
    <row r="33" spans="1:8" ht="12.75" customHeight="1" x14ac:dyDescent="0.2">
      <c r="A33" s="33"/>
      <c r="B33" s="29"/>
      <c r="C33" s="31"/>
      <c r="D33" s="31"/>
      <c r="E33" s="31"/>
      <c r="F33" s="31"/>
      <c r="G33" s="31"/>
      <c r="H33" s="31"/>
    </row>
    <row r="34" spans="1:8" ht="12.75" customHeight="1" x14ac:dyDescent="0.2">
      <c r="A34" s="33"/>
      <c r="B34" s="29"/>
      <c r="C34" s="31"/>
      <c r="D34" s="31"/>
      <c r="E34" s="31"/>
      <c r="F34" s="31"/>
      <c r="G34" s="31"/>
      <c r="H34" s="31"/>
    </row>
    <row r="35" spans="1:8" ht="12.75" customHeight="1" x14ac:dyDescent="0.25">
      <c r="A35" s="33"/>
      <c r="B35" s="29"/>
      <c r="C35" s="34"/>
      <c r="D35" s="34"/>
      <c r="E35" s="34"/>
      <c r="F35" s="34"/>
      <c r="G35" s="34"/>
      <c r="H35" s="34"/>
    </row>
    <row r="36" spans="1:8" x14ac:dyDescent="0.2">
      <c r="A36" s="33"/>
      <c r="B36" s="29"/>
      <c r="C36" s="31"/>
      <c r="D36" s="31"/>
      <c r="E36" s="31"/>
      <c r="F36" s="31"/>
      <c r="G36" s="31"/>
      <c r="H36" s="31"/>
    </row>
    <row r="37" spans="1:8" ht="12.75" customHeight="1" x14ac:dyDescent="0.2">
      <c r="A37" s="33"/>
      <c r="B37" s="29"/>
      <c r="C37" s="31"/>
      <c r="D37" s="31"/>
      <c r="E37" s="31"/>
      <c r="F37" s="31"/>
      <c r="G37" s="31"/>
      <c r="H37" s="31"/>
    </row>
    <row r="38" spans="1:8" ht="12.75" customHeight="1" x14ac:dyDescent="0.2">
      <c r="A38" s="33"/>
      <c r="B38" s="29"/>
      <c r="C38" s="31"/>
      <c r="D38" s="31"/>
      <c r="E38" s="31"/>
      <c r="F38" s="31"/>
      <c r="G38" s="31"/>
      <c r="H38" s="31"/>
    </row>
    <row r="39" spans="1:8" ht="12.75" customHeight="1" x14ac:dyDescent="0.25">
      <c r="A39" s="33"/>
      <c r="B39" s="29"/>
      <c r="C39" s="34"/>
      <c r="D39" s="34"/>
      <c r="E39" s="34"/>
      <c r="F39" s="34"/>
      <c r="G39" s="34"/>
      <c r="H39" s="34"/>
    </row>
    <row r="40" spans="1:8" x14ac:dyDescent="0.2">
      <c r="A40" s="33"/>
      <c r="B40" s="29"/>
      <c r="C40" s="31"/>
      <c r="D40" s="31"/>
      <c r="E40" s="31"/>
      <c r="F40" s="31"/>
      <c r="G40" s="31"/>
      <c r="H40" s="31"/>
    </row>
    <row r="41" spans="1:8" ht="12.75" customHeight="1" x14ac:dyDescent="0.2">
      <c r="A41" s="33"/>
      <c r="B41" s="29"/>
      <c r="C41" s="31"/>
      <c r="D41" s="31"/>
      <c r="E41" s="31"/>
      <c r="F41" s="31"/>
      <c r="G41" s="31"/>
      <c r="H41" s="31"/>
    </row>
    <row r="42" spans="1:8" ht="12.75" customHeight="1" x14ac:dyDescent="0.2">
      <c r="A42" s="33"/>
      <c r="B42" s="29"/>
      <c r="C42" s="31"/>
      <c r="D42" s="31"/>
      <c r="E42" s="31"/>
      <c r="F42" s="31"/>
      <c r="G42" s="31"/>
      <c r="H42" s="31"/>
    </row>
    <row r="43" spans="1:8" ht="12.75" customHeight="1" x14ac:dyDescent="0.25">
      <c r="A43" s="33"/>
      <c r="B43" s="29"/>
      <c r="C43" s="34"/>
      <c r="D43" s="34"/>
      <c r="E43" s="34"/>
      <c r="F43" s="34"/>
      <c r="G43" s="34"/>
      <c r="H43" s="34"/>
    </row>
    <row r="44" spans="1:8" x14ac:dyDescent="0.2">
      <c r="A44" s="33"/>
      <c r="B44" s="29"/>
      <c r="C44" s="31"/>
      <c r="D44" s="31"/>
      <c r="E44" s="31"/>
      <c r="F44" s="31"/>
      <c r="G44" s="31"/>
      <c r="H44" s="31"/>
    </row>
    <row r="45" spans="1:8" ht="12.75" customHeight="1" x14ac:dyDescent="0.2">
      <c r="A45" s="33"/>
      <c r="B45" s="29"/>
      <c r="C45" s="31"/>
      <c r="D45" s="31"/>
      <c r="E45" s="31"/>
      <c r="F45" s="31"/>
      <c r="G45" s="31"/>
      <c r="H45" s="31"/>
    </row>
    <row r="46" spans="1:8" ht="12.75" customHeight="1" x14ac:dyDescent="0.2">
      <c r="A46" s="33"/>
      <c r="B46" s="29"/>
      <c r="C46" s="31"/>
      <c r="D46" s="31"/>
      <c r="E46" s="31"/>
      <c r="F46" s="31"/>
      <c r="G46" s="31"/>
      <c r="H46" s="31"/>
    </row>
    <row r="47" spans="1:8" ht="12.75" customHeight="1" x14ac:dyDescent="0.25">
      <c r="A47" s="33"/>
      <c r="B47" s="29"/>
      <c r="C47" s="34"/>
      <c r="D47" s="34"/>
      <c r="E47" s="34"/>
      <c r="F47" s="34"/>
      <c r="G47" s="34"/>
      <c r="H47" s="34"/>
    </row>
    <row r="48" spans="1:8" ht="15.75" x14ac:dyDescent="0.25">
      <c r="A48" s="33"/>
      <c r="B48" s="29"/>
      <c r="C48" s="34"/>
      <c r="D48" s="34"/>
      <c r="E48" s="34"/>
      <c r="F48" s="34"/>
      <c r="G48" s="34"/>
      <c r="H48" s="34"/>
    </row>
    <row r="49" spans="1:8" ht="12.75" customHeight="1" x14ac:dyDescent="0.2">
      <c r="A49" s="33"/>
      <c r="B49" s="29"/>
      <c r="C49" s="31"/>
      <c r="D49" s="31"/>
      <c r="E49" s="31"/>
      <c r="F49" s="31"/>
      <c r="G49" s="31"/>
      <c r="H49" s="31"/>
    </row>
    <row r="50" spans="1:8" ht="12.75" customHeight="1" x14ac:dyDescent="0.2">
      <c r="A50" s="33"/>
      <c r="B50" s="29"/>
      <c r="C50" s="31"/>
      <c r="D50" s="31"/>
      <c r="E50" s="31"/>
      <c r="F50" s="31"/>
      <c r="G50" s="31"/>
      <c r="H50" s="31"/>
    </row>
    <row r="51" spans="1:8" ht="12.75" customHeight="1" x14ac:dyDescent="0.2">
      <c r="A51" s="33"/>
      <c r="B51" s="29"/>
      <c r="C51" s="31"/>
      <c r="D51" s="31"/>
      <c r="E51" s="31"/>
      <c r="F51" s="31"/>
      <c r="G51" s="31"/>
      <c r="H51" s="31"/>
    </row>
    <row r="52" spans="1:8" ht="15.75" x14ac:dyDescent="0.25">
      <c r="A52" s="33"/>
      <c r="B52" s="29"/>
      <c r="C52" s="34"/>
      <c r="D52" s="34"/>
      <c r="E52" s="34"/>
      <c r="F52" s="34"/>
      <c r="G52" s="34"/>
      <c r="H52" s="34"/>
    </row>
    <row r="53" spans="1:8" ht="12.75" customHeight="1" x14ac:dyDescent="0.2">
      <c r="A53" s="21"/>
    </row>
    <row r="54" spans="1:8" ht="12.75" customHeight="1" x14ac:dyDescent="0.2">
      <c r="A54" s="21"/>
    </row>
    <row r="55" spans="1:8" ht="12.75" customHeight="1" x14ac:dyDescent="0.2">
      <c r="A55" s="15"/>
    </row>
    <row r="57" spans="1:8" ht="12.75" customHeight="1" x14ac:dyDescent="0.2">
      <c r="A57" s="21"/>
    </row>
    <row r="58" spans="1:8" ht="12.75" customHeight="1" x14ac:dyDescent="0.2">
      <c r="A58" s="21"/>
    </row>
    <row r="59" spans="1:8" ht="12.75" customHeight="1" x14ac:dyDescent="0.2">
      <c r="A59" s="15"/>
    </row>
    <row r="61" spans="1:8" ht="12.75" customHeight="1" x14ac:dyDescent="0.2">
      <c r="A61" s="21"/>
    </row>
    <row r="62" spans="1:8" ht="12.75" customHeight="1" x14ac:dyDescent="0.2">
      <c r="A62" s="20"/>
    </row>
    <row r="63" spans="1:8" ht="12.75" customHeight="1" x14ac:dyDescent="0.2"/>
  </sheetData>
  <mergeCells count="8">
    <mergeCell ref="A23:A24"/>
    <mergeCell ref="B23:B24"/>
    <mergeCell ref="Q1:R1"/>
    <mergeCell ref="G1:H1"/>
    <mergeCell ref="K1:L1"/>
    <mergeCell ref="M1:N1"/>
    <mergeCell ref="O1:P1"/>
    <mergeCell ref="I1:J1"/>
  </mergeCells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7B0B-7CD5-4896-9DFD-419F3EF0CB29}">
  <dimension ref="A1:S38"/>
  <sheetViews>
    <sheetView workbookViewId="0">
      <selection activeCell="C26" sqref="C26"/>
    </sheetView>
  </sheetViews>
  <sheetFormatPr defaultRowHeight="12.75" x14ac:dyDescent="0.2"/>
  <cols>
    <col min="1" max="1" width="64.7109375" bestFit="1" customWidth="1"/>
    <col min="2" max="2" width="13.140625" bestFit="1" customWidth="1"/>
    <col min="3" max="4" width="17" bestFit="1" customWidth="1"/>
    <col min="5" max="5" width="3" customWidth="1"/>
    <col min="6" max="6" width="14.5703125" customWidth="1"/>
    <col min="7" max="7" width="17" bestFit="1" customWidth="1"/>
    <col min="8" max="8" width="3.7109375" customWidth="1"/>
    <col min="9" max="9" width="13.7109375" customWidth="1"/>
    <col min="10" max="10" width="17" bestFit="1" customWidth="1"/>
    <col min="11" max="11" width="3.140625" customWidth="1"/>
    <col min="12" max="12" width="13.42578125" customWidth="1"/>
    <col min="13" max="13" width="17" bestFit="1" customWidth="1"/>
    <col min="14" max="14" width="4.140625" customWidth="1"/>
    <col min="15" max="15" width="11.85546875" customWidth="1"/>
    <col min="16" max="16" width="17" bestFit="1" customWidth="1"/>
    <col min="17" max="17" width="3.7109375" customWidth="1"/>
    <col min="18" max="18" width="12.7109375" customWidth="1"/>
    <col min="19" max="19" width="17" customWidth="1"/>
  </cols>
  <sheetData>
    <row r="1" spans="1:19" x14ac:dyDescent="0.2">
      <c r="C1" s="58" t="s">
        <v>1</v>
      </c>
      <c r="D1" s="58"/>
      <c r="F1" s="58" t="s">
        <v>2</v>
      </c>
      <c r="G1" s="58"/>
      <c r="I1" s="58" t="s">
        <v>3</v>
      </c>
      <c r="J1" s="58"/>
      <c r="L1" s="58" t="s">
        <v>4</v>
      </c>
      <c r="M1" s="58"/>
      <c r="O1" s="58" t="s">
        <v>5</v>
      </c>
      <c r="P1" s="58"/>
      <c r="R1" s="58" t="s">
        <v>41</v>
      </c>
      <c r="S1" s="58"/>
    </row>
    <row r="2" spans="1:19" ht="42.75" customHeight="1" x14ac:dyDescent="0.3">
      <c r="A2" s="35" t="s">
        <v>42</v>
      </c>
      <c r="B2" s="2" t="s">
        <v>43</v>
      </c>
      <c r="C2" s="7" t="s">
        <v>13</v>
      </c>
      <c r="D2" s="7" t="s">
        <v>14</v>
      </c>
      <c r="F2" s="7" t="s">
        <v>13</v>
      </c>
      <c r="G2" s="7" t="s">
        <v>14</v>
      </c>
      <c r="I2" s="7" t="s">
        <v>13</v>
      </c>
      <c r="J2" s="7" t="s">
        <v>14</v>
      </c>
      <c r="L2" s="7" t="s">
        <v>13</v>
      </c>
      <c r="M2" s="7" t="s">
        <v>14</v>
      </c>
      <c r="O2" s="7" t="s">
        <v>13</v>
      </c>
      <c r="P2" s="7" t="s">
        <v>14</v>
      </c>
      <c r="R2" s="7" t="s">
        <v>13</v>
      </c>
      <c r="S2" s="7" t="s">
        <v>14</v>
      </c>
    </row>
    <row r="3" spans="1:19" ht="15.75" x14ac:dyDescent="0.25">
      <c r="A3" s="1" t="s">
        <v>44</v>
      </c>
      <c r="B3" s="11">
        <v>240</v>
      </c>
      <c r="C3" s="36"/>
      <c r="D3" s="7">
        <f>C3*B3</f>
        <v>0</v>
      </c>
      <c r="F3" s="36"/>
      <c r="G3" s="7">
        <f>F3*B3</f>
        <v>0</v>
      </c>
      <c r="I3" s="36"/>
      <c r="J3" s="7">
        <f>I3*B3</f>
        <v>0</v>
      </c>
      <c r="L3" s="36"/>
      <c r="M3" s="7">
        <f t="shared" ref="M3:M16" si="0">L3*B3</f>
        <v>0</v>
      </c>
      <c r="O3" s="36"/>
      <c r="P3" s="7">
        <f t="shared" ref="P3:P15" si="1">O3*B3</f>
        <v>0</v>
      </c>
      <c r="R3" s="36"/>
      <c r="S3" s="7">
        <f>(R3*B3)/2</f>
        <v>0</v>
      </c>
    </row>
    <row r="4" spans="1:19" ht="15.75" x14ac:dyDescent="0.25">
      <c r="A4" s="1" t="s">
        <v>45</v>
      </c>
      <c r="B4" s="11">
        <v>240</v>
      </c>
      <c r="C4" s="36"/>
      <c r="D4" s="7">
        <f t="shared" ref="D4:D16" si="2">C4*B4</f>
        <v>0</v>
      </c>
      <c r="F4" s="36"/>
      <c r="G4" s="7">
        <f t="shared" ref="G4:G16" si="3">F4*B4</f>
        <v>0</v>
      </c>
      <c r="I4" s="36"/>
      <c r="J4" s="7">
        <f t="shared" ref="J4:J16" si="4">I4*B4</f>
        <v>0</v>
      </c>
      <c r="L4" s="36"/>
      <c r="M4" s="7">
        <f t="shared" si="0"/>
        <v>0</v>
      </c>
      <c r="O4" s="36"/>
      <c r="P4" s="7">
        <f t="shared" si="1"/>
        <v>0</v>
      </c>
      <c r="R4" s="36"/>
      <c r="S4" s="7">
        <f t="shared" ref="S4:S15" si="5">(R4*B4)/2</f>
        <v>0</v>
      </c>
    </row>
    <row r="5" spans="1:19" ht="15.75" x14ac:dyDescent="0.25">
      <c r="A5" s="1" t="s">
        <v>46</v>
      </c>
      <c r="B5" s="11">
        <v>240</v>
      </c>
      <c r="C5" s="36"/>
      <c r="D5" s="7">
        <f t="shared" si="2"/>
        <v>0</v>
      </c>
      <c r="F5" s="36"/>
      <c r="G5" s="7">
        <f t="shared" si="3"/>
        <v>0</v>
      </c>
      <c r="I5" s="36"/>
      <c r="J5" s="7">
        <f t="shared" si="4"/>
        <v>0</v>
      </c>
      <c r="L5" s="36"/>
      <c r="M5" s="7">
        <f t="shared" si="0"/>
        <v>0</v>
      </c>
      <c r="O5" s="36"/>
      <c r="P5" s="7">
        <f t="shared" si="1"/>
        <v>0</v>
      </c>
      <c r="R5" s="36"/>
      <c r="S5" s="7">
        <f t="shared" si="5"/>
        <v>0</v>
      </c>
    </row>
    <row r="6" spans="1:19" ht="15.75" x14ac:dyDescent="0.25">
      <c r="A6" s="1" t="s">
        <v>47</v>
      </c>
      <c r="B6" s="11">
        <v>240</v>
      </c>
      <c r="C6" s="36"/>
      <c r="D6" s="7">
        <f t="shared" si="2"/>
        <v>0</v>
      </c>
      <c r="F6" s="36"/>
      <c r="G6" s="7">
        <f t="shared" si="3"/>
        <v>0</v>
      </c>
      <c r="I6" s="36"/>
      <c r="J6" s="7">
        <f t="shared" si="4"/>
        <v>0</v>
      </c>
      <c r="L6" s="36"/>
      <c r="M6" s="7">
        <f t="shared" si="0"/>
        <v>0</v>
      </c>
      <c r="O6" s="36"/>
      <c r="P6" s="7">
        <f t="shared" si="1"/>
        <v>0</v>
      </c>
      <c r="R6" s="36"/>
      <c r="S6" s="7">
        <f t="shared" si="5"/>
        <v>0</v>
      </c>
    </row>
    <row r="7" spans="1:19" ht="15.75" x14ac:dyDescent="0.25">
      <c r="A7" s="1" t="s">
        <v>48</v>
      </c>
      <c r="B7" s="11">
        <v>240</v>
      </c>
      <c r="C7" s="36"/>
      <c r="D7" s="7">
        <f t="shared" si="2"/>
        <v>0</v>
      </c>
      <c r="F7" s="36"/>
      <c r="G7" s="7">
        <f t="shared" si="3"/>
        <v>0</v>
      </c>
      <c r="I7" s="36"/>
      <c r="J7" s="7">
        <f t="shared" si="4"/>
        <v>0</v>
      </c>
      <c r="L7" s="36"/>
      <c r="M7" s="7">
        <f t="shared" si="0"/>
        <v>0</v>
      </c>
      <c r="O7" s="36"/>
      <c r="P7" s="7">
        <f t="shared" si="1"/>
        <v>0</v>
      </c>
      <c r="R7" s="36"/>
      <c r="S7" s="7">
        <f t="shared" si="5"/>
        <v>0</v>
      </c>
    </row>
    <row r="8" spans="1:19" ht="15.75" x14ac:dyDescent="0.25">
      <c r="A8" s="1" t="s">
        <v>49</v>
      </c>
      <c r="B8" s="11">
        <v>240</v>
      </c>
      <c r="C8" s="36"/>
      <c r="D8" s="7">
        <f t="shared" si="2"/>
        <v>0</v>
      </c>
      <c r="F8" s="36"/>
      <c r="G8" s="7">
        <f t="shared" si="3"/>
        <v>0</v>
      </c>
      <c r="I8" s="36"/>
      <c r="J8" s="7">
        <f t="shared" si="4"/>
        <v>0</v>
      </c>
      <c r="L8" s="36"/>
      <c r="M8" s="7">
        <f t="shared" si="0"/>
        <v>0</v>
      </c>
      <c r="O8" s="36"/>
      <c r="P8" s="7">
        <f t="shared" si="1"/>
        <v>0</v>
      </c>
      <c r="R8" s="36"/>
      <c r="S8" s="7">
        <f t="shared" si="5"/>
        <v>0</v>
      </c>
    </row>
    <row r="9" spans="1:19" ht="15.75" x14ac:dyDescent="0.25">
      <c r="A9" s="1" t="s">
        <v>50</v>
      </c>
      <c r="B9" s="11">
        <v>240</v>
      </c>
      <c r="C9" s="36"/>
      <c r="D9" s="7">
        <f t="shared" si="2"/>
        <v>0</v>
      </c>
      <c r="F9" s="36"/>
      <c r="G9" s="7">
        <f t="shared" si="3"/>
        <v>0</v>
      </c>
      <c r="I9" s="36"/>
      <c r="J9" s="7">
        <f t="shared" si="4"/>
        <v>0</v>
      </c>
      <c r="L9" s="36"/>
      <c r="M9" s="7">
        <f t="shared" si="0"/>
        <v>0</v>
      </c>
      <c r="O9" s="36"/>
      <c r="P9" s="7">
        <f t="shared" si="1"/>
        <v>0</v>
      </c>
      <c r="R9" s="36"/>
      <c r="S9" s="7">
        <f t="shared" si="5"/>
        <v>0</v>
      </c>
    </row>
    <row r="10" spans="1:19" ht="15.75" x14ac:dyDescent="0.25">
      <c r="A10" s="1" t="s">
        <v>51</v>
      </c>
      <c r="B10" s="11">
        <v>240</v>
      </c>
      <c r="C10" s="36"/>
      <c r="D10" s="7">
        <f t="shared" si="2"/>
        <v>0</v>
      </c>
      <c r="F10" s="36"/>
      <c r="G10" s="7">
        <f t="shared" si="3"/>
        <v>0</v>
      </c>
      <c r="I10" s="36"/>
      <c r="J10" s="7">
        <f t="shared" si="4"/>
        <v>0</v>
      </c>
      <c r="L10" s="36"/>
      <c r="M10" s="7">
        <f t="shared" si="0"/>
        <v>0</v>
      </c>
      <c r="O10" s="36"/>
      <c r="P10" s="7">
        <f t="shared" si="1"/>
        <v>0</v>
      </c>
      <c r="R10" s="36"/>
      <c r="S10" s="7">
        <f t="shared" si="5"/>
        <v>0</v>
      </c>
    </row>
    <row r="11" spans="1:19" ht="15.75" x14ac:dyDescent="0.25">
      <c r="A11" s="1" t="s">
        <v>52</v>
      </c>
      <c r="B11" s="11">
        <v>240</v>
      </c>
      <c r="C11" s="36"/>
      <c r="D11" s="7">
        <f t="shared" si="2"/>
        <v>0</v>
      </c>
      <c r="F11" s="36"/>
      <c r="G11" s="7">
        <f t="shared" si="3"/>
        <v>0</v>
      </c>
      <c r="I11" s="36"/>
      <c r="J11" s="7">
        <f t="shared" si="4"/>
        <v>0</v>
      </c>
      <c r="L11" s="36"/>
      <c r="M11" s="7">
        <f t="shared" si="0"/>
        <v>0</v>
      </c>
      <c r="O11" s="36"/>
      <c r="P11" s="7">
        <f t="shared" si="1"/>
        <v>0</v>
      </c>
      <c r="R11" s="36"/>
      <c r="S11" s="7">
        <f t="shared" si="5"/>
        <v>0</v>
      </c>
    </row>
    <row r="12" spans="1:19" ht="15.75" x14ac:dyDescent="0.25">
      <c r="A12" s="1" t="s">
        <v>53</v>
      </c>
      <c r="B12" s="11">
        <v>240</v>
      </c>
      <c r="C12" s="36"/>
      <c r="D12" s="7">
        <f t="shared" si="2"/>
        <v>0</v>
      </c>
      <c r="F12" s="36"/>
      <c r="G12" s="7">
        <f t="shared" si="3"/>
        <v>0</v>
      </c>
      <c r="I12" s="36"/>
      <c r="J12" s="7">
        <f t="shared" si="4"/>
        <v>0</v>
      </c>
      <c r="L12" s="36"/>
      <c r="M12" s="7">
        <f t="shared" si="0"/>
        <v>0</v>
      </c>
      <c r="O12" s="36"/>
      <c r="P12" s="7">
        <f t="shared" si="1"/>
        <v>0</v>
      </c>
      <c r="R12" s="36"/>
      <c r="S12" s="7">
        <f t="shared" si="5"/>
        <v>0</v>
      </c>
    </row>
    <row r="13" spans="1:19" ht="15.75" x14ac:dyDescent="0.25">
      <c r="A13" s="1" t="s">
        <v>54</v>
      </c>
      <c r="B13" s="11">
        <v>240</v>
      </c>
      <c r="C13" s="36"/>
      <c r="D13" s="7">
        <f t="shared" si="2"/>
        <v>0</v>
      </c>
      <c r="F13" s="36"/>
      <c r="G13" s="7">
        <f t="shared" si="3"/>
        <v>0</v>
      </c>
      <c r="I13" s="36"/>
      <c r="J13" s="7">
        <f t="shared" si="4"/>
        <v>0</v>
      </c>
      <c r="L13" s="36"/>
      <c r="M13" s="7">
        <f t="shared" si="0"/>
        <v>0</v>
      </c>
      <c r="O13" s="36"/>
      <c r="P13" s="7">
        <f t="shared" si="1"/>
        <v>0</v>
      </c>
      <c r="R13" s="36"/>
      <c r="S13" s="7">
        <f t="shared" si="5"/>
        <v>0</v>
      </c>
    </row>
    <row r="14" spans="1:19" ht="15.75" x14ac:dyDescent="0.25">
      <c r="A14" s="1" t="s">
        <v>55</v>
      </c>
      <c r="B14" s="11">
        <v>240</v>
      </c>
      <c r="C14" s="36"/>
      <c r="D14" s="7">
        <f t="shared" si="2"/>
        <v>0</v>
      </c>
      <c r="F14" s="36"/>
      <c r="G14" s="7">
        <f t="shared" si="3"/>
        <v>0</v>
      </c>
      <c r="I14" s="36"/>
      <c r="J14" s="7">
        <f t="shared" si="4"/>
        <v>0</v>
      </c>
      <c r="L14" s="36"/>
      <c r="M14" s="7">
        <f t="shared" si="0"/>
        <v>0</v>
      </c>
      <c r="O14" s="36"/>
      <c r="P14" s="7">
        <f t="shared" si="1"/>
        <v>0</v>
      </c>
      <c r="R14" s="36"/>
      <c r="S14" s="7">
        <f t="shared" si="5"/>
        <v>0</v>
      </c>
    </row>
    <row r="15" spans="1:19" ht="15.75" x14ac:dyDescent="0.25">
      <c r="A15" s="1" t="s">
        <v>56</v>
      </c>
      <c r="B15" s="11">
        <v>240</v>
      </c>
      <c r="C15" s="36"/>
      <c r="D15" s="7">
        <f t="shared" si="2"/>
        <v>0</v>
      </c>
      <c r="F15" s="36"/>
      <c r="G15" s="7">
        <f t="shared" si="3"/>
        <v>0</v>
      </c>
      <c r="I15" s="36"/>
      <c r="J15" s="7">
        <f t="shared" si="4"/>
        <v>0</v>
      </c>
      <c r="L15" s="36"/>
      <c r="M15" s="7">
        <f t="shared" si="0"/>
        <v>0</v>
      </c>
      <c r="O15" s="36"/>
      <c r="P15" s="7">
        <f t="shared" si="1"/>
        <v>0</v>
      </c>
      <c r="R15" s="36"/>
      <c r="S15" s="7">
        <f t="shared" si="5"/>
        <v>0</v>
      </c>
    </row>
    <row r="16" spans="1:19" ht="15.75" x14ac:dyDescent="0.25">
      <c r="A16" s="1" t="s">
        <v>57</v>
      </c>
      <c r="B16" s="11">
        <v>240</v>
      </c>
      <c r="C16" s="36"/>
      <c r="D16" s="7">
        <f t="shared" si="2"/>
        <v>0</v>
      </c>
      <c r="F16" s="36"/>
      <c r="G16" s="7">
        <f t="shared" si="3"/>
        <v>0</v>
      </c>
      <c r="I16" s="36"/>
      <c r="J16" s="7">
        <f t="shared" si="4"/>
        <v>0</v>
      </c>
      <c r="L16" s="36"/>
      <c r="M16" s="7">
        <f t="shared" si="0"/>
        <v>0</v>
      </c>
      <c r="O16" s="36"/>
      <c r="P16" s="7">
        <f>O16*B16</f>
        <v>0</v>
      </c>
      <c r="R16" s="36"/>
      <c r="S16" s="7">
        <f>(R16*B16)/2</f>
        <v>0</v>
      </c>
    </row>
    <row r="17" spans="1:19" x14ac:dyDescent="0.2">
      <c r="A17" s="8" t="s">
        <v>58</v>
      </c>
      <c r="B17" s="3"/>
      <c r="C17" s="7"/>
      <c r="D17" s="9">
        <f>SUM(D3:D16)</f>
        <v>0</v>
      </c>
      <c r="E17" s="9"/>
      <c r="F17" s="9"/>
      <c r="G17" s="9">
        <f>SUM(G3:G16)</f>
        <v>0</v>
      </c>
      <c r="H17" s="9"/>
      <c r="I17" s="9"/>
      <c r="J17" s="9">
        <f>SUM(J3:J16)</f>
        <v>0</v>
      </c>
      <c r="L17" s="7"/>
      <c r="M17" s="9">
        <f>SUM(M3:M16)</f>
        <v>0</v>
      </c>
      <c r="O17" s="7"/>
      <c r="P17" s="9">
        <f>SUM(P3:P16)</f>
        <v>0</v>
      </c>
      <c r="R17" s="7"/>
      <c r="S17" s="9">
        <f>SUM(S3:S16)</f>
        <v>0</v>
      </c>
    </row>
    <row r="18" spans="1:19" x14ac:dyDescent="0.2">
      <c r="A18" s="8" t="s">
        <v>59</v>
      </c>
      <c r="B18" s="61">
        <f>D17+G17+J17+M17+P17+S17</f>
        <v>0</v>
      </c>
      <c r="C18" s="61"/>
    </row>
    <row r="21" spans="1:19" x14ac:dyDescent="0.2">
      <c r="C21" s="58" t="s">
        <v>1</v>
      </c>
      <c r="D21" s="58"/>
      <c r="F21" s="58" t="s">
        <v>2</v>
      </c>
      <c r="G21" s="58"/>
      <c r="I21" s="58" t="s">
        <v>3</v>
      </c>
      <c r="J21" s="58"/>
      <c r="L21" s="58" t="s">
        <v>4</v>
      </c>
      <c r="M21" s="58"/>
      <c r="O21" s="58" t="s">
        <v>5</v>
      </c>
      <c r="P21" s="58"/>
      <c r="R21" s="58" t="s">
        <v>41</v>
      </c>
      <c r="S21" s="58"/>
    </row>
    <row r="22" spans="1:19" ht="40.5" x14ac:dyDescent="0.3">
      <c r="A22" s="35" t="s">
        <v>60</v>
      </c>
      <c r="B22" s="2" t="s">
        <v>43</v>
      </c>
      <c r="C22" s="7" t="s">
        <v>13</v>
      </c>
      <c r="D22" s="7" t="s">
        <v>14</v>
      </c>
      <c r="F22" s="7" t="s">
        <v>13</v>
      </c>
      <c r="G22" s="7" t="s">
        <v>14</v>
      </c>
      <c r="I22" s="7" t="s">
        <v>13</v>
      </c>
      <c r="J22" s="7" t="s">
        <v>14</v>
      </c>
      <c r="L22" s="7" t="s">
        <v>13</v>
      </c>
      <c r="M22" s="7" t="s">
        <v>14</v>
      </c>
      <c r="O22" s="7" t="s">
        <v>13</v>
      </c>
      <c r="P22" s="7" t="s">
        <v>14</v>
      </c>
      <c r="R22" s="7" t="s">
        <v>13</v>
      </c>
      <c r="S22" s="7" t="s">
        <v>14</v>
      </c>
    </row>
    <row r="23" spans="1:19" ht="15.75" x14ac:dyDescent="0.25">
      <c r="A23" s="1" t="s">
        <v>61</v>
      </c>
      <c r="B23" s="11">
        <v>240</v>
      </c>
      <c r="C23" s="36"/>
      <c r="D23" s="7">
        <f>C23*B23</f>
        <v>0</v>
      </c>
      <c r="F23" s="36"/>
      <c r="G23" s="7">
        <f>F23*B23</f>
        <v>0</v>
      </c>
      <c r="I23" s="36"/>
      <c r="J23" s="7">
        <f>I23*B23</f>
        <v>0</v>
      </c>
      <c r="L23" s="36"/>
      <c r="M23" s="7">
        <f t="shared" ref="M23:M36" si="6">L23*B23</f>
        <v>0</v>
      </c>
      <c r="O23" s="36"/>
      <c r="P23" s="7">
        <f t="shared" ref="P23:P35" si="7">O23*B23</f>
        <v>0</v>
      </c>
      <c r="R23" s="36"/>
      <c r="S23" s="7">
        <f>(R23*B23)/2</f>
        <v>0</v>
      </c>
    </row>
    <row r="24" spans="1:19" ht="15.75" x14ac:dyDescent="0.25">
      <c r="A24" s="44" t="s">
        <v>62</v>
      </c>
      <c r="B24" s="11">
        <v>240</v>
      </c>
      <c r="C24" s="36"/>
      <c r="D24" s="7">
        <f t="shared" ref="D24:D36" si="8">C24*B24</f>
        <v>0</v>
      </c>
      <c r="F24" s="36"/>
      <c r="G24" s="7">
        <f t="shared" ref="G24:G36" si="9">F24*B24</f>
        <v>0</v>
      </c>
      <c r="I24" s="36"/>
      <c r="J24" s="7">
        <f t="shared" ref="J24:J36" si="10">I24*B24</f>
        <v>0</v>
      </c>
      <c r="L24" s="36"/>
      <c r="M24" s="7">
        <f t="shared" si="6"/>
        <v>0</v>
      </c>
      <c r="O24" s="36"/>
      <c r="P24" s="7">
        <f t="shared" si="7"/>
        <v>0</v>
      </c>
      <c r="R24" s="36"/>
      <c r="S24" s="7">
        <f t="shared" ref="S24:S35" si="11">(R24*B24)/2</f>
        <v>0</v>
      </c>
    </row>
    <row r="25" spans="1:19" ht="15.75" x14ac:dyDescent="0.25">
      <c r="A25" s="37" t="s">
        <v>63</v>
      </c>
      <c r="B25" s="11">
        <v>240</v>
      </c>
      <c r="C25" s="36"/>
      <c r="D25" s="7">
        <f t="shared" si="8"/>
        <v>0</v>
      </c>
      <c r="F25" s="36"/>
      <c r="G25" s="7">
        <f t="shared" si="9"/>
        <v>0</v>
      </c>
      <c r="I25" s="36"/>
      <c r="J25" s="7">
        <f t="shared" si="10"/>
        <v>0</v>
      </c>
      <c r="L25" s="36"/>
      <c r="M25" s="7">
        <f t="shared" si="6"/>
        <v>0</v>
      </c>
      <c r="O25" s="36"/>
      <c r="P25" s="7">
        <f t="shared" si="7"/>
        <v>0</v>
      </c>
      <c r="R25" s="36"/>
      <c r="S25" s="7">
        <f t="shared" si="11"/>
        <v>0</v>
      </c>
    </row>
    <row r="26" spans="1:19" ht="15.75" x14ac:dyDescent="0.25">
      <c r="A26" s="37" t="s">
        <v>64</v>
      </c>
      <c r="B26" s="11">
        <v>240</v>
      </c>
      <c r="C26" s="36"/>
      <c r="D26" s="7">
        <f t="shared" si="8"/>
        <v>0</v>
      </c>
      <c r="F26" s="36"/>
      <c r="G26" s="7">
        <f t="shared" si="9"/>
        <v>0</v>
      </c>
      <c r="I26" s="36"/>
      <c r="J26" s="7">
        <f t="shared" si="10"/>
        <v>0</v>
      </c>
      <c r="L26" s="36"/>
      <c r="M26" s="7">
        <f t="shared" si="6"/>
        <v>0</v>
      </c>
      <c r="O26" s="36"/>
      <c r="P26" s="7">
        <f t="shared" si="7"/>
        <v>0</v>
      </c>
      <c r="R26" s="36"/>
      <c r="S26" s="7">
        <f t="shared" si="11"/>
        <v>0</v>
      </c>
    </row>
    <row r="27" spans="1:19" ht="15.75" x14ac:dyDescent="0.25">
      <c r="A27" s="37" t="s">
        <v>65</v>
      </c>
      <c r="B27" s="11">
        <v>240</v>
      </c>
      <c r="C27" s="36"/>
      <c r="D27" s="7">
        <f t="shared" si="8"/>
        <v>0</v>
      </c>
      <c r="F27" s="36"/>
      <c r="G27" s="7">
        <f t="shared" si="9"/>
        <v>0</v>
      </c>
      <c r="I27" s="36"/>
      <c r="J27" s="7">
        <f t="shared" si="10"/>
        <v>0</v>
      </c>
      <c r="L27" s="36"/>
      <c r="M27" s="7">
        <f t="shared" si="6"/>
        <v>0</v>
      </c>
      <c r="O27" s="36"/>
      <c r="P27" s="7">
        <f t="shared" si="7"/>
        <v>0</v>
      </c>
      <c r="R27" s="36"/>
      <c r="S27" s="7">
        <f t="shared" si="11"/>
        <v>0</v>
      </c>
    </row>
    <row r="28" spans="1:19" ht="15.75" x14ac:dyDescent="0.25">
      <c r="A28" s="37" t="s">
        <v>66</v>
      </c>
      <c r="B28" s="11">
        <v>240</v>
      </c>
      <c r="C28" s="36"/>
      <c r="D28" s="7">
        <f t="shared" si="8"/>
        <v>0</v>
      </c>
      <c r="F28" s="36"/>
      <c r="G28" s="7">
        <f t="shared" si="9"/>
        <v>0</v>
      </c>
      <c r="I28" s="36"/>
      <c r="J28" s="7">
        <f t="shared" si="10"/>
        <v>0</v>
      </c>
      <c r="L28" s="36"/>
      <c r="M28" s="7">
        <f t="shared" si="6"/>
        <v>0</v>
      </c>
      <c r="O28" s="36"/>
      <c r="P28" s="7">
        <f t="shared" si="7"/>
        <v>0</v>
      </c>
      <c r="R28" s="36"/>
      <c r="S28" s="7">
        <f t="shared" si="11"/>
        <v>0</v>
      </c>
    </row>
    <row r="29" spans="1:19" ht="15.75" x14ac:dyDescent="0.25">
      <c r="A29" s="37" t="s">
        <v>67</v>
      </c>
      <c r="B29" s="11">
        <v>240</v>
      </c>
      <c r="C29" s="36"/>
      <c r="D29" s="7">
        <f t="shared" si="8"/>
        <v>0</v>
      </c>
      <c r="F29" s="36"/>
      <c r="G29" s="7">
        <f t="shared" si="9"/>
        <v>0</v>
      </c>
      <c r="I29" s="36"/>
      <c r="J29" s="7">
        <f t="shared" si="10"/>
        <v>0</v>
      </c>
      <c r="L29" s="36"/>
      <c r="M29" s="7">
        <f t="shared" si="6"/>
        <v>0</v>
      </c>
      <c r="O29" s="36"/>
      <c r="P29" s="7">
        <f t="shared" si="7"/>
        <v>0</v>
      </c>
      <c r="R29" s="36"/>
      <c r="S29" s="7">
        <f t="shared" si="11"/>
        <v>0</v>
      </c>
    </row>
    <row r="30" spans="1:19" ht="15.75" x14ac:dyDescent="0.25">
      <c r="A30" s="37" t="s">
        <v>68</v>
      </c>
      <c r="B30" s="11">
        <v>240</v>
      </c>
      <c r="C30" s="36"/>
      <c r="D30" s="7">
        <f t="shared" si="8"/>
        <v>0</v>
      </c>
      <c r="F30" s="36"/>
      <c r="G30" s="7">
        <f t="shared" si="9"/>
        <v>0</v>
      </c>
      <c r="I30" s="36"/>
      <c r="J30" s="7">
        <f t="shared" si="10"/>
        <v>0</v>
      </c>
      <c r="L30" s="36"/>
      <c r="M30" s="7">
        <f t="shared" si="6"/>
        <v>0</v>
      </c>
      <c r="O30" s="36"/>
      <c r="P30" s="7">
        <f t="shared" si="7"/>
        <v>0</v>
      </c>
      <c r="R30" s="36"/>
      <c r="S30" s="7">
        <f t="shared" si="11"/>
        <v>0</v>
      </c>
    </row>
    <row r="31" spans="1:19" ht="15.75" x14ac:dyDescent="0.25">
      <c r="A31" s="37" t="s">
        <v>69</v>
      </c>
      <c r="B31" s="11">
        <v>240</v>
      </c>
      <c r="C31" s="36"/>
      <c r="D31" s="7">
        <f t="shared" si="8"/>
        <v>0</v>
      </c>
      <c r="F31" s="36"/>
      <c r="G31" s="7">
        <f t="shared" si="9"/>
        <v>0</v>
      </c>
      <c r="I31" s="36"/>
      <c r="J31" s="7">
        <f t="shared" si="10"/>
        <v>0</v>
      </c>
      <c r="L31" s="36"/>
      <c r="M31" s="7">
        <f t="shared" si="6"/>
        <v>0</v>
      </c>
      <c r="O31" s="36"/>
      <c r="P31" s="7">
        <f t="shared" si="7"/>
        <v>0</v>
      </c>
      <c r="R31" s="36"/>
      <c r="S31" s="7">
        <f t="shared" si="11"/>
        <v>0</v>
      </c>
    </row>
    <row r="32" spans="1:19" ht="15.75" x14ac:dyDescent="0.25">
      <c r="A32" s="37" t="s">
        <v>70</v>
      </c>
      <c r="B32" s="11">
        <v>240</v>
      </c>
      <c r="C32" s="36"/>
      <c r="D32" s="7">
        <f t="shared" si="8"/>
        <v>0</v>
      </c>
      <c r="F32" s="36"/>
      <c r="G32" s="7">
        <f t="shared" si="9"/>
        <v>0</v>
      </c>
      <c r="I32" s="36"/>
      <c r="J32" s="7">
        <f t="shared" si="10"/>
        <v>0</v>
      </c>
      <c r="L32" s="36"/>
      <c r="M32" s="7">
        <f t="shared" si="6"/>
        <v>0</v>
      </c>
      <c r="O32" s="36"/>
      <c r="P32" s="7">
        <f t="shared" si="7"/>
        <v>0</v>
      </c>
      <c r="R32" s="36"/>
      <c r="S32" s="7">
        <f t="shared" si="11"/>
        <v>0</v>
      </c>
    </row>
    <row r="33" spans="1:19" ht="15.75" x14ac:dyDescent="0.25">
      <c r="A33" s="37" t="s">
        <v>71</v>
      </c>
      <c r="B33" s="11">
        <v>240</v>
      </c>
      <c r="C33" s="36"/>
      <c r="D33" s="7">
        <f t="shared" si="8"/>
        <v>0</v>
      </c>
      <c r="F33" s="36"/>
      <c r="G33" s="7">
        <f t="shared" si="9"/>
        <v>0</v>
      </c>
      <c r="I33" s="36"/>
      <c r="J33" s="7">
        <f t="shared" si="10"/>
        <v>0</v>
      </c>
      <c r="L33" s="36"/>
      <c r="M33" s="7">
        <f t="shared" si="6"/>
        <v>0</v>
      </c>
      <c r="O33" s="36"/>
      <c r="P33" s="7">
        <f t="shared" si="7"/>
        <v>0</v>
      </c>
      <c r="R33" s="36"/>
      <c r="S33" s="7">
        <f t="shared" si="11"/>
        <v>0</v>
      </c>
    </row>
    <row r="34" spans="1:19" ht="15.75" x14ac:dyDescent="0.25">
      <c r="A34" s="42"/>
      <c r="B34" s="11">
        <v>240</v>
      </c>
      <c r="C34" s="36"/>
      <c r="D34" s="7">
        <f t="shared" si="8"/>
        <v>0</v>
      </c>
      <c r="F34" s="36"/>
      <c r="G34" s="7">
        <f t="shared" si="9"/>
        <v>0</v>
      </c>
      <c r="I34" s="36"/>
      <c r="J34" s="7">
        <f t="shared" si="10"/>
        <v>0</v>
      </c>
      <c r="L34" s="36"/>
      <c r="M34" s="7">
        <f t="shared" si="6"/>
        <v>0</v>
      </c>
      <c r="O34" s="36"/>
      <c r="P34" s="7">
        <f t="shared" si="7"/>
        <v>0</v>
      </c>
      <c r="R34" s="36"/>
      <c r="S34" s="7">
        <f t="shared" si="11"/>
        <v>0</v>
      </c>
    </row>
    <row r="35" spans="1:19" ht="15.75" x14ac:dyDescent="0.25">
      <c r="A35" s="42"/>
      <c r="B35" s="11">
        <v>240</v>
      </c>
      <c r="C35" s="36"/>
      <c r="D35" s="7">
        <f t="shared" si="8"/>
        <v>0</v>
      </c>
      <c r="F35" s="36"/>
      <c r="G35" s="7">
        <f t="shared" si="9"/>
        <v>0</v>
      </c>
      <c r="I35" s="36"/>
      <c r="J35" s="7">
        <f t="shared" si="10"/>
        <v>0</v>
      </c>
      <c r="L35" s="36"/>
      <c r="M35" s="7">
        <f t="shared" si="6"/>
        <v>0</v>
      </c>
      <c r="O35" s="36"/>
      <c r="P35" s="7">
        <f t="shared" si="7"/>
        <v>0</v>
      </c>
      <c r="R35" s="36"/>
      <c r="S35" s="7">
        <f t="shared" si="11"/>
        <v>0</v>
      </c>
    </row>
    <row r="36" spans="1:19" ht="15.75" x14ac:dyDescent="0.25">
      <c r="A36" s="42"/>
      <c r="B36" s="11">
        <v>240</v>
      </c>
      <c r="C36" s="36"/>
      <c r="D36" s="7">
        <f t="shared" si="8"/>
        <v>0</v>
      </c>
      <c r="F36" s="36"/>
      <c r="G36" s="7">
        <f t="shared" si="9"/>
        <v>0</v>
      </c>
      <c r="I36" s="36"/>
      <c r="J36" s="7">
        <f t="shared" si="10"/>
        <v>0</v>
      </c>
      <c r="L36" s="36"/>
      <c r="M36" s="7">
        <f t="shared" si="6"/>
        <v>0</v>
      </c>
      <c r="O36" s="36"/>
      <c r="P36" s="7">
        <f>O36*B36</f>
        <v>0</v>
      </c>
      <c r="R36" s="36"/>
      <c r="S36" s="7">
        <f>(R36*B36)/2</f>
        <v>0</v>
      </c>
    </row>
    <row r="37" spans="1:19" x14ac:dyDescent="0.2">
      <c r="A37" s="8" t="s">
        <v>58</v>
      </c>
      <c r="B37" s="3"/>
      <c r="C37" s="7"/>
      <c r="D37" s="9">
        <f>SUM(D23:D36)</f>
        <v>0</v>
      </c>
      <c r="E37" s="9"/>
      <c r="F37" s="9"/>
      <c r="G37" s="9">
        <f>SUM(G23:G36)</f>
        <v>0</v>
      </c>
      <c r="H37" s="9"/>
      <c r="I37" s="9"/>
      <c r="J37" s="9">
        <f>SUM(J23:J36)</f>
        <v>0</v>
      </c>
      <c r="L37" s="7"/>
      <c r="M37" s="9">
        <f>SUM(M23:M36)</f>
        <v>0</v>
      </c>
      <c r="O37" s="7"/>
      <c r="P37" s="9">
        <f>SUM(P23:P36)</f>
        <v>0</v>
      </c>
      <c r="R37" s="7"/>
      <c r="S37" s="9">
        <f>SUM(S23:S36)</f>
        <v>0</v>
      </c>
    </row>
    <row r="38" spans="1:19" x14ac:dyDescent="0.2">
      <c r="A38" s="8" t="s">
        <v>59</v>
      </c>
      <c r="B38" s="61">
        <f>D37+G37+J37+M37+P37+S37</f>
        <v>0</v>
      </c>
      <c r="C38" s="61"/>
    </row>
  </sheetData>
  <mergeCells count="14">
    <mergeCell ref="B38:C38"/>
    <mergeCell ref="C21:D21"/>
    <mergeCell ref="F21:G21"/>
    <mergeCell ref="I21:J21"/>
    <mergeCell ref="L21:M21"/>
    <mergeCell ref="O21:P21"/>
    <mergeCell ref="R21:S21"/>
    <mergeCell ref="R1:S1"/>
    <mergeCell ref="B18:C18"/>
    <mergeCell ref="C1:D1"/>
    <mergeCell ref="F1:G1"/>
    <mergeCell ref="I1:J1"/>
    <mergeCell ref="L1:M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5440-C858-4E26-BF29-A1651074A7C3}">
  <dimension ref="A3:E50"/>
  <sheetViews>
    <sheetView workbookViewId="0">
      <selection activeCell="F39" sqref="F39"/>
    </sheetView>
  </sheetViews>
  <sheetFormatPr defaultRowHeight="12.75" x14ac:dyDescent="0.2"/>
  <cols>
    <col min="1" max="1" width="26.140625" bestFit="1" customWidth="1"/>
  </cols>
  <sheetData>
    <row r="3" spans="1:2" x14ac:dyDescent="0.2">
      <c r="A3" s="14" t="s">
        <v>72</v>
      </c>
      <c r="B3" s="13" t="s">
        <v>73</v>
      </c>
    </row>
    <row r="4" spans="1:2" x14ac:dyDescent="0.2">
      <c r="A4" s="15" t="s">
        <v>74</v>
      </c>
      <c r="B4" s="13" t="s">
        <v>73</v>
      </c>
    </row>
    <row r="5" spans="1:2" x14ac:dyDescent="0.2">
      <c r="A5" s="15" t="s">
        <v>75</v>
      </c>
      <c r="B5" s="13" t="s">
        <v>73</v>
      </c>
    </row>
    <row r="6" spans="1:2" x14ac:dyDescent="0.2">
      <c r="A6" s="15" t="s">
        <v>76</v>
      </c>
      <c r="B6" s="13" t="s">
        <v>77</v>
      </c>
    </row>
    <row r="7" spans="1:2" x14ac:dyDescent="0.2">
      <c r="A7" s="15" t="s">
        <v>78</v>
      </c>
      <c r="B7" s="13" t="s">
        <v>77</v>
      </c>
    </row>
    <row r="8" spans="1:2" x14ac:dyDescent="0.2">
      <c r="A8" s="15" t="s">
        <v>79</v>
      </c>
      <c r="B8" s="13" t="s">
        <v>77</v>
      </c>
    </row>
    <row r="9" spans="1:2" x14ac:dyDescent="0.2">
      <c r="A9" s="15" t="s">
        <v>80</v>
      </c>
      <c r="B9" s="13" t="s">
        <v>73</v>
      </c>
    </row>
    <row r="10" spans="1:2" x14ac:dyDescent="0.2">
      <c r="A10" s="14" t="s">
        <v>81</v>
      </c>
      <c r="B10" s="13" t="s">
        <v>82</v>
      </c>
    </row>
    <row r="11" spans="1:2" x14ac:dyDescent="0.2">
      <c r="A11" s="14" t="s">
        <v>83</v>
      </c>
      <c r="B11" s="13" t="s">
        <v>82</v>
      </c>
    </row>
    <row r="12" spans="1:2" x14ac:dyDescent="0.2">
      <c r="A12" s="14" t="s">
        <v>84</v>
      </c>
      <c r="B12" s="13" t="s">
        <v>85</v>
      </c>
    </row>
    <row r="13" spans="1:2" x14ac:dyDescent="0.2">
      <c r="A13" s="14" t="s">
        <v>86</v>
      </c>
      <c r="B13" s="13" t="s">
        <v>82</v>
      </c>
    </row>
    <row r="14" spans="1:2" x14ac:dyDescent="0.2">
      <c r="A14" s="14" t="s">
        <v>87</v>
      </c>
      <c r="B14" s="13" t="s">
        <v>85</v>
      </c>
    </row>
    <row r="15" spans="1:2" x14ac:dyDescent="0.2">
      <c r="A15" s="15" t="s">
        <v>88</v>
      </c>
      <c r="B15" s="13" t="s">
        <v>77</v>
      </c>
    </row>
    <row r="16" spans="1:2" x14ac:dyDescent="0.2">
      <c r="A16" s="15" t="s">
        <v>89</v>
      </c>
      <c r="B16" s="13" t="s">
        <v>77</v>
      </c>
    </row>
    <row r="17" spans="1:2" x14ac:dyDescent="0.2">
      <c r="A17" s="15" t="s">
        <v>90</v>
      </c>
      <c r="B17" s="13" t="s">
        <v>77</v>
      </c>
    </row>
    <row r="18" spans="1:2" x14ac:dyDescent="0.2">
      <c r="A18" s="15" t="s">
        <v>91</v>
      </c>
      <c r="B18" s="13" t="s">
        <v>77</v>
      </c>
    </row>
    <row r="19" spans="1:2" x14ac:dyDescent="0.2">
      <c r="A19" s="15" t="s">
        <v>92</v>
      </c>
      <c r="B19" s="13" t="s">
        <v>85</v>
      </c>
    </row>
    <row r="20" spans="1:2" x14ac:dyDescent="0.2">
      <c r="A20" s="15" t="s">
        <v>93</v>
      </c>
      <c r="B20" s="13" t="s">
        <v>85</v>
      </c>
    </row>
    <row r="21" spans="1:2" x14ac:dyDescent="0.2">
      <c r="A21" s="15" t="s">
        <v>94</v>
      </c>
      <c r="B21" s="13" t="s">
        <v>85</v>
      </c>
    </row>
    <row r="22" spans="1:2" x14ac:dyDescent="0.2">
      <c r="A22" s="14" t="s">
        <v>95</v>
      </c>
      <c r="B22" s="13" t="s">
        <v>85</v>
      </c>
    </row>
    <row r="23" spans="1:2" x14ac:dyDescent="0.2">
      <c r="A23" s="14" t="s">
        <v>96</v>
      </c>
      <c r="B23" s="13" t="s">
        <v>85</v>
      </c>
    </row>
    <row r="24" spans="1:2" x14ac:dyDescent="0.2">
      <c r="A24" s="14" t="s">
        <v>97</v>
      </c>
      <c r="B24" s="13" t="s">
        <v>85</v>
      </c>
    </row>
    <row r="25" spans="1:2" x14ac:dyDescent="0.2">
      <c r="A25" s="15" t="s">
        <v>98</v>
      </c>
      <c r="B25" s="13" t="s">
        <v>99</v>
      </c>
    </row>
    <row r="26" spans="1:2" x14ac:dyDescent="0.2">
      <c r="A26" s="15" t="s">
        <v>100</v>
      </c>
      <c r="B26" s="13" t="s">
        <v>99</v>
      </c>
    </row>
    <row r="27" spans="1:2" x14ac:dyDescent="0.2">
      <c r="A27" s="15" t="s">
        <v>101</v>
      </c>
      <c r="B27" s="13" t="s">
        <v>99</v>
      </c>
    </row>
    <row r="28" spans="1:2" x14ac:dyDescent="0.2">
      <c r="A28" s="15" t="s">
        <v>102</v>
      </c>
      <c r="B28" s="13" t="s">
        <v>99</v>
      </c>
    </row>
    <row r="29" spans="1:2" x14ac:dyDescent="0.2">
      <c r="A29" s="15" t="s">
        <v>103</v>
      </c>
      <c r="B29" s="13" t="s">
        <v>99</v>
      </c>
    </row>
    <row r="30" spans="1:2" x14ac:dyDescent="0.2">
      <c r="A30" s="15" t="s">
        <v>104</v>
      </c>
      <c r="B30" s="13" t="s">
        <v>99</v>
      </c>
    </row>
    <row r="31" spans="1:2" x14ac:dyDescent="0.2">
      <c r="A31" s="15" t="s">
        <v>105</v>
      </c>
      <c r="B31" s="13" t="s">
        <v>99</v>
      </c>
    </row>
    <row r="32" spans="1:2" x14ac:dyDescent="0.2">
      <c r="A32" s="15" t="s">
        <v>106</v>
      </c>
      <c r="B32" s="13" t="s">
        <v>99</v>
      </c>
    </row>
    <row r="33" spans="1:5" x14ac:dyDescent="0.2">
      <c r="A33" s="15" t="s">
        <v>107</v>
      </c>
      <c r="B33" s="13" t="s">
        <v>99</v>
      </c>
    </row>
    <row r="34" spans="1:5" ht="15.75" x14ac:dyDescent="0.25">
      <c r="A34" s="15" t="s">
        <v>108</v>
      </c>
      <c r="B34" s="15" t="s">
        <v>85</v>
      </c>
      <c r="C34" s="12"/>
      <c r="D34" s="12"/>
      <c r="E34" s="12"/>
    </row>
    <row r="35" spans="1:5" ht="15.75" x14ac:dyDescent="0.25">
      <c r="A35" s="15" t="s">
        <v>109</v>
      </c>
      <c r="B35" s="15" t="s">
        <v>85</v>
      </c>
      <c r="C35" s="12"/>
      <c r="D35" s="12"/>
      <c r="E35" s="12"/>
    </row>
    <row r="36" spans="1:5" ht="15.75" x14ac:dyDescent="0.25">
      <c r="A36" s="15" t="s">
        <v>110</v>
      </c>
      <c r="B36" s="15" t="s">
        <v>85</v>
      </c>
      <c r="C36" s="12"/>
      <c r="D36" s="12"/>
      <c r="E36" s="12"/>
    </row>
    <row r="37" spans="1:5" ht="15.75" x14ac:dyDescent="0.25">
      <c r="A37" s="15" t="s">
        <v>111</v>
      </c>
      <c r="B37" s="15" t="s">
        <v>85</v>
      </c>
      <c r="C37" s="12"/>
      <c r="D37" s="12"/>
      <c r="E37" s="12"/>
    </row>
    <row r="38" spans="1:5" ht="15.75" x14ac:dyDescent="0.25">
      <c r="A38" s="15" t="s">
        <v>112</v>
      </c>
      <c r="B38" s="15" t="s">
        <v>85</v>
      </c>
      <c r="C38" s="12"/>
      <c r="D38" s="12"/>
      <c r="E38" s="12"/>
    </row>
    <row r="39" spans="1:5" x14ac:dyDescent="0.2">
      <c r="A39" s="15" t="s">
        <v>113</v>
      </c>
      <c r="B39" s="15" t="s">
        <v>114</v>
      </c>
    </row>
    <row r="40" spans="1:5" x14ac:dyDescent="0.2">
      <c r="A40" s="15" t="s">
        <v>115</v>
      </c>
      <c r="B40" s="15" t="s">
        <v>114</v>
      </c>
    </row>
    <row r="41" spans="1:5" x14ac:dyDescent="0.2">
      <c r="A41" s="15" t="s">
        <v>116</v>
      </c>
      <c r="B41" s="15" t="s">
        <v>114</v>
      </c>
    </row>
    <row r="42" spans="1:5" x14ac:dyDescent="0.2">
      <c r="A42" s="15" t="s">
        <v>117</v>
      </c>
      <c r="B42" s="15" t="s">
        <v>114</v>
      </c>
    </row>
    <row r="43" spans="1:5" x14ac:dyDescent="0.2">
      <c r="A43" s="15" t="s">
        <v>118</v>
      </c>
      <c r="B43" s="15" t="s">
        <v>114</v>
      </c>
    </row>
    <row r="44" spans="1:5" x14ac:dyDescent="0.2">
      <c r="A44" s="15" t="s">
        <v>119</v>
      </c>
      <c r="B44" s="15" t="s">
        <v>114</v>
      </c>
    </row>
    <row r="45" spans="1:5" x14ac:dyDescent="0.2">
      <c r="A45" s="15" t="s">
        <v>120</v>
      </c>
      <c r="B45" s="15" t="s">
        <v>114</v>
      </c>
    </row>
    <row r="46" spans="1:5" x14ac:dyDescent="0.2">
      <c r="A46" s="15" t="s">
        <v>121</v>
      </c>
      <c r="B46" s="15" t="s">
        <v>114</v>
      </c>
    </row>
    <row r="47" spans="1:5" x14ac:dyDescent="0.2">
      <c r="A47" s="15" t="s">
        <v>122</v>
      </c>
      <c r="B47" s="15" t="s">
        <v>114</v>
      </c>
    </row>
    <row r="48" spans="1:5" ht="15.75" x14ac:dyDescent="0.25">
      <c r="A48" s="15" t="s">
        <v>123</v>
      </c>
      <c r="B48" s="15" t="s">
        <v>85</v>
      </c>
      <c r="C48" s="12"/>
    </row>
    <row r="49" spans="1:2" x14ac:dyDescent="0.2">
      <c r="A49" s="15" t="s">
        <v>124</v>
      </c>
      <c r="B49" s="15" t="s">
        <v>85</v>
      </c>
    </row>
    <row r="50" spans="1:2" x14ac:dyDescent="0.2">
      <c r="A50" s="15" t="s">
        <v>125</v>
      </c>
      <c r="B50" s="15" t="s">
        <v>85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877721691603458BB2DD31990A1074" ma:contentTypeVersion="13" ma:contentTypeDescription="Create a new document." ma:contentTypeScope="" ma:versionID="46a908b375336944ba6977459db3895e">
  <xsd:schema xmlns:xsd="http://www.w3.org/2001/XMLSchema" xmlns:xs="http://www.w3.org/2001/XMLSchema" xmlns:p="http://schemas.microsoft.com/office/2006/metadata/properties" xmlns:ns1="http://schemas.microsoft.com/sharepoint/v3" xmlns:ns2="85f48abd-2928-4e36-8f50-45c05e084fd2" xmlns:ns3="4b4f9210-e62b-4ade-acaf-c7c56960c8e3" targetNamespace="http://schemas.microsoft.com/office/2006/metadata/properties" ma:root="true" ma:fieldsID="2c17a5e082a8b03cdc8727dbd99b794a" ns1:_="" ns2:_="" ns3:_="">
    <xsd:import namespace="http://schemas.microsoft.com/sharepoint/v3"/>
    <xsd:import namespace="85f48abd-2928-4e36-8f50-45c05e084fd2"/>
    <xsd:import namespace="4b4f9210-e62b-4ade-acaf-c7c56960c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48abd-2928-4e36-8f50-45c05e08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f9210-e62b-4ade-acaf-c7c56960c8e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82632f9-7d79-4907-98b6-4908e671d2c9}" ma:internalName="TaxCatchAll" ma:showField="CatchAllData" ma:web="4b4f9210-e62b-4ade-acaf-c7c56960c8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5f48abd-2928-4e36-8f50-45c05e084fd2">
      <Terms xmlns="http://schemas.microsoft.com/office/infopath/2007/PartnerControls"/>
    </lcf76f155ced4ddcb4097134ff3c332f>
    <TaxCatchAll xmlns="4b4f9210-e62b-4ade-acaf-c7c56960c8e3" xsi:nil="true"/>
  </documentManagement>
</p:properties>
</file>

<file path=customXml/itemProps1.xml><?xml version="1.0" encoding="utf-8"?>
<ds:datastoreItem xmlns:ds="http://schemas.openxmlformats.org/officeDocument/2006/customXml" ds:itemID="{E618D330-5945-49EB-B738-2571FF6470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5f48abd-2928-4e36-8f50-45c05e084fd2"/>
    <ds:schemaRef ds:uri="4b4f9210-e62b-4ade-acaf-c7c56960c8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D6EAC1-A109-4D4D-AC39-DBCA8AF96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3C0A9C-B5C8-4320-B1AB-D2B7BA0976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5f48abd-2928-4e36-8f50-45c05e084fd2"/>
    <ds:schemaRef ds:uri="4b4f9210-e62b-4ade-acaf-c7c56960c8e3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Phlebotomy Services</vt:lpstr>
      <vt:lpstr>Courier Services </vt:lpstr>
      <vt:lpstr>Sheet1</vt:lpstr>
    </vt:vector>
  </TitlesOfParts>
  <Manager/>
  <Company>Dept. of Veterans Affairs, Togus ME.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vhatogtempltP</dc:creator>
  <cp:keywords/>
  <dc:description/>
  <cp:lastModifiedBy>Thompson, Cynthia</cp:lastModifiedBy>
  <cp:revision/>
  <dcterms:created xsi:type="dcterms:W3CDTF">2007-03-03T14:58:46Z</dcterms:created>
  <dcterms:modified xsi:type="dcterms:W3CDTF">2026-03-24T18:51:19Z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_UnifiedCompliancePolicyUIAction">
    <vt:lpwstr/>
  </property>
  <property fmtid="{D5CDD505-2E9C-101B-9397-08002B2CF9AE}" pid="3" name="lcf76f155ced4ddcb4097134ff3c332f">
    <vt:lpwstr/>
  </property>
  <property fmtid="{D5CDD505-2E9C-101B-9397-08002B2CF9AE}" pid="4" name="_ip_UnifiedCompliancePolicyProperties">
    <vt:lpwstr/>
  </property>
  <property fmtid="{D5CDD505-2E9C-101B-9397-08002B2CF9AE}" pid="5" name="TaxCatchAll">
    <vt:lpwstr/>
  </property>
  <property fmtid="{D5CDD505-2E9C-101B-9397-08002B2CF9AE}" pid="6" name="ContentTypeId">
    <vt:lpwstr>0x0101000A877721691603458BB2DD31990A1074</vt:lpwstr>
  </property>
  <property fmtid="{D5CDD505-2E9C-101B-9397-08002B2CF9AE}" pid="7" name="MediaServiceImageTags">
    <vt:lpwstr/>
  </property>
</Properties>
</file>