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2\ao-oahr\data\SHARE\PMD\1- DPS Branch\Working Actions\AJ\FOR Review_ to CCF FOLDER\USCA26R0001 - US COURTS DRUG LAB\"/>
    </mc:Choice>
  </mc:AlternateContent>
  <xr:revisionPtr revIDLastSave="0" documentId="8_{9C4A73C1-51FF-4DB2-A487-B56909129CAE}" xr6:coauthVersionLast="47" xr6:coauthVersionMax="47" xr10:uidLastSave="{00000000-0000-0000-0000-000000000000}"/>
  <bookViews>
    <workbookView xWindow="61905" yWindow="405" windowWidth="21600" windowHeight="11175" xr2:uid="{7F048D1D-69DA-4BE9-A2EE-38584A6AFCB8}"/>
  </bookViews>
  <sheets>
    <sheet name="ATTACHMENT 1 - Pricing" sheetId="2" r:id="rId1"/>
  </sheets>
  <definedNames>
    <definedName name="_Hlk45126868" localSheetId="0">'ATTACHMENT 1 - Pricing'!#REF!</definedName>
    <definedName name="_Hlk45126884" localSheetId="0">'ATTACHMENT 1 - Pricing'!#REF!</definedName>
    <definedName name="_Hlk45127222" localSheetId="0">'ATTACHMENT 1 - Pricing'!#REF!</definedName>
    <definedName name="_xlnm.Print_Area" localSheetId="0">'ATTACHMENT 1 - Pricing'!$A$1:$G$316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0" i="2" l="1"/>
  <c r="G288" i="2"/>
  <c r="G287" i="2"/>
  <c r="G286" i="2"/>
  <c r="G284" i="2"/>
  <c r="G283" i="2"/>
  <c r="G282" i="2"/>
  <c r="G281" i="2"/>
  <c r="G280" i="2"/>
  <c r="G279" i="2"/>
  <c r="G278" i="2"/>
  <c r="G291" i="2" l="1"/>
  <c r="G18" i="2" l="1"/>
  <c r="G271" i="2"/>
  <c r="G251" i="2"/>
  <c r="G231" i="2"/>
  <c r="G212" i="2"/>
  <c r="G192" i="2"/>
  <c r="G173" i="2"/>
  <c r="G154" i="2"/>
  <c r="G135" i="2"/>
  <c r="G116" i="2"/>
  <c r="G97" i="2"/>
  <c r="G78" i="2"/>
  <c r="G57" i="2"/>
  <c r="G55" i="2"/>
  <c r="G36" i="2"/>
  <c r="G314" i="2"/>
  <c r="G249" i="2"/>
  <c r="G248" i="2"/>
  <c r="G247" i="2"/>
  <c r="G245" i="2"/>
  <c r="G244" i="2"/>
  <c r="G243" i="2"/>
  <c r="G242" i="2"/>
  <c r="G241" i="2"/>
  <c r="G240" i="2"/>
  <c r="G239" i="2"/>
  <c r="G201" i="2"/>
  <c r="G200" i="2"/>
  <c r="G202" i="2"/>
  <c r="G260" i="2"/>
  <c r="G261" i="2"/>
  <c r="G262" i="2"/>
  <c r="G263" i="2"/>
  <c r="G264" i="2"/>
  <c r="G265" i="2"/>
  <c r="G267" i="2"/>
  <c r="G268" i="2"/>
  <c r="G269" i="2"/>
  <c r="G259" i="2"/>
  <c r="G228" i="2"/>
  <c r="G227" i="2"/>
  <c r="G225" i="2"/>
  <c r="G224" i="2"/>
  <c r="G223" i="2"/>
  <c r="G209" i="2"/>
  <c r="G208" i="2"/>
  <c r="G206" i="2"/>
  <c r="G205" i="2"/>
  <c r="G204" i="2"/>
  <c r="G188" i="2"/>
  <c r="G189" i="2"/>
  <c r="G186" i="2"/>
  <c r="G185" i="2"/>
  <c r="G183" i="2"/>
  <c r="G184" i="2"/>
  <c r="G170" i="2"/>
  <c r="G169" i="2"/>
  <c r="G167" i="2"/>
  <c r="G166" i="2"/>
  <c r="G165" i="2"/>
  <c r="G151" i="2"/>
  <c r="G150" i="2"/>
  <c r="G148" i="2"/>
  <c r="G147" i="2"/>
  <c r="G146" i="2"/>
  <c r="G132" i="2"/>
  <c r="G131" i="2"/>
  <c r="G129" i="2"/>
  <c r="G128" i="2"/>
  <c r="G127" i="2"/>
  <c r="G113" i="2"/>
  <c r="G112" i="2"/>
  <c r="G110" i="2"/>
  <c r="G109" i="2"/>
  <c r="G108" i="2"/>
  <c r="G94" i="2"/>
  <c r="G93" i="2"/>
  <c r="G91" i="2"/>
  <c r="G90" i="2"/>
  <c r="G88" i="2"/>
  <c r="G87" i="2"/>
  <c r="G75" i="2"/>
  <c r="G74" i="2"/>
  <c r="G72" i="2"/>
  <c r="G71" i="2"/>
  <c r="G70" i="2"/>
  <c r="G54" i="2"/>
  <c r="G53" i="2"/>
  <c r="G51" i="2"/>
  <c r="G50" i="2"/>
  <c r="G49" i="2"/>
  <c r="G35" i="2"/>
  <c r="G34" i="2"/>
  <c r="G32" i="2"/>
  <c r="G31" i="2"/>
  <c r="G30" i="2"/>
  <c r="G15" i="2"/>
  <c r="G14" i="2"/>
  <c r="G12" i="2"/>
  <c r="G11" i="2"/>
  <c r="G10" i="2"/>
  <c r="G252" i="2" l="1"/>
  <c r="G272" i="2"/>
  <c r="G229" i="2"/>
  <c r="G210" i="2"/>
  <c r="G190" i="2"/>
  <c r="G171" i="2"/>
  <c r="G152" i="2"/>
  <c r="G133" i="2"/>
  <c r="G114" i="2"/>
  <c r="G76" i="2"/>
  <c r="G38" i="2"/>
  <c r="G16" i="2"/>
  <c r="G222" i="2" l="1"/>
  <c r="G221" i="2"/>
  <c r="G220" i="2"/>
  <c r="G219" i="2"/>
  <c r="G203" i="2"/>
  <c r="G182" i="2"/>
  <c r="G181" i="2"/>
  <c r="G180" i="2"/>
  <c r="G164" i="2"/>
  <c r="G163" i="2"/>
  <c r="G162" i="2"/>
  <c r="G161" i="2"/>
  <c r="G145" i="2"/>
  <c r="G144" i="2"/>
  <c r="G143" i="2"/>
  <c r="G142" i="2"/>
  <c r="G126" i="2"/>
  <c r="G125" i="2"/>
  <c r="G124" i="2"/>
  <c r="G123" i="2"/>
  <c r="G107" i="2"/>
  <c r="G106" i="2"/>
  <c r="G105" i="2"/>
  <c r="G104" i="2"/>
  <c r="G95" i="2"/>
  <c r="G89" i="2"/>
  <c r="G86" i="2"/>
  <c r="G85" i="2"/>
  <c r="G69" i="2"/>
  <c r="G68" i="2"/>
  <c r="G67" i="2"/>
  <c r="G66" i="2"/>
  <c r="G48" i="2"/>
  <c r="G47" i="2"/>
  <c r="G46" i="2"/>
  <c r="G45" i="2"/>
  <c r="G29" i="2"/>
  <c r="G28" i="2"/>
  <c r="G27" i="2"/>
  <c r="G26" i="2"/>
  <c r="G9" i="2"/>
  <c r="G8" i="2"/>
  <c r="G7" i="2"/>
  <c r="G6" i="2"/>
  <c r="G58" i="2" l="1"/>
  <c r="G117" i="2"/>
  <c r="G213" i="2"/>
  <c r="G98" i="2"/>
  <c r="G136" i="2"/>
  <c r="G174" i="2"/>
  <c r="G193" i="2"/>
  <c r="G232" i="2"/>
  <c r="G39" i="2"/>
  <c r="G155" i="2"/>
  <c r="G79" i="2"/>
  <c r="G19" i="2"/>
  <c r="G316" i="2" l="1"/>
</calcChain>
</file>

<file path=xl/sharedStrings.xml><?xml version="1.0" encoding="utf-8"?>
<sst xmlns="http://schemas.openxmlformats.org/spreadsheetml/2006/main" count="422" uniqueCount="92">
  <si>
    <t>Normal:   &gt;20 mg/dL </t>
  </si>
  <si>
    <t>TOTAL PRICE</t>
  </si>
  <si>
    <t>Estimated Quantities of TESTS</t>
  </si>
  <si>
    <t>CUTOFF</t>
  </si>
  <si>
    <t xml:space="preserve">CREATININE </t>
  </si>
  <si>
    <t>DESCRIPTION</t>
  </si>
  <si>
    <t>COCAINE METABOLITE</t>
  </si>
  <si>
    <t>150 ng/mL </t>
  </si>
  <si>
    <t>OPIATES</t>
  </si>
  <si>
    <t>300 ng/mL </t>
  </si>
  <si>
    <t>AMPHETAMINES</t>
  </si>
  <si>
    <t>500 ng/mL </t>
  </si>
  <si>
    <t>BENZODIAZEPINES</t>
  </si>
  <si>
    <t>200 ng/mL </t>
  </si>
  <si>
    <t>CANNABINOIDS</t>
  </si>
  <si>
    <t>50 ng/mL </t>
  </si>
  <si>
    <t>METHADONE</t>
  </si>
  <si>
    <t>OXYCODONE</t>
  </si>
  <si>
    <t>100 ng/mL </t>
  </si>
  <si>
    <t>BUPRENORPHINE</t>
  </si>
  <si>
    <t>5 ng/mL </t>
  </si>
  <si>
    <t>BARBITURATES</t>
  </si>
  <si>
    <t>10 ng/mL </t>
  </si>
  <si>
    <t>FENTANYL</t>
  </si>
  <si>
    <t>Unit price per Test</t>
  </si>
  <si>
    <t>1 ng/mL </t>
  </si>
  <si>
    <t>500 mg/mL </t>
  </si>
  <si>
    <t>KETAMINE</t>
  </si>
  <si>
    <t>Total Estimated Cost</t>
  </si>
  <si>
    <t xml:space="preserve">Total for Creatinine Reagent Ten Year Ordering Period </t>
  </si>
  <si>
    <t xml:space="preserve">Total for Cocaine Reagent Ten Year Ordering Period </t>
  </si>
  <si>
    <t>REAGENT</t>
  </si>
  <si>
    <t xml:space="preserve">Total for Barbiturates Reagent Ten Year Ordering Period </t>
  </si>
  <si>
    <t xml:space="preserve">Total for 6AM Reagent Ten Year Ordering Period </t>
  </si>
  <si>
    <t xml:space="preserve">Total for Fentanyl Reagent Ten Year Ordering Period </t>
  </si>
  <si>
    <t xml:space="preserve">Total for Ketamine Reagent Ten Year Ordering Period </t>
  </si>
  <si>
    <t xml:space="preserve">Total for Buprenorphine Reagent Ten Year Ordering Period </t>
  </si>
  <si>
    <t xml:space="preserve">Total for Oxycodone Reagent Ten Year Ordering Period </t>
  </si>
  <si>
    <t xml:space="preserve">Total for EtG Reagent Ten Year Ordering Period </t>
  </si>
  <si>
    <t xml:space="preserve">Total for Methadone Reagent Ten Year Ordering Period </t>
  </si>
  <si>
    <t xml:space="preserve">Total for Cannabinoids Ten Year Ordering Period </t>
  </si>
  <si>
    <t xml:space="preserve">Total for Benzodiazepines Reagent Ten Year Ordering Period </t>
  </si>
  <si>
    <t xml:space="preserve">Total for Amphetamines Reagent Ten Year Ordering Period </t>
  </si>
  <si>
    <t xml:space="preserve">Total for Opiate Reagent Ten Year Ordering Period </t>
  </si>
  <si>
    <t>CLIN 0001</t>
  </si>
  <si>
    <t>CLIN 1001</t>
  </si>
  <si>
    <t xml:space="preserve">EtG -  Ethyl Glucuronide </t>
  </si>
  <si>
    <t xml:space="preserve">Total cost per new lab to include delivery and installation of equipment in accordance with C.5 et al </t>
  </si>
  <si>
    <t xml:space="preserve">Total cost per move/relocation to include delivery and installation of equipment in accordance with C.5 et al </t>
  </si>
  <si>
    <t xml:space="preserve">Total cost per lab closing to include delivery and installation of equipment in accordance with C.5 et al </t>
  </si>
  <si>
    <t xml:space="preserve">As Required. Estimated 10 or fewer per period. </t>
  </si>
  <si>
    <t>AMOUNT IS FOR EVALUATION PURPOSES ONLY (New, Move, or Close Lab)</t>
  </si>
  <si>
    <t>CLIN 0002.A - Opening a New Laboratory (post-award) with instrument(s) no less than 100 tests per hour Ordering Periods 1 -7</t>
  </si>
  <si>
    <t>CLIN 1002.B - Option 1 Opening a New Laboratory (post-award) with instrument(s) no less than 100 tests per hour Optional Ordering Periods 8-10</t>
  </si>
  <si>
    <t>CLIN 0003.A - Moving/Relocating a Laboratory with instrument(s) testing no less than 100 tests per hour - Ordering Periods 1-7</t>
  </si>
  <si>
    <t>CLIN 1003.B - Option 1 Moving/Relocating a Laboratory Optional with instrument(s) testing no less than 100 tests per hour Ordering Periods 8-10</t>
  </si>
  <si>
    <t>CLIN 0004.A - Closing a Laboratory  with instrument(s) testing no less than 100 tests per hour - Ordering Periods 1-7</t>
  </si>
  <si>
    <t>CLIN 1004.B - Option 1  Closing a Laboratory with instrument(s) testing no less than 100 tests per hour - Optional Ordering Periods 8-10</t>
  </si>
  <si>
    <t>ATTACHMENT 1 - National Drug Lab Price Sheet (All items are in accordance with SOW Section C.5.2)</t>
  </si>
  <si>
    <t>CLIN 2001 (2-90C)</t>
  </si>
  <si>
    <t>CLIN 0002.D - Opening a New Laboratory (post-award) with instrument(s) testing 400-800 tests per hour Ordering Periods 1 -7</t>
  </si>
  <si>
    <t>CLIN 1002.E - Option 1 Opening a New Laboratory (post-award) with instrument(s) testing 400-800 tests per hour Optional Ordering Periods 8-10</t>
  </si>
  <si>
    <t>CLIN 2002.F - Option 2 Opening a New Laboratory (post-award) with instrument(s) testing 400-800 tests per hour Optional Ordering Period 11</t>
  </si>
  <si>
    <t>CLIN 2002.C - Option 2 Opening a New Laboratory (post-award) with instrument(s) no less than 100 tests per hour Optional Ordering Period 11</t>
  </si>
  <si>
    <t>CLIN 2003.C - Option 2 Moving/Relocating a Laboratory Optional with instrument(s) testing no less than 100 tests per hour Ordering Periods 11</t>
  </si>
  <si>
    <t>CLIN 0003.D - Moving/Relocating a Laboratory with instrument(s) testing 400-800 tests per hour- Ordering Periods 1-7</t>
  </si>
  <si>
    <t>CLIN 1003.E - Option 1 Moving/Relocating a Laboratory with instrument(s) testing 400-800 tests per hour - Optional Ordering Periods 8-10</t>
  </si>
  <si>
    <t>CLIN 2003.F - Option 1 Moving/Relocating a Laboratory with instrument(s) testing 400-800 tests per hour - Optional Ordering Periods 11</t>
  </si>
  <si>
    <t>CLIN 2004.C - Option 2  Closing a Laboratory with instrument(s) testing no less than 100 tests per hour - Optional Ordering Period 11</t>
  </si>
  <si>
    <t>CLIN 0004.D - Closing a Laboratory with instrument(s) testing 400-800 tests per hour - Ordering Periods 1-7</t>
  </si>
  <si>
    <t>CLIN 1004.E - Option 1  Closing a Laboratory with instrument(s) testing 400-800 tests per hour - Optional Ordering Periods 8-10</t>
  </si>
  <si>
    <t>CLIN 1004.F - Option 1  Closing a Laboratory with instrument(s) testing 400-800 tests per hour - Optional Ordering Period 11</t>
  </si>
  <si>
    <t xml:space="preserve">As Required. Estimated 5 or fewer per period. </t>
  </si>
  <si>
    <t>Dilute: 2-19.9mg/dL</t>
  </si>
  <si>
    <t>Substituted: &lt;2mg/dL</t>
  </si>
  <si>
    <t>100 ng/mL</t>
  </si>
  <si>
    <t>ACETYLMORPHINE (6-AM)</t>
  </si>
  <si>
    <t>PHENCYCLIDINE (PCP)</t>
  </si>
  <si>
    <t>25 ng/mL</t>
  </si>
  <si>
    <t>Ordering Year 1: TBD</t>
  </si>
  <si>
    <t>Ordering Year 2:  TBD</t>
  </si>
  <si>
    <t>Ordering Year 3:  TBD</t>
  </si>
  <si>
    <t>Ordering Year 4:  TBD</t>
  </si>
  <si>
    <t>Ordering Year 5:  TBD</t>
  </si>
  <si>
    <t>Ordering Year 6:  TBD</t>
  </si>
  <si>
    <t>Ordering Year 7:  TBD</t>
  </si>
  <si>
    <t>Ordering Year 8:  TBD</t>
  </si>
  <si>
    <t>Ordering Year 9:  TBD</t>
  </si>
  <si>
    <t>Ordering Year 10:  TBD</t>
  </si>
  <si>
    <t>Ordering Year 11: TBD</t>
  </si>
  <si>
    <t>Expense directly to district: TBD</t>
  </si>
  <si>
    <t>Expense directly to district: 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</si>
</sst>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b/>
      <u/>
      <sz val="9"/>
      <color rgb="FF000000"/>
      <name val="Arial Narrow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 Narrow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3" borderId="22" xfId="0" applyFill="1" applyBorder="1"/>
    <xf numFmtId="0" fontId="0" fillId="3" borderId="0" xfId="0" applyFill="1" applyBorder="1"/>
    <xf numFmtId="0" fontId="0" fillId="3" borderId="24" xfId="0" applyFill="1" applyBorder="1"/>
    <xf numFmtId="0" fontId="0" fillId="0" borderId="26" xfId="0" applyBorder="1"/>
    <xf numFmtId="0" fontId="0" fillId="3" borderId="25" xfId="0" applyFill="1" applyBorder="1"/>
    <xf numFmtId="0" fontId="0" fillId="3" borderId="10" xfId="0" applyFill="1" applyBorder="1"/>
    <xf numFmtId="3" fontId="0" fillId="0" borderId="26" xfId="0" applyNumberFormat="1" applyBorder="1"/>
    <xf numFmtId="165" fontId="0" fillId="0" borderId="26" xfId="0" applyNumberFormat="1" applyBorder="1"/>
    <xf numFmtId="165" fontId="1" fillId="0" borderId="18" xfId="0" applyNumberFormat="1" applyFont="1" applyBorder="1"/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0" fillId="5" borderId="0" xfId="0" applyFill="1" applyBorder="1"/>
    <xf numFmtId="0" fontId="3" fillId="5" borderId="0" xfId="0" applyFont="1" applyFill="1" applyBorder="1" applyAlignment="1">
      <alignment horizontal="right" vertical="center" wrapText="1"/>
    </xf>
    <xf numFmtId="165" fontId="1" fillId="5" borderId="0" xfId="0" applyNumberFormat="1" applyFont="1" applyFill="1" applyBorder="1"/>
    <xf numFmtId="0" fontId="0" fillId="5" borderId="0" xfId="0" applyFill="1"/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165" fontId="1" fillId="0" borderId="0" xfId="0" applyNumberFormat="1" applyFont="1" applyBorder="1"/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0" fillId="0" borderId="0" xfId="0" applyFill="1" applyBorder="1"/>
    <xf numFmtId="3" fontId="0" fillId="0" borderId="30" xfId="0" applyNumberFormat="1" applyFill="1" applyBorder="1"/>
    <xf numFmtId="0" fontId="6" fillId="0" borderId="18" xfId="0" applyFont="1" applyBorder="1"/>
    <xf numFmtId="165" fontId="7" fillId="0" borderId="18" xfId="0" applyNumberFormat="1" applyFont="1" applyBorder="1"/>
    <xf numFmtId="0" fontId="2" fillId="4" borderId="3" xfId="0" applyFont="1" applyFill="1" applyBorder="1" applyAlignment="1">
      <alignment vertical="center" wrapText="1"/>
    </xf>
    <xf numFmtId="2" fontId="0" fillId="0" borderId="26" xfId="0" applyNumberFormat="1" applyBorder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vertical="center" wrapText="1"/>
    </xf>
    <xf numFmtId="0" fontId="3" fillId="0" borderId="3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3" fontId="0" fillId="6" borderId="26" xfId="0" applyNumberFormat="1" applyFill="1" applyBorder="1"/>
    <xf numFmtId="0" fontId="0" fillId="6" borderId="26" xfId="0" applyFill="1" applyBorder="1"/>
    <xf numFmtId="165" fontId="0" fillId="6" borderId="26" xfId="0" applyNumberFormat="1" applyFill="1" applyBorder="1"/>
    <xf numFmtId="0" fontId="0" fillId="0" borderId="0" xfId="0" applyBorder="1"/>
    <xf numFmtId="0" fontId="3" fillId="5" borderId="17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0" fillId="0" borderId="34" xfId="0" applyBorder="1"/>
    <xf numFmtId="2" fontId="0" fillId="0" borderId="34" xfId="0" applyNumberFormat="1" applyBorder="1"/>
    <xf numFmtId="0" fontId="0" fillId="6" borderId="34" xfId="0" applyFill="1" applyBorder="1"/>
    <xf numFmtId="0" fontId="0" fillId="3" borderId="26" xfId="0" applyFill="1" applyBorder="1"/>
    <xf numFmtId="3" fontId="0" fillId="0" borderId="34" xfId="0" applyNumberFormat="1" applyBorder="1"/>
    <xf numFmtId="3" fontId="0" fillId="6" borderId="34" xfId="0" applyNumberFormat="1" applyFill="1" applyBorder="1"/>
    <xf numFmtId="0" fontId="0" fillId="0" borderId="18" xfId="0" applyFill="1" applyBorder="1"/>
    <xf numFmtId="165" fontId="0" fillId="0" borderId="26" xfId="0" applyNumberFormat="1" applyBorder="1" applyAlignment="1">
      <alignment wrapText="1"/>
    </xf>
    <xf numFmtId="0" fontId="0" fillId="0" borderId="0" xfId="0" applyBorder="1" applyAlignment="1"/>
    <xf numFmtId="165" fontId="0" fillId="0" borderId="35" xfId="0" applyNumberFormat="1" applyBorder="1"/>
    <xf numFmtId="165" fontId="0" fillId="0" borderId="38" xfId="0" applyNumberFormat="1" applyBorder="1" applyAlignment="1">
      <alignment wrapText="1"/>
    </xf>
    <xf numFmtId="165" fontId="0" fillId="0" borderId="39" xfId="0" applyNumberFormat="1" applyBorder="1"/>
    <xf numFmtId="165" fontId="0" fillId="0" borderId="41" xfId="0" applyNumberFormat="1" applyBorder="1"/>
    <xf numFmtId="165" fontId="0" fillId="0" borderId="42" xfId="0" applyNumberFormat="1" applyBorder="1" applyAlignment="1">
      <alignment wrapText="1"/>
    </xf>
    <xf numFmtId="165" fontId="0" fillId="0" borderId="43" xfId="0" applyNumberFormat="1" applyBorder="1"/>
    <xf numFmtId="165" fontId="0" fillId="0" borderId="38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 wrapText="1"/>
    </xf>
    <xf numFmtId="165" fontId="0" fillId="0" borderId="47" xfId="0" applyNumberFormat="1" applyBorder="1" applyAlignment="1">
      <alignment horizontal="center" vertical="center" wrapText="1"/>
    </xf>
    <xf numFmtId="165" fontId="0" fillId="0" borderId="38" xfId="0" applyNumberFormat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2" fillId="4" borderId="22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22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5" borderId="49" xfId="0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" fillId="4" borderId="25" xfId="0" applyFont="1" applyFill="1" applyBorder="1" applyAlignment="1">
      <alignment vertical="center" wrapText="1"/>
    </xf>
    <xf numFmtId="0" fontId="2" fillId="4" borderId="53" xfId="0" applyFont="1" applyFill="1" applyBorder="1" applyAlignment="1">
      <alignment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164" fontId="2" fillId="7" borderId="3" xfId="0" applyNumberFormat="1" applyFont="1" applyFill="1" applyBorder="1" applyAlignment="1">
      <alignment vertical="center" wrapText="1"/>
    </xf>
    <xf numFmtId="164" fontId="2" fillId="7" borderId="4" xfId="0" applyNumberFormat="1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2" fillId="4" borderId="40" xfId="0" applyFont="1" applyFill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2" fillId="4" borderId="36" xfId="0" applyFont="1" applyFill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2" fillId="4" borderId="34" xfId="0" applyFont="1" applyFill="1" applyBorder="1" applyAlignment="1">
      <alignment vertical="center" wrapText="1"/>
    </xf>
    <xf numFmtId="0" fontId="9" fillId="0" borderId="0" xfId="0" applyFont="1" applyAlignment="1"/>
    <xf numFmtId="0" fontId="0" fillId="0" borderId="0" xfId="0" applyAlignment="1"/>
    <xf numFmtId="0" fontId="3" fillId="2" borderId="26" xfId="0" applyFont="1" applyFill="1" applyBorder="1" applyAlignment="1">
      <alignment horizontal="left" vertical="center" wrapText="1"/>
    </xf>
    <xf numFmtId="0" fontId="3" fillId="2" borderId="58" xfId="0" applyFont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horizontal="left" vertical="center" wrapText="1"/>
    </xf>
    <xf numFmtId="164" fontId="2" fillId="4" borderId="3" xfId="0" applyNumberFormat="1" applyFont="1" applyFill="1" applyBorder="1" applyAlignment="1">
      <alignment vertical="center" wrapText="1"/>
    </xf>
    <xf numFmtId="164" fontId="2" fillId="4" borderId="4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164" fontId="8" fillId="4" borderId="3" xfId="0" applyNumberFormat="1" applyFont="1" applyFill="1" applyBorder="1" applyAlignment="1">
      <alignment vertical="center" wrapText="1"/>
    </xf>
    <xf numFmtId="164" fontId="8" fillId="4" borderId="0" xfId="0" applyNumberFormat="1" applyFont="1" applyFill="1" applyBorder="1" applyAlignment="1">
      <alignment vertical="center" wrapText="1"/>
    </xf>
    <xf numFmtId="0" fontId="4" fillId="4" borderId="51" xfId="0" applyFont="1" applyFill="1" applyBorder="1" applyAlignment="1">
      <alignment vertical="center" wrapText="1"/>
    </xf>
    <xf numFmtId="0" fontId="4" fillId="4" borderId="52" xfId="0" applyFont="1" applyFill="1" applyBorder="1" applyAlignment="1">
      <alignment vertical="center" wrapText="1"/>
    </xf>
    <xf numFmtId="164" fontId="2" fillId="4" borderId="50" xfId="0" applyNumberFormat="1" applyFont="1" applyFill="1" applyBorder="1" applyAlignment="1">
      <alignment vertical="center" wrapText="1"/>
    </xf>
    <xf numFmtId="164" fontId="2" fillId="4" borderId="35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8" xfId="0" applyFont="1" applyFill="1" applyBorder="1" applyAlignment="1">
      <alignment vertical="center" wrapText="1"/>
    </xf>
    <xf numFmtId="0" fontId="3" fillId="0" borderId="54" xfId="0" applyFont="1" applyBorder="1" applyAlignment="1">
      <alignment horizontal="right" vertical="center" wrapText="1"/>
    </xf>
    <xf numFmtId="0" fontId="3" fillId="0" borderId="55" xfId="0" applyFont="1" applyBorder="1" applyAlignment="1">
      <alignment horizontal="right" vertical="center" wrapText="1"/>
    </xf>
    <xf numFmtId="0" fontId="3" fillId="0" borderId="56" xfId="0" applyFont="1" applyBorder="1" applyAlignment="1">
      <alignment horizontal="right" vertical="center" wrapText="1"/>
    </xf>
    <xf numFmtId="0" fontId="2" fillId="4" borderId="22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4" fillId="7" borderId="15" xfId="0" applyFont="1" applyFill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0" fontId="2" fillId="4" borderId="44" xfId="0" applyFont="1" applyFill="1" applyBorder="1" applyAlignment="1">
      <alignment vertical="center" wrapText="1"/>
    </xf>
    <xf numFmtId="0" fontId="2" fillId="4" borderId="45" xfId="0" applyFont="1" applyFill="1" applyBorder="1" applyAlignment="1">
      <alignment vertical="center" wrapText="1"/>
    </xf>
    <xf numFmtId="0" fontId="3" fillId="2" borderId="57" xfId="0" applyFont="1" applyFill="1" applyBorder="1" applyAlignment="1">
      <alignment horizontal="left" vertical="center" wrapText="1"/>
    </xf>
    <xf numFmtId="0" fontId="3" fillId="2" borderId="34" xfId="0" applyFont="1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EB14-6D1F-4C98-A397-4D342FA89B68}">
  <sheetPr>
    <pageSetUpPr fitToPage="1"/>
  </sheetPr>
  <dimension ref="A1:G316"/>
  <sheetViews>
    <sheetView tabSelected="1" topLeftCell="A311" zoomScaleNormal="100" workbookViewId="0">
      <selection activeCell="C314" sqref="C314:D314"/>
    </sheetView>
  </sheetViews>
  <sheetFormatPr defaultRowHeight="14.5" x14ac:dyDescent="0.35"/>
  <cols>
    <col min="1" max="1" width="18.1796875" customWidth="1"/>
    <col min="3" max="3" width="11.26953125" customWidth="1"/>
    <col min="4" max="4" width="28.54296875" customWidth="1"/>
    <col min="5" max="5" width="24" customWidth="1"/>
    <col min="6" max="6" width="25.453125" customWidth="1"/>
    <col min="7" max="7" width="21.453125" customWidth="1"/>
  </cols>
  <sheetData>
    <row r="1" spans="1:7" ht="16" thickBot="1" x14ac:dyDescent="0.4">
      <c r="A1" s="107" t="s">
        <v>58</v>
      </c>
      <c r="B1" s="108"/>
      <c r="C1" s="108"/>
      <c r="D1" s="108"/>
      <c r="E1" s="108"/>
      <c r="F1" s="108"/>
      <c r="G1" s="108"/>
    </row>
    <row r="2" spans="1:7" ht="15" thickTop="1" x14ac:dyDescent="0.35">
      <c r="A2" s="114"/>
      <c r="B2" s="115"/>
      <c r="C2" s="116"/>
      <c r="D2" s="117"/>
      <c r="E2" s="84" t="s">
        <v>2</v>
      </c>
      <c r="F2" s="87" t="s">
        <v>24</v>
      </c>
      <c r="G2" s="87" t="s">
        <v>1</v>
      </c>
    </row>
    <row r="3" spans="1:7" x14ac:dyDescent="0.35">
      <c r="A3" s="90" t="s">
        <v>31</v>
      </c>
      <c r="B3" s="91"/>
      <c r="C3" s="92"/>
      <c r="D3" s="93"/>
      <c r="E3" s="85"/>
      <c r="F3" s="88"/>
      <c r="G3" s="88"/>
    </row>
    <row r="4" spans="1:7" ht="15" thickBot="1" x14ac:dyDescent="0.4">
      <c r="A4" s="94" t="s">
        <v>5</v>
      </c>
      <c r="B4" s="95"/>
      <c r="C4" s="96"/>
      <c r="D4" s="97"/>
      <c r="E4" s="86"/>
      <c r="F4" s="89"/>
      <c r="G4" s="89"/>
    </row>
    <row r="5" spans="1:7" ht="15.5" thickTop="1" thickBot="1" x14ac:dyDescent="0.4">
      <c r="A5" s="112" t="s">
        <v>4</v>
      </c>
      <c r="B5" s="113"/>
      <c r="C5" s="100" t="s">
        <v>44</v>
      </c>
      <c r="D5" s="101"/>
      <c r="E5" s="1"/>
      <c r="F5" s="2"/>
      <c r="G5" s="3"/>
    </row>
    <row r="6" spans="1:7" ht="15" customHeight="1" thickBot="1" x14ac:dyDescent="0.4">
      <c r="A6" s="121" t="s">
        <v>3</v>
      </c>
      <c r="B6" s="122"/>
      <c r="C6" s="77" t="s">
        <v>79</v>
      </c>
      <c r="D6" s="78"/>
      <c r="E6" s="7">
        <v>477000</v>
      </c>
      <c r="F6" s="27">
        <v>0</v>
      </c>
      <c r="G6" s="8">
        <f>E6*F6</f>
        <v>0</v>
      </c>
    </row>
    <row r="7" spans="1:7" ht="15" customHeight="1" thickBot="1" x14ac:dyDescent="0.4">
      <c r="A7" s="10" t="s">
        <v>0</v>
      </c>
      <c r="B7" s="11"/>
      <c r="C7" s="77" t="s">
        <v>80</v>
      </c>
      <c r="D7" s="78"/>
      <c r="E7" s="7">
        <v>478000</v>
      </c>
      <c r="F7" s="27"/>
      <c r="G7" s="8">
        <f t="shared" ref="G7:G15" si="0">E7*F7</f>
        <v>0</v>
      </c>
    </row>
    <row r="8" spans="1:7" ht="15" customHeight="1" thickBot="1" x14ac:dyDescent="0.4">
      <c r="A8" s="79" t="s">
        <v>73</v>
      </c>
      <c r="B8" s="145"/>
      <c r="C8" s="77" t="s">
        <v>81</v>
      </c>
      <c r="D8" s="78"/>
      <c r="E8" s="7">
        <v>479000</v>
      </c>
      <c r="F8" s="27"/>
      <c r="G8" s="8">
        <f t="shared" si="0"/>
        <v>0</v>
      </c>
    </row>
    <row r="9" spans="1:7" ht="15" customHeight="1" thickBot="1" x14ac:dyDescent="0.4">
      <c r="A9" s="79" t="s">
        <v>74</v>
      </c>
      <c r="B9" s="145"/>
      <c r="C9" s="77" t="s">
        <v>82</v>
      </c>
      <c r="D9" s="78"/>
      <c r="E9" s="7">
        <v>480000</v>
      </c>
      <c r="F9" s="4"/>
      <c r="G9" s="8">
        <f t="shared" si="0"/>
        <v>0</v>
      </c>
    </row>
    <row r="10" spans="1:7" ht="15" customHeight="1" thickBot="1" x14ac:dyDescent="0.4">
      <c r="A10" s="16"/>
      <c r="B10" s="17"/>
      <c r="C10" s="77" t="s">
        <v>83</v>
      </c>
      <c r="D10" s="78"/>
      <c r="E10" s="7">
        <v>481000</v>
      </c>
      <c r="F10" s="4"/>
      <c r="G10" s="8">
        <f t="shared" si="0"/>
        <v>0</v>
      </c>
    </row>
    <row r="11" spans="1:7" ht="15" customHeight="1" thickBot="1" x14ac:dyDescent="0.4">
      <c r="A11" s="16"/>
      <c r="B11" s="17"/>
      <c r="C11" s="77" t="s">
        <v>84</v>
      </c>
      <c r="D11" s="78"/>
      <c r="E11" s="7">
        <v>482000</v>
      </c>
      <c r="F11" s="4"/>
      <c r="G11" s="8">
        <f t="shared" si="0"/>
        <v>0</v>
      </c>
    </row>
    <row r="12" spans="1:7" ht="15" customHeight="1" thickBot="1" x14ac:dyDescent="0.4">
      <c r="A12" s="16"/>
      <c r="B12" s="17"/>
      <c r="C12" s="77" t="s">
        <v>85</v>
      </c>
      <c r="D12" s="78"/>
      <c r="E12" s="7">
        <v>483000</v>
      </c>
      <c r="F12" s="4"/>
      <c r="G12" s="8">
        <f t="shared" si="0"/>
        <v>0</v>
      </c>
    </row>
    <row r="13" spans="1:7" ht="15" thickBot="1" x14ac:dyDescent="0.4">
      <c r="A13" s="32"/>
      <c r="B13" s="33"/>
      <c r="C13" s="38" t="s">
        <v>45</v>
      </c>
      <c r="D13" s="39"/>
      <c r="E13" s="34"/>
      <c r="F13" s="35"/>
      <c r="G13" s="36"/>
    </row>
    <row r="14" spans="1:7" ht="15" thickBot="1" x14ac:dyDescent="0.4">
      <c r="A14" s="16"/>
      <c r="B14" s="17"/>
      <c r="C14" s="81" t="s">
        <v>86</v>
      </c>
      <c r="D14" s="74"/>
      <c r="E14" s="7">
        <v>484000</v>
      </c>
      <c r="F14" s="4"/>
      <c r="G14" s="8">
        <f t="shared" si="0"/>
        <v>0</v>
      </c>
    </row>
    <row r="15" spans="1:7" ht="15" thickBot="1" x14ac:dyDescent="0.4">
      <c r="A15" s="16"/>
      <c r="B15" s="17"/>
      <c r="C15" s="81" t="s">
        <v>87</v>
      </c>
      <c r="D15" s="74"/>
      <c r="E15" s="7">
        <v>485000</v>
      </c>
      <c r="F15" s="4"/>
      <c r="G15" s="8">
        <f t="shared" si="0"/>
        <v>0</v>
      </c>
    </row>
    <row r="16" spans="1:7" ht="15" thickBot="1" x14ac:dyDescent="0.4">
      <c r="A16" s="82"/>
      <c r="B16" s="83"/>
      <c r="C16" s="81" t="s">
        <v>88</v>
      </c>
      <c r="D16" s="74"/>
      <c r="E16" s="7">
        <v>488000</v>
      </c>
      <c r="F16" s="4"/>
      <c r="G16" s="8">
        <f t="shared" ref="G16" si="1">E16*F16</f>
        <v>0</v>
      </c>
    </row>
    <row r="17" spans="1:7" ht="15" thickBot="1" x14ac:dyDescent="0.4">
      <c r="A17" s="62"/>
      <c r="B17" s="63"/>
      <c r="C17" s="69" t="s">
        <v>59</v>
      </c>
      <c r="D17" s="70"/>
      <c r="E17" s="34"/>
      <c r="F17" s="35"/>
      <c r="G17" s="36"/>
    </row>
    <row r="18" spans="1:7" ht="15" customHeight="1" thickBot="1" x14ac:dyDescent="0.4">
      <c r="A18" s="71"/>
      <c r="B18" s="72"/>
      <c r="C18" s="73" t="s">
        <v>89</v>
      </c>
      <c r="D18" s="74"/>
      <c r="E18" s="7">
        <v>244000</v>
      </c>
      <c r="F18" s="4"/>
      <c r="G18" s="8">
        <f t="shared" ref="G18" si="2">E18*F18</f>
        <v>0</v>
      </c>
    </row>
    <row r="19" spans="1:7" ht="15" thickBot="1" x14ac:dyDescent="0.4">
      <c r="A19" s="75" t="s">
        <v>29</v>
      </c>
      <c r="B19" s="76"/>
      <c r="C19" s="76"/>
      <c r="D19" s="76"/>
      <c r="E19" s="5"/>
      <c r="F19" s="6"/>
      <c r="G19" s="9">
        <f>SUM(G6:G16)</f>
        <v>0</v>
      </c>
    </row>
    <row r="20" spans="1:7" ht="15" thickTop="1" x14ac:dyDescent="0.35">
      <c r="A20" s="18"/>
      <c r="B20" s="18"/>
      <c r="C20" s="18"/>
      <c r="D20" s="18"/>
      <c r="E20" s="2"/>
      <c r="F20" s="2"/>
      <c r="G20" s="19"/>
    </row>
    <row r="21" spans="1:7" ht="15.75" customHeight="1" thickBot="1" x14ac:dyDescent="0.4"/>
    <row r="22" spans="1:7" ht="15" thickTop="1" x14ac:dyDescent="0.35">
      <c r="A22" s="114"/>
      <c r="B22" s="115"/>
      <c r="C22" s="116"/>
      <c r="D22" s="117"/>
      <c r="E22" s="84" t="s">
        <v>2</v>
      </c>
      <c r="F22" s="87" t="s">
        <v>24</v>
      </c>
      <c r="G22" s="87" t="s">
        <v>1</v>
      </c>
    </row>
    <row r="23" spans="1:7" ht="16.5" customHeight="1" x14ac:dyDescent="0.35">
      <c r="A23" s="90" t="s">
        <v>31</v>
      </c>
      <c r="B23" s="91"/>
      <c r="C23" s="92"/>
      <c r="D23" s="93"/>
      <c r="E23" s="85"/>
      <c r="F23" s="88"/>
      <c r="G23" s="88"/>
    </row>
    <row r="24" spans="1:7" ht="8" customHeight="1" thickBot="1" x14ac:dyDescent="0.4">
      <c r="A24" s="90" t="s">
        <v>5</v>
      </c>
      <c r="B24" s="91"/>
      <c r="C24" s="96"/>
      <c r="D24" s="97"/>
      <c r="E24" s="86"/>
      <c r="F24" s="89"/>
      <c r="G24" s="89"/>
    </row>
    <row r="25" spans="1:7" ht="16.5" customHeight="1" thickTop="1" thickBot="1" x14ac:dyDescent="0.4">
      <c r="A25" s="127" t="s">
        <v>6</v>
      </c>
      <c r="B25" s="128"/>
      <c r="C25" s="100" t="s">
        <v>44</v>
      </c>
      <c r="D25" s="101"/>
      <c r="E25" s="1"/>
      <c r="F25" s="2"/>
      <c r="G25" s="3"/>
    </row>
    <row r="26" spans="1:7" ht="15" customHeight="1" thickBot="1" x14ac:dyDescent="0.4">
      <c r="A26" s="125" t="s">
        <v>3</v>
      </c>
      <c r="B26" s="126"/>
      <c r="C26" s="77" t="s">
        <v>79</v>
      </c>
      <c r="D26" s="78"/>
      <c r="E26" s="7">
        <v>575000</v>
      </c>
      <c r="F26" s="27">
        <v>0</v>
      </c>
      <c r="G26" s="8">
        <f t="shared" ref="G26:G36" si="3">E26*F26</f>
        <v>0</v>
      </c>
    </row>
    <row r="27" spans="1:7" ht="15.75" customHeight="1" thickBot="1" x14ac:dyDescent="0.4">
      <c r="A27" s="62" t="s">
        <v>7</v>
      </c>
      <c r="B27" s="63"/>
      <c r="C27" s="77" t="s">
        <v>80</v>
      </c>
      <c r="D27" s="78"/>
      <c r="E27" s="7">
        <v>580000</v>
      </c>
      <c r="F27" s="27"/>
      <c r="G27" s="8">
        <f t="shared" si="3"/>
        <v>0</v>
      </c>
    </row>
    <row r="28" spans="1:7" ht="15.75" customHeight="1" thickBot="1" x14ac:dyDescent="0.4">
      <c r="A28" s="134"/>
      <c r="B28" s="135"/>
      <c r="C28" s="77" t="s">
        <v>81</v>
      </c>
      <c r="D28" s="78"/>
      <c r="E28" s="7">
        <v>580000</v>
      </c>
      <c r="F28" s="27"/>
      <c r="G28" s="8">
        <f t="shared" si="3"/>
        <v>0</v>
      </c>
    </row>
    <row r="29" spans="1:7" ht="15" customHeight="1" thickBot="1" x14ac:dyDescent="0.4">
      <c r="A29" s="134"/>
      <c r="B29" s="135"/>
      <c r="C29" s="77" t="s">
        <v>82</v>
      </c>
      <c r="D29" s="78"/>
      <c r="E29" s="7">
        <v>580000</v>
      </c>
      <c r="F29" s="4"/>
      <c r="G29" s="8">
        <f t="shared" si="3"/>
        <v>0</v>
      </c>
    </row>
    <row r="30" spans="1:7" ht="15" customHeight="1" thickBot="1" x14ac:dyDescent="0.4">
      <c r="A30" s="62"/>
      <c r="B30" s="63"/>
      <c r="C30" s="77" t="s">
        <v>83</v>
      </c>
      <c r="D30" s="78"/>
      <c r="E30" s="7">
        <v>580000</v>
      </c>
      <c r="F30" s="4"/>
      <c r="G30" s="8">
        <f t="shared" si="3"/>
        <v>0</v>
      </c>
    </row>
    <row r="31" spans="1:7" ht="15" customHeight="1" thickBot="1" x14ac:dyDescent="0.4">
      <c r="A31" s="62"/>
      <c r="B31" s="63"/>
      <c r="C31" s="77" t="s">
        <v>84</v>
      </c>
      <c r="D31" s="78"/>
      <c r="E31" s="7">
        <v>580000</v>
      </c>
      <c r="F31" s="4"/>
      <c r="G31" s="8">
        <f t="shared" si="3"/>
        <v>0</v>
      </c>
    </row>
    <row r="32" spans="1:7" ht="15" customHeight="1" thickBot="1" x14ac:dyDescent="0.4">
      <c r="A32" s="62"/>
      <c r="B32" s="63"/>
      <c r="C32" s="77" t="s">
        <v>85</v>
      </c>
      <c r="D32" s="78"/>
      <c r="E32" s="7">
        <v>580000</v>
      </c>
      <c r="F32" s="4"/>
      <c r="G32" s="8">
        <f t="shared" si="3"/>
        <v>0</v>
      </c>
    </row>
    <row r="33" spans="1:7" ht="15" thickBot="1" x14ac:dyDescent="0.4">
      <c r="A33" s="62"/>
      <c r="B33" s="63"/>
      <c r="C33" s="38" t="s">
        <v>45</v>
      </c>
      <c r="D33" s="39"/>
      <c r="E33" s="34"/>
      <c r="F33" s="35"/>
      <c r="G33" s="36"/>
    </row>
    <row r="34" spans="1:7" ht="15" customHeight="1" thickBot="1" x14ac:dyDescent="0.4">
      <c r="A34" s="62"/>
      <c r="B34" s="63"/>
      <c r="C34" s="81" t="s">
        <v>86</v>
      </c>
      <c r="D34" s="74"/>
      <c r="E34" s="7">
        <v>582000</v>
      </c>
      <c r="F34" s="4"/>
      <c r="G34" s="8">
        <f t="shared" si="3"/>
        <v>0</v>
      </c>
    </row>
    <row r="35" spans="1:7" ht="15" customHeight="1" thickBot="1" x14ac:dyDescent="0.4">
      <c r="A35" s="62"/>
      <c r="B35" s="63"/>
      <c r="C35" s="81" t="s">
        <v>87</v>
      </c>
      <c r="D35" s="74"/>
      <c r="E35" s="7">
        <v>582000</v>
      </c>
      <c r="F35" s="4"/>
      <c r="G35" s="8">
        <f t="shared" si="3"/>
        <v>0</v>
      </c>
    </row>
    <row r="36" spans="1:7" ht="15.75" customHeight="1" thickBot="1" x14ac:dyDescent="0.4">
      <c r="A36" s="134"/>
      <c r="B36" s="135"/>
      <c r="C36" s="81" t="s">
        <v>88</v>
      </c>
      <c r="D36" s="74"/>
      <c r="E36" s="7">
        <v>582000</v>
      </c>
      <c r="F36" s="4"/>
      <c r="G36" s="8">
        <f t="shared" si="3"/>
        <v>0</v>
      </c>
    </row>
    <row r="37" spans="1:7" ht="15" thickBot="1" x14ac:dyDescent="0.4">
      <c r="A37" s="62"/>
      <c r="B37" s="63"/>
      <c r="C37" s="69" t="s">
        <v>59</v>
      </c>
      <c r="D37" s="70"/>
      <c r="E37" s="34"/>
      <c r="F37" s="35"/>
      <c r="G37" s="36"/>
    </row>
    <row r="38" spans="1:7" ht="15" customHeight="1" thickBot="1" x14ac:dyDescent="0.4">
      <c r="A38" s="71"/>
      <c r="B38" s="72"/>
      <c r="C38" s="73" t="s">
        <v>89</v>
      </c>
      <c r="D38" s="74"/>
      <c r="E38" s="7">
        <v>291000</v>
      </c>
      <c r="F38" s="4"/>
      <c r="G38" s="8">
        <f t="shared" ref="G38" si="4">E38*F38</f>
        <v>0</v>
      </c>
    </row>
    <row r="39" spans="1:7" ht="15" thickBot="1" x14ac:dyDescent="0.4">
      <c r="A39" s="75" t="s">
        <v>30</v>
      </c>
      <c r="B39" s="76"/>
      <c r="C39" s="76"/>
      <c r="D39" s="76"/>
      <c r="E39" s="5"/>
      <c r="F39" s="6"/>
      <c r="G39" s="9">
        <f>SUM(G26:G38)</f>
        <v>0</v>
      </c>
    </row>
    <row r="40" spans="1:7" ht="15.5" thickTop="1" thickBot="1" x14ac:dyDescent="0.4"/>
    <row r="41" spans="1:7" ht="15" thickTop="1" x14ac:dyDescent="0.35">
      <c r="A41" s="114"/>
      <c r="B41" s="115"/>
      <c r="C41" s="116"/>
      <c r="D41" s="117"/>
      <c r="E41" s="84" t="s">
        <v>2</v>
      </c>
      <c r="F41" s="87" t="s">
        <v>24</v>
      </c>
      <c r="G41" s="87" t="s">
        <v>1</v>
      </c>
    </row>
    <row r="42" spans="1:7" x14ac:dyDescent="0.35">
      <c r="A42" s="90" t="s">
        <v>31</v>
      </c>
      <c r="B42" s="91"/>
      <c r="C42" s="92"/>
      <c r="D42" s="93"/>
      <c r="E42" s="85"/>
      <c r="F42" s="88"/>
      <c r="G42" s="88"/>
    </row>
    <row r="43" spans="1:7" ht="15" thickBot="1" x14ac:dyDescent="0.4">
      <c r="A43" s="94" t="s">
        <v>5</v>
      </c>
      <c r="B43" s="95"/>
      <c r="C43" s="96"/>
      <c r="D43" s="97"/>
      <c r="E43" s="86"/>
      <c r="F43" s="89"/>
      <c r="G43" s="89"/>
    </row>
    <row r="44" spans="1:7" ht="15" customHeight="1" thickTop="1" thickBot="1" x14ac:dyDescent="0.4">
      <c r="A44" s="112" t="s">
        <v>8</v>
      </c>
      <c r="B44" s="113"/>
      <c r="C44" s="100" t="s">
        <v>44</v>
      </c>
      <c r="D44" s="101"/>
      <c r="E44" s="1"/>
      <c r="F44" s="2"/>
      <c r="G44" s="3"/>
    </row>
    <row r="45" spans="1:7" ht="15" customHeight="1" thickBot="1" x14ac:dyDescent="0.4">
      <c r="A45" s="121" t="s">
        <v>3</v>
      </c>
      <c r="B45" s="122"/>
      <c r="C45" s="77" t="s">
        <v>79</v>
      </c>
      <c r="D45" s="78"/>
      <c r="E45" s="7">
        <v>490000</v>
      </c>
      <c r="F45" s="27">
        <v>0</v>
      </c>
      <c r="G45" s="8">
        <f t="shared" ref="G45:G54" si="5">E45*F45</f>
        <v>0</v>
      </c>
    </row>
    <row r="46" spans="1:7" ht="15" customHeight="1" thickBot="1" x14ac:dyDescent="0.4">
      <c r="A46" s="10" t="s">
        <v>9</v>
      </c>
      <c r="B46" s="11"/>
      <c r="C46" s="77" t="s">
        <v>80</v>
      </c>
      <c r="D46" s="78"/>
      <c r="E46" s="7">
        <v>490000</v>
      </c>
      <c r="F46" s="27"/>
      <c r="G46" s="8">
        <f t="shared" si="5"/>
        <v>0</v>
      </c>
    </row>
    <row r="47" spans="1:7" ht="15" customHeight="1" thickBot="1" x14ac:dyDescent="0.4">
      <c r="A47" s="79"/>
      <c r="B47" s="129"/>
      <c r="C47" s="77" t="s">
        <v>81</v>
      </c>
      <c r="D47" s="78"/>
      <c r="E47" s="7">
        <v>490000</v>
      </c>
      <c r="F47" s="27"/>
      <c r="G47" s="8">
        <f t="shared" si="5"/>
        <v>0</v>
      </c>
    </row>
    <row r="48" spans="1:7" ht="15" customHeight="1" thickBot="1" x14ac:dyDescent="0.4">
      <c r="A48" s="79"/>
      <c r="B48" s="129"/>
      <c r="C48" s="77" t="s">
        <v>82</v>
      </c>
      <c r="D48" s="78"/>
      <c r="E48" s="7">
        <v>490000</v>
      </c>
      <c r="F48" s="4"/>
      <c r="G48" s="8">
        <f t="shared" si="5"/>
        <v>0</v>
      </c>
    </row>
    <row r="49" spans="1:7" ht="15" customHeight="1" thickBot="1" x14ac:dyDescent="0.4">
      <c r="A49" s="16"/>
      <c r="B49" s="17"/>
      <c r="C49" s="77" t="s">
        <v>83</v>
      </c>
      <c r="D49" s="78"/>
      <c r="E49" s="7">
        <v>490000</v>
      </c>
      <c r="F49" s="4"/>
      <c r="G49" s="8">
        <f t="shared" si="5"/>
        <v>0</v>
      </c>
    </row>
    <row r="50" spans="1:7" ht="15" customHeight="1" thickBot="1" x14ac:dyDescent="0.4">
      <c r="A50" s="16"/>
      <c r="B50" s="17"/>
      <c r="C50" s="77" t="s">
        <v>84</v>
      </c>
      <c r="D50" s="78"/>
      <c r="E50" s="7">
        <v>504700</v>
      </c>
      <c r="F50" s="4"/>
      <c r="G50" s="8">
        <f t="shared" si="5"/>
        <v>0</v>
      </c>
    </row>
    <row r="51" spans="1:7" ht="15" customHeight="1" thickBot="1" x14ac:dyDescent="0.4">
      <c r="A51" s="16"/>
      <c r="B51" s="17"/>
      <c r="C51" s="77" t="s">
        <v>85</v>
      </c>
      <c r="D51" s="78"/>
      <c r="E51" s="7">
        <v>504700</v>
      </c>
      <c r="F51" s="4"/>
      <c r="G51" s="8">
        <f t="shared" si="5"/>
        <v>0</v>
      </c>
    </row>
    <row r="52" spans="1:7" ht="15" customHeight="1" thickBot="1" x14ac:dyDescent="0.4">
      <c r="A52" s="32"/>
      <c r="B52" s="33"/>
      <c r="C52" s="38" t="s">
        <v>45</v>
      </c>
      <c r="D52" s="39"/>
      <c r="E52" s="34"/>
      <c r="F52" s="35"/>
      <c r="G52" s="36"/>
    </row>
    <row r="53" spans="1:7" ht="15" customHeight="1" thickBot="1" x14ac:dyDescent="0.4">
      <c r="A53" s="16"/>
      <c r="B53" s="17"/>
      <c r="C53" s="81" t="s">
        <v>86</v>
      </c>
      <c r="D53" s="74"/>
      <c r="E53" s="7">
        <v>504700</v>
      </c>
      <c r="F53" s="4"/>
      <c r="G53" s="8">
        <f t="shared" si="5"/>
        <v>0</v>
      </c>
    </row>
    <row r="54" spans="1:7" s="15" customFormat="1" ht="15" customHeight="1" thickBot="1" x14ac:dyDescent="0.4">
      <c r="A54" s="16"/>
      <c r="B54" s="17"/>
      <c r="C54" s="81" t="s">
        <v>87</v>
      </c>
      <c r="D54" s="74"/>
      <c r="E54" s="7">
        <v>504700</v>
      </c>
      <c r="F54" s="4"/>
      <c r="G54" s="8">
        <f t="shared" si="5"/>
        <v>0</v>
      </c>
    </row>
    <row r="55" spans="1:7" s="15" customFormat="1" ht="15" customHeight="1" thickBot="1" x14ac:dyDescent="0.4">
      <c r="A55" s="82"/>
      <c r="B55" s="130"/>
      <c r="C55" s="81" t="s">
        <v>88</v>
      </c>
      <c r="D55" s="74"/>
      <c r="E55" s="7">
        <v>504700</v>
      </c>
      <c r="F55" s="4"/>
      <c r="G55" s="8">
        <f t="shared" ref="G55" si="6">E55*F55</f>
        <v>0</v>
      </c>
    </row>
    <row r="56" spans="1:7" ht="15" thickBot="1" x14ac:dyDescent="0.4">
      <c r="A56" s="62"/>
      <c r="B56" s="63"/>
      <c r="C56" s="69" t="s">
        <v>59</v>
      </c>
      <c r="D56" s="70"/>
      <c r="E56" s="34"/>
      <c r="F56" s="35"/>
      <c r="G56" s="36"/>
    </row>
    <row r="57" spans="1:7" ht="15" customHeight="1" thickBot="1" x14ac:dyDescent="0.4">
      <c r="A57" s="71"/>
      <c r="B57" s="72"/>
      <c r="C57" s="73" t="s">
        <v>89</v>
      </c>
      <c r="D57" s="74"/>
      <c r="E57" s="7">
        <v>252350</v>
      </c>
      <c r="F57" s="4"/>
      <c r="G57" s="8">
        <f t="shared" ref="G57" si="7">E57*F57</f>
        <v>0</v>
      </c>
    </row>
    <row r="58" spans="1:7" ht="15" customHeight="1" thickBot="1" x14ac:dyDescent="0.4">
      <c r="A58" s="131" t="s">
        <v>43</v>
      </c>
      <c r="B58" s="132"/>
      <c r="C58" s="132"/>
      <c r="D58" s="133"/>
      <c r="E58" s="5"/>
      <c r="F58" s="6"/>
      <c r="G58" s="9">
        <f>SUM(G45:G55)</f>
        <v>0</v>
      </c>
    </row>
    <row r="59" spans="1:7" ht="15" thickTop="1" x14ac:dyDescent="0.35">
      <c r="A59" s="13"/>
      <c r="B59" s="13"/>
      <c r="C59" s="13"/>
      <c r="D59" s="13"/>
      <c r="E59" s="12"/>
      <c r="F59" s="12"/>
      <c r="G59" s="14"/>
    </row>
    <row r="61" spans="1:7" ht="15" thickBot="1" x14ac:dyDescent="0.4"/>
    <row r="62" spans="1:7" ht="15" thickTop="1" x14ac:dyDescent="0.35">
      <c r="A62" s="114"/>
      <c r="B62" s="115"/>
      <c r="C62" s="116"/>
      <c r="D62" s="117"/>
      <c r="E62" s="84" t="s">
        <v>2</v>
      </c>
      <c r="F62" s="87" t="s">
        <v>24</v>
      </c>
      <c r="G62" s="87" t="s">
        <v>1</v>
      </c>
    </row>
    <row r="63" spans="1:7" x14ac:dyDescent="0.35">
      <c r="A63" s="90" t="s">
        <v>31</v>
      </c>
      <c r="B63" s="91"/>
      <c r="C63" s="92"/>
      <c r="D63" s="93"/>
      <c r="E63" s="85"/>
      <c r="F63" s="88"/>
      <c r="G63" s="88"/>
    </row>
    <row r="64" spans="1:7" ht="15" thickBot="1" x14ac:dyDescent="0.4">
      <c r="A64" s="94" t="s">
        <v>5</v>
      </c>
      <c r="B64" s="95"/>
      <c r="C64" s="96"/>
      <c r="D64" s="97"/>
      <c r="E64" s="86"/>
      <c r="F64" s="89"/>
      <c r="G64" s="89"/>
    </row>
    <row r="65" spans="1:7" ht="15" customHeight="1" thickTop="1" thickBot="1" x14ac:dyDescent="0.4">
      <c r="A65" s="112" t="s">
        <v>10</v>
      </c>
      <c r="B65" s="113"/>
      <c r="C65" s="100" t="s">
        <v>44</v>
      </c>
      <c r="D65" s="101"/>
      <c r="E65" s="1"/>
      <c r="F65" s="2"/>
      <c r="G65" s="3"/>
    </row>
    <row r="66" spans="1:7" ht="15" customHeight="1" thickBot="1" x14ac:dyDescent="0.4">
      <c r="A66" s="121" t="s">
        <v>3</v>
      </c>
      <c r="B66" s="122"/>
      <c r="C66" s="77" t="s">
        <v>79</v>
      </c>
      <c r="D66" s="78"/>
      <c r="E66" s="7">
        <v>525000</v>
      </c>
      <c r="F66" s="27">
        <v>0</v>
      </c>
      <c r="G66" s="8">
        <f t="shared" ref="G66:G76" si="8">E66*F66</f>
        <v>0</v>
      </c>
    </row>
    <row r="67" spans="1:7" ht="15" customHeight="1" thickBot="1" x14ac:dyDescent="0.4">
      <c r="A67" s="10" t="s">
        <v>11</v>
      </c>
      <c r="B67" s="11"/>
      <c r="C67" s="77" t="s">
        <v>80</v>
      </c>
      <c r="D67" s="78"/>
      <c r="E67" s="7">
        <v>525000</v>
      </c>
      <c r="F67" s="27"/>
      <c r="G67" s="8">
        <f t="shared" si="8"/>
        <v>0</v>
      </c>
    </row>
    <row r="68" spans="1:7" ht="15" customHeight="1" thickBot="1" x14ac:dyDescent="0.4">
      <c r="A68" s="79"/>
      <c r="B68" s="80"/>
      <c r="C68" s="77" t="s">
        <v>81</v>
      </c>
      <c r="D68" s="78"/>
      <c r="E68" s="7">
        <v>525000</v>
      </c>
      <c r="F68" s="27"/>
      <c r="G68" s="8">
        <f t="shared" si="8"/>
        <v>0</v>
      </c>
    </row>
    <row r="69" spans="1:7" ht="15" customHeight="1" thickBot="1" x14ac:dyDescent="0.4">
      <c r="A69" s="79"/>
      <c r="B69" s="80"/>
      <c r="C69" s="77" t="s">
        <v>82</v>
      </c>
      <c r="D69" s="78"/>
      <c r="E69" s="7">
        <v>525000</v>
      </c>
      <c r="F69" s="4"/>
      <c r="G69" s="8">
        <f t="shared" si="8"/>
        <v>0</v>
      </c>
    </row>
    <row r="70" spans="1:7" ht="15" customHeight="1" thickBot="1" x14ac:dyDescent="0.4">
      <c r="A70" s="16"/>
      <c r="B70" s="17"/>
      <c r="C70" s="77" t="s">
        <v>83</v>
      </c>
      <c r="D70" s="78"/>
      <c r="E70" s="7">
        <v>525000</v>
      </c>
      <c r="F70" s="4"/>
      <c r="G70" s="8">
        <f t="shared" si="8"/>
        <v>0</v>
      </c>
    </row>
    <row r="71" spans="1:7" ht="15" customHeight="1" thickBot="1" x14ac:dyDescent="0.4">
      <c r="A71" s="16"/>
      <c r="B71" s="17"/>
      <c r="C71" s="77" t="s">
        <v>84</v>
      </c>
      <c r="D71" s="78"/>
      <c r="E71" s="7">
        <v>526200</v>
      </c>
      <c r="F71" s="4"/>
      <c r="G71" s="8">
        <f t="shared" si="8"/>
        <v>0</v>
      </c>
    </row>
    <row r="72" spans="1:7" ht="15" customHeight="1" thickBot="1" x14ac:dyDescent="0.4">
      <c r="A72" s="16"/>
      <c r="B72" s="17"/>
      <c r="C72" s="77" t="s">
        <v>85</v>
      </c>
      <c r="D72" s="78"/>
      <c r="E72" s="7">
        <v>526200</v>
      </c>
      <c r="F72" s="4"/>
      <c r="G72" s="8">
        <f t="shared" si="8"/>
        <v>0</v>
      </c>
    </row>
    <row r="73" spans="1:7" ht="15" customHeight="1" thickBot="1" x14ac:dyDescent="0.4">
      <c r="A73" s="32"/>
      <c r="B73" s="33"/>
      <c r="C73" s="38" t="s">
        <v>45</v>
      </c>
      <c r="D73" s="39"/>
      <c r="E73" s="34"/>
      <c r="F73" s="35"/>
      <c r="G73" s="36"/>
    </row>
    <row r="74" spans="1:7" ht="15" customHeight="1" thickBot="1" x14ac:dyDescent="0.4">
      <c r="A74" s="16"/>
      <c r="B74" s="17"/>
      <c r="C74" s="81" t="s">
        <v>86</v>
      </c>
      <c r="D74" s="74"/>
      <c r="E74" s="7">
        <v>526200</v>
      </c>
      <c r="F74" s="4"/>
      <c r="G74" s="8">
        <f t="shared" si="8"/>
        <v>0</v>
      </c>
    </row>
    <row r="75" spans="1:7" ht="15" customHeight="1" thickBot="1" x14ac:dyDescent="0.4">
      <c r="A75" s="16"/>
      <c r="B75" s="17"/>
      <c r="C75" s="81" t="s">
        <v>87</v>
      </c>
      <c r="D75" s="74"/>
      <c r="E75" s="7">
        <v>526200</v>
      </c>
      <c r="F75" s="4"/>
      <c r="G75" s="8">
        <f t="shared" si="8"/>
        <v>0</v>
      </c>
    </row>
    <row r="76" spans="1:7" ht="15" customHeight="1" thickBot="1" x14ac:dyDescent="0.4">
      <c r="A76" s="82"/>
      <c r="B76" s="83"/>
      <c r="C76" s="81" t="s">
        <v>88</v>
      </c>
      <c r="D76" s="74"/>
      <c r="E76" s="7">
        <v>526200</v>
      </c>
      <c r="F76" s="4"/>
      <c r="G76" s="8">
        <f t="shared" si="8"/>
        <v>0</v>
      </c>
    </row>
    <row r="77" spans="1:7" ht="15" thickBot="1" x14ac:dyDescent="0.4">
      <c r="A77" s="62"/>
      <c r="B77" s="63"/>
      <c r="C77" s="69" t="s">
        <v>59</v>
      </c>
      <c r="D77" s="70"/>
      <c r="E77" s="34"/>
      <c r="F77" s="35"/>
      <c r="G77" s="36"/>
    </row>
    <row r="78" spans="1:7" ht="15" customHeight="1" thickBot="1" x14ac:dyDescent="0.4">
      <c r="A78" s="71"/>
      <c r="B78" s="72"/>
      <c r="C78" s="73" t="s">
        <v>89</v>
      </c>
      <c r="D78" s="74"/>
      <c r="E78" s="7">
        <v>263100</v>
      </c>
      <c r="F78" s="4"/>
      <c r="G78" s="8">
        <f t="shared" ref="G78" si="9">E78*F78</f>
        <v>0</v>
      </c>
    </row>
    <row r="79" spans="1:7" ht="15" thickBot="1" x14ac:dyDescent="0.4">
      <c r="A79" s="75" t="s">
        <v>42</v>
      </c>
      <c r="B79" s="76"/>
      <c r="C79" s="76"/>
      <c r="D79" s="76"/>
      <c r="E79" s="5"/>
      <c r="F79" s="6"/>
      <c r="G79" s="9">
        <f>SUM(G66:G76)</f>
        <v>0</v>
      </c>
    </row>
    <row r="80" spans="1:7" ht="15.5" thickTop="1" thickBot="1" x14ac:dyDescent="0.4"/>
    <row r="81" spans="1:7" ht="15" thickTop="1" x14ac:dyDescent="0.35">
      <c r="A81" s="114"/>
      <c r="B81" s="115"/>
      <c r="C81" s="116"/>
      <c r="D81" s="117"/>
      <c r="E81" s="84" t="s">
        <v>2</v>
      </c>
      <c r="F81" s="87" t="s">
        <v>24</v>
      </c>
      <c r="G81" s="87" t="s">
        <v>1</v>
      </c>
    </row>
    <row r="82" spans="1:7" x14ac:dyDescent="0.35">
      <c r="A82" s="90" t="s">
        <v>31</v>
      </c>
      <c r="B82" s="91"/>
      <c r="C82" s="92"/>
      <c r="D82" s="93"/>
      <c r="E82" s="85"/>
      <c r="F82" s="88"/>
      <c r="G82" s="88"/>
    </row>
    <row r="83" spans="1:7" ht="15" thickBot="1" x14ac:dyDescent="0.4">
      <c r="A83" s="94" t="s">
        <v>5</v>
      </c>
      <c r="B83" s="95"/>
      <c r="C83" s="96"/>
      <c r="D83" s="97"/>
      <c r="E83" s="86"/>
      <c r="F83" s="89"/>
      <c r="G83" s="89"/>
    </row>
    <row r="84" spans="1:7" ht="15" customHeight="1" thickTop="1" thickBot="1" x14ac:dyDescent="0.4">
      <c r="A84" s="112" t="s">
        <v>12</v>
      </c>
      <c r="B84" s="113"/>
      <c r="C84" s="100" t="s">
        <v>44</v>
      </c>
      <c r="D84" s="101"/>
      <c r="E84" s="1"/>
      <c r="F84" s="2"/>
      <c r="G84" s="3"/>
    </row>
    <row r="85" spans="1:7" ht="15" customHeight="1" thickBot="1" x14ac:dyDescent="0.4">
      <c r="A85" s="121" t="s">
        <v>3</v>
      </c>
      <c r="B85" s="122"/>
      <c r="C85" s="77" t="s">
        <v>79</v>
      </c>
      <c r="D85" s="78"/>
      <c r="E85" s="7">
        <v>60000</v>
      </c>
      <c r="F85" s="27">
        <v>0</v>
      </c>
      <c r="G85" s="8">
        <f t="shared" ref="G85:G95" si="10">E85*F85</f>
        <v>0</v>
      </c>
    </row>
    <row r="86" spans="1:7" ht="15" customHeight="1" thickBot="1" x14ac:dyDescent="0.4">
      <c r="A86" s="10" t="s">
        <v>13</v>
      </c>
      <c r="B86" s="11"/>
      <c r="C86" s="77" t="s">
        <v>80</v>
      </c>
      <c r="D86" s="78"/>
      <c r="E86" s="7">
        <v>60000</v>
      </c>
      <c r="F86" s="27"/>
      <c r="G86" s="8">
        <f t="shared" si="10"/>
        <v>0</v>
      </c>
    </row>
    <row r="87" spans="1:7" ht="15" customHeight="1" thickBot="1" x14ac:dyDescent="0.4">
      <c r="A87" s="16"/>
      <c r="B87" s="17"/>
      <c r="C87" s="77" t="s">
        <v>81</v>
      </c>
      <c r="D87" s="78"/>
      <c r="E87" s="7">
        <v>60000</v>
      </c>
      <c r="F87" s="27"/>
      <c r="G87" s="8">
        <f t="shared" si="10"/>
        <v>0</v>
      </c>
    </row>
    <row r="88" spans="1:7" ht="15" customHeight="1" thickBot="1" x14ac:dyDescent="0.4">
      <c r="A88" s="16"/>
      <c r="B88" s="17"/>
      <c r="C88" s="77" t="s">
        <v>82</v>
      </c>
      <c r="D88" s="78"/>
      <c r="E88" s="7">
        <v>65000</v>
      </c>
      <c r="F88" s="4"/>
      <c r="G88" s="8">
        <f t="shared" si="10"/>
        <v>0</v>
      </c>
    </row>
    <row r="89" spans="1:7" ht="15" customHeight="1" thickBot="1" x14ac:dyDescent="0.4">
      <c r="A89" s="79"/>
      <c r="B89" s="80"/>
      <c r="C89" s="77" t="s">
        <v>83</v>
      </c>
      <c r="D89" s="78"/>
      <c r="E89" s="7">
        <v>65000</v>
      </c>
      <c r="F89" s="4"/>
      <c r="G89" s="8">
        <f t="shared" si="10"/>
        <v>0</v>
      </c>
    </row>
    <row r="90" spans="1:7" ht="15" customHeight="1" thickBot="1" x14ac:dyDescent="0.4">
      <c r="A90" s="16"/>
      <c r="B90" s="17"/>
      <c r="C90" s="77" t="s">
        <v>84</v>
      </c>
      <c r="D90" s="78"/>
      <c r="E90" s="7">
        <v>65000</v>
      </c>
      <c r="F90" s="4"/>
      <c r="G90" s="8">
        <f t="shared" si="10"/>
        <v>0</v>
      </c>
    </row>
    <row r="91" spans="1:7" ht="15" customHeight="1" thickBot="1" x14ac:dyDescent="0.4">
      <c r="A91" s="16"/>
      <c r="B91" s="17"/>
      <c r="C91" s="77" t="s">
        <v>85</v>
      </c>
      <c r="D91" s="78"/>
      <c r="E91" s="7">
        <v>66500</v>
      </c>
      <c r="F91" s="4"/>
      <c r="G91" s="8">
        <f t="shared" si="10"/>
        <v>0</v>
      </c>
    </row>
    <row r="92" spans="1:7" ht="15" customHeight="1" thickBot="1" x14ac:dyDescent="0.4">
      <c r="A92" s="32"/>
      <c r="B92" s="33"/>
      <c r="C92" s="38" t="s">
        <v>45</v>
      </c>
      <c r="D92" s="39"/>
      <c r="E92" s="34"/>
      <c r="F92" s="35"/>
      <c r="G92" s="36"/>
    </row>
    <row r="93" spans="1:7" ht="15" customHeight="1" thickBot="1" x14ac:dyDescent="0.4">
      <c r="A93" s="16"/>
      <c r="B93" s="17"/>
      <c r="C93" s="81" t="s">
        <v>86</v>
      </c>
      <c r="D93" s="74"/>
      <c r="E93" s="7">
        <v>66500</v>
      </c>
      <c r="F93" s="4"/>
      <c r="G93" s="8">
        <f t="shared" si="10"/>
        <v>0</v>
      </c>
    </row>
    <row r="94" spans="1:7" ht="15" customHeight="1" thickBot="1" x14ac:dyDescent="0.4">
      <c r="A94" s="16"/>
      <c r="B94" s="17"/>
      <c r="C94" s="81" t="s">
        <v>87</v>
      </c>
      <c r="D94" s="74"/>
      <c r="E94" s="7">
        <v>66500</v>
      </c>
      <c r="F94" s="4"/>
      <c r="G94" s="8">
        <f t="shared" si="10"/>
        <v>0</v>
      </c>
    </row>
    <row r="95" spans="1:7" ht="15" customHeight="1" thickBot="1" x14ac:dyDescent="0.4">
      <c r="A95" s="79"/>
      <c r="B95" s="80"/>
      <c r="C95" s="81" t="s">
        <v>88</v>
      </c>
      <c r="D95" s="74"/>
      <c r="E95" s="7">
        <v>66500</v>
      </c>
      <c r="F95" s="4"/>
      <c r="G95" s="8">
        <f t="shared" si="10"/>
        <v>0</v>
      </c>
    </row>
    <row r="96" spans="1:7" ht="15" thickBot="1" x14ac:dyDescent="0.4">
      <c r="A96" s="62"/>
      <c r="B96" s="63"/>
      <c r="C96" s="69" t="s">
        <v>59</v>
      </c>
      <c r="D96" s="70"/>
      <c r="E96" s="34"/>
      <c r="F96" s="35"/>
      <c r="G96" s="36"/>
    </row>
    <row r="97" spans="1:7" ht="15" customHeight="1" thickBot="1" x14ac:dyDescent="0.4">
      <c r="A97" s="71"/>
      <c r="B97" s="72"/>
      <c r="C97" s="73" t="s">
        <v>89</v>
      </c>
      <c r="D97" s="74"/>
      <c r="E97" s="7">
        <v>33250</v>
      </c>
      <c r="F97" s="4"/>
      <c r="G97" s="8">
        <f t="shared" ref="G97" si="11">E97*F97</f>
        <v>0</v>
      </c>
    </row>
    <row r="98" spans="1:7" ht="15" thickBot="1" x14ac:dyDescent="0.4">
      <c r="A98" s="75" t="s">
        <v>41</v>
      </c>
      <c r="B98" s="76"/>
      <c r="C98" s="76"/>
      <c r="D98" s="76"/>
      <c r="E98" s="5"/>
      <c r="F98" s="6"/>
      <c r="G98" s="9">
        <f>SUM(G85:G95)</f>
        <v>0</v>
      </c>
    </row>
    <row r="99" spans="1:7" ht="15.5" thickTop="1" thickBot="1" x14ac:dyDescent="0.4"/>
    <row r="100" spans="1:7" ht="15" thickTop="1" x14ac:dyDescent="0.35">
      <c r="A100" s="114"/>
      <c r="B100" s="115"/>
      <c r="C100" s="116"/>
      <c r="D100" s="117"/>
      <c r="E100" s="84" t="s">
        <v>2</v>
      </c>
      <c r="F100" s="87" t="s">
        <v>24</v>
      </c>
      <c r="G100" s="87" t="s">
        <v>1</v>
      </c>
    </row>
    <row r="101" spans="1:7" x14ac:dyDescent="0.35">
      <c r="A101" s="90" t="s">
        <v>31</v>
      </c>
      <c r="B101" s="91"/>
      <c r="C101" s="92"/>
      <c r="D101" s="93"/>
      <c r="E101" s="85"/>
      <c r="F101" s="88"/>
      <c r="G101" s="88"/>
    </row>
    <row r="102" spans="1:7" ht="15" thickBot="1" x14ac:dyDescent="0.4">
      <c r="A102" s="94" t="s">
        <v>5</v>
      </c>
      <c r="B102" s="95"/>
      <c r="C102" s="96"/>
      <c r="D102" s="97"/>
      <c r="E102" s="86"/>
      <c r="F102" s="89"/>
      <c r="G102" s="89"/>
    </row>
    <row r="103" spans="1:7" ht="15" customHeight="1" thickTop="1" thickBot="1" x14ac:dyDescent="0.4">
      <c r="A103" s="112" t="s">
        <v>14</v>
      </c>
      <c r="B103" s="113"/>
      <c r="C103" s="100" t="s">
        <v>44</v>
      </c>
      <c r="D103" s="101"/>
      <c r="E103" s="1"/>
      <c r="F103" s="2"/>
      <c r="G103" s="3"/>
    </row>
    <row r="104" spans="1:7" ht="15.75" customHeight="1" thickBot="1" x14ac:dyDescent="0.4">
      <c r="A104" s="121" t="s">
        <v>3</v>
      </c>
      <c r="B104" s="122"/>
      <c r="C104" s="77" t="s">
        <v>79</v>
      </c>
      <c r="D104" s="78"/>
      <c r="E104" s="7">
        <v>525000</v>
      </c>
      <c r="F104" s="27">
        <v>0</v>
      </c>
      <c r="G104" s="8">
        <f t="shared" ref="G104:G114" si="12">E104*F104</f>
        <v>0</v>
      </c>
    </row>
    <row r="105" spans="1:7" ht="15" customHeight="1" thickBot="1" x14ac:dyDescent="0.4">
      <c r="A105" s="10" t="s">
        <v>15</v>
      </c>
      <c r="B105" s="11"/>
      <c r="C105" s="77" t="s">
        <v>80</v>
      </c>
      <c r="D105" s="78"/>
      <c r="E105" s="7">
        <v>525000</v>
      </c>
      <c r="F105" s="27"/>
      <c r="G105" s="8">
        <f t="shared" si="12"/>
        <v>0</v>
      </c>
    </row>
    <row r="106" spans="1:7" ht="15" customHeight="1" thickBot="1" x14ac:dyDescent="0.4">
      <c r="A106" s="79"/>
      <c r="B106" s="80"/>
      <c r="C106" s="77" t="s">
        <v>81</v>
      </c>
      <c r="D106" s="78"/>
      <c r="E106" s="7">
        <v>525000</v>
      </c>
      <c r="F106" s="27"/>
      <c r="G106" s="8">
        <f t="shared" si="12"/>
        <v>0</v>
      </c>
    </row>
    <row r="107" spans="1:7" ht="15" customHeight="1" thickBot="1" x14ac:dyDescent="0.4">
      <c r="A107" s="79"/>
      <c r="B107" s="80"/>
      <c r="C107" s="77" t="s">
        <v>82</v>
      </c>
      <c r="D107" s="78"/>
      <c r="E107" s="7">
        <v>525000</v>
      </c>
      <c r="F107" s="4"/>
      <c r="G107" s="8">
        <f t="shared" si="12"/>
        <v>0</v>
      </c>
    </row>
    <row r="108" spans="1:7" ht="15" customHeight="1" thickBot="1" x14ac:dyDescent="0.4">
      <c r="A108" s="16"/>
      <c r="B108" s="17"/>
      <c r="C108" s="77" t="s">
        <v>83</v>
      </c>
      <c r="D108" s="78"/>
      <c r="E108" s="7">
        <v>525000</v>
      </c>
      <c r="F108" s="4"/>
      <c r="G108" s="8">
        <f t="shared" si="12"/>
        <v>0</v>
      </c>
    </row>
    <row r="109" spans="1:7" ht="15" customHeight="1" thickBot="1" x14ac:dyDescent="0.4">
      <c r="A109" s="16"/>
      <c r="B109" s="17"/>
      <c r="C109" s="77" t="s">
        <v>84</v>
      </c>
      <c r="D109" s="78"/>
      <c r="E109" s="7">
        <v>526200</v>
      </c>
      <c r="F109" s="4"/>
      <c r="G109" s="8">
        <f t="shared" si="12"/>
        <v>0</v>
      </c>
    </row>
    <row r="110" spans="1:7" ht="15" customHeight="1" thickBot="1" x14ac:dyDescent="0.4">
      <c r="A110" s="16"/>
      <c r="B110" s="17"/>
      <c r="C110" s="77" t="s">
        <v>85</v>
      </c>
      <c r="D110" s="78"/>
      <c r="E110" s="7">
        <v>526200</v>
      </c>
      <c r="F110" s="4"/>
      <c r="G110" s="8">
        <f t="shared" si="12"/>
        <v>0</v>
      </c>
    </row>
    <row r="111" spans="1:7" ht="15" customHeight="1" thickBot="1" x14ac:dyDescent="0.4">
      <c r="A111" s="32"/>
      <c r="B111" s="33"/>
      <c r="C111" s="38" t="s">
        <v>45</v>
      </c>
      <c r="D111" s="39"/>
      <c r="E111" s="34"/>
      <c r="F111" s="35"/>
      <c r="G111" s="36"/>
    </row>
    <row r="112" spans="1:7" ht="15" customHeight="1" thickBot="1" x14ac:dyDescent="0.4">
      <c r="A112" s="16"/>
      <c r="B112" s="17"/>
      <c r="C112" s="81" t="s">
        <v>86</v>
      </c>
      <c r="D112" s="74"/>
      <c r="E112" s="7">
        <v>526200</v>
      </c>
      <c r="F112" s="4"/>
      <c r="G112" s="8">
        <f t="shared" si="12"/>
        <v>0</v>
      </c>
    </row>
    <row r="113" spans="1:7" ht="15" customHeight="1" thickBot="1" x14ac:dyDescent="0.4">
      <c r="A113" s="16"/>
      <c r="B113" s="17"/>
      <c r="C113" s="81" t="s">
        <v>87</v>
      </c>
      <c r="D113" s="74"/>
      <c r="E113" s="7">
        <v>526200</v>
      </c>
      <c r="F113" s="4"/>
      <c r="G113" s="8">
        <f t="shared" si="12"/>
        <v>0</v>
      </c>
    </row>
    <row r="114" spans="1:7" ht="15" customHeight="1" thickBot="1" x14ac:dyDescent="0.4">
      <c r="A114" s="82"/>
      <c r="B114" s="83"/>
      <c r="C114" s="81" t="s">
        <v>88</v>
      </c>
      <c r="D114" s="74"/>
      <c r="E114" s="7">
        <v>526200</v>
      </c>
      <c r="F114" s="4"/>
      <c r="G114" s="8">
        <f t="shared" si="12"/>
        <v>0</v>
      </c>
    </row>
    <row r="115" spans="1:7" ht="15" thickBot="1" x14ac:dyDescent="0.4">
      <c r="A115" s="62"/>
      <c r="B115" s="63"/>
      <c r="C115" s="69" t="s">
        <v>59</v>
      </c>
      <c r="D115" s="70"/>
      <c r="E115" s="34"/>
      <c r="F115" s="35"/>
      <c r="G115" s="36"/>
    </row>
    <row r="116" spans="1:7" ht="15" customHeight="1" thickBot="1" x14ac:dyDescent="0.4">
      <c r="A116" s="71"/>
      <c r="B116" s="72"/>
      <c r="C116" s="73" t="s">
        <v>89</v>
      </c>
      <c r="D116" s="74"/>
      <c r="E116" s="7">
        <v>263100</v>
      </c>
      <c r="F116" s="4"/>
      <c r="G116" s="8">
        <f t="shared" ref="G116" si="13">E116*F116</f>
        <v>0</v>
      </c>
    </row>
    <row r="117" spans="1:7" ht="15.75" customHeight="1" thickBot="1" x14ac:dyDescent="0.4">
      <c r="A117" s="75" t="s">
        <v>40</v>
      </c>
      <c r="B117" s="76"/>
      <c r="C117" s="76"/>
      <c r="D117" s="76"/>
      <c r="E117" s="5"/>
      <c r="F117" s="6"/>
      <c r="G117" s="9">
        <f>SUM(G104:G114)</f>
        <v>0</v>
      </c>
    </row>
    <row r="118" spans="1:7" ht="15.75" customHeight="1" thickTop="1" thickBot="1" x14ac:dyDescent="0.4">
      <c r="F118" s="22"/>
    </row>
    <row r="119" spans="1:7" ht="15" thickTop="1" x14ac:dyDescent="0.35">
      <c r="A119" s="114"/>
      <c r="B119" s="115"/>
      <c r="C119" s="116"/>
      <c r="D119" s="117"/>
      <c r="E119" s="84" t="s">
        <v>2</v>
      </c>
      <c r="F119" s="87" t="s">
        <v>24</v>
      </c>
      <c r="G119" s="87" t="s">
        <v>1</v>
      </c>
    </row>
    <row r="120" spans="1:7" ht="15.75" customHeight="1" x14ac:dyDescent="0.35">
      <c r="A120" s="90" t="s">
        <v>31</v>
      </c>
      <c r="B120" s="91"/>
      <c r="C120" s="92"/>
      <c r="D120" s="93"/>
      <c r="E120" s="85"/>
      <c r="F120" s="88"/>
      <c r="G120" s="88"/>
    </row>
    <row r="121" spans="1:7" ht="15" thickBot="1" x14ac:dyDescent="0.4">
      <c r="A121" s="94" t="s">
        <v>5</v>
      </c>
      <c r="B121" s="95"/>
      <c r="C121" s="96"/>
      <c r="D121" s="97"/>
      <c r="E121" s="86"/>
      <c r="F121" s="89"/>
      <c r="G121" s="89"/>
    </row>
    <row r="122" spans="1:7" ht="15" customHeight="1" thickTop="1" thickBot="1" x14ac:dyDescent="0.4">
      <c r="A122" s="112" t="s">
        <v>16</v>
      </c>
      <c r="B122" s="113"/>
      <c r="C122" s="100" t="s">
        <v>44</v>
      </c>
      <c r="D122" s="101"/>
      <c r="E122" s="1"/>
      <c r="F122" s="2"/>
      <c r="G122" s="3"/>
    </row>
    <row r="123" spans="1:7" ht="15" customHeight="1" thickBot="1" x14ac:dyDescent="0.4">
      <c r="A123" s="121" t="s">
        <v>3</v>
      </c>
      <c r="B123" s="122"/>
      <c r="C123" s="77" t="s">
        <v>79</v>
      </c>
      <c r="D123" s="78"/>
      <c r="E123" s="7">
        <v>12900</v>
      </c>
      <c r="F123" s="27">
        <v>0</v>
      </c>
      <c r="G123" s="8">
        <f t="shared" ref="G123:G133" si="14">E123*F123</f>
        <v>0</v>
      </c>
    </row>
    <row r="124" spans="1:7" ht="15" customHeight="1" thickBot="1" x14ac:dyDescent="0.4">
      <c r="A124" s="10" t="s">
        <v>9</v>
      </c>
      <c r="B124" s="11"/>
      <c r="C124" s="77" t="s">
        <v>80</v>
      </c>
      <c r="D124" s="78"/>
      <c r="E124" s="7">
        <v>12900</v>
      </c>
      <c r="F124" s="27"/>
      <c r="G124" s="8">
        <f t="shared" si="14"/>
        <v>0</v>
      </c>
    </row>
    <row r="125" spans="1:7" ht="15" customHeight="1" thickBot="1" x14ac:dyDescent="0.4">
      <c r="A125" s="79"/>
      <c r="B125" s="80"/>
      <c r="C125" s="77" t="s">
        <v>81</v>
      </c>
      <c r="D125" s="78"/>
      <c r="E125" s="7">
        <v>12900</v>
      </c>
      <c r="F125" s="27"/>
      <c r="G125" s="8">
        <f t="shared" si="14"/>
        <v>0</v>
      </c>
    </row>
    <row r="126" spans="1:7" ht="15" customHeight="1" thickBot="1" x14ac:dyDescent="0.4">
      <c r="A126" s="79"/>
      <c r="B126" s="80"/>
      <c r="C126" s="77" t="s">
        <v>82</v>
      </c>
      <c r="D126" s="78"/>
      <c r="E126" s="7">
        <v>13500</v>
      </c>
      <c r="F126" s="4"/>
      <c r="G126" s="8">
        <f t="shared" si="14"/>
        <v>0</v>
      </c>
    </row>
    <row r="127" spans="1:7" ht="15" customHeight="1" thickBot="1" x14ac:dyDescent="0.4">
      <c r="A127" s="16"/>
      <c r="B127" s="17"/>
      <c r="C127" s="77" t="s">
        <v>83</v>
      </c>
      <c r="D127" s="78"/>
      <c r="E127" s="7">
        <v>13500</v>
      </c>
      <c r="F127" s="4"/>
      <c r="G127" s="8">
        <f t="shared" si="14"/>
        <v>0</v>
      </c>
    </row>
    <row r="128" spans="1:7" ht="15" customHeight="1" thickBot="1" x14ac:dyDescent="0.4">
      <c r="A128" s="16"/>
      <c r="B128" s="17"/>
      <c r="C128" s="77" t="s">
        <v>84</v>
      </c>
      <c r="D128" s="78"/>
      <c r="E128" s="7">
        <v>13500</v>
      </c>
      <c r="F128" s="4"/>
      <c r="G128" s="8">
        <f t="shared" si="14"/>
        <v>0</v>
      </c>
    </row>
    <row r="129" spans="1:7" ht="15" customHeight="1" thickBot="1" x14ac:dyDescent="0.4">
      <c r="A129" s="16"/>
      <c r="B129" s="17"/>
      <c r="C129" s="77" t="s">
        <v>85</v>
      </c>
      <c r="D129" s="78"/>
      <c r="E129" s="7">
        <v>13500</v>
      </c>
      <c r="F129" s="4"/>
      <c r="G129" s="8">
        <f t="shared" si="14"/>
        <v>0</v>
      </c>
    </row>
    <row r="130" spans="1:7" ht="15" customHeight="1" thickBot="1" x14ac:dyDescent="0.4">
      <c r="A130" s="32"/>
      <c r="B130" s="33"/>
      <c r="C130" s="38" t="s">
        <v>45</v>
      </c>
      <c r="D130" s="39"/>
      <c r="E130" s="34"/>
      <c r="F130" s="35"/>
      <c r="G130" s="36"/>
    </row>
    <row r="131" spans="1:7" ht="15" customHeight="1" thickBot="1" x14ac:dyDescent="0.4">
      <c r="A131" s="16"/>
      <c r="B131" s="17"/>
      <c r="C131" s="81" t="s">
        <v>86</v>
      </c>
      <c r="D131" s="74"/>
      <c r="E131" s="7">
        <v>13500</v>
      </c>
      <c r="F131" s="4"/>
      <c r="G131" s="8">
        <f t="shared" si="14"/>
        <v>0</v>
      </c>
    </row>
    <row r="132" spans="1:7" ht="15" customHeight="1" thickBot="1" x14ac:dyDescent="0.4">
      <c r="A132" s="16"/>
      <c r="B132" s="17"/>
      <c r="C132" s="81" t="s">
        <v>87</v>
      </c>
      <c r="D132" s="74"/>
      <c r="E132" s="7">
        <v>13500</v>
      </c>
      <c r="F132" s="4"/>
      <c r="G132" s="8">
        <f t="shared" si="14"/>
        <v>0</v>
      </c>
    </row>
    <row r="133" spans="1:7" ht="15" customHeight="1" thickBot="1" x14ac:dyDescent="0.4">
      <c r="A133" s="82"/>
      <c r="B133" s="83"/>
      <c r="C133" s="81" t="s">
        <v>88</v>
      </c>
      <c r="D133" s="74"/>
      <c r="E133" s="7">
        <v>13500</v>
      </c>
      <c r="F133" s="4"/>
      <c r="G133" s="8">
        <f t="shared" si="14"/>
        <v>0</v>
      </c>
    </row>
    <row r="134" spans="1:7" ht="15" thickBot="1" x14ac:dyDescent="0.4">
      <c r="A134" s="62"/>
      <c r="B134" s="63"/>
      <c r="C134" s="69" t="s">
        <v>59</v>
      </c>
      <c r="D134" s="70"/>
      <c r="E134" s="34"/>
      <c r="F134" s="35"/>
      <c r="G134" s="36"/>
    </row>
    <row r="135" spans="1:7" ht="15" customHeight="1" thickBot="1" x14ac:dyDescent="0.4">
      <c r="A135" s="71"/>
      <c r="B135" s="72"/>
      <c r="C135" s="73" t="s">
        <v>89</v>
      </c>
      <c r="D135" s="74"/>
      <c r="E135" s="7">
        <v>6750</v>
      </c>
      <c r="F135" s="4"/>
      <c r="G135" s="8">
        <f t="shared" ref="G135" si="15">E135*F135</f>
        <v>0</v>
      </c>
    </row>
    <row r="136" spans="1:7" ht="15" thickBot="1" x14ac:dyDescent="0.4">
      <c r="A136" s="75" t="s">
        <v>39</v>
      </c>
      <c r="B136" s="76"/>
      <c r="C136" s="76"/>
      <c r="D136" s="76"/>
      <c r="E136" s="5"/>
      <c r="F136" s="6"/>
      <c r="G136" s="9">
        <f>SUM(G123:G133)</f>
        <v>0</v>
      </c>
    </row>
    <row r="137" spans="1:7" ht="15.5" thickTop="1" thickBot="1" x14ac:dyDescent="0.4"/>
    <row r="138" spans="1:7" ht="15" thickTop="1" x14ac:dyDescent="0.35">
      <c r="A138" s="114"/>
      <c r="B138" s="115"/>
      <c r="C138" s="116"/>
      <c r="D138" s="117"/>
      <c r="E138" s="84" t="s">
        <v>2</v>
      </c>
      <c r="F138" s="87" t="s">
        <v>24</v>
      </c>
      <c r="G138" s="87" t="s">
        <v>1</v>
      </c>
    </row>
    <row r="139" spans="1:7" s="15" customFormat="1" x14ac:dyDescent="0.35">
      <c r="A139" s="90" t="s">
        <v>31</v>
      </c>
      <c r="B139" s="91"/>
      <c r="C139" s="92"/>
      <c r="D139" s="93"/>
      <c r="E139" s="85"/>
      <c r="F139" s="88"/>
      <c r="G139" s="88"/>
    </row>
    <row r="140" spans="1:7" s="15" customFormat="1" ht="15" thickBot="1" x14ac:dyDescent="0.4">
      <c r="A140" s="94" t="s">
        <v>5</v>
      </c>
      <c r="B140" s="95"/>
      <c r="C140" s="96"/>
      <c r="D140" s="97"/>
      <c r="E140" s="86"/>
      <c r="F140" s="89"/>
      <c r="G140" s="89"/>
    </row>
    <row r="141" spans="1:7" s="15" customFormat="1" ht="15" customHeight="1" thickTop="1" thickBot="1" x14ac:dyDescent="0.4">
      <c r="A141" s="112" t="s">
        <v>46</v>
      </c>
      <c r="B141" s="113"/>
      <c r="C141" s="100" t="s">
        <v>44</v>
      </c>
      <c r="D141" s="101"/>
      <c r="E141" s="1"/>
      <c r="F141" s="2"/>
      <c r="G141" s="3"/>
    </row>
    <row r="142" spans="1:7" ht="15" customHeight="1" thickBot="1" x14ac:dyDescent="0.4">
      <c r="A142" s="121" t="s">
        <v>3</v>
      </c>
      <c r="B142" s="122"/>
      <c r="C142" s="77" t="s">
        <v>79</v>
      </c>
      <c r="D142" s="78"/>
      <c r="E142" s="7">
        <v>92000</v>
      </c>
      <c r="F142" s="27">
        <v>0</v>
      </c>
      <c r="G142" s="8">
        <f t="shared" ref="G142:G152" si="16">E142*F142</f>
        <v>0</v>
      </c>
    </row>
    <row r="143" spans="1:7" ht="15" customHeight="1" thickBot="1" x14ac:dyDescent="0.4">
      <c r="A143" s="10" t="s">
        <v>26</v>
      </c>
      <c r="B143" s="11"/>
      <c r="C143" s="77" t="s">
        <v>80</v>
      </c>
      <c r="D143" s="78"/>
      <c r="E143" s="7">
        <v>92000</v>
      </c>
      <c r="F143" s="27"/>
      <c r="G143" s="8">
        <f t="shared" si="16"/>
        <v>0</v>
      </c>
    </row>
    <row r="144" spans="1:7" ht="15" customHeight="1" thickBot="1" x14ac:dyDescent="0.4">
      <c r="A144" s="79"/>
      <c r="B144" s="80"/>
      <c r="C144" s="77" t="s">
        <v>81</v>
      </c>
      <c r="D144" s="78"/>
      <c r="E144" s="7">
        <v>92000</v>
      </c>
      <c r="F144" s="27"/>
      <c r="G144" s="8">
        <f t="shared" si="16"/>
        <v>0</v>
      </c>
    </row>
    <row r="145" spans="1:7" ht="15" customHeight="1" thickBot="1" x14ac:dyDescent="0.4">
      <c r="A145" s="79"/>
      <c r="B145" s="80"/>
      <c r="C145" s="77" t="s">
        <v>82</v>
      </c>
      <c r="D145" s="78"/>
      <c r="E145" s="7">
        <v>92000</v>
      </c>
      <c r="F145" s="4"/>
      <c r="G145" s="8">
        <f t="shared" si="16"/>
        <v>0</v>
      </c>
    </row>
    <row r="146" spans="1:7" ht="15" customHeight="1" thickBot="1" x14ac:dyDescent="0.4">
      <c r="A146" s="16"/>
      <c r="B146" s="17"/>
      <c r="C146" s="77" t="s">
        <v>83</v>
      </c>
      <c r="D146" s="78"/>
      <c r="E146" s="7">
        <v>92500</v>
      </c>
      <c r="F146" s="4"/>
      <c r="G146" s="8">
        <f t="shared" si="16"/>
        <v>0</v>
      </c>
    </row>
    <row r="147" spans="1:7" ht="15" customHeight="1" thickBot="1" x14ac:dyDescent="0.4">
      <c r="A147" s="16"/>
      <c r="B147" s="17"/>
      <c r="C147" s="77" t="s">
        <v>84</v>
      </c>
      <c r="D147" s="78"/>
      <c r="E147" s="7">
        <v>92500</v>
      </c>
      <c r="F147" s="4"/>
      <c r="G147" s="8">
        <f t="shared" si="16"/>
        <v>0</v>
      </c>
    </row>
    <row r="148" spans="1:7" ht="15" customHeight="1" thickBot="1" x14ac:dyDescent="0.4">
      <c r="A148" s="16"/>
      <c r="B148" s="17"/>
      <c r="C148" s="77" t="s">
        <v>85</v>
      </c>
      <c r="D148" s="78"/>
      <c r="E148" s="7">
        <v>92500</v>
      </c>
      <c r="F148" s="4"/>
      <c r="G148" s="8">
        <f t="shared" si="16"/>
        <v>0</v>
      </c>
    </row>
    <row r="149" spans="1:7" ht="15" customHeight="1" thickBot="1" x14ac:dyDescent="0.4">
      <c r="A149" s="32"/>
      <c r="B149" s="33"/>
      <c r="C149" s="38" t="s">
        <v>45</v>
      </c>
      <c r="D149" s="39"/>
      <c r="E149" s="34"/>
      <c r="F149" s="35"/>
      <c r="G149" s="36"/>
    </row>
    <row r="150" spans="1:7" ht="15" customHeight="1" thickBot="1" x14ac:dyDescent="0.4">
      <c r="A150" s="16"/>
      <c r="B150" s="17"/>
      <c r="C150" s="81" t="s">
        <v>86</v>
      </c>
      <c r="D150" s="74"/>
      <c r="E150" s="7">
        <v>92500</v>
      </c>
      <c r="F150" s="4"/>
      <c r="G150" s="8">
        <f t="shared" si="16"/>
        <v>0</v>
      </c>
    </row>
    <row r="151" spans="1:7" ht="15" customHeight="1" thickBot="1" x14ac:dyDescent="0.4">
      <c r="A151" s="16"/>
      <c r="B151" s="17"/>
      <c r="C151" s="81" t="s">
        <v>87</v>
      </c>
      <c r="D151" s="74"/>
      <c r="E151" s="7">
        <v>92500</v>
      </c>
      <c r="F151" s="4"/>
      <c r="G151" s="8">
        <f t="shared" si="16"/>
        <v>0</v>
      </c>
    </row>
    <row r="152" spans="1:7" ht="15" customHeight="1" thickBot="1" x14ac:dyDescent="0.4">
      <c r="A152" s="82"/>
      <c r="B152" s="83"/>
      <c r="C152" s="81" t="s">
        <v>88</v>
      </c>
      <c r="D152" s="74"/>
      <c r="E152" s="7">
        <v>92500</v>
      </c>
      <c r="F152" s="4"/>
      <c r="G152" s="8">
        <f t="shared" si="16"/>
        <v>0</v>
      </c>
    </row>
    <row r="153" spans="1:7" ht="15" thickBot="1" x14ac:dyDescent="0.4">
      <c r="A153" s="62"/>
      <c r="B153" s="63"/>
      <c r="C153" s="69" t="s">
        <v>59</v>
      </c>
      <c r="D153" s="70"/>
      <c r="E153" s="34"/>
      <c r="F153" s="35"/>
      <c r="G153" s="36"/>
    </row>
    <row r="154" spans="1:7" ht="15" customHeight="1" thickBot="1" x14ac:dyDescent="0.4">
      <c r="A154" s="71"/>
      <c r="B154" s="72"/>
      <c r="C154" s="73" t="s">
        <v>89</v>
      </c>
      <c r="D154" s="74"/>
      <c r="E154" s="7">
        <v>46250</v>
      </c>
      <c r="F154" s="4"/>
      <c r="G154" s="8">
        <f t="shared" ref="G154" si="17">E154*F154</f>
        <v>0</v>
      </c>
    </row>
    <row r="155" spans="1:7" ht="15" thickBot="1" x14ac:dyDescent="0.4">
      <c r="A155" s="75" t="s">
        <v>38</v>
      </c>
      <c r="B155" s="76"/>
      <c r="C155" s="76"/>
      <c r="D155" s="76"/>
      <c r="E155" s="5"/>
      <c r="F155" s="6"/>
      <c r="G155" s="9">
        <f>SUM(G142:G152)</f>
        <v>0</v>
      </c>
    </row>
    <row r="156" spans="1:7" ht="15.5" thickTop="1" thickBot="1" x14ac:dyDescent="0.4"/>
    <row r="157" spans="1:7" ht="15" thickTop="1" x14ac:dyDescent="0.35">
      <c r="A157" s="114"/>
      <c r="B157" s="115"/>
      <c r="C157" s="116"/>
      <c r="D157" s="117"/>
      <c r="E157" s="84" t="s">
        <v>2</v>
      </c>
      <c r="F157" s="87" t="s">
        <v>24</v>
      </c>
      <c r="G157" s="87" t="s">
        <v>1</v>
      </c>
    </row>
    <row r="158" spans="1:7" x14ac:dyDescent="0.35">
      <c r="A158" s="90" t="s">
        <v>31</v>
      </c>
      <c r="B158" s="91"/>
      <c r="C158" s="92"/>
      <c r="D158" s="93"/>
      <c r="E158" s="85"/>
      <c r="F158" s="88"/>
      <c r="G158" s="88"/>
    </row>
    <row r="159" spans="1:7" ht="15" thickBot="1" x14ac:dyDescent="0.4">
      <c r="A159" s="94" t="s">
        <v>5</v>
      </c>
      <c r="B159" s="95"/>
      <c r="C159" s="96"/>
      <c r="D159" s="97"/>
      <c r="E159" s="86"/>
      <c r="F159" s="89"/>
      <c r="G159" s="89"/>
    </row>
    <row r="160" spans="1:7" ht="15" customHeight="1" thickTop="1" thickBot="1" x14ac:dyDescent="0.4">
      <c r="A160" s="112" t="s">
        <v>17</v>
      </c>
      <c r="B160" s="113"/>
      <c r="C160" s="100" t="s">
        <v>44</v>
      </c>
      <c r="D160" s="101"/>
      <c r="E160" s="1"/>
      <c r="F160" s="2"/>
      <c r="G160" s="3"/>
    </row>
    <row r="161" spans="1:7" ht="15" customHeight="1" thickBot="1" x14ac:dyDescent="0.4">
      <c r="A161" s="121" t="s">
        <v>3</v>
      </c>
      <c r="B161" s="122"/>
      <c r="C161" s="77" t="s">
        <v>79</v>
      </c>
      <c r="D161" s="78"/>
      <c r="E161" s="7">
        <v>225000</v>
      </c>
      <c r="F161" s="27">
        <v>0</v>
      </c>
      <c r="G161" s="8">
        <f t="shared" ref="G161:G171" si="18">E161*F161</f>
        <v>0</v>
      </c>
    </row>
    <row r="162" spans="1:7" ht="15" customHeight="1" thickBot="1" x14ac:dyDescent="0.4">
      <c r="A162" s="10" t="s">
        <v>18</v>
      </c>
      <c r="B162" s="11"/>
      <c r="C162" s="77" t="s">
        <v>80</v>
      </c>
      <c r="D162" s="78"/>
      <c r="E162" s="7">
        <v>225000</v>
      </c>
      <c r="F162" s="27"/>
      <c r="G162" s="8">
        <f t="shared" si="18"/>
        <v>0</v>
      </c>
    </row>
    <row r="163" spans="1:7" ht="15" customHeight="1" thickBot="1" x14ac:dyDescent="0.4">
      <c r="A163" s="79"/>
      <c r="B163" s="80"/>
      <c r="C163" s="77" t="s">
        <v>81</v>
      </c>
      <c r="D163" s="78"/>
      <c r="E163" s="7">
        <v>225000</v>
      </c>
      <c r="F163" s="27"/>
      <c r="G163" s="8">
        <f t="shared" si="18"/>
        <v>0</v>
      </c>
    </row>
    <row r="164" spans="1:7" ht="15" customHeight="1" thickBot="1" x14ac:dyDescent="0.4">
      <c r="A164" s="79"/>
      <c r="B164" s="80"/>
      <c r="C164" s="77" t="s">
        <v>82</v>
      </c>
      <c r="D164" s="78"/>
      <c r="E164" s="7">
        <v>225000</v>
      </c>
      <c r="F164" s="4"/>
      <c r="G164" s="8">
        <f t="shared" si="18"/>
        <v>0</v>
      </c>
    </row>
    <row r="165" spans="1:7" ht="15" customHeight="1" thickBot="1" x14ac:dyDescent="0.4">
      <c r="A165" s="16"/>
      <c r="B165" s="17"/>
      <c r="C165" s="77" t="s">
        <v>83</v>
      </c>
      <c r="D165" s="78"/>
      <c r="E165" s="7">
        <v>225000</v>
      </c>
      <c r="F165" s="4"/>
      <c r="G165" s="8">
        <f t="shared" si="18"/>
        <v>0</v>
      </c>
    </row>
    <row r="166" spans="1:7" ht="15" customHeight="1" thickBot="1" x14ac:dyDescent="0.4">
      <c r="A166" s="16"/>
      <c r="B166" s="17"/>
      <c r="C166" s="77" t="s">
        <v>84</v>
      </c>
      <c r="D166" s="78"/>
      <c r="E166" s="7">
        <v>236250</v>
      </c>
      <c r="F166" s="4"/>
      <c r="G166" s="8">
        <f t="shared" si="18"/>
        <v>0</v>
      </c>
    </row>
    <row r="167" spans="1:7" ht="15" customHeight="1" thickBot="1" x14ac:dyDescent="0.4">
      <c r="A167" s="16"/>
      <c r="B167" s="17"/>
      <c r="C167" s="77" t="s">
        <v>85</v>
      </c>
      <c r="D167" s="78"/>
      <c r="E167" s="7">
        <v>236250</v>
      </c>
      <c r="F167" s="4"/>
      <c r="G167" s="8">
        <f t="shared" si="18"/>
        <v>0</v>
      </c>
    </row>
    <row r="168" spans="1:7" ht="15" customHeight="1" thickBot="1" x14ac:dyDescent="0.4">
      <c r="A168" s="32"/>
      <c r="B168" s="33"/>
      <c r="C168" s="38" t="s">
        <v>45</v>
      </c>
      <c r="D168" s="39"/>
      <c r="E168" s="34"/>
      <c r="F168" s="35"/>
      <c r="G168" s="36"/>
    </row>
    <row r="169" spans="1:7" ht="15" customHeight="1" thickBot="1" x14ac:dyDescent="0.4">
      <c r="A169" s="16"/>
      <c r="B169" s="17"/>
      <c r="C169" s="81" t="s">
        <v>86</v>
      </c>
      <c r="D169" s="74"/>
      <c r="E169" s="7">
        <v>236250</v>
      </c>
      <c r="F169" s="4"/>
      <c r="G169" s="8">
        <f t="shared" si="18"/>
        <v>0</v>
      </c>
    </row>
    <row r="170" spans="1:7" ht="15" customHeight="1" thickBot="1" x14ac:dyDescent="0.4">
      <c r="A170" s="16"/>
      <c r="B170" s="17"/>
      <c r="C170" s="81" t="s">
        <v>87</v>
      </c>
      <c r="D170" s="74"/>
      <c r="E170" s="7">
        <v>236250</v>
      </c>
      <c r="F170" s="4"/>
      <c r="G170" s="8">
        <f t="shared" si="18"/>
        <v>0</v>
      </c>
    </row>
    <row r="171" spans="1:7" ht="15" customHeight="1" thickBot="1" x14ac:dyDescent="0.4">
      <c r="A171" s="82"/>
      <c r="B171" s="83"/>
      <c r="C171" s="81" t="s">
        <v>88</v>
      </c>
      <c r="D171" s="74"/>
      <c r="E171" s="7">
        <v>236250</v>
      </c>
      <c r="F171" s="4"/>
      <c r="G171" s="8">
        <f t="shared" si="18"/>
        <v>0</v>
      </c>
    </row>
    <row r="172" spans="1:7" ht="15" thickBot="1" x14ac:dyDescent="0.4">
      <c r="A172" s="62"/>
      <c r="B172" s="63"/>
      <c r="C172" s="69" t="s">
        <v>59</v>
      </c>
      <c r="D172" s="70"/>
      <c r="E172" s="34"/>
      <c r="F172" s="35"/>
      <c r="G172" s="36"/>
    </row>
    <row r="173" spans="1:7" ht="15" customHeight="1" thickBot="1" x14ac:dyDescent="0.4">
      <c r="A173" s="71"/>
      <c r="B173" s="72"/>
      <c r="C173" s="73" t="s">
        <v>89</v>
      </c>
      <c r="D173" s="74"/>
      <c r="E173" s="7">
        <v>118125</v>
      </c>
      <c r="F173" s="4"/>
      <c r="G173" s="8">
        <f t="shared" ref="G173" si="19">E173*F173</f>
        <v>0</v>
      </c>
    </row>
    <row r="174" spans="1:7" ht="15" thickBot="1" x14ac:dyDescent="0.4">
      <c r="A174" s="75" t="s">
        <v>37</v>
      </c>
      <c r="B174" s="76"/>
      <c r="C174" s="76"/>
      <c r="D174" s="76"/>
      <c r="E174" s="5"/>
      <c r="F174" s="6"/>
      <c r="G174" s="9">
        <f>SUM(G161:G171)</f>
        <v>0</v>
      </c>
    </row>
    <row r="175" spans="1:7" ht="15.5" thickTop="1" thickBot="1" x14ac:dyDescent="0.4"/>
    <row r="176" spans="1:7" ht="15" thickTop="1" x14ac:dyDescent="0.35">
      <c r="A176" s="114"/>
      <c r="B176" s="115"/>
      <c r="C176" s="116"/>
      <c r="D176" s="117"/>
      <c r="E176" s="84" t="s">
        <v>2</v>
      </c>
      <c r="F176" s="87" t="s">
        <v>24</v>
      </c>
      <c r="G176" s="87" t="s">
        <v>1</v>
      </c>
    </row>
    <row r="177" spans="1:7" x14ac:dyDescent="0.35">
      <c r="A177" s="90" t="s">
        <v>31</v>
      </c>
      <c r="B177" s="91"/>
      <c r="C177" s="92"/>
      <c r="D177" s="93"/>
      <c r="E177" s="85"/>
      <c r="F177" s="88"/>
      <c r="G177" s="88"/>
    </row>
    <row r="178" spans="1:7" ht="15" thickBot="1" x14ac:dyDescent="0.4">
      <c r="A178" s="94" t="s">
        <v>5</v>
      </c>
      <c r="B178" s="95"/>
      <c r="C178" s="96"/>
      <c r="D178" s="97"/>
      <c r="E178" s="86"/>
      <c r="F178" s="89"/>
      <c r="G178" s="89"/>
    </row>
    <row r="179" spans="1:7" ht="15" customHeight="1" thickTop="1" thickBot="1" x14ac:dyDescent="0.4">
      <c r="A179" s="112" t="s">
        <v>19</v>
      </c>
      <c r="B179" s="113"/>
      <c r="C179" s="100" t="s">
        <v>44</v>
      </c>
      <c r="D179" s="101"/>
      <c r="E179" s="1"/>
      <c r="F179" s="2"/>
      <c r="G179" s="3"/>
    </row>
    <row r="180" spans="1:7" ht="15" customHeight="1" thickBot="1" x14ac:dyDescent="0.4">
      <c r="A180" s="121" t="s">
        <v>3</v>
      </c>
      <c r="B180" s="122"/>
      <c r="C180" s="77" t="s">
        <v>79</v>
      </c>
      <c r="D180" s="78"/>
      <c r="E180" s="7">
        <v>55000</v>
      </c>
      <c r="F180" s="27">
        <v>0</v>
      </c>
      <c r="G180" s="8">
        <f t="shared" ref="G180:G190" si="20">E180*F180</f>
        <v>0</v>
      </c>
    </row>
    <row r="181" spans="1:7" ht="15" customHeight="1" thickBot="1" x14ac:dyDescent="0.4">
      <c r="A181" s="10" t="s">
        <v>20</v>
      </c>
      <c r="B181" s="11"/>
      <c r="C181" s="77" t="s">
        <v>80</v>
      </c>
      <c r="D181" s="78"/>
      <c r="E181" s="7">
        <v>55000</v>
      </c>
      <c r="F181" s="27"/>
      <c r="G181" s="8">
        <f t="shared" si="20"/>
        <v>0</v>
      </c>
    </row>
    <row r="182" spans="1:7" ht="15" customHeight="1" thickBot="1" x14ac:dyDescent="0.4">
      <c r="A182" s="79"/>
      <c r="B182" s="80"/>
      <c r="C182" s="77" t="s">
        <v>81</v>
      </c>
      <c r="D182" s="78"/>
      <c r="E182" s="7">
        <v>55000</v>
      </c>
      <c r="F182" s="27"/>
      <c r="G182" s="8">
        <f t="shared" si="20"/>
        <v>0</v>
      </c>
    </row>
    <row r="183" spans="1:7" ht="15" customHeight="1" thickBot="1" x14ac:dyDescent="0.4">
      <c r="A183" s="79"/>
      <c r="B183" s="80"/>
      <c r="C183" s="77" t="s">
        <v>82</v>
      </c>
      <c r="D183" s="78"/>
      <c r="E183" s="7">
        <v>55000</v>
      </c>
      <c r="F183" s="4"/>
      <c r="G183" s="8">
        <f>E183*F183</f>
        <v>0</v>
      </c>
    </row>
    <row r="184" spans="1:7" ht="15" customHeight="1" thickBot="1" x14ac:dyDescent="0.4">
      <c r="A184" s="16"/>
      <c r="B184" s="17"/>
      <c r="C184" s="77" t="s">
        <v>83</v>
      </c>
      <c r="D184" s="78"/>
      <c r="E184" s="7">
        <v>55000</v>
      </c>
      <c r="F184" s="4"/>
      <c r="G184" s="8">
        <f t="shared" si="20"/>
        <v>0</v>
      </c>
    </row>
    <row r="185" spans="1:7" ht="15" customHeight="1" thickBot="1" x14ac:dyDescent="0.4">
      <c r="A185" s="16"/>
      <c r="B185" s="17"/>
      <c r="C185" s="77" t="s">
        <v>84</v>
      </c>
      <c r="D185" s="78"/>
      <c r="E185" s="7">
        <v>57750</v>
      </c>
      <c r="F185" s="4"/>
      <c r="G185" s="8">
        <f t="shared" si="20"/>
        <v>0</v>
      </c>
    </row>
    <row r="186" spans="1:7" ht="15" customHeight="1" thickBot="1" x14ac:dyDescent="0.4">
      <c r="A186" s="16"/>
      <c r="B186" s="17"/>
      <c r="C186" s="77" t="s">
        <v>85</v>
      </c>
      <c r="D186" s="78"/>
      <c r="E186" s="7">
        <v>57570</v>
      </c>
      <c r="F186" s="4"/>
      <c r="G186" s="8">
        <f t="shared" si="20"/>
        <v>0</v>
      </c>
    </row>
    <row r="187" spans="1:7" ht="15" customHeight="1" thickBot="1" x14ac:dyDescent="0.4">
      <c r="A187" s="32"/>
      <c r="B187" s="33"/>
      <c r="C187" s="38" t="s">
        <v>45</v>
      </c>
      <c r="D187" s="39"/>
      <c r="E187" s="34"/>
      <c r="F187" s="35"/>
      <c r="G187" s="36"/>
    </row>
    <row r="188" spans="1:7" ht="15" customHeight="1" thickBot="1" x14ac:dyDescent="0.4">
      <c r="A188" s="16"/>
      <c r="B188" s="17"/>
      <c r="C188" s="81" t="s">
        <v>86</v>
      </c>
      <c r="D188" s="74"/>
      <c r="E188" s="7">
        <v>57570</v>
      </c>
      <c r="F188" s="4"/>
      <c r="G188" s="8">
        <f t="shared" si="20"/>
        <v>0</v>
      </c>
    </row>
    <row r="189" spans="1:7" ht="15" customHeight="1" thickBot="1" x14ac:dyDescent="0.4">
      <c r="A189" s="16"/>
      <c r="B189" s="17"/>
      <c r="C189" s="81" t="s">
        <v>87</v>
      </c>
      <c r="D189" s="74"/>
      <c r="E189" s="7">
        <v>57570</v>
      </c>
      <c r="F189" s="4"/>
      <c r="G189" s="8">
        <f t="shared" si="20"/>
        <v>0</v>
      </c>
    </row>
    <row r="190" spans="1:7" s="15" customFormat="1" ht="15" customHeight="1" thickBot="1" x14ac:dyDescent="0.4">
      <c r="A190" s="82"/>
      <c r="B190" s="83"/>
      <c r="C190" s="81" t="s">
        <v>88</v>
      </c>
      <c r="D190" s="74"/>
      <c r="E190" s="7">
        <v>57570</v>
      </c>
      <c r="F190" s="4"/>
      <c r="G190" s="8">
        <f t="shared" si="20"/>
        <v>0</v>
      </c>
    </row>
    <row r="191" spans="1:7" ht="15" thickBot="1" x14ac:dyDescent="0.4">
      <c r="A191" s="62"/>
      <c r="B191" s="63"/>
      <c r="C191" s="69" t="s">
        <v>59</v>
      </c>
      <c r="D191" s="70"/>
      <c r="E191" s="34"/>
      <c r="F191" s="35"/>
      <c r="G191" s="36"/>
    </row>
    <row r="192" spans="1:7" ht="15" customHeight="1" thickBot="1" x14ac:dyDescent="0.4">
      <c r="A192" s="71"/>
      <c r="B192" s="72"/>
      <c r="C192" s="73" t="s">
        <v>89</v>
      </c>
      <c r="D192" s="74"/>
      <c r="E192" s="7">
        <v>28785</v>
      </c>
      <c r="F192" s="4"/>
      <c r="G192" s="8">
        <f t="shared" ref="G192" si="21">E192*F192</f>
        <v>0</v>
      </c>
    </row>
    <row r="193" spans="1:7" s="15" customFormat="1" ht="15" thickBot="1" x14ac:dyDescent="0.4">
      <c r="A193" s="75" t="s">
        <v>36</v>
      </c>
      <c r="B193" s="76"/>
      <c r="C193" s="76"/>
      <c r="D193" s="76"/>
      <c r="E193" s="5"/>
      <c r="F193" s="6"/>
      <c r="G193" s="9">
        <f>SUM(G180:G190)</f>
        <v>0</v>
      </c>
    </row>
    <row r="194" spans="1:7" s="15" customFormat="1" ht="15" thickTop="1" x14ac:dyDescent="0.35">
      <c r="A194" s="13"/>
      <c r="B194" s="13"/>
      <c r="C194" s="13"/>
      <c r="D194" s="13"/>
      <c r="E194" s="12"/>
      <c r="F194" s="12"/>
      <c r="G194" s="14"/>
    </row>
    <row r="195" spans="1:7" ht="15" thickBot="1" x14ac:dyDescent="0.4"/>
    <row r="196" spans="1:7" ht="15" thickTop="1" x14ac:dyDescent="0.35">
      <c r="A196" s="114"/>
      <c r="B196" s="115"/>
      <c r="C196" s="116"/>
      <c r="D196" s="117"/>
      <c r="E196" s="84" t="s">
        <v>2</v>
      </c>
      <c r="F196" s="87" t="s">
        <v>24</v>
      </c>
      <c r="G196" s="87" t="s">
        <v>1</v>
      </c>
    </row>
    <row r="197" spans="1:7" x14ac:dyDescent="0.35">
      <c r="A197" s="90" t="s">
        <v>31</v>
      </c>
      <c r="B197" s="91"/>
      <c r="C197" s="92"/>
      <c r="D197" s="93"/>
      <c r="E197" s="85"/>
      <c r="F197" s="88"/>
      <c r="G197" s="88"/>
    </row>
    <row r="198" spans="1:7" ht="15" thickBot="1" x14ac:dyDescent="0.4">
      <c r="A198" s="94" t="s">
        <v>5</v>
      </c>
      <c r="B198" s="95"/>
      <c r="C198" s="136"/>
      <c r="D198" s="137"/>
      <c r="E198" s="85"/>
      <c r="F198" s="89"/>
      <c r="G198" s="89"/>
    </row>
    <row r="199" spans="1:7" ht="15" customHeight="1" thickTop="1" thickBot="1" x14ac:dyDescent="0.4">
      <c r="A199" s="123" t="s">
        <v>21</v>
      </c>
      <c r="B199" s="124"/>
      <c r="C199" s="100" t="s">
        <v>44</v>
      </c>
      <c r="D199" s="101"/>
      <c r="E199" s="44"/>
      <c r="F199" s="40"/>
      <c r="G199" s="3"/>
    </row>
    <row r="200" spans="1:7" ht="15" customHeight="1" thickBot="1" x14ac:dyDescent="0.4">
      <c r="A200" s="121" t="s">
        <v>3</v>
      </c>
      <c r="B200" s="122"/>
      <c r="C200" s="77" t="s">
        <v>79</v>
      </c>
      <c r="D200" s="78"/>
      <c r="E200" s="44">
        <v>45000</v>
      </c>
      <c r="F200" s="41">
        <v>0</v>
      </c>
      <c r="G200" s="8">
        <f>E200*F200</f>
        <v>0</v>
      </c>
    </row>
    <row r="201" spans="1:7" ht="15" customHeight="1" thickBot="1" x14ac:dyDescent="0.4">
      <c r="A201" s="26" t="s">
        <v>13</v>
      </c>
      <c r="B201" s="11"/>
      <c r="C201" s="77" t="s">
        <v>80</v>
      </c>
      <c r="D201" s="78"/>
      <c r="E201" s="44">
        <v>45000</v>
      </c>
      <c r="F201" s="41"/>
      <c r="G201" s="8">
        <f>E201*F201</f>
        <v>0</v>
      </c>
    </row>
    <row r="202" spans="1:7" ht="15" customHeight="1" thickBot="1" x14ac:dyDescent="0.4">
      <c r="A202" s="79"/>
      <c r="B202" s="80"/>
      <c r="C202" s="77" t="s">
        <v>81</v>
      </c>
      <c r="D202" s="78"/>
      <c r="E202" s="44">
        <v>45000</v>
      </c>
      <c r="F202" s="41"/>
      <c r="G202" s="8">
        <f>E202*F202</f>
        <v>0</v>
      </c>
    </row>
    <row r="203" spans="1:7" ht="15" customHeight="1" thickBot="1" x14ac:dyDescent="0.4">
      <c r="A203" s="79"/>
      <c r="B203" s="80"/>
      <c r="C203" s="77" t="s">
        <v>82</v>
      </c>
      <c r="D203" s="78"/>
      <c r="E203" s="44">
        <v>45000</v>
      </c>
      <c r="F203" s="40"/>
      <c r="G203" s="8">
        <f t="shared" ref="G203:G210" si="22">E203*F203</f>
        <v>0</v>
      </c>
    </row>
    <row r="204" spans="1:7" ht="15" customHeight="1" thickBot="1" x14ac:dyDescent="0.4">
      <c r="A204" s="16"/>
      <c r="B204" s="17"/>
      <c r="C204" s="77" t="s">
        <v>83</v>
      </c>
      <c r="D204" s="78"/>
      <c r="E204" s="44">
        <v>45000</v>
      </c>
      <c r="F204" s="40"/>
      <c r="G204" s="8">
        <f t="shared" si="22"/>
        <v>0</v>
      </c>
    </row>
    <row r="205" spans="1:7" ht="15" customHeight="1" thickBot="1" x14ac:dyDescent="0.4">
      <c r="A205" s="16"/>
      <c r="B205" s="17"/>
      <c r="C205" s="77" t="s">
        <v>84</v>
      </c>
      <c r="D205" s="78"/>
      <c r="E205" s="44">
        <v>45000</v>
      </c>
      <c r="F205" s="40"/>
      <c r="G205" s="8">
        <f t="shared" si="22"/>
        <v>0</v>
      </c>
    </row>
    <row r="206" spans="1:7" ht="15" customHeight="1" thickBot="1" x14ac:dyDescent="0.4">
      <c r="A206" s="16"/>
      <c r="B206" s="17"/>
      <c r="C206" s="77" t="s">
        <v>85</v>
      </c>
      <c r="D206" s="78"/>
      <c r="E206" s="44">
        <v>45000</v>
      </c>
      <c r="F206" s="40"/>
      <c r="G206" s="8">
        <f t="shared" si="22"/>
        <v>0</v>
      </c>
    </row>
    <row r="207" spans="1:7" ht="15" customHeight="1" thickBot="1" x14ac:dyDescent="0.4">
      <c r="A207" s="32"/>
      <c r="B207" s="33"/>
      <c r="C207" s="38" t="s">
        <v>45</v>
      </c>
      <c r="D207" s="39"/>
      <c r="E207" s="45"/>
      <c r="F207" s="42"/>
      <c r="G207" s="36"/>
    </row>
    <row r="208" spans="1:7" ht="15" customHeight="1" thickBot="1" x14ac:dyDescent="0.4">
      <c r="A208" s="16"/>
      <c r="B208" s="17"/>
      <c r="C208" s="81" t="s">
        <v>86</v>
      </c>
      <c r="D208" s="74"/>
      <c r="E208" s="44">
        <v>45000</v>
      </c>
      <c r="F208" s="40"/>
      <c r="G208" s="8">
        <f t="shared" si="22"/>
        <v>0</v>
      </c>
    </row>
    <row r="209" spans="1:7" ht="15" customHeight="1" thickBot="1" x14ac:dyDescent="0.4">
      <c r="A209" s="16"/>
      <c r="B209" s="17"/>
      <c r="C209" s="81" t="s">
        <v>87</v>
      </c>
      <c r="D209" s="74"/>
      <c r="E209" s="44">
        <v>45000</v>
      </c>
      <c r="F209" s="40"/>
      <c r="G209" s="8">
        <f t="shared" si="22"/>
        <v>0</v>
      </c>
    </row>
    <row r="210" spans="1:7" ht="15" customHeight="1" thickBot="1" x14ac:dyDescent="0.4">
      <c r="A210" s="82"/>
      <c r="B210" s="83"/>
      <c r="C210" s="81" t="s">
        <v>88</v>
      </c>
      <c r="D210" s="74"/>
      <c r="E210" s="44">
        <v>45000</v>
      </c>
      <c r="F210" s="40"/>
      <c r="G210" s="8">
        <f t="shared" si="22"/>
        <v>0</v>
      </c>
    </row>
    <row r="211" spans="1:7" ht="15" thickBot="1" x14ac:dyDescent="0.4">
      <c r="A211" s="62"/>
      <c r="B211" s="63"/>
      <c r="C211" s="69" t="s">
        <v>59</v>
      </c>
      <c r="D211" s="70"/>
      <c r="E211" s="34"/>
      <c r="F211" s="35"/>
      <c r="G211" s="36"/>
    </row>
    <row r="212" spans="1:7" ht="15" customHeight="1" thickBot="1" x14ac:dyDescent="0.4">
      <c r="A212" s="71"/>
      <c r="B212" s="72"/>
      <c r="C212" s="73" t="s">
        <v>89</v>
      </c>
      <c r="D212" s="74"/>
      <c r="E212" s="7">
        <v>22500</v>
      </c>
      <c r="F212" s="4"/>
      <c r="G212" s="8">
        <f t="shared" ref="G212" si="23">E212*F212</f>
        <v>0</v>
      </c>
    </row>
    <row r="213" spans="1:7" ht="15" thickBot="1" x14ac:dyDescent="0.4">
      <c r="A213" s="75" t="s">
        <v>32</v>
      </c>
      <c r="B213" s="76"/>
      <c r="C213" s="76"/>
      <c r="D213" s="76"/>
      <c r="E213" s="43"/>
      <c r="F213" s="6"/>
      <c r="G213" s="9">
        <f>SUM(G200:G210)</f>
        <v>0</v>
      </c>
    </row>
    <row r="214" spans="1:7" ht="15.5" thickTop="1" thickBot="1" x14ac:dyDescent="0.4"/>
    <row r="215" spans="1:7" ht="15" thickTop="1" x14ac:dyDescent="0.35">
      <c r="A215" s="114"/>
      <c r="B215" s="115"/>
      <c r="C215" s="116"/>
      <c r="D215" s="117"/>
      <c r="E215" s="84" t="s">
        <v>2</v>
      </c>
      <c r="F215" s="87" t="s">
        <v>24</v>
      </c>
      <c r="G215" s="87" t="s">
        <v>1</v>
      </c>
    </row>
    <row r="216" spans="1:7" x14ac:dyDescent="0.35">
      <c r="A216" s="90" t="s">
        <v>31</v>
      </c>
      <c r="B216" s="91"/>
      <c r="C216" s="92"/>
      <c r="D216" s="93"/>
      <c r="E216" s="85"/>
      <c r="F216" s="88"/>
      <c r="G216" s="88"/>
    </row>
    <row r="217" spans="1:7" ht="15" thickBot="1" x14ac:dyDescent="0.4">
      <c r="A217" s="94" t="s">
        <v>5</v>
      </c>
      <c r="B217" s="95"/>
      <c r="C217" s="96"/>
      <c r="D217" s="97"/>
      <c r="E217" s="86"/>
      <c r="F217" s="89"/>
      <c r="G217" s="89"/>
    </row>
    <row r="218" spans="1:7" ht="15" customHeight="1" thickTop="1" thickBot="1" x14ac:dyDescent="0.4">
      <c r="A218" s="112" t="s">
        <v>76</v>
      </c>
      <c r="B218" s="113"/>
      <c r="C218" s="100" t="s">
        <v>44</v>
      </c>
      <c r="D218" s="101"/>
      <c r="E218" s="1"/>
      <c r="F218" s="2"/>
      <c r="G218" s="3"/>
    </row>
    <row r="219" spans="1:7" ht="15" customHeight="1" thickBot="1" x14ac:dyDescent="0.4">
      <c r="A219" s="121" t="s">
        <v>3</v>
      </c>
      <c r="B219" s="122"/>
      <c r="C219" s="77" t="s">
        <v>79</v>
      </c>
      <c r="D219" s="78"/>
      <c r="E219" s="7">
        <v>55000</v>
      </c>
      <c r="F219" s="27">
        <v>0</v>
      </c>
      <c r="G219" s="8">
        <f t="shared" ref="G219:G229" si="24">E219*F219</f>
        <v>0</v>
      </c>
    </row>
    <row r="220" spans="1:7" ht="15" customHeight="1" thickBot="1" x14ac:dyDescent="0.4">
      <c r="A220" s="10" t="s">
        <v>22</v>
      </c>
      <c r="B220" s="11"/>
      <c r="C220" s="77" t="s">
        <v>80</v>
      </c>
      <c r="D220" s="78"/>
      <c r="E220" s="7">
        <v>55000</v>
      </c>
      <c r="F220" s="27"/>
      <c r="G220" s="8">
        <f t="shared" si="24"/>
        <v>0</v>
      </c>
    </row>
    <row r="221" spans="1:7" ht="15" customHeight="1" thickBot="1" x14ac:dyDescent="0.4">
      <c r="A221" s="79"/>
      <c r="B221" s="80"/>
      <c r="C221" s="77" t="s">
        <v>81</v>
      </c>
      <c r="D221" s="78"/>
      <c r="E221" s="7">
        <v>55000</v>
      </c>
      <c r="F221" s="27"/>
      <c r="G221" s="8">
        <f t="shared" si="24"/>
        <v>0</v>
      </c>
    </row>
    <row r="222" spans="1:7" ht="15" customHeight="1" thickBot="1" x14ac:dyDescent="0.4">
      <c r="A222" s="79"/>
      <c r="B222" s="80"/>
      <c r="C222" s="77" t="s">
        <v>82</v>
      </c>
      <c r="D222" s="78"/>
      <c r="E222" s="7">
        <v>55000</v>
      </c>
      <c r="F222" s="4"/>
      <c r="G222" s="8">
        <f t="shared" si="24"/>
        <v>0</v>
      </c>
    </row>
    <row r="223" spans="1:7" ht="15" customHeight="1" thickBot="1" x14ac:dyDescent="0.4">
      <c r="A223" s="16"/>
      <c r="B223" s="17"/>
      <c r="C223" s="77" t="s">
        <v>83</v>
      </c>
      <c r="D223" s="78"/>
      <c r="E223" s="7">
        <v>55000</v>
      </c>
      <c r="F223" s="4"/>
      <c r="G223" s="8">
        <f t="shared" si="24"/>
        <v>0</v>
      </c>
    </row>
    <row r="224" spans="1:7" ht="15" customHeight="1" thickBot="1" x14ac:dyDescent="0.4">
      <c r="A224" s="16"/>
      <c r="B224" s="17"/>
      <c r="C224" s="77" t="s">
        <v>84</v>
      </c>
      <c r="D224" s="78"/>
      <c r="E224" s="7">
        <v>55000</v>
      </c>
      <c r="F224" s="4"/>
      <c r="G224" s="8">
        <f t="shared" si="24"/>
        <v>0</v>
      </c>
    </row>
    <row r="225" spans="1:7" ht="15" customHeight="1" thickBot="1" x14ac:dyDescent="0.4">
      <c r="A225" s="16"/>
      <c r="B225" s="17"/>
      <c r="C225" s="77" t="s">
        <v>85</v>
      </c>
      <c r="D225" s="78"/>
      <c r="E225" s="7">
        <v>55000</v>
      </c>
      <c r="F225" s="4"/>
      <c r="G225" s="8">
        <f t="shared" si="24"/>
        <v>0</v>
      </c>
    </row>
    <row r="226" spans="1:7" ht="15" customHeight="1" thickBot="1" x14ac:dyDescent="0.4">
      <c r="A226" s="32"/>
      <c r="B226" s="33"/>
      <c r="C226" s="38" t="s">
        <v>45</v>
      </c>
      <c r="D226" s="39"/>
      <c r="E226" s="34"/>
      <c r="F226" s="35"/>
      <c r="G226" s="36"/>
    </row>
    <row r="227" spans="1:7" ht="15" customHeight="1" thickBot="1" x14ac:dyDescent="0.4">
      <c r="A227" s="16"/>
      <c r="B227" s="17"/>
      <c r="C227" s="81" t="s">
        <v>86</v>
      </c>
      <c r="D227" s="74"/>
      <c r="E227" s="7">
        <v>55000</v>
      </c>
      <c r="F227" s="4"/>
      <c r="G227" s="8">
        <f t="shared" si="24"/>
        <v>0</v>
      </c>
    </row>
    <row r="228" spans="1:7" ht="15" customHeight="1" thickBot="1" x14ac:dyDescent="0.4">
      <c r="A228" s="16"/>
      <c r="B228" s="17"/>
      <c r="C228" s="81" t="s">
        <v>87</v>
      </c>
      <c r="D228" s="74"/>
      <c r="E228" s="7">
        <v>55000</v>
      </c>
      <c r="F228" s="4"/>
      <c r="G228" s="8">
        <f t="shared" si="24"/>
        <v>0</v>
      </c>
    </row>
    <row r="229" spans="1:7" ht="15" customHeight="1" thickBot="1" x14ac:dyDescent="0.4">
      <c r="A229" s="82"/>
      <c r="B229" s="83"/>
      <c r="C229" s="81" t="s">
        <v>88</v>
      </c>
      <c r="D229" s="74"/>
      <c r="E229" s="7">
        <v>55000</v>
      </c>
      <c r="F229" s="4"/>
      <c r="G229" s="8">
        <f t="shared" si="24"/>
        <v>0</v>
      </c>
    </row>
    <row r="230" spans="1:7" ht="15" thickBot="1" x14ac:dyDescent="0.4">
      <c r="A230" s="62"/>
      <c r="B230" s="63"/>
      <c r="C230" s="69" t="s">
        <v>59</v>
      </c>
      <c r="D230" s="70"/>
      <c r="E230" s="34"/>
      <c r="F230" s="35"/>
      <c r="G230" s="36"/>
    </row>
    <row r="231" spans="1:7" ht="15" customHeight="1" thickBot="1" x14ac:dyDescent="0.4">
      <c r="A231" s="71"/>
      <c r="B231" s="72"/>
      <c r="C231" s="73" t="s">
        <v>89</v>
      </c>
      <c r="D231" s="74"/>
      <c r="E231" s="7">
        <v>27500</v>
      </c>
      <c r="F231" s="4"/>
      <c r="G231" s="8">
        <f t="shared" ref="G231" si="25">E231*F231</f>
        <v>0</v>
      </c>
    </row>
    <row r="232" spans="1:7" ht="15" thickBot="1" x14ac:dyDescent="0.4">
      <c r="A232" s="75" t="s">
        <v>33</v>
      </c>
      <c r="B232" s="76"/>
      <c r="C232" s="76"/>
      <c r="D232" s="76"/>
      <c r="E232" s="5"/>
      <c r="F232" s="6"/>
      <c r="G232" s="9">
        <f>SUM(G219:G229)</f>
        <v>0</v>
      </c>
    </row>
    <row r="233" spans="1:7" ht="15.75" customHeight="1" thickTop="1" x14ac:dyDescent="0.35"/>
    <row r="234" spans="1:7" ht="15" thickBot="1" x14ac:dyDescent="0.4"/>
    <row r="235" spans="1:7" ht="15" thickTop="1" x14ac:dyDescent="0.35">
      <c r="A235" s="114"/>
      <c r="B235" s="115"/>
      <c r="C235" s="116"/>
      <c r="D235" s="117"/>
      <c r="E235" s="84" t="s">
        <v>2</v>
      </c>
      <c r="F235" s="87" t="s">
        <v>24</v>
      </c>
      <c r="G235" s="87" t="s">
        <v>1</v>
      </c>
    </row>
    <row r="236" spans="1:7" x14ac:dyDescent="0.35">
      <c r="A236" s="90" t="s">
        <v>31</v>
      </c>
      <c r="B236" s="91"/>
      <c r="C236" s="92"/>
      <c r="D236" s="93"/>
      <c r="E236" s="85"/>
      <c r="F236" s="88"/>
      <c r="G236" s="88"/>
    </row>
    <row r="237" spans="1:7" ht="15" thickBot="1" x14ac:dyDescent="0.4">
      <c r="A237" s="94" t="s">
        <v>5</v>
      </c>
      <c r="B237" s="95"/>
      <c r="C237" s="96"/>
      <c r="D237" s="97"/>
      <c r="E237" s="86"/>
      <c r="F237" s="89"/>
      <c r="G237" s="89"/>
    </row>
    <row r="238" spans="1:7" ht="15" customHeight="1" thickTop="1" thickBot="1" x14ac:dyDescent="0.4">
      <c r="A238" s="112" t="s">
        <v>23</v>
      </c>
      <c r="B238" s="113"/>
      <c r="C238" s="100" t="s">
        <v>44</v>
      </c>
      <c r="D238" s="101"/>
      <c r="E238" s="1"/>
      <c r="F238" s="2"/>
      <c r="G238" s="3"/>
    </row>
    <row r="239" spans="1:7" ht="15.75" customHeight="1" thickBot="1" x14ac:dyDescent="0.4">
      <c r="A239" s="121" t="s">
        <v>3</v>
      </c>
      <c r="B239" s="122"/>
      <c r="C239" s="77" t="s">
        <v>79</v>
      </c>
      <c r="D239" s="78"/>
      <c r="E239" s="7">
        <v>390000</v>
      </c>
      <c r="F239" s="27">
        <v>0</v>
      </c>
      <c r="G239" s="8">
        <f t="shared" ref="G239:G249" si="26">E239*F239</f>
        <v>0</v>
      </c>
    </row>
    <row r="240" spans="1:7" ht="15" customHeight="1" thickBot="1" x14ac:dyDescent="0.4">
      <c r="A240" s="10" t="s">
        <v>25</v>
      </c>
      <c r="B240" s="11"/>
      <c r="C240" s="77" t="s">
        <v>80</v>
      </c>
      <c r="D240" s="78"/>
      <c r="E240" s="7">
        <v>390000</v>
      </c>
      <c r="F240" s="27"/>
      <c r="G240" s="8">
        <f t="shared" si="26"/>
        <v>0</v>
      </c>
    </row>
    <row r="241" spans="1:7" ht="15" customHeight="1" thickBot="1" x14ac:dyDescent="0.4">
      <c r="A241" s="79"/>
      <c r="B241" s="80"/>
      <c r="C241" s="77" t="s">
        <v>81</v>
      </c>
      <c r="D241" s="78"/>
      <c r="E241" s="7">
        <v>390000</v>
      </c>
      <c r="F241" s="27"/>
      <c r="G241" s="8">
        <f t="shared" si="26"/>
        <v>0</v>
      </c>
    </row>
    <row r="242" spans="1:7" ht="15" customHeight="1" thickBot="1" x14ac:dyDescent="0.4">
      <c r="A242" s="79"/>
      <c r="B242" s="80"/>
      <c r="C242" s="77" t="s">
        <v>82</v>
      </c>
      <c r="D242" s="78"/>
      <c r="E242" s="7">
        <v>400000</v>
      </c>
      <c r="F242" s="4"/>
      <c r="G242" s="8">
        <f t="shared" si="26"/>
        <v>0</v>
      </c>
    </row>
    <row r="243" spans="1:7" ht="15" customHeight="1" thickBot="1" x14ac:dyDescent="0.4">
      <c r="A243" s="16"/>
      <c r="B243" s="17"/>
      <c r="C243" s="77" t="s">
        <v>83</v>
      </c>
      <c r="D243" s="78"/>
      <c r="E243" s="7">
        <v>400000</v>
      </c>
      <c r="F243" s="4"/>
      <c r="G243" s="8">
        <f t="shared" si="26"/>
        <v>0</v>
      </c>
    </row>
    <row r="244" spans="1:7" ht="15" customHeight="1" thickBot="1" x14ac:dyDescent="0.4">
      <c r="A244" s="16"/>
      <c r="B244" s="17"/>
      <c r="C244" s="77" t="s">
        <v>84</v>
      </c>
      <c r="D244" s="78"/>
      <c r="E244" s="7">
        <v>400000</v>
      </c>
      <c r="F244" s="4"/>
      <c r="G244" s="8">
        <f t="shared" si="26"/>
        <v>0</v>
      </c>
    </row>
    <row r="245" spans="1:7" ht="15" customHeight="1" thickBot="1" x14ac:dyDescent="0.4">
      <c r="A245" s="16"/>
      <c r="B245" s="17"/>
      <c r="C245" s="77" t="s">
        <v>85</v>
      </c>
      <c r="D245" s="78"/>
      <c r="E245" s="23">
        <v>400000</v>
      </c>
      <c r="F245" s="4"/>
      <c r="G245" s="8">
        <f t="shared" si="26"/>
        <v>0</v>
      </c>
    </row>
    <row r="246" spans="1:7" ht="15" customHeight="1" thickBot="1" x14ac:dyDescent="0.4">
      <c r="A246" s="32"/>
      <c r="B246" s="33"/>
      <c r="C246" s="38" t="s">
        <v>45</v>
      </c>
      <c r="D246" s="39"/>
      <c r="E246" s="34"/>
      <c r="F246" s="35"/>
      <c r="G246" s="36"/>
    </row>
    <row r="247" spans="1:7" ht="15" customHeight="1" thickBot="1" x14ac:dyDescent="0.4">
      <c r="A247" s="16"/>
      <c r="B247" s="17"/>
      <c r="C247" s="81" t="s">
        <v>86</v>
      </c>
      <c r="D247" s="74"/>
      <c r="E247" s="7">
        <v>400000</v>
      </c>
      <c r="F247" s="4"/>
      <c r="G247" s="8">
        <f t="shared" si="26"/>
        <v>0</v>
      </c>
    </row>
    <row r="248" spans="1:7" ht="15" customHeight="1" thickBot="1" x14ac:dyDescent="0.4">
      <c r="A248" s="16"/>
      <c r="B248" s="17"/>
      <c r="C248" s="81" t="s">
        <v>87</v>
      </c>
      <c r="D248" s="74"/>
      <c r="E248" s="7">
        <v>410000</v>
      </c>
      <c r="F248" s="4"/>
      <c r="G248" s="8">
        <f t="shared" si="26"/>
        <v>0</v>
      </c>
    </row>
    <row r="249" spans="1:7" ht="15" customHeight="1" thickBot="1" x14ac:dyDescent="0.4">
      <c r="A249" s="82"/>
      <c r="B249" s="83"/>
      <c r="C249" s="81" t="s">
        <v>88</v>
      </c>
      <c r="D249" s="74"/>
      <c r="E249" s="7">
        <v>410000</v>
      </c>
      <c r="F249" s="4"/>
      <c r="G249" s="8">
        <f t="shared" si="26"/>
        <v>0</v>
      </c>
    </row>
    <row r="250" spans="1:7" ht="15" thickBot="1" x14ac:dyDescent="0.4">
      <c r="A250" s="62"/>
      <c r="B250" s="63"/>
      <c r="C250" s="69" t="s">
        <v>59</v>
      </c>
      <c r="D250" s="70"/>
      <c r="E250" s="34"/>
      <c r="F250" s="35"/>
      <c r="G250" s="36"/>
    </row>
    <row r="251" spans="1:7" ht="15" customHeight="1" thickBot="1" x14ac:dyDescent="0.4">
      <c r="A251" s="71"/>
      <c r="B251" s="72"/>
      <c r="C251" s="73" t="s">
        <v>89</v>
      </c>
      <c r="D251" s="74"/>
      <c r="E251" s="7">
        <v>205000</v>
      </c>
      <c r="F251" s="4"/>
      <c r="G251" s="8">
        <f t="shared" ref="G251" si="27">E251*F251</f>
        <v>0</v>
      </c>
    </row>
    <row r="252" spans="1:7" ht="15" thickBot="1" x14ac:dyDescent="0.4">
      <c r="A252" s="75" t="s">
        <v>34</v>
      </c>
      <c r="B252" s="76"/>
      <c r="C252" s="76"/>
      <c r="D252" s="76"/>
      <c r="E252" s="5"/>
      <c r="F252" s="6"/>
      <c r="G252" s="9">
        <f>SUM(G239:G249)</f>
        <v>0</v>
      </c>
    </row>
    <row r="253" spans="1:7" ht="15" thickTop="1" x14ac:dyDescent="0.35"/>
    <row r="254" spans="1:7" ht="15" thickBot="1" x14ac:dyDescent="0.4"/>
    <row r="255" spans="1:7" ht="15" thickTop="1" x14ac:dyDescent="0.35">
      <c r="A255" s="114"/>
      <c r="B255" s="115"/>
      <c r="C255" s="116"/>
      <c r="D255" s="117"/>
      <c r="E255" s="84" t="s">
        <v>2</v>
      </c>
      <c r="F255" s="87" t="s">
        <v>24</v>
      </c>
      <c r="G255" s="87" t="s">
        <v>1</v>
      </c>
    </row>
    <row r="256" spans="1:7" x14ac:dyDescent="0.35">
      <c r="A256" s="90" t="s">
        <v>31</v>
      </c>
      <c r="B256" s="91"/>
      <c r="C256" s="92"/>
      <c r="D256" s="93"/>
      <c r="E256" s="85"/>
      <c r="F256" s="88"/>
      <c r="G256" s="88"/>
    </row>
    <row r="257" spans="1:7" ht="15" thickBot="1" x14ac:dyDescent="0.4">
      <c r="A257" s="94" t="s">
        <v>5</v>
      </c>
      <c r="B257" s="95"/>
      <c r="C257" s="96"/>
      <c r="D257" s="97"/>
      <c r="E257" s="86"/>
      <c r="F257" s="89"/>
      <c r="G257" s="89"/>
    </row>
    <row r="258" spans="1:7" ht="15" customHeight="1" thickTop="1" thickBot="1" x14ac:dyDescent="0.4">
      <c r="A258" s="112" t="s">
        <v>27</v>
      </c>
      <c r="B258" s="113"/>
      <c r="C258" s="100" t="s">
        <v>44</v>
      </c>
      <c r="D258" s="101"/>
      <c r="E258" s="1"/>
      <c r="F258" s="2"/>
      <c r="G258" s="3"/>
    </row>
    <row r="259" spans="1:7" ht="15" customHeight="1" thickBot="1" x14ac:dyDescent="0.4">
      <c r="A259" s="121" t="s">
        <v>3</v>
      </c>
      <c r="B259" s="122"/>
      <c r="C259" s="77" t="s">
        <v>79</v>
      </c>
      <c r="D259" s="78"/>
      <c r="E259" s="7">
        <v>60000</v>
      </c>
      <c r="F259" s="27">
        <v>0</v>
      </c>
      <c r="G259" s="8">
        <f>E259*F259</f>
        <v>0</v>
      </c>
    </row>
    <row r="260" spans="1:7" ht="15" customHeight="1" thickBot="1" x14ac:dyDescent="0.4">
      <c r="A260" s="66" t="s">
        <v>75</v>
      </c>
      <c r="B260" s="21"/>
      <c r="C260" s="77" t="s">
        <v>80</v>
      </c>
      <c r="D260" s="78"/>
      <c r="E260" s="7">
        <v>60000</v>
      </c>
      <c r="F260" s="27"/>
      <c r="G260" s="8">
        <f t="shared" ref="G260:G269" si="28">E260*F260</f>
        <v>0</v>
      </c>
    </row>
    <row r="261" spans="1:7" ht="15" customHeight="1" thickBot="1" x14ac:dyDescent="0.4">
      <c r="A261" s="79"/>
      <c r="B261" s="80"/>
      <c r="C261" s="77" t="s">
        <v>81</v>
      </c>
      <c r="D261" s="78"/>
      <c r="E261" s="7">
        <v>60000</v>
      </c>
      <c r="F261" s="27"/>
      <c r="G261" s="8">
        <f t="shared" si="28"/>
        <v>0</v>
      </c>
    </row>
    <row r="262" spans="1:7" ht="15" customHeight="1" thickBot="1" x14ac:dyDescent="0.4">
      <c r="A262" s="79"/>
      <c r="B262" s="80"/>
      <c r="C262" s="77" t="s">
        <v>82</v>
      </c>
      <c r="D262" s="78"/>
      <c r="E262" s="7">
        <v>65000</v>
      </c>
      <c r="F262" s="4"/>
      <c r="G262" s="8">
        <f t="shared" si="28"/>
        <v>0</v>
      </c>
    </row>
    <row r="263" spans="1:7" ht="15" customHeight="1" thickBot="1" x14ac:dyDescent="0.4">
      <c r="A263" s="20"/>
      <c r="B263" s="21"/>
      <c r="C263" s="77" t="s">
        <v>83</v>
      </c>
      <c r="D263" s="78"/>
      <c r="E263" s="7">
        <v>65000</v>
      </c>
      <c r="F263" s="4"/>
      <c r="G263" s="8">
        <f t="shared" si="28"/>
        <v>0</v>
      </c>
    </row>
    <row r="264" spans="1:7" ht="15" customHeight="1" thickBot="1" x14ac:dyDescent="0.4">
      <c r="A264" s="20"/>
      <c r="B264" s="21"/>
      <c r="C264" s="77" t="s">
        <v>84</v>
      </c>
      <c r="D264" s="78"/>
      <c r="E264" s="7">
        <v>65000</v>
      </c>
      <c r="F264" s="4"/>
      <c r="G264" s="8">
        <f t="shared" si="28"/>
        <v>0</v>
      </c>
    </row>
    <row r="265" spans="1:7" ht="15" customHeight="1" thickBot="1" x14ac:dyDescent="0.4">
      <c r="A265" s="20"/>
      <c r="B265" s="21"/>
      <c r="C265" s="77" t="s">
        <v>85</v>
      </c>
      <c r="D265" s="78"/>
      <c r="E265" s="7">
        <v>66500</v>
      </c>
      <c r="F265" s="4"/>
      <c r="G265" s="8">
        <f t="shared" si="28"/>
        <v>0</v>
      </c>
    </row>
    <row r="266" spans="1:7" ht="15" customHeight="1" thickBot="1" x14ac:dyDescent="0.4">
      <c r="A266" s="32"/>
      <c r="B266" s="33"/>
      <c r="C266" s="38" t="s">
        <v>45</v>
      </c>
      <c r="D266" s="39"/>
      <c r="E266" s="34"/>
      <c r="F266" s="35"/>
      <c r="G266" s="36"/>
    </row>
    <row r="267" spans="1:7" ht="15" customHeight="1" thickBot="1" x14ac:dyDescent="0.4">
      <c r="A267" s="20"/>
      <c r="B267" s="21"/>
      <c r="C267" s="81" t="s">
        <v>86</v>
      </c>
      <c r="D267" s="74"/>
      <c r="E267" s="7">
        <v>66500</v>
      </c>
      <c r="F267" s="4"/>
      <c r="G267" s="8">
        <f t="shared" si="28"/>
        <v>0</v>
      </c>
    </row>
    <row r="268" spans="1:7" ht="15" customHeight="1" thickBot="1" x14ac:dyDescent="0.4">
      <c r="A268" s="20"/>
      <c r="B268" s="21"/>
      <c r="C268" s="81" t="s">
        <v>87</v>
      </c>
      <c r="D268" s="74"/>
      <c r="E268" s="7">
        <v>66500</v>
      </c>
      <c r="F268" s="4"/>
      <c r="G268" s="8">
        <f t="shared" si="28"/>
        <v>0</v>
      </c>
    </row>
    <row r="269" spans="1:7" ht="15" customHeight="1" thickBot="1" x14ac:dyDescent="0.4">
      <c r="A269" s="82"/>
      <c r="B269" s="83"/>
      <c r="C269" s="81" t="s">
        <v>88</v>
      </c>
      <c r="D269" s="74"/>
      <c r="E269" s="7">
        <v>66500</v>
      </c>
      <c r="F269" s="4"/>
      <c r="G269" s="8">
        <f t="shared" si="28"/>
        <v>0</v>
      </c>
    </row>
    <row r="270" spans="1:7" ht="15" thickBot="1" x14ac:dyDescent="0.4">
      <c r="A270" s="62"/>
      <c r="B270" s="63"/>
      <c r="C270" s="69" t="s">
        <v>59</v>
      </c>
      <c r="D270" s="70"/>
      <c r="E270" s="34"/>
      <c r="F270" s="35"/>
      <c r="G270" s="36"/>
    </row>
    <row r="271" spans="1:7" ht="15" customHeight="1" thickBot="1" x14ac:dyDescent="0.4">
      <c r="A271" s="71"/>
      <c r="B271" s="72"/>
      <c r="C271" s="73" t="s">
        <v>89</v>
      </c>
      <c r="D271" s="74"/>
      <c r="E271" s="7">
        <v>33250</v>
      </c>
      <c r="F271" s="4"/>
      <c r="G271" s="8">
        <f t="shared" ref="G271" si="29">E271*F271</f>
        <v>0</v>
      </c>
    </row>
    <row r="272" spans="1:7" ht="15" thickBot="1" x14ac:dyDescent="0.4">
      <c r="A272" s="75" t="s">
        <v>35</v>
      </c>
      <c r="B272" s="76"/>
      <c r="C272" s="76"/>
      <c r="D272" s="76"/>
      <c r="E272" s="5"/>
      <c r="F272" s="6"/>
      <c r="G272" s="9">
        <f>SUM(G259:G269)</f>
        <v>0</v>
      </c>
    </row>
    <row r="273" spans="1:7" ht="24.5" customHeight="1" thickTop="1" thickBot="1" x14ac:dyDescent="0.4"/>
    <row r="274" spans="1:7" ht="15" thickTop="1" x14ac:dyDescent="0.35">
      <c r="A274" s="114"/>
      <c r="B274" s="115"/>
      <c r="C274" s="116"/>
      <c r="D274" s="117"/>
      <c r="E274" s="84" t="s">
        <v>2</v>
      </c>
      <c r="F274" s="87" t="s">
        <v>24</v>
      </c>
      <c r="G274" s="87" t="s">
        <v>1</v>
      </c>
    </row>
    <row r="275" spans="1:7" x14ac:dyDescent="0.35">
      <c r="A275" s="90" t="s">
        <v>31</v>
      </c>
      <c r="B275" s="91"/>
      <c r="C275" s="92"/>
      <c r="D275" s="93"/>
      <c r="E275" s="85"/>
      <c r="F275" s="88"/>
      <c r="G275" s="88"/>
    </row>
    <row r="276" spans="1:7" ht="15" thickBot="1" x14ac:dyDescent="0.4">
      <c r="A276" s="94" t="s">
        <v>5</v>
      </c>
      <c r="B276" s="95"/>
      <c r="C276" s="96"/>
      <c r="D276" s="97"/>
      <c r="E276" s="86"/>
      <c r="F276" s="89"/>
      <c r="G276" s="89"/>
    </row>
    <row r="277" spans="1:7" ht="15" customHeight="1" thickTop="1" thickBot="1" x14ac:dyDescent="0.4">
      <c r="A277" s="98" t="s">
        <v>77</v>
      </c>
      <c r="B277" s="99"/>
      <c r="C277" s="100" t="s">
        <v>44</v>
      </c>
      <c r="D277" s="101"/>
      <c r="E277" s="1"/>
      <c r="F277" s="2"/>
      <c r="G277" s="3"/>
    </row>
    <row r="278" spans="1:7" ht="15" customHeight="1" thickBot="1" x14ac:dyDescent="0.4">
      <c r="A278" s="138" t="s">
        <v>3</v>
      </c>
      <c r="B278" s="139"/>
      <c r="C278" s="77" t="s">
        <v>79</v>
      </c>
      <c r="D278" s="78"/>
      <c r="E278" s="7">
        <v>27500</v>
      </c>
      <c r="F278" s="27">
        <v>0</v>
      </c>
      <c r="G278" s="8">
        <f>E278*F278</f>
        <v>0</v>
      </c>
    </row>
    <row r="279" spans="1:7" ht="15" customHeight="1" thickBot="1" x14ac:dyDescent="0.4">
      <c r="A279" s="67" t="s">
        <v>78</v>
      </c>
      <c r="B279" s="68"/>
      <c r="C279" s="77" t="s">
        <v>80</v>
      </c>
      <c r="D279" s="78"/>
      <c r="E279" s="7">
        <v>27500</v>
      </c>
      <c r="F279" s="27"/>
      <c r="G279" s="8">
        <f t="shared" ref="G279:G284" si="30">E279*F279</f>
        <v>0</v>
      </c>
    </row>
    <row r="280" spans="1:7" ht="15" customHeight="1" thickBot="1" x14ac:dyDescent="0.4">
      <c r="A280" s="79"/>
      <c r="B280" s="80"/>
      <c r="C280" s="77" t="s">
        <v>81</v>
      </c>
      <c r="D280" s="78"/>
      <c r="E280" s="7">
        <v>27500</v>
      </c>
      <c r="F280" s="27"/>
      <c r="G280" s="8">
        <f t="shared" si="30"/>
        <v>0</v>
      </c>
    </row>
    <row r="281" spans="1:7" ht="15" customHeight="1" thickBot="1" x14ac:dyDescent="0.4">
      <c r="A281" s="79"/>
      <c r="B281" s="80"/>
      <c r="C281" s="77" t="s">
        <v>82</v>
      </c>
      <c r="D281" s="78"/>
      <c r="E281" s="7">
        <v>27500</v>
      </c>
      <c r="F281" s="4"/>
      <c r="G281" s="8">
        <f t="shared" si="30"/>
        <v>0</v>
      </c>
    </row>
    <row r="282" spans="1:7" ht="15" customHeight="1" thickBot="1" x14ac:dyDescent="0.4">
      <c r="A282" s="60"/>
      <c r="B282" s="61"/>
      <c r="C282" s="77" t="s">
        <v>83</v>
      </c>
      <c r="D282" s="78"/>
      <c r="E282" s="7">
        <v>27500</v>
      </c>
      <c r="F282" s="4"/>
      <c r="G282" s="8">
        <f t="shared" si="30"/>
        <v>0</v>
      </c>
    </row>
    <row r="283" spans="1:7" ht="15" customHeight="1" thickBot="1" x14ac:dyDescent="0.4">
      <c r="A283" s="60"/>
      <c r="B283" s="61"/>
      <c r="C283" s="77" t="s">
        <v>84</v>
      </c>
      <c r="D283" s="78"/>
      <c r="E283" s="7">
        <v>27500</v>
      </c>
      <c r="F283" s="4"/>
      <c r="G283" s="8">
        <f t="shared" si="30"/>
        <v>0</v>
      </c>
    </row>
    <row r="284" spans="1:7" ht="15" customHeight="1" thickBot="1" x14ac:dyDescent="0.4">
      <c r="A284" s="60"/>
      <c r="B284" s="61"/>
      <c r="C284" s="77" t="s">
        <v>85</v>
      </c>
      <c r="D284" s="78"/>
      <c r="E284" s="7">
        <v>27500</v>
      </c>
      <c r="F284" s="4"/>
      <c r="G284" s="8">
        <f t="shared" si="30"/>
        <v>0</v>
      </c>
    </row>
    <row r="285" spans="1:7" ht="15" customHeight="1" thickBot="1" x14ac:dyDescent="0.4">
      <c r="A285" s="60"/>
      <c r="B285" s="61"/>
      <c r="C285" s="38" t="s">
        <v>45</v>
      </c>
      <c r="D285" s="39"/>
      <c r="E285" s="34"/>
      <c r="F285" s="35"/>
      <c r="G285" s="36"/>
    </row>
    <row r="286" spans="1:7" ht="15" customHeight="1" thickBot="1" x14ac:dyDescent="0.4">
      <c r="A286" s="60"/>
      <c r="B286" s="61"/>
      <c r="C286" s="81" t="s">
        <v>86</v>
      </c>
      <c r="D286" s="74"/>
      <c r="E286" s="7">
        <v>27500</v>
      </c>
      <c r="F286" s="4"/>
      <c r="G286" s="8">
        <f t="shared" ref="G286:G288" si="31">E286*F286</f>
        <v>0</v>
      </c>
    </row>
    <row r="287" spans="1:7" ht="15" customHeight="1" thickBot="1" x14ac:dyDescent="0.4">
      <c r="A287" s="60"/>
      <c r="B287" s="61"/>
      <c r="C287" s="81" t="s">
        <v>87</v>
      </c>
      <c r="D287" s="74"/>
      <c r="E287" s="7">
        <v>27500</v>
      </c>
      <c r="F287" s="4"/>
      <c r="G287" s="8">
        <f t="shared" si="31"/>
        <v>0</v>
      </c>
    </row>
    <row r="288" spans="1:7" ht="15" customHeight="1" thickBot="1" x14ac:dyDescent="0.4">
      <c r="A288" s="82"/>
      <c r="B288" s="83"/>
      <c r="C288" s="81" t="s">
        <v>88</v>
      </c>
      <c r="D288" s="74"/>
      <c r="E288" s="7">
        <v>27500</v>
      </c>
      <c r="F288" s="4"/>
      <c r="G288" s="8">
        <f t="shared" si="31"/>
        <v>0</v>
      </c>
    </row>
    <row r="289" spans="1:7" ht="15" thickBot="1" x14ac:dyDescent="0.4">
      <c r="A289" s="64"/>
      <c r="B289" s="65"/>
      <c r="C289" s="69" t="s">
        <v>59</v>
      </c>
      <c r="D289" s="70"/>
      <c r="E289" s="34"/>
      <c r="F289" s="35"/>
      <c r="G289" s="36"/>
    </row>
    <row r="290" spans="1:7" ht="15" customHeight="1" thickBot="1" x14ac:dyDescent="0.4">
      <c r="A290" s="71"/>
      <c r="B290" s="72"/>
      <c r="C290" s="73" t="s">
        <v>89</v>
      </c>
      <c r="D290" s="74"/>
      <c r="E290" s="7">
        <v>13750</v>
      </c>
      <c r="F290" s="4"/>
      <c r="G290" s="8">
        <f t="shared" ref="G290" si="32">E290*F290</f>
        <v>0</v>
      </c>
    </row>
    <row r="291" spans="1:7" ht="15" thickBot="1" x14ac:dyDescent="0.4">
      <c r="A291" s="75" t="s">
        <v>35</v>
      </c>
      <c r="B291" s="76"/>
      <c r="C291" s="76"/>
      <c r="D291" s="76"/>
      <c r="E291" s="5"/>
      <c r="F291" s="6"/>
      <c r="G291" s="9">
        <f>SUM(G278:G288)</f>
        <v>0</v>
      </c>
    </row>
    <row r="292" spans="1:7" ht="24.5" customHeight="1" thickTop="1" thickBot="1" x14ac:dyDescent="0.4"/>
    <row r="293" spans="1:7" ht="60" customHeight="1" x14ac:dyDescent="0.35">
      <c r="A293" s="104" t="s">
        <v>52</v>
      </c>
      <c r="B293" s="105"/>
      <c r="C293" s="120" t="s">
        <v>90</v>
      </c>
      <c r="D293" s="120"/>
      <c r="E293" s="55" t="s">
        <v>50</v>
      </c>
      <c r="F293" s="50" t="s">
        <v>47</v>
      </c>
      <c r="G293" s="51">
        <v>0</v>
      </c>
    </row>
    <row r="294" spans="1:7" ht="60" customHeight="1" x14ac:dyDescent="0.35">
      <c r="A294" s="102" t="s">
        <v>53</v>
      </c>
      <c r="B294" s="103"/>
      <c r="C294" s="109" t="s">
        <v>91</v>
      </c>
      <c r="D294" s="109"/>
      <c r="E294" s="58" t="s">
        <v>50</v>
      </c>
      <c r="F294" s="47" t="s">
        <v>47</v>
      </c>
      <c r="G294" s="52">
        <v>0</v>
      </c>
    </row>
    <row r="295" spans="1:7" ht="60" customHeight="1" thickBot="1" x14ac:dyDescent="0.4">
      <c r="A295" s="102" t="s">
        <v>63</v>
      </c>
      <c r="B295" s="103"/>
      <c r="C295" s="109" t="s">
        <v>91</v>
      </c>
      <c r="D295" s="109"/>
      <c r="E295" s="58" t="s">
        <v>50</v>
      </c>
      <c r="F295" s="47" t="s">
        <v>47</v>
      </c>
      <c r="G295" s="52">
        <v>0</v>
      </c>
    </row>
    <row r="296" spans="1:7" ht="60" customHeight="1" x14ac:dyDescent="0.35">
      <c r="A296" s="102" t="s">
        <v>60</v>
      </c>
      <c r="B296" s="103"/>
      <c r="C296" s="120" t="s">
        <v>91</v>
      </c>
      <c r="D296" s="120"/>
      <c r="E296" s="58" t="s">
        <v>50</v>
      </c>
      <c r="F296" s="47" t="s">
        <v>47</v>
      </c>
      <c r="G296" s="52">
        <v>0</v>
      </c>
    </row>
    <row r="297" spans="1:7" ht="55" customHeight="1" thickBot="1" x14ac:dyDescent="0.4">
      <c r="A297" s="140" t="s">
        <v>61</v>
      </c>
      <c r="B297" s="141"/>
      <c r="C297" s="142" t="s">
        <v>91</v>
      </c>
      <c r="D297" s="143"/>
      <c r="E297" s="57" t="s">
        <v>50</v>
      </c>
      <c r="F297" s="53" t="s">
        <v>47</v>
      </c>
      <c r="G297" s="54">
        <v>0</v>
      </c>
    </row>
    <row r="298" spans="1:7" ht="55" customHeight="1" thickBot="1" x14ac:dyDescent="0.4">
      <c r="A298" s="140" t="s">
        <v>62</v>
      </c>
      <c r="B298" s="141"/>
      <c r="C298" s="142" t="s">
        <v>91</v>
      </c>
      <c r="D298" s="143"/>
      <c r="E298" s="57" t="s">
        <v>50</v>
      </c>
      <c r="F298" s="53" t="s">
        <v>47</v>
      </c>
      <c r="G298" s="54">
        <v>0</v>
      </c>
    </row>
    <row r="299" spans="1:7" ht="34" customHeight="1" thickBot="1" x14ac:dyDescent="0.4">
      <c r="A299" s="48"/>
      <c r="B299" s="48"/>
      <c r="C299" s="37"/>
      <c r="D299" s="37"/>
      <c r="E299" s="56"/>
      <c r="F299" s="37"/>
      <c r="G299" s="37"/>
    </row>
    <row r="300" spans="1:7" ht="70" customHeight="1" x14ac:dyDescent="0.35">
      <c r="A300" s="104" t="s">
        <v>54</v>
      </c>
      <c r="B300" s="105"/>
      <c r="C300" s="120" t="s">
        <v>91</v>
      </c>
      <c r="D300" s="120"/>
      <c r="E300" s="59" t="s">
        <v>50</v>
      </c>
      <c r="F300" s="50" t="s">
        <v>48</v>
      </c>
      <c r="G300" s="49">
        <v>0</v>
      </c>
    </row>
    <row r="301" spans="1:7" ht="70" customHeight="1" thickBot="1" x14ac:dyDescent="0.4">
      <c r="A301" s="102" t="s">
        <v>55</v>
      </c>
      <c r="B301" s="106"/>
      <c r="C301" s="110" t="s">
        <v>90</v>
      </c>
      <c r="D301" s="111"/>
      <c r="E301" s="58" t="s">
        <v>50</v>
      </c>
      <c r="F301" s="47" t="s">
        <v>48</v>
      </c>
      <c r="G301" s="52">
        <v>0</v>
      </c>
    </row>
    <row r="302" spans="1:7" ht="70" customHeight="1" thickBot="1" x14ac:dyDescent="0.4">
      <c r="A302" s="102" t="s">
        <v>64</v>
      </c>
      <c r="B302" s="106"/>
      <c r="C302" s="110" t="s">
        <v>91</v>
      </c>
      <c r="D302" s="111"/>
      <c r="E302" s="58" t="s">
        <v>50</v>
      </c>
      <c r="F302" s="47" t="s">
        <v>48</v>
      </c>
      <c r="G302" s="52">
        <v>0</v>
      </c>
    </row>
    <row r="303" spans="1:7" ht="70" customHeight="1" x14ac:dyDescent="0.35">
      <c r="A303" s="102" t="s">
        <v>65</v>
      </c>
      <c r="B303" s="103"/>
      <c r="C303" s="120" t="s">
        <v>91</v>
      </c>
      <c r="D303" s="120"/>
      <c r="E303" s="58" t="s">
        <v>50</v>
      </c>
      <c r="F303" s="47" t="s">
        <v>48</v>
      </c>
      <c r="G303" s="52">
        <v>0</v>
      </c>
    </row>
    <row r="304" spans="1:7" ht="73" thickBot="1" x14ac:dyDescent="0.4">
      <c r="A304" s="140" t="s">
        <v>66</v>
      </c>
      <c r="B304" s="144"/>
      <c r="C304" s="109" t="s">
        <v>91</v>
      </c>
      <c r="D304" s="109"/>
      <c r="E304" s="57" t="s">
        <v>50</v>
      </c>
      <c r="F304" s="53" t="s">
        <v>48</v>
      </c>
      <c r="G304" s="54">
        <v>0</v>
      </c>
    </row>
    <row r="305" spans="1:7" ht="73" thickBot="1" x14ac:dyDescent="0.4">
      <c r="A305" s="140" t="s">
        <v>67</v>
      </c>
      <c r="B305" s="144"/>
      <c r="C305" s="109" t="s">
        <v>90</v>
      </c>
      <c r="D305" s="109"/>
      <c r="E305" s="57" t="s">
        <v>50</v>
      </c>
      <c r="F305" s="53" t="s">
        <v>48</v>
      </c>
      <c r="G305" s="54">
        <v>0</v>
      </c>
    </row>
    <row r="306" spans="1:7" ht="58.5" customHeight="1" thickBot="1" x14ac:dyDescent="0.4">
      <c r="A306" s="28"/>
      <c r="B306" s="28"/>
      <c r="C306" s="29"/>
      <c r="D306" s="29"/>
      <c r="E306" s="56"/>
      <c r="F306" s="37"/>
      <c r="G306" s="37"/>
    </row>
    <row r="307" spans="1:7" ht="58" customHeight="1" x14ac:dyDescent="0.35">
      <c r="A307" s="104" t="s">
        <v>56</v>
      </c>
      <c r="B307" s="105"/>
      <c r="C307" s="120" t="s">
        <v>91</v>
      </c>
      <c r="D307" s="120"/>
      <c r="E307" s="55" t="s">
        <v>50</v>
      </c>
      <c r="F307" s="50" t="s">
        <v>49</v>
      </c>
      <c r="G307" s="51">
        <v>0</v>
      </c>
    </row>
    <row r="308" spans="1:7" ht="58.5" customHeight="1" x14ac:dyDescent="0.35">
      <c r="A308" s="102" t="s">
        <v>57</v>
      </c>
      <c r="B308" s="103"/>
      <c r="C308" s="109" t="s">
        <v>91</v>
      </c>
      <c r="D308" s="109"/>
      <c r="E308" s="58" t="s">
        <v>50</v>
      </c>
      <c r="F308" s="47" t="s">
        <v>49</v>
      </c>
      <c r="G308" s="52">
        <v>0</v>
      </c>
    </row>
    <row r="309" spans="1:7" ht="58.5" customHeight="1" thickBot="1" x14ac:dyDescent="0.4">
      <c r="A309" s="102" t="s">
        <v>68</v>
      </c>
      <c r="B309" s="103"/>
      <c r="C309" s="109" t="s">
        <v>91</v>
      </c>
      <c r="D309" s="109"/>
      <c r="E309" s="58" t="s">
        <v>72</v>
      </c>
      <c r="F309" s="47" t="s">
        <v>49</v>
      </c>
      <c r="G309" s="52">
        <v>0</v>
      </c>
    </row>
    <row r="310" spans="1:7" ht="58.5" customHeight="1" x14ac:dyDescent="0.35">
      <c r="A310" s="102" t="s">
        <v>69</v>
      </c>
      <c r="B310" s="103"/>
      <c r="C310" s="120" t="s">
        <v>91</v>
      </c>
      <c r="D310" s="120"/>
      <c r="E310" s="58" t="s">
        <v>50</v>
      </c>
      <c r="F310" s="47" t="s">
        <v>49</v>
      </c>
      <c r="G310" s="52">
        <v>0</v>
      </c>
    </row>
    <row r="311" spans="1:7" ht="58.5" thickBot="1" x14ac:dyDescent="0.4">
      <c r="A311" s="140" t="s">
        <v>70</v>
      </c>
      <c r="B311" s="144"/>
      <c r="C311" s="109" t="s">
        <v>91</v>
      </c>
      <c r="D311" s="109"/>
      <c r="E311" s="57" t="s">
        <v>50</v>
      </c>
      <c r="F311" s="53" t="s">
        <v>49</v>
      </c>
      <c r="G311" s="54">
        <v>0</v>
      </c>
    </row>
    <row r="312" spans="1:7" ht="58.5" thickBot="1" x14ac:dyDescent="0.4">
      <c r="A312" s="140" t="s">
        <v>71</v>
      </c>
      <c r="B312" s="144"/>
      <c r="C312" s="109" t="s">
        <v>91</v>
      </c>
      <c r="D312" s="109"/>
      <c r="E312" s="57" t="s">
        <v>72</v>
      </c>
      <c r="F312" s="53" t="s">
        <v>49</v>
      </c>
      <c r="G312" s="54">
        <v>0</v>
      </c>
    </row>
    <row r="313" spans="1:7" ht="15" thickBot="1" x14ac:dyDescent="0.4"/>
    <row r="314" spans="1:7" ht="46.5" thickBot="1" x14ac:dyDescent="0.4">
      <c r="A314" s="31" t="s">
        <v>51</v>
      </c>
      <c r="B314" s="30"/>
      <c r="C314" s="118"/>
      <c r="D314" s="119"/>
      <c r="E314" s="46"/>
      <c r="F314" s="46"/>
      <c r="G314" s="9">
        <f>SUM(G293:G313)</f>
        <v>0</v>
      </c>
    </row>
    <row r="315" spans="1:7" ht="25.4" customHeight="1" thickBot="1" x14ac:dyDescent="0.4"/>
    <row r="316" spans="1:7" ht="19" thickBot="1" x14ac:dyDescent="0.5">
      <c r="F316" s="24" t="s">
        <v>28</v>
      </c>
      <c r="G316" s="25">
        <f>SUM(G19,G39,G58,G79,G98,G117,G136,G155,G174,G193,G213,G232,G252,G272,G314)</f>
        <v>0</v>
      </c>
    </row>
  </sheetData>
  <mergeCells count="472">
    <mergeCell ref="A18:B18"/>
    <mergeCell ref="C18:D18"/>
    <mergeCell ref="A294:B294"/>
    <mergeCell ref="C294:D294"/>
    <mergeCell ref="A297:B297"/>
    <mergeCell ref="C297:D297"/>
    <mergeCell ref="A301:B301"/>
    <mergeCell ref="C301:D301"/>
    <mergeCell ref="A304:B304"/>
    <mergeCell ref="C304:D304"/>
    <mergeCell ref="A173:B173"/>
    <mergeCell ref="C173:D173"/>
    <mergeCell ref="C191:D191"/>
    <mergeCell ref="A192:B192"/>
    <mergeCell ref="C192:D192"/>
    <mergeCell ref="C211:D211"/>
    <mergeCell ref="A212:B212"/>
    <mergeCell ref="C212:D212"/>
    <mergeCell ref="C230:D230"/>
    <mergeCell ref="C96:D96"/>
    <mergeCell ref="A97:B97"/>
    <mergeCell ref="C97:D97"/>
    <mergeCell ref="C115:D115"/>
    <mergeCell ref="A116:B116"/>
    <mergeCell ref="C134:D134"/>
    <mergeCell ref="A135:B135"/>
    <mergeCell ref="C135:D135"/>
    <mergeCell ref="C56:D56"/>
    <mergeCell ref="A57:B57"/>
    <mergeCell ref="C57:D57"/>
    <mergeCell ref="C77:D77"/>
    <mergeCell ref="A78:B78"/>
    <mergeCell ref="C78:D78"/>
    <mergeCell ref="A85:B85"/>
    <mergeCell ref="C85:D85"/>
    <mergeCell ref="C86:D86"/>
    <mergeCell ref="A89:B89"/>
    <mergeCell ref="C89:D89"/>
    <mergeCell ref="A95:B95"/>
    <mergeCell ref="C95:D95"/>
    <mergeCell ref="C94:D94"/>
    <mergeCell ref="A62:B62"/>
    <mergeCell ref="C62:D62"/>
    <mergeCell ref="A36:B36"/>
    <mergeCell ref="C36:D36"/>
    <mergeCell ref="C37:D37"/>
    <mergeCell ref="C310:D310"/>
    <mergeCell ref="C312:D312"/>
    <mergeCell ref="A296:B296"/>
    <mergeCell ref="C296:D296"/>
    <mergeCell ref="A298:B298"/>
    <mergeCell ref="C298:D298"/>
    <mergeCell ref="A303:B303"/>
    <mergeCell ref="A305:B305"/>
    <mergeCell ref="C303:D303"/>
    <mergeCell ref="C305:D305"/>
    <mergeCell ref="A307:B307"/>
    <mergeCell ref="A309:B309"/>
    <mergeCell ref="A310:B310"/>
    <mergeCell ref="A312:B312"/>
    <mergeCell ref="A308:B308"/>
    <mergeCell ref="C308:D308"/>
    <mergeCell ref="A311:B311"/>
    <mergeCell ref="C311:D311"/>
    <mergeCell ref="A259:B259"/>
    <mergeCell ref="C259:D259"/>
    <mergeCell ref="C260:D260"/>
    <mergeCell ref="A261:B261"/>
    <mergeCell ref="C261:D261"/>
    <mergeCell ref="A262:B262"/>
    <mergeCell ref="C262:D262"/>
    <mergeCell ref="C293:D293"/>
    <mergeCell ref="A272:D272"/>
    <mergeCell ref="C263:D263"/>
    <mergeCell ref="C264:D264"/>
    <mergeCell ref="C265:D265"/>
    <mergeCell ref="C267:D267"/>
    <mergeCell ref="C268:D268"/>
    <mergeCell ref="A269:B269"/>
    <mergeCell ref="C269:D269"/>
    <mergeCell ref="A293:B293"/>
    <mergeCell ref="C270:D270"/>
    <mergeCell ref="A271:B271"/>
    <mergeCell ref="C271:D271"/>
    <mergeCell ref="A274:B274"/>
    <mergeCell ref="C274:D274"/>
    <mergeCell ref="A278:B278"/>
    <mergeCell ref="C278:D278"/>
    <mergeCell ref="C279:D279"/>
    <mergeCell ref="A280:B280"/>
    <mergeCell ref="C255:D255"/>
    <mergeCell ref="E255:E257"/>
    <mergeCell ref="F255:F257"/>
    <mergeCell ref="G255:G257"/>
    <mergeCell ref="A256:B256"/>
    <mergeCell ref="C256:D256"/>
    <mergeCell ref="A257:B257"/>
    <mergeCell ref="C257:D257"/>
    <mergeCell ref="A258:B258"/>
    <mergeCell ref="C258:D258"/>
    <mergeCell ref="F235:F237"/>
    <mergeCell ref="G235:G237"/>
    <mergeCell ref="A236:B236"/>
    <mergeCell ref="C236:D236"/>
    <mergeCell ref="A237:B237"/>
    <mergeCell ref="C237:D237"/>
    <mergeCell ref="A242:B242"/>
    <mergeCell ref="C242:D242"/>
    <mergeCell ref="A252:D252"/>
    <mergeCell ref="A249:B249"/>
    <mergeCell ref="C249:D249"/>
    <mergeCell ref="C245:D245"/>
    <mergeCell ref="C248:D248"/>
    <mergeCell ref="C243:D243"/>
    <mergeCell ref="C244:D244"/>
    <mergeCell ref="C247:D247"/>
    <mergeCell ref="E235:E237"/>
    <mergeCell ref="C250:D250"/>
    <mergeCell ref="A251:B251"/>
    <mergeCell ref="C251:D251"/>
    <mergeCell ref="C227:D227"/>
    <mergeCell ref="C228:D228"/>
    <mergeCell ref="A238:B238"/>
    <mergeCell ref="C238:D238"/>
    <mergeCell ref="A239:B239"/>
    <mergeCell ref="C239:D239"/>
    <mergeCell ref="C240:D240"/>
    <mergeCell ref="A241:B241"/>
    <mergeCell ref="C241:D241"/>
    <mergeCell ref="A231:B231"/>
    <mergeCell ref="C231:D231"/>
    <mergeCell ref="E215:E217"/>
    <mergeCell ref="F215:F217"/>
    <mergeCell ref="C223:D223"/>
    <mergeCell ref="C224:D224"/>
    <mergeCell ref="G215:G217"/>
    <mergeCell ref="C216:D216"/>
    <mergeCell ref="A217:B217"/>
    <mergeCell ref="C217:D217"/>
    <mergeCell ref="A216:B216"/>
    <mergeCell ref="A215:B215"/>
    <mergeCell ref="A219:B219"/>
    <mergeCell ref="C219:D219"/>
    <mergeCell ref="C220:D220"/>
    <mergeCell ref="A222:B222"/>
    <mergeCell ref="C222:D222"/>
    <mergeCell ref="E196:E198"/>
    <mergeCell ref="F196:F198"/>
    <mergeCell ref="G196:G198"/>
    <mergeCell ref="A197:B197"/>
    <mergeCell ref="C197:D197"/>
    <mergeCell ref="A198:B198"/>
    <mergeCell ref="C198:D198"/>
    <mergeCell ref="A179:B179"/>
    <mergeCell ref="C179:D179"/>
    <mergeCell ref="A180:B180"/>
    <mergeCell ref="C180:D180"/>
    <mergeCell ref="C184:D184"/>
    <mergeCell ref="C185:D185"/>
    <mergeCell ref="C186:D186"/>
    <mergeCell ref="C188:D188"/>
    <mergeCell ref="C189:D189"/>
    <mergeCell ref="A190:B190"/>
    <mergeCell ref="C190:D190"/>
    <mergeCell ref="F157:F159"/>
    <mergeCell ref="G157:G159"/>
    <mergeCell ref="A158:B158"/>
    <mergeCell ref="C158:D158"/>
    <mergeCell ref="A159:B159"/>
    <mergeCell ref="C159:D159"/>
    <mergeCell ref="A183:B183"/>
    <mergeCell ref="C183:D183"/>
    <mergeCell ref="A174:D174"/>
    <mergeCell ref="A176:B176"/>
    <mergeCell ref="C176:D176"/>
    <mergeCell ref="A171:B171"/>
    <mergeCell ref="C171:D171"/>
    <mergeCell ref="E176:E178"/>
    <mergeCell ref="F176:F178"/>
    <mergeCell ref="G176:G178"/>
    <mergeCell ref="A177:B177"/>
    <mergeCell ref="C177:D177"/>
    <mergeCell ref="A178:B178"/>
    <mergeCell ref="A157:B157"/>
    <mergeCell ref="C157:D157"/>
    <mergeCell ref="C181:D181"/>
    <mergeCell ref="A182:B182"/>
    <mergeCell ref="C182:D182"/>
    <mergeCell ref="E157:E159"/>
    <mergeCell ref="C178:D178"/>
    <mergeCell ref="C147:D147"/>
    <mergeCell ref="C148:D148"/>
    <mergeCell ref="C150:D150"/>
    <mergeCell ref="C151:D151"/>
    <mergeCell ref="C165:D165"/>
    <mergeCell ref="C166:D166"/>
    <mergeCell ref="C167:D167"/>
    <mergeCell ref="C169:D169"/>
    <mergeCell ref="C170:D170"/>
    <mergeCell ref="C153:D153"/>
    <mergeCell ref="C154:D154"/>
    <mergeCell ref="C172:D172"/>
    <mergeCell ref="A164:B164"/>
    <mergeCell ref="C164:D164"/>
    <mergeCell ref="A160:B160"/>
    <mergeCell ref="C160:D160"/>
    <mergeCell ref="A161:B161"/>
    <mergeCell ref="C161:D161"/>
    <mergeCell ref="C162:D162"/>
    <mergeCell ref="A163:B163"/>
    <mergeCell ref="C163:D163"/>
    <mergeCell ref="F138:F140"/>
    <mergeCell ref="G138:G140"/>
    <mergeCell ref="A139:B139"/>
    <mergeCell ref="C139:D139"/>
    <mergeCell ref="A140:B140"/>
    <mergeCell ref="C140:D140"/>
    <mergeCell ref="A138:B138"/>
    <mergeCell ref="C138:D138"/>
    <mergeCell ref="A155:D155"/>
    <mergeCell ref="C145:D145"/>
    <mergeCell ref="C152:D152"/>
    <mergeCell ref="C146:D146"/>
    <mergeCell ref="E138:E140"/>
    <mergeCell ref="A144:B144"/>
    <mergeCell ref="A141:B141"/>
    <mergeCell ref="C141:D141"/>
    <mergeCell ref="C144:D144"/>
    <mergeCell ref="A154:B154"/>
    <mergeCell ref="G100:G102"/>
    <mergeCell ref="A101:B101"/>
    <mergeCell ref="C101:D101"/>
    <mergeCell ref="A102:B102"/>
    <mergeCell ref="C102:D102"/>
    <mergeCell ref="F119:F121"/>
    <mergeCell ref="G119:G121"/>
    <mergeCell ref="A120:B120"/>
    <mergeCell ref="C120:D120"/>
    <mergeCell ref="A121:B121"/>
    <mergeCell ref="C121:D121"/>
    <mergeCell ref="A117:D117"/>
    <mergeCell ref="A119:B119"/>
    <mergeCell ref="C119:D119"/>
    <mergeCell ref="E119:E121"/>
    <mergeCell ref="C108:D108"/>
    <mergeCell ref="C109:D109"/>
    <mergeCell ref="C110:D110"/>
    <mergeCell ref="C112:D112"/>
    <mergeCell ref="C113:D113"/>
    <mergeCell ref="C103:D103"/>
    <mergeCell ref="A104:B104"/>
    <mergeCell ref="C116:D116"/>
    <mergeCell ref="A84:B84"/>
    <mergeCell ref="C84:D84"/>
    <mergeCell ref="C87:D87"/>
    <mergeCell ref="C88:D88"/>
    <mergeCell ref="C90:D90"/>
    <mergeCell ref="C91:D91"/>
    <mergeCell ref="C93:D93"/>
    <mergeCell ref="E100:E102"/>
    <mergeCell ref="F100:F102"/>
    <mergeCell ref="E62:E64"/>
    <mergeCell ref="F62:F64"/>
    <mergeCell ref="G81:G83"/>
    <mergeCell ref="A82:B82"/>
    <mergeCell ref="C82:D82"/>
    <mergeCell ref="A83:B83"/>
    <mergeCell ref="C83:D83"/>
    <mergeCell ref="A68:B68"/>
    <mergeCell ref="C68:D68"/>
    <mergeCell ref="A69:B69"/>
    <mergeCell ref="C69:D69"/>
    <mergeCell ref="A79:D79"/>
    <mergeCell ref="A81:B81"/>
    <mergeCell ref="C81:D81"/>
    <mergeCell ref="A76:B76"/>
    <mergeCell ref="C76:D76"/>
    <mergeCell ref="A66:B66"/>
    <mergeCell ref="C66:D66"/>
    <mergeCell ref="E81:E83"/>
    <mergeCell ref="F81:F83"/>
    <mergeCell ref="E22:E24"/>
    <mergeCell ref="F22:F24"/>
    <mergeCell ref="A47:B47"/>
    <mergeCell ref="A48:B48"/>
    <mergeCell ref="A55:B55"/>
    <mergeCell ref="G62:G64"/>
    <mergeCell ref="A63:B63"/>
    <mergeCell ref="C63:D63"/>
    <mergeCell ref="A64:B64"/>
    <mergeCell ref="C64:D64"/>
    <mergeCell ref="A58:D58"/>
    <mergeCell ref="A44:B44"/>
    <mergeCell ref="C44:D44"/>
    <mergeCell ref="A45:B45"/>
    <mergeCell ref="C45:D45"/>
    <mergeCell ref="A39:D39"/>
    <mergeCell ref="C41:D41"/>
    <mergeCell ref="C42:D42"/>
    <mergeCell ref="A41:B41"/>
    <mergeCell ref="A28:B28"/>
    <mergeCell ref="C28:D28"/>
    <mergeCell ref="A29:B29"/>
    <mergeCell ref="A38:B38"/>
    <mergeCell ref="C38:D38"/>
    <mergeCell ref="E2:E4"/>
    <mergeCell ref="F2:F4"/>
    <mergeCell ref="G2:G4"/>
    <mergeCell ref="A142:B142"/>
    <mergeCell ref="C142:D142"/>
    <mergeCell ref="C143:D143"/>
    <mergeCell ref="C46:D46"/>
    <mergeCell ref="G22:G24"/>
    <mergeCell ref="A23:B23"/>
    <mergeCell ref="C23:D23"/>
    <mergeCell ref="A24:B24"/>
    <mergeCell ref="C24:D24"/>
    <mergeCell ref="A25:B25"/>
    <mergeCell ref="C25:D25"/>
    <mergeCell ref="E41:E43"/>
    <mergeCell ref="F41:F43"/>
    <mergeCell ref="G41:G43"/>
    <mergeCell ref="A42:B42"/>
    <mergeCell ref="A43:B43"/>
    <mergeCell ref="C43:D43"/>
    <mergeCell ref="C29:D29"/>
    <mergeCell ref="A16:B16"/>
    <mergeCell ref="C16:D16"/>
    <mergeCell ref="C11:D11"/>
    <mergeCell ref="C32:D32"/>
    <mergeCell ref="C34:D34"/>
    <mergeCell ref="C35:D35"/>
    <mergeCell ref="C31:D31"/>
    <mergeCell ref="A114:B114"/>
    <mergeCell ref="A133:B133"/>
    <mergeCell ref="A152:B152"/>
    <mergeCell ref="A145:B145"/>
    <mergeCell ref="C5:D5"/>
    <mergeCell ref="C48:D48"/>
    <mergeCell ref="C47:D47"/>
    <mergeCell ref="C27:D27"/>
    <mergeCell ref="C30:D30"/>
    <mergeCell ref="A122:B122"/>
    <mergeCell ref="C122:D122"/>
    <mergeCell ref="A123:B123"/>
    <mergeCell ref="C123:D123"/>
    <mergeCell ref="A103:B103"/>
    <mergeCell ref="C127:D127"/>
    <mergeCell ref="C128:D128"/>
    <mergeCell ref="C129:D129"/>
    <mergeCell ref="C131:D131"/>
    <mergeCell ref="A125:B125"/>
    <mergeCell ref="C125:D125"/>
    <mergeCell ref="C2:D2"/>
    <mergeCell ref="C3:D3"/>
    <mergeCell ref="C4:D4"/>
    <mergeCell ref="A5:B5"/>
    <mergeCell ref="A2:B2"/>
    <mergeCell ref="A3:B3"/>
    <mergeCell ref="A4:B4"/>
    <mergeCell ref="A26:B26"/>
    <mergeCell ref="C26:D26"/>
    <mergeCell ref="A19:D19"/>
    <mergeCell ref="C22:D22"/>
    <mergeCell ref="A22:B22"/>
    <mergeCell ref="A6:B6"/>
    <mergeCell ref="C6:D6"/>
    <mergeCell ref="C7:D7"/>
    <mergeCell ref="A8:B8"/>
    <mergeCell ref="C8:D8"/>
    <mergeCell ref="A9:B9"/>
    <mergeCell ref="C9:D9"/>
    <mergeCell ref="C10:D10"/>
    <mergeCell ref="C12:D12"/>
    <mergeCell ref="C14:D14"/>
    <mergeCell ref="C15:D15"/>
    <mergeCell ref="C17:D17"/>
    <mergeCell ref="C55:D55"/>
    <mergeCell ref="C210:D210"/>
    <mergeCell ref="A199:B199"/>
    <mergeCell ref="C204:D204"/>
    <mergeCell ref="C205:D205"/>
    <mergeCell ref="C206:D206"/>
    <mergeCell ref="C208:D208"/>
    <mergeCell ref="C199:D199"/>
    <mergeCell ref="C209:D209"/>
    <mergeCell ref="A126:B126"/>
    <mergeCell ref="C126:D126"/>
    <mergeCell ref="A136:D136"/>
    <mergeCell ref="C132:D132"/>
    <mergeCell ref="A100:B100"/>
    <mergeCell ref="C100:D100"/>
    <mergeCell ref="C104:D104"/>
    <mergeCell ref="C105:D105"/>
    <mergeCell ref="A106:B106"/>
    <mergeCell ref="C106:D106"/>
    <mergeCell ref="A107:B107"/>
    <mergeCell ref="C107:D107"/>
    <mergeCell ref="C124:D124"/>
    <mergeCell ref="C133:D133"/>
    <mergeCell ref="C114:D114"/>
    <mergeCell ref="C314:D314"/>
    <mergeCell ref="C300:D300"/>
    <mergeCell ref="C307:D307"/>
    <mergeCell ref="A200:B200"/>
    <mergeCell ref="C200:D200"/>
    <mergeCell ref="C201:D201"/>
    <mergeCell ref="A202:B202"/>
    <mergeCell ref="C202:D202"/>
    <mergeCell ref="A218:B218"/>
    <mergeCell ref="C218:D218"/>
    <mergeCell ref="A203:B203"/>
    <mergeCell ref="C203:D203"/>
    <mergeCell ref="A213:D213"/>
    <mergeCell ref="C215:D215"/>
    <mergeCell ref="A210:B210"/>
    <mergeCell ref="A221:B221"/>
    <mergeCell ref="C221:D221"/>
    <mergeCell ref="A229:B229"/>
    <mergeCell ref="C229:D229"/>
    <mergeCell ref="C225:D225"/>
    <mergeCell ref="A232:D232"/>
    <mergeCell ref="A235:B235"/>
    <mergeCell ref="C235:D235"/>
    <mergeCell ref="A255:B255"/>
    <mergeCell ref="A295:B295"/>
    <mergeCell ref="A300:B300"/>
    <mergeCell ref="A302:B302"/>
    <mergeCell ref="A1:G1"/>
    <mergeCell ref="C295:D295"/>
    <mergeCell ref="C302:D302"/>
    <mergeCell ref="C309:D309"/>
    <mergeCell ref="A98:D98"/>
    <mergeCell ref="A65:B65"/>
    <mergeCell ref="C65:D65"/>
    <mergeCell ref="C70:D70"/>
    <mergeCell ref="A193:D193"/>
    <mergeCell ref="A196:B196"/>
    <mergeCell ref="C196:D196"/>
    <mergeCell ref="C49:D49"/>
    <mergeCell ref="C50:D50"/>
    <mergeCell ref="C51:D51"/>
    <mergeCell ref="C53:D53"/>
    <mergeCell ref="C54:D54"/>
    <mergeCell ref="C71:D71"/>
    <mergeCell ref="C72:D72"/>
    <mergeCell ref="C74:D74"/>
    <mergeCell ref="C75:D75"/>
    <mergeCell ref="C67:D67"/>
    <mergeCell ref="E274:E276"/>
    <mergeCell ref="F274:F276"/>
    <mergeCell ref="G274:G276"/>
    <mergeCell ref="A275:B275"/>
    <mergeCell ref="C275:D275"/>
    <mergeCell ref="A276:B276"/>
    <mergeCell ref="C276:D276"/>
    <mergeCell ref="A277:B277"/>
    <mergeCell ref="C277:D277"/>
    <mergeCell ref="C289:D289"/>
    <mergeCell ref="A290:B290"/>
    <mergeCell ref="C290:D290"/>
    <mergeCell ref="A291:D291"/>
    <mergeCell ref="C280:D280"/>
    <mergeCell ref="A281:B281"/>
    <mergeCell ref="C281:D281"/>
    <mergeCell ref="C282:D282"/>
    <mergeCell ref="C283:D283"/>
    <mergeCell ref="C284:D284"/>
    <mergeCell ref="C286:D286"/>
    <mergeCell ref="C287:D287"/>
    <mergeCell ref="A288:B288"/>
    <mergeCell ref="C288:D288"/>
  </mergeCells>
  <phoneticPr fontId="5" type="noConversion"/>
  <pageMargins left="0.25" right="0.25" top="0.75" bottom="0.75" header="0.3" footer="0.3"/>
  <pageSetup scale="97" fitToHeight="0" orientation="landscape" r:id="rId1"/>
  <headerFooter>
    <oddHeader>&amp;LATTACHMENT 1 - PRICING TABLE&amp;CUSCAxxx&amp;"-,Bold"-&amp;"-,Regular" ONSITE DRUG LAB (SUB-CLIN 0001 and CLIN 1001)</oddHeader>
    <oddFooter>&amp;L&amp;P</oddFooter>
  </headerFooter>
  <rowBreaks count="6" manualBreakCount="6">
    <brk id="40" max="6" man="1"/>
    <brk id="80" max="6" man="1"/>
    <brk id="118" max="6" man="1"/>
    <brk id="156" max="6" man="1"/>
    <brk id="195" max="6" man="1"/>
    <brk id="2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ATTACHMENT 1 - Pricing</vt:lpstr>
      <vt:lpstr>'ATTACHMENT 1 - Pricing'!Print_Area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Lee</dc:creator>
  <cp:lastModifiedBy>AJ Lee</cp:lastModifiedBy>
  <cp:lastPrinted>2026-02-19T15:13:55Z</cp:lastPrinted>
  <dcterms:created xsi:type="dcterms:W3CDTF">2020-07-23T18:17:21Z</dcterms:created>
  <dcterms:modified xsi:type="dcterms:W3CDTF">2026-03-19T19:42:33Z</dcterms:modified>
</cp:coreProperties>
</file>