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flankspeed-my.sharepoint-mil.us/personal/amy_g_davis_civ_us_navy_mil/Documents/Desktop/SRA Attachments/"/>
    </mc:Choice>
  </mc:AlternateContent>
  <xr:revisionPtr revIDLastSave="0" documentId="8_{F343A1F1-E849-4545-9BB7-EBBA4BBDE994}" xr6:coauthVersionLast="47" xr6:coauthVersionMax="47" xr10:uidLastSave="{00000000-0000-0000-0000-000000000000}"/>
  <bookViews>
    <workbookView xWindow="8340" yWindow="2400" windowWidth="22935" windowHeight="15345" tabRatio="793" xr2:uid="{00000000-000D-0000-FFFF-FFFF00000000}"/>
  </bookViews>
  <sheets>
    <sheet name="Title Page Definition" sheetId="13" r:id="rId1"/>
    <sheet name="Title Page" sheetId="1" r:id="rId2"/>
    <sheet name="TDL Breakout Definition" sheetId="14" r:id="rId3"/>
    <sheet name="TDL 1 Breakout One tab per TDL" sheetId="10" r:id="rId4"/>
    <sheet name="TDL 2 Breakout" sheetId="17" r:id="rId5"/>
    <sheet name="Sheet1" sheetId="12" state="hidden"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<sst xmlns="http://schemas.openxmlformats.org/spreadsheetml/2006/main" count="401" uniqueCount="202">
  <si>
    <t>Contractor's Name</t>
  </si>
  <si>
    <t>Program/System Nomenclature</t>
  </si>
  <si>
    <t>Date of Report</t>
  </si>
  <si>
    <t>Period Covered by Report</t>
  </si>
  <si>
    <t>Title of Report</t>
  </si>
  <si>
    <t>CDRL #</t>
  </si>
  <si>
    <t>Security Classification or other appropriate markings</t>
  </si>
  <si>
    <t>Project Name</t>
  </si>
  <si>
    <t>Expenditures to Date</t>
  </si>
  <si>
    <t>Funding Balance</t>
  </si>
  <si>
    <t>Prime Contract No</t>
  </si>
  <si>
    <t>TO Number</t>
  </si>
  <si>
    <t>Invoice Number</t>
  </si>
  <si>
    <t>Invoice Date</t>
  </si>
  <si>
    <t>Billing Period</t>
  </si>
  <si>
    <t>Travel</t>
  </si>
  <si>
    <t>Material</t>
  </si>
  <si>
    <t>TDL #</t>
  </si>
  <si>
    <t>Subtask # (If Applicable)</t>
  </si>
  <si>
    <t xml:space="preserve">TDL1 </t>
  </si>
  <si>
    <t>Current Reg Hrs</t>
  </si>
  <si>
    <t>Current UT/TTA Hrs</t>
  </si>
  <si>
    <t>Total Current Hrs</t>
  </si>
  <si>
    <t>Date Issued</t>
  </si>
  <si>
    <t>EAC</t>
  </si>
  <si>
    <t xml:space="preserve">a. Description of the progress made against milestones during the reporting period. Specifically address the value-added tasks performed by the prime contractor when work is performed by a subcontractor; clearly identify the key and non-key personnel performing the tasks described. </t>
  </si>
  <si>
    <t xml:space="preserve">c. Whether the task is on schedule, ahead of schedule, or behind schedule. Discuss what steps are being or will be taken to complete all requirements on time if possible, or provide a proposed revised schedule based on best current estimates if behind schedule. </t>
  </si>
  <si>
    <t xml:space="preserve">d. The status of all assigned deliverables, including title, CDRL number, due date, date delivered, Contractor point of contact and description or title of deliverable(s). The report for each contract period shall include a cumulative list of all deliverable items provided. </t>
  </si>
  <si>
    <t>Material Purchases</t>
  </si>
  <si>
    <t>Description</t>
  </si>
  <si>
    <t xml:space="preserve">Quantity </t>
  </si>
  <si>
    <t>Purpose</t>
  </si>
  <si>
    <t>Vendor</t>
  </si>
  <si>
    <t>Unit Price</t>
  </si>
  <si>
    <t>Disposition</t>
  </si>
  <si>
    <t>Gov Approver if required by Contract</t>
  </si>
  <si>
    <t>Date of Travel</t>
  </si>
  <si>
    <t>Traveler</t>
  </si>
  <si>
    <t>Destination</t>
  </si>
  <si>
    <t>PO#</t>
  </si>
  <si>
    <t>Length (days)</t>
  </si>
  <si>
    <t>Estimated Cost</t>
  </si>
  <si>
    <t>Actual Cost</t>
  </si>
  <si>
    <t>Outstanding Commitments</t>
  </si>
  <si>
    <t>LABOR</t>
  </si>
  <si>
    <t>Estimated Amount $</t>
  </si>
  <si>
    <t>Estimated HRS</t>
  </si>
  <si>
    <t>Funded HRS Bal</t>
  </si>
  <si>
    <t>Cost Incurred To-Date (Total)</t>
  </si>
  <si>
    <t>Current Travel</t>
  </si>
  <si>
    <t>Other ODC</t>
  </si>
  <si>
    <t>Current Material</t>
  </si>
  <si>
    <t>Current Other ODC</t>
  </si>
  <si>
    <t>Projected date for 75% notification (Based on expenditure to-date)</t>
  </si>
  <si>
    <t>SME SPT LOE 12 mo</t>
  </si>
  <si>
    <t>Funded Hrs</t>
  </si>
  <si>
    <t>Variance (between estimated and actual costs)</t>
  </si>
  <si>
    <t>FUNDED</t>
  </si>
  <si>
    <t>Month 1</t>
  </si>
  <si>
    <t>Month 2</t>
  </si>
  <si>
    <t>Month 3</t>
  </si>
  <si>
    <t>Month 4</t>
  </si>
  <si>
    <t>Month 5</t>
  </si>
  <si>
    <t>Month 6</t>
  </si>
  <si>
    <t>Month 7</t>
  </si>
  <si>
    <t>Month 8</t>
  </si>
  <si>
    <t>Month 9</t>
  </si>
  <si>
    <t>Month 10</t>
  </si>
  <si>
    <t>Month 11</t>
  </si>
  <si>
    <t>Month 12</t>
  </si>
  <si>
    <t>Justification</t>
  </si>
  <si>
    <t>Government approval date</t>
  </si>
  <si>
    <t>Subtask (if applicable)</t>
  </si>
  <si>
    <t>Estimate</t>
  </si>
  <si>
    <t>LCAT</t>
  </si>
  <si>
    <t>Analyst, Senior</t>
  </si>
  <si>
    <t>Employee Identifier</t>
  </si>
  <si>
    <t xml:space="preserve">Contractor's Address </t>
  </si>
  <si>
    <t>Name of issuing Government Agency</t>
  </si>
  <si>
    <t>Funding Received $</t>
  </si>
  <si>
    <t>Cumulative Reg Hrs</t>
  </si>
  <si>
    <t>Cumulative UT/TTA Hrs</t>
  </si>
  <si>
    <t>Total Cumulative Hrs</t>
  </si>
  <si>
    <t>Cumulative Travel</t>
  </si>
  <si>
    <t>Cumulative Material</t>
  </si>
  <si>
    <t>Cumulative Other ODC</t>
  </si>
  <si>
    <t>Cumulative Total:</t>
  </si>
  <si>
    <t>Government approver</t>
  </si>
  <si>
    <t xml:space="preserve">b. Identification of problem areas affecting technical, scheduling, or costs elements with background and any recommendations for solutions beyond the scope of the contract. Specifically, address results, positive or negative, obtained related to previously-identified program areas, with conclusions and recommendations for solutions. </t>
  </si>
  <si>
    <t>CLIN</t>
  </si>
  <si>
    <t>PoP Start</t>
  </si>
  <si>
    <t>PoP End</t>
  </si>
  <si>
    <t>Title</t>
  </si>
  <si>
    <t>Definition</t>
  </si>
  <si>
    <t>Contractor's Address</t>
  </si>
  <si>
    <t>Enter the name of the contractor</t>
  </si>
  <si>
    <t>Enter the address of the contractor</t>
  </si>
  <si>
    <t>Enter the contract number</t>
  </si>
  <si>
    <t>TDL 1 Breakout One tab per TDL - Definition</t>
  </si>
  <si>
    <t>Column Title</t>
  </si>
  <si>
    <t>Definitions</t>
  </si>
  <si>
    <t>TRAVEL</t>
  </si>
  <si>
    <t>MATERIAL</t>
  </si>
  <si>
    <t>OTHER ODC</t>
  </si>
  <si>
    <t>MATERIAL PURCHASES</t>
  </si>
  <si>
    <t>Enter the Prime Contract Number</t>
  </si>
  <si>
    <t>Enter the Task Order (TO) Number</t>
  </si>
  <si>
    <t>Enter the CLIN number</t>
  </si>
  <si>
    <t xml:space="preserve">Funded HRS Bal </t>
  </si>
  <si>
    <t>Enter the Estimated Cost for the Material</t>
  </si>
  <si>
    <t>Enter the Actual Cost for the Material</t>
  </si>
  <si>
    <t>Enter the Traveler's destination</t>
  </si>
  <si>
    <t>Enter the reason for the travel</t>
  </si>
  <si>
    <t>Enter the Government Approver</t>
  </si>
  <si>
    <t>Enter the Technical Direction Letter Number</t>
  </si>
  <si>
    <t>Title Page</t>
  </si>
  <si>
    <t>Current Expenditures</t>
  </si>
  <si>
    <t>Enter the Expenditures for the current reporting period (dollar amount)</t>
  </si>
  <si>
    <t>Enter in current Uncompensated Time/Total Time Accounting hours for the reporting period</t>
  </si>
  <si>
    <t>Enter the Subtask number if Travel is specific to a Subtask on the TDL</t>
  </si>
  <si>
    <t>Enter the Technical Direction Letter Title</t>
  </si>
  <si>
    <t>Enter the Subtask number (If Applicable)</t>
  </si>
  <si>
    <t>Enter a high level description of the TDL</t>
  </si>
  <si>
    <t>Enter the Labor Categories applicable to the TDL (Note: Rows can be added as needed)</t>
  </si>
  <si>
    <t>Enter the Date TDL was signed by the KO</t>
  </si>
  <si>
    <t>Enter the Estimated TDL Value (numbers)</t>
  </si>
  <si>
    <t>Enter the Estimated TDL Hours</t>
  </si>
  <si>
    <t>Enter the Funding Received per the latest MOD (dollar amount)</t>
  </si>
  <si>
    <t>Enter the Funded Hours per the latest MOD</t>
  </si>
  <si>
    <t>Enter the funding balance (Funding Received - Cost Incurred To-Date)</t>
  </si>
  <si>
    <t>Enter the funding hours balance (Funded Hours - Total Current Hours)</t>
  </si>
  <si>
    <t>Enter the Current Regular Hours expended for the reporting period</t>
  </si>
  <si>
    <t xml:space="preserve">Enter the current travel cost for the reporting period </t>
  </si>
  <si>
    <t>Enter any outstanding travel commitments</t>
  </si>
  <si>
    <t>Enter the current material cost for the reporting period</t>
  </si>
  <si>
    <t>Enter any outstanding material commitments</t>
  </si>
  <si>
    <t>Enter the current cost for any other ODCs for the reporting period  (i.e. field services)</t>
  </si>
  <si>
    <t>Enter the Subtask number if Material is specific to a Subtask on the TDL</t>
  </si>
  <si>
    <t>Enter the Purchase Order Number for the material</t>
  </si>
  <si>
    <t>Enter a high level description of the Material purchased</t>
  </si>
  <si>
    <t>Who from the Government approved the material purchase, if under approval thresholds, who was the material purchased for.</t>
  </si>
  <si>
    <t>Enter the Cumulative Total of Travel during the reporting period (should match the Current Travel column)</t>
  </si>
  <si>
    <t>Enter the Traveler's name</t>
  </si>
  <si>
    <t>Enter the date  the travel commenced</t>
  </si>
  <si>
    <t>Enter the estimated cost for the trip</t>
  </si>
  <si>
    <t>Enter the actual Cost for the trip</t>
  </si>
  <si>
    <t>Enter any outstanding labor commitments (i.e. subcontractor costs)</t>
  </si>
  <si>
    <t>Enter the Total Current Expended Hours for the reporting period (Current Reg Hrs. + Current UT/TTA Hrs.)</t>
  </si>
  <si>
    <t>Enter the date when 75% of the funding will be exhausted</t>
  </si>
  <si>
    <t>Enter any other outstanding ODC commitments (i.e. field services)</t>
  </si>
  <si>
    <t>Enter the Cumulative Total of Material purchased during the reporting period (should match the Current Material column)</t>
  </si>
  <si>
    <t>*Add Rows as needed</t>
  </si>
  <si>
    <t>*Field Services or other ODC fields to be added based on specific procurement requirements</t>
  </si>
  <si>
    <t>Enter the Unit Price for the Material</t>
  </si>
  <si>
    <t>Enter the dates this report covers (start date through end date)</t>
  </si>
  <si>
    <t>Enter the Title of Report ( Contracting Officer’s Representative (COR) Management Report for Technical Direction Letters (TDLs))</t>
  </si>
  <si>
    <t>Enter the CDRL number (Pull from awarded CDRLs)</t>
  </si>
  <si>
    <t>Enter the date the report is being generated</t>
  </si>
  <si>
    <t>Provide the name of the Government Agency (NAWCAD WOLF XXXX Division)</t>
  </si>
  <si>
    <t>Enter the name of the Contract</t>
  </si>
  <si>
    <t>Enter the security classification or other appropriate markings (i.e. CUI, Proprietary)</t>
  </si>
  <si>
    <t>Enter the date the Invoice is generated</t>
  </si>
  <si>
    <t>Enter the Billing Period (Start Date through End Date)</t>
  </si>
  <si>
    <t>Enter the Employee's Contractor Identification Number</t>
  </si>
  <si>
    <t>Enter the Invoice Number the Material was purchased under</t>
  </si>
  <si>
    <t>Enter the reason for the Material purchase (this should include the specific project supported)</t>
  </si>
  <si>
    <t>Enter the Vendor the material was purchased from</t>
  </si>
  <si>
    <t>Enter the Quantity purchased</t>
  </si>
  <si>
    <t>What is the disposition of the Material (i.e. has the material been transferred to the Government; is it still in the Contractor's possession)</t>
  </si>
  <si>
    <t>Enter the total number of days for the trip</t>
  </si>
  <si>
    <t>Enter the Justification for the travel (this should include the specific project supported)</t>
  </si>
  <si>
    <t>Enter the date the Government provided Approval</t>
  </si>
  <si>
    <t>TDL2</t>
  </si>
  <si>
    <t>Enter the Contractor Invoice Number</t>
  </si>
  <si>
    <t>Enter the Difference in the cost (Actual Cost - Estimated Cost)</t>
  </si>
  <si>
    <t>Enter the TO/Option Period of Performance Start date</t>
  </si>
  <si>
    <t>Enter the TO/Option Period of Performance End date</t>
  </si>
  <si>
    <t>Enter the Cumulative Reg Hours Expended for the TO/Option PoP</t>
  </si>
  <si>
    <t>Enter the Cumulative Uncompensated Time/Total Time Accounting Hours Expended for the TO/Option PoP</t>
  </si>
  <si>
    <t>Enter the Cumulative Hours Expended for the TO/Option PoP (Cumulative Reg Hours + Cumulative UT/TTA Hrs.)</t>
  </si>
  <si>
    <t>Enter the projected Estimate at Completion (What will the total cost be at the end of the TO/Option PoP)</t>
  </si>
  <si>
    <t>Enter the total cumulative travel cost for the TO/Option PoP</t>
  </si>
  <si>
    <t>Enter the cumulative material cost for the TO/Option PoP</t>
  </si>
  <si>
    <t>Enter the cumulative cost for any other ODCs for the TO/Option PoP (i.e. field services)</t>
  </si>
  <si>
    <t>Instructions:</t>
  </si>
  <si>
    <t>Data in all cells on all tabs is sample data only</t>
  </si>
  <si>
    <t>A tab should be added for each individual TDL</t>
  </si>
  <si>
    <t>Rows can be added, do not change the columns</t>
  </si>
  <si>
    <t xml:space="preserve">e. Plans and recommendations for activities at TDL level during the next reporting period; </t>
  </si>
  <si>
    <t xml:space="preserve">f. Identify any new subcontractors approved during the reporting period and any proposed subcontractors/consultants for the next reporting period. Their capability set and areas of expertise shall be thoroughly addressed. </t>
  </si>
  <si>
    <t>Ensure work accomplishments sections a - f are completed for each TDL</t>
  </si>
  <si>
    <t>Enter total Cumulative Expenditures to-date to include outstanding labor commitments</t>
  </si>
  <si>
    <t>*Total TDL Funding based on the data provided above</t>
  </si>
  <si>
    <t>*Total TDL Expenditures to date based on the data provided above</t>
  </si>
  <si>
    <t>*Total TDL EAC based on the data provided above</t>
  </si>
  <si>
    <t>*Total TDL Estimate based on the data provided above</t>
  </si>
  <si>
    <t>Contract Number</t>
  </si>
  <si>
    <t>Task Order Number</t>
  </si>
  <si>
    <t>Enter the task order number</t>
  </si>
  <si>
    <t>System "X" Installation</t>
  </si>
  <si>
    <t>*Adjust Title and Columns/Rows as needed (i.e. Pop/Invoice # or title or add additional months if needed)</t>
  </si>
  <si>
    <t>TDL CDRL attachment COR/TPOC December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</si>
</sst>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0" x14ac:knownFonts="1">
    <font>
      <sz val="11"/>
      <color theme="1"/>
      <name val="Calibri"/>
      <family val="2"/>
      <scheme val="minor"/>
    </font>
    <font>
      <sz val="11"/>
      <color theme="1"/>
      <name val="Calibri"/>
      <family val="2"/>
      <scheme val="minor"/>
    </font>
    <font>
      <sz val="11"/>
      <color rgb="FFFF0000"/>
      <name val="Calibri"/>
      <family val="2"/>
      <scheme val="minor"/>
    </font>
    <font>
      <b/>
      <sz val="14"/>
      <color theme="1"/>
      <name val="Calibri"/>
      <family val="2"/>
      <scheme val="minor"/>
    </font>
    <font>
      <sz val="10"/>
      <name val="Calibri"/>
      <family val="2"/>
      <scheme val="minor"/>
    </font>
    <font>
      <b/>
      <sz val="10"/>
      <color rgb="FF002060"/>
      <name val="Calibri"/>
      <family val="2"/>
      <scheme val="minor"/>
    </font>
    <font>
      <sz val="11.5"/>
      <name val="Calibri"/>
      <family val="2"/>
      <scheme val="minor"/>
    </font>
    <font>
      <sz val="12"/>
      <color theme="1"/>
      <name val="Calibri"/>
      <family val="2"/>
      <scheme val="minor"/>
    </font>
    <font>
      <b/>
      <sz val="12"/>
      <color theme="1"/>
      <name val="Calibri"/>
      <family val="2"/>
      <scheme val="minor"/>
    </font>
    <font>
      <b/>
      <sz val="11"/>
      <color rgb="FFFF0000"/>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5" tint="0.39997558519241921"/>
        <bgColor indexed="64"/>
      </patternFill>
    </fill>
    <fill>
      <patternFill patternType="solid">
        <fgColor rgb="FF92D050"/>
        <bgColor indexed="64"/>
      </patternFill>
    </fill>
    <fill>
      <patternFill patternType="solid">
        <fgColor rgb="FFBC8FDD"/>
        <bgColor indexed="64"/>
      </patternFill>
    </fill>
    <fill>
      <patternFill patternType="solid">
        <fgColor theme="0" tint="-0.249977111117893"/>
        <bgColor indexed="64"/>
      </patternFill>
    </fill>
    <fill>
      <patternFill patternType="solid">
        <fgColor rgb="FFFFC00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thin">
        <color indexed="64"/>
      </bottom>
      <diagonal/>
    </border>
  </borders>
  <cellStyleXfs count="2">
    <xf numFmtId="0" fontId="0" fillId="0" borderId="0"/>
    <xf numFmtId="44" fontId="1" fillId="0" borderId="0" applyFont="0" applyFill="0" applyBorder="0" applyAlignment="0" applyProtection="0"/>
  </cellStyleXfs>
  <cellXfs count="88">
    <xf numFmtId="0" fontId="0" fillId="0" borderId="0" xfId="0"/>
    <xf numFmtId="0" fontId="2" fillId="0" borderId="0" xfId="0" applyFont="1"/>
    <xf numFmtId="0" fontId="2" fillId="0" borderId="7" xfId="0" applyFont="1" applyBorder="1"/>
    <xf numFmtId="0" fontId="2" fillId="0" borderId="8" xfId="0" applyFont="1" applyBorder="1"/>
    <xf numFmtId="15" fontId="2" fillId="0" borderId="8" xfId="0" applyNumberFormat="1" applyFont="1" applyBorder="1"/>
    <xf numFmtId="44" fontId="2" fillId="0" borderId="8" xfId="1" applyFont="1" applyBorder="1"/>
    <xf numFmtId="2" fontId="2" fillId="0" borderId="8" xfId="0" applyNumberFormat="1" applyFont="1" applyBorder="1"/>
    <xf numFmtId="44" fontId="2" fillId="0" borderId="8" xfId="0" applyNumberFormat="1" applyFont="1" applyBorder="1"/>
    <xf numFmtId="0" fontId="2" fillId="0" borderId="9" xfId="0" applyFont="1" applyBorder="1"/>
    <xf numFmtId="0" fontId="0" fillId="0" borderId="1" xfId="0" applyFont="1" applyBorder="1"/>
    <xf numFmtId="0" fontId="0" fillId="0" borderId="6" xfId="0" applyFont="1" applyBorder="1"/>
    <xf numFmtId="0" fontId="0" fillId="0" borderId="0" xfId="0" applyFont="1"/>
    <xf numFmtId="0" fontId="0" fillId="0" borderId="2" xfId="0" applyFont="1" applyBorder="1"/>
    <xf numFmtId="0" fontId="0" fillId="0" borderId="3" xfId="0" applyFont="1" applyBorder="1"/>
    <xf numFmtId="0" fontId="0" fillId="0" borderId="5" xfId="0" applyFont="1" applyBorder="1"/>
    <xf numFmtId="0" fontId="0" fillId="0" borderId="1" xfId="0" applyFont="1" applyBorder="1" applyAlignment="1">
      <alignment horizontal="center"/>
    </xf>
    <xf numFmtId="0" fontId="0" fillId="0" borderId="6" xfId="0" applyFont="1" applyBorder="1" applyAlignment="1">
      <alignment horizontal="center"/>
    </xf>
    <xf numFmtId="0" fontId="0" fillId="0" borderId="7" xfId="0" applyFont="1" applyBorder="1"/>
    <xf numFmtId="0" fontId="0" fillId="0" borderId="8" xfId="0" applyFont="1" applyBorder="1"/>
    <xf numFmtId="0" fontId="0" fillId="0" borderId="8" xfId="0" applyFont="1" applyBorder="1" applyAlignment="1"/>
    <xf numFmtId="0" fontId="0" fillId="0" borderId="0" xfId="0" applyFont="1" applyBorder="1"/>
    <xf numFmtId="0" fontId="0" fillId="0" borderId="12" xfId="0" applyFont="1" applyBorder="1" applyAlignment="1"/>
    <xf numFmtId="0" fontId="4" fillId="0" borderId="2" xfId="0" applyFont="1" applyFill="1" applyBorder="1"/>
    <xf numFmtId="14" fontId="4" fillId="0" borderId="3" xfId="0" applyNumberFormat="1" applyFont="1" applyBorder="1"/>
    <xf numFmtId="14" fontId="0" fillId="0" borderId="3" xfId="0" applyNumberFormat="1" applyFont="1" applyBorder="1"/>
    <xf numFmtId="14" fontId="0" fillId="0" borderId="4" xfId="0" applyNumberFormat="1" applyFont="1" applyBorder="1"/>
    <xf numFmtId="0" fontId="5" fillId="0" borderId="5" xfId="0" applyFont="1" applyBorder="1"/>
    <xf numFmtId="0" fontId="4" fillId="0" borderId="5" xfId="0" applyFont="1" applyFill="1" applyBorder="1"/>
    <xf numFmtId="0" fontId="5" fillId="0" borderId="7" xfId="0" applyFont="1" applyBorder="1"/>
    <xf numFmtId="44" fontId="4" fillId="3" borderId="1" xfId="1" applyFont="1" applyFill="1" applyBorder="1"/>
    <xf numFmtId="44" fontId="4" fillId="3" borderId="6" xfId="1" applyFont="1" applyFill="1" applyBorder="1"/>
    <xf numFmtId="44" fontId="4" fillId="4" borderId="1" xfId="1" applyFont="1" applyFill="1" applyBorder="1"/>
    <xf numFmtId="44" fontId="4" fillId="4" borderId="6" xfId="1" applyFont="1" applyFill="1" applyBorder="1"/>
    <xf numFmtId="44" fontId="4" fillId="5" borderId="1" xfId="1" applyFont="1" applyFill="1" applyBorder="1"/>
    <xf numFmtId="44" fontId="4" fillId="5" borderId="6" xfId="1" applyFont="1" applyFill="1" applyBorder="1"/>
    <xf numFmtId="44" fontId="5" fillId="6" borderId="8" xfId="1" applyFont="1" applyFill="1" applyBorder="1"/>
    <xf numFmtId="44" fontId="5" fillId="6" borderId="9" xfId="1" applyFont="1" applyFill="1" applyBorder="1"/>
    <xf numFmtId="0" fontId="0" fillId="0" borderId="17" xfId="0" applyFont="1" applyBorder="1" applyAlignment="1">
      <alignment horizontal="center"/>
    </xf>
    <xf numFmtId="0" fontId="0" fillId="0" borderId="18" xfId="0" applyFont="1" applyBorder="1" applyAlignment="1">
      <alignment horizontal="center"/>
    </xf>
    <xf numFmtId="0" fontId="0" fillId="0" borderId="0" xfId="0" applyFont="1" applyAlignment="1">
      <alignment horizontal="center"/>
    </xf>
    <xf numFmtId="0" fontId="0" fillId="0" borderId="5" xfId="0" applyFont="1" applyBorder="1" applyAlignment="1">
      <alignment horizontal="center"/>
    </xf>
    <xf numFmtId="0" fontId="0" fillId="0" borderId="15" xfId="0" applyFont="1" applyBorder="1"/>
    <xf numFmtId="0" fontId="0" fillId="0" borderId="22" xfId="0" applyFont="1" applyBorder="1" applyAlignment="1">
      <alignment horizontal="center"/>
    </xf>
    <xf numFmtId="0" fontId="2" fillId="0" borderId="12" xfId="0" applyFont="1" applyBorder="1"/>
    <xf numFmtId="0" fontId="7" fillId="2" borderId="16" xfId="0" applyFont="1" applyFill="1" applyBorder="1" applyAlignment="1">
      <alignment horizontal="center" vertical="center"/>
    </xf>
    <xf numFmtId="0" fontId="7" fillId="2" borderId="18" xfId="0" applyFont="1" applyFill="1" applyBorder="1"/>
    <xf numFmtId="0" fontId="7" fillId="0" borderId="5" xfId="0" applyFont="1" applyBorder="1" applyAlignment="1">
      <alignment horizontal="center" vertical="center"/>
    </xf>
    <xf numFmtId="0" fontId="7" fillId="0" borderId="6" xfId="0" applyFont="1" applyBorder="1" applyAlignment="1">
      <alignment horizontal="left" vertical="center"/>
    </xf>
    <xf numFmtId="0" fontId="7" fillId="0" borderId="7" xfId="0" applyFont="1" applyBorder="1" applyAlignment="1">
      <alignment horizontal="center" vertical="center"/>
    </xf>
    <xf numFmtId="0" fontId="7" fillId="0" borderId="9" xfId="0" applyFont="1" applyBorder="1" applyAlignment="1">
      <alignment horizontal="left" vertical="center"/>
    </xf>
    <xf numFmtId="0" fontId="8" fillId="0" borderId="0" xfId="0" applyFont="1"/>
    <xf numFmtId="0" fontId="8" fillId="2" borderId="4" xfId="0" applyFont="1" applyFill="1" applyBorder="1"/>
    <xf numFmtId="0" fontId="7" fillId="0" borderId="5" xfId="0" applyFont="1" applyBorder="1" applyAlignment="1"/>
    <xf numFmtId="0" fontId="7" fillId="0" borderId="1" xfId="0" applyFont="1" applyBorder="1" applyAlignment="1"/>
    <xf numFmtId="0" fontId="7" fillId="0" borderId="6" xfId="0" applyFont="1" applyBorder="1"/>
    <xf numFmtId="0" fontId="7" fillId="0" borderId="5" xfId="0" applyFont="1" applyBorder="1"/>
    <xf numFmtId="0" fontId="7" fillId="0" borderId="1" xfId="0" applyFont="1" applyBorder="1"/>
    <xf numFmtId="0" fontId="7" fillId="0" borderId="1" xfId="0" applyFont="1" applyFill="1" applyBorder="1"/>
    <xf numFmtId="0" fontId="7" fillId="0" borderId="6" xfId="0" applyFont="1" applyFill="1" applyBorder="1"/>
    <xf numFmtId="0" fontId="7" fillId="0" borderId="9" xfId="0" applyFont="1" applyBorder="1"/>
    <xf numFmtId="0" fontId="7" fillId="0" borderId="22" xfId="0" applyFont="1" applyBorder="1"/>
    <xf numFmtId="0" fontId="7" fillId="0" borderId="22" xfId="0" applyFont="1" applyFill="1" applyBorder="1"/>
    <xf numFmtId="0" fontId="7" fillId="0" borderId="12" xfId="0" applyFont="1" applyFill="1" applyBorder="1"/>
    <xf numFmtId="0" fontId="6" fillId="0" borderId="0" xfId="0" applyFont="1" applyBorder="1" applyAlignment="1">
      <alignment vertical="center" wrapText="1"/>
    </xf>
    <xf numFmtId="0" fontId="9" fillId="0" borderId="0" xfId="0" applyFont="1"/>
    <xf numFmtId="0" fontId="0" fillId="0" borderId="0" xfId="0" applyFont="1" applyAlignment="1">
      <alignment horizontal="center"/>
    </xf>
    <xf numFmtId="0" fontId="7" fillId="8" borderId="2" xfId="0" applyFont="1" applyFill="1" applyBorder="1" applyAlignment="1">
      <alignment horizontal="center"/>
    </xf>
    <xf numFmtId="0" fontId="7" fillId="8" borderId="4" xfId="0" applyFont="1" applyFill="1" applyBorder="1" applyAlignment="1">
      <alignment horizontal="center"/>
    </xf>
    <xf numFmtId="0" fontId="8" fillId="0" borderId="24" xfId="0" applyFont="1" applyBorder="1" applyAlignment="1">
      <alignment horizontal="center" vertical="center" textRotation="90"/>
    </xf>
    <xf numFmtId="0" fontId="8" fillId="0" borderId="25" xfId="0" applyFont="1" applyBorder="1" applyAlignment="1">
      <alignment horizontal="center" vertical="center" textRotation="90"/>
    </xf>
    <xf numFmtId="0" fontId="8" fillId="0" borderId="26" xfId="0" applyFont="1" applyBorder="1" applyAlignment="1">
      <alignment horizontal="center" vertical="center" textRotation="90"/>
    </xf>
    <xf numFmtId="0" fontId="8" fillId="2" borderId="13" xfId="0" applyFont="1" applyFill="1" applyBorder="1" applyAlignment="1">
      <alignment horizontal="center"/>
    </xf>
    <xf numFmtId="0" fontId="8" fillId="2" borderId="15" xfId="0" applyFont="1" applyFill="1" applyBorder="1" applyAlignment="1">
      <alignment horizontal="center"/>
    </xf>
    <xf numFmtId="0" fontId="8" fillId="0" borderId="5" xfId="0" applyFont="1" applyBorder="1" applyAlignment="1">
      <alignment horizontal="center" vertical="center" textRotation="90"/>
    </xf>
    <xf numFmtId="0" fontId="8" fillId="0" borderId="23" xfId="0" applyFont="1" applyBorder="1" applyAlignment="1">
      <alignment horizontal="center" vertical="center" textRotation="90"/>
    </xf>
    <xf numFmtId="0" fontId="3" fillId="7" borderId="3" xfId="0" applyFont="1" applyFill="1" applyBorder="1" applyAlignment="1">
      <alignment horizontal="center"/>
    </xf>
    <xf numFmtId="0" fontId="3" fillId="7" borderId="4" xfId="0" applyFont="1" applyFill="1" applyBorder="1" applyAlignment="1">
      <alignment horizontal="center"/>
    </xf>
    <xf numFmtId="0" fontId="6" fillId="0" borderId="0" xfId="0" applyFont="1" applyAlignment="1">
      <alignment horizontal="center" vertical="center" wrapText="1"/>
    </xf>
    <xf numFmtId="0" fontId="0" fillId="7" borderId="10" xfId="0" applyFont="1" applyFill="1" applyBorder="1" applyAlignment="1">
      <alignment horizontal="center"/>
    </xf>
    <xf numFmtId="0" fontId="0" fillId="7" borderId="11" xfId="0" applyFont="1" applyFill="1" applyBorder="1" applyAlignment="1">
      <alignment horizontal="center"/>
    </xf>
    <xf numFmtId="0" fontId="0" fillId="7" borderId="13" xfId="0" applyFont="1" applyFill="1" applyBorder="1" applyAlignment="1">
      <alignment horizontal="center"/>
    </xf>
    <xf numFmtId="0" fontId="0" fillId="7" borderId="14" xfId="0" applyFont="1" applyFill="1" applyBorder="1" applyAlignment="1">
      <alignment horizontal="center"/>
    </xf>
    <xf numFmtId="0" fontId="0" fillId="7" borderId="27" xfId="0" applyFont="1" applyFill="1" applyBorder="1" applyAlignment="1">
      <alignment horizontal="center"/>
    </xf>
    <xf numFmtId="0" fontId="0" fillId="7" borderId="19" xfId="0" applyFont="1" applyFill="1" applyBorder="1" applyAlignment="1">
      <alignment horizontal="center"/>
    </xf>
    <xf numFmtId="0" fontId="0" fillId="7" borderId="20" xfId="0" applyFont="1" applyFill="1" applyBorder="1" applyAlignment="1">
      <alignment horizontal="center"/>
    </xf>
    <xf numFmtId="0" fontId="0" fillId="7" borderId="21" xfId="0" applyFont="1" applyFill="1" applyBorder="1" applyAlignment="1">
      <alignment horizontal="center"/>
    </xf>
    <xf numFmtId="0" fontId="0" fillId="0" borderId="0" xfId="0" applyFont="1" applyAlignment="1">
      <alignment horizontal="center"/>
    </xf>
    <xf numFmtId="0" fontId="0" fillId="0" borderId="0" xfId="0" applyFont="1" applyAlignment="1">
      <alignment horizontal="center" wrapText="1"/>
    </xf>
  </cellXfs>
  <cellStyles count="2">
    <cellStyle name="Currency" xfId="1" builtinId="4"/>
    <cellStyle name="Normal" xfId="0" builtinId="0"/>
  </cellStyles>
  <dxfs count="0"/>
  <tableStyles count="0" defaultTableStyle="TableStyleMedium2" defaultPivotStyle="PivotStyleLight16"/>
  <colors>
    <mruColors>
      <color rgb="FFBC8F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'TDL 1 Breakout One tab per TDL'!$A$31</c:f>
              <c:strCache>
                <c:ptCount val="1"/>
                <c:pt idx="0">
                  <c:v>FUNDED</c:v>
                </c:pt>
              </c:strCache>
            </c:strRef>
          </c:tx>
          <c:spPr>
            <a:ln w="28575" cap="rnd">
              <a:solidFill>
                <a:srgbClr val="0070C0"/>
              </a:solidFill>
              <a:round/>
            </a:ln>
            <a:effectLst/>
          </c:spPr>
          <c:marker>
            <c:symbol val="circle"/>
            <c:size val="5"/>
            <c:spPr>
              <a:solidFill>
                <a:srgbClr val="0070C0"/>
              </a:solidFill>
              <a:ln w="9525">
                <a:solidFill>
                  <a:srgbClr val="0070C0"/>
                </a:solidFill>
              </a:ln>
              <a:effectLst/>
            </c:spPr>
          </c:marker>
          <c:cat>
            <c:strRef>
              <c:f>'TDL 1 Breakout One tab per TDL'!$B$30:$M$30</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'TDL 1 Breakout One tab per TDL'!$B$31:$M$31</c:f>
              <c:numCache>
                <c:formatCode>_("$"* #,##0.00_);_("$"* \(#,##0.00\);_("$"* "-"??_);_(@_)</c:formatCode>
                <c:ptCount val="12"/>
                <c:pt idx="0">
                  <c:v>25000</c:v>
                </c:pt>
                <c:pt idx="1">
                  <c:v>25000</c:v>
                </c:pt>
                <c:pt idx="2">
                  <c:v>25000</c:v>
                </c:pt>
                <c:pt idx="3">
                  <c:v>120000</c:v>
                </c:pt>
                <c:pt idx="4">
                  <c:v>350000</c:v>
                </c:pt>
                <c:pt idx="5">
                  <c:v>15000000</c:v>
                </c:pt>
                <c:pt idx="6">
                  <c:v>15000000</c:v>
                </c:pt>
                <c:pt idx="7">
                  <c:v>15000000</c:v>
                </c:pt>
                <c:pt idx="8">
                  <c:v>15000000</c:v>
                </c:pt>
                <c:pt idx="9">
                  <c:v>15000000</c:v>
                </c:pt>
                <c:pt idx="10">
                  <c:v>15000000</c:v>
                </c:pt>
                <c:pt idx="11">
                  <c:v>15000000</c:v>
                </c:pt>
              </c:numCache>
            </c:numRef>
          </c:val>
          <c:smooth val="0"/>
          <c:extLst>
            <c:ext xmlns:c16="http://schemas.microsoft.com/office/drawing/2014/chart" uri="{C3380CC4-5D6E-409C-BE32-E72D297353CC}">
              <c16:uniqueId val="{00000000-3116-405F-9DD0-2C71F0CE0139}"/>
            </c:ext>
          </c:extLst>
        </c:ser>
        <c:ser>
          <c:idx val="1"/>
          <c:order val="1"/>
          <c:tx>
            <c:strRef>
              <c:f>'TDL 1 Breakout One tab per TDL'!$A$32</c:f>
              <c:strCache>
                <c:ptCount val="1"/>
                <c:pt idx="0">
                  <c:v>Expenditures to Date</c:v>
                </c:pt>
              </c:strCache>
            </c:strRef>
          </c:tx>
          <c:spPr>
            <a:ln w="28575" cap="rnd">
              <a:solidFill>
                <a:schemeClr val="accent2">
                  <a:lumMod val="40000"/>
                  <a:lumOff val="60000"/>
                </a:schemeClr>
              </a:solidFill>
              <a:round/>
            </a:ln>
            <a:effectLst/>
          </c:spPr>
          <c:marker>
            <c:symbol val="circle"/>
            <c:size val="5"/>
            <c:spPr>
              <a:solidFill>
                <a:schemeClr val="accent2">
                  <a:lumMod val="40000"/>
                  <a:lumOff val="60000"/>
                </a:schemeClr>
              </a:solidFill>
              <a:ln w="9525">
                <a:solidFill>
                  <a:schemeClr val="accent2">
                    <a:lumMod val="40000"/>
                    <a:lumOff val="60000"/>
                  </a:schemeClr>
                </a:solidFill>
              </a:ln>
              <a:effectLst/>
            </c:spPr>
          </c:marker>
          <c:cat>
            <c:strRef>
              <c:f>'TDL 1 Breakout One tab per TDL'!$B$30:$M$30</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'TDL 1 Breakout One tab per TDL'!$B$32:$M$32</c:f>
              <c:numCache>
                <c:formatCode>_("$"* #,##0.00_);_("$"* \(#,##0.00\);_("$"* "-"??_);_(@_)</c:formatCode>
                <c:ptCount val="12"/>
                <c:pt idx="0">
                  <c:v>15000</c:v>
                </c:pt>
                <c:pt idx="1">
                  <c:v>22500</c:v>
                </c:pt>
                <c:pt idx="2">
                  <c:v>24500</c:v>
                </c:pt>
                <c:pt idx="3">
                  <c:v>50000</c:v>
                </c:pt>
                <c:pt idx="4">
                  <c:v>75000</c:v>
                </c:pt>
                <c:pt idx="5">
                  <c:v>100000</c:v>
                </c:pt>
                <c:pt idx="6">
                  <c:v>13000000</c:v>
                </c:pt>
                <c:pt idx="7">
                  <c:v>14000000</c:v>
                </c:pt>
                <c:pt idx="8">
                  <c:v>14100000</c:v>
                </c:pt>
                <c:pt idx="9">
                  <c:v>14589000</c:v>
                </c:pt>
                <c:pt idx="10">
                  <c:v>15552412</c:v>
                </c:pt>
                <c:pt idx="11">
                  <c:v>15860000</c:v>
                </c:pt>
              </c:numCache>
            </c:numRef>
          </c:val>
          <c:smooth val="0"/>
          <c:extLst>
            <c:ext xmlns:c16="http://schemas.microsoft.com/office/drawing/2014/chart" uri="{C3380CC4-5D6E-409C-BE32-E72D297353CC}">
              <c16:uniqueId val="{00000001-3116-405F-9DD0-2C71F0CE0139}"/>
            </c:ext>
          </c:extLst>
        </c:ser>
        <c:ser>
          <c:idx val="2"/>
          <c:order val="2"/>
          <c:tx>
            <c:strRef>
              <c:f>'TDL 1 Breakout One tab per TDL'!$A$33</c:f>
              <c:strCache>
                <c:ptCount val="1"/>
                <c:pt idx="0">
                  <c:v>EAC</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'TDL 1 Breakout One tab per TDL'!$B$30:$M$30</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'TDL 1 Breakout One tab per TDL'!$B$33:$M$33</c:f>
              <c:numCache>
                <c:formatCode>_("$"* #,##0.00_);_("$"* \(#,##0.00\);_("$"* "-"??_);_(@_)</c:formatCode>
                <c:ptCount val="12"/>
                <c:pt idx="0">
                  <c:v>15000000</c:v>
                </c:pt>
                <c:pt idx="1">
                  <c:v>15000000</c:v>
                </c:pt>
                <c:pt idx="2">
                  <c:v>15860000</c:v>
                </c:pt>
                <c:pt idx="3">
                  <c:v>15860000</c:v>
                </c:pt>
                <c:pt idx="4">
                  <c:v>15860000</c:v>
                </c:pt>
                <c:pt idx="5">
                  <c:v>15860000</c:v>
                </c:pt>
                <c:pt idx="6">
                  <c:v>15860000</c:v>
                </c:pt>
                <c:pt idx="7">
                  <c:v>15860000</c:v>
                </c:pt>
                <c:pt idx="8">
                  <c:v>15860000</c:v>
                </c:pt>
                <c:pt idx="9">
                  <c:v>15860000</c:v>
                </c:pt>
                <c:pt idx="10">
                  <c:v>15860000</c:v>
                </c:pt>
                <c:pt idx="11">
                  <c:v>15860000</c:v>
                </c:pt>
              </c:numCache>
            </c:numRef>
          </c:val>
          <c:smooth val="0"/>
          <c:extLst>
            <c:ext xmlns:c16="http://schemas.microsoft.com/office/drawing/2014/chart" uri="{C3380CC4-5D6E-409C-BE32-E72D297353CC}">
              <c16:uniqueId val="{00000002-3116-405F-9DD0-2C71F0CE0139}"/>
            </c:ext>
          </c:extLst>
        </c:ser>
        <c:ser>
          <c:idx val="3"/>
          <c:order val="3"/>
          <c:tx>
            <c:strRef>
              <c:f>'TDL 1 Breakout One tab per TDL'!$A$34</c:f>
              <c:strCache>
                <c:ptCount val="1"/>
                <c:pt idx="0">
                  <c:v>Estimate</c:v>
                </c:pt>
              </c:strCache>
            </c:strRef>
          </c:tx>
          <c:spPr>
            <a:ln w="28575" cap="rnd">
              <a:solidFill>
                <a:srgbClr val="BC8FDD"/>
              </a:solidFill>
              <a:round/>
            </a:ln>
            <a:effectLst/>
          </c:spPr>
          <c:marker>
            <c:symbol val="circle"/>
            <c:size val="5"/>
            <c:spPr>
              <a:solidFill>
                <a:srgbClr val="BC8FDD"/>
              </a:solidFill>
              <a:ln w="9525">
                <a:solidFill>
                  <a:srgbClr val="BC8FDD"/>
                </a:solidFill>
              </a:ln>
              <a:effectLst/>
            </c:spPr>
          </c:marker>
          <c:cat>
            <c:strRef>
              <c:f>'TDL 1 Breakout One tab per TDL'!$B$30:$M$30</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'TDL 1 Breakout One tab per TDL'!$B$34:$M$34</c:f>
              <c:numCache>
                <c:formatCode>_("$"* #,##0.00_);_("$"* \(#,##0.00\);_("$"* "-"??_);_(@_)</c:formatCode>
                <c:ptCount val="12"/>
                <c:pt idx="0">
                  <c:v>15000000</c:v>
                </c:pt>
                <c:pt idx="1">
                  <c:v>15000000</c:v>
                </c:pt>
                <c:pt idx="2">
                  <c:v>15000000</c:v>
                </c:pt>
                <c:pt idx="3">
                  <c:v>15000000</c:v>
                </c:pt>
                <c:pt idx="4">
                  <c:v>15000000</c:v>
                </c:pt>
                <c:pt idx="5">
                  <c:v>15000000</c:v>
                </c:pt>
                <c:pt idx="6">
                  <c:v>15000000</c:v>
                </c:pt>
                <c:pt idx="7">
                  <c:v>15000000</c:v>
                </c:pt>
                <c:pt idx="8">
                  <c:v>15000000</c:v>
                </c:pt>
                <c:pt idx="9">
                  <c:v>15000000</c:v>
                </c:pt>
                <c:pt idx="10">
                  <c:v>15000000</c:v>
                </c:pt>
                <c:pt idx="11">
                  <c:v>15000000</c:v>
                </c:pt>
              </c:numCache>
            </c:numRef>
          </c:val>
          <c:smooth val="0"/>
          <c:extLst>
            <c:ext xmlns:c16="http://schemas.microsoft.com/office/drawing/2014/chart" uri="{C3380CC4-5D6E-409C-BE32-E72D297353CC}">
              <c16:uniqueId val="{00000003-3116-405F-9DD0-2C71F0CE0139}"/>
            </c:ext>
          </c:extLst>
        </c:ser>
        <c:dLbls>
          <c:showLegendKey val="0"/>
          <c:showVal val="0"/>
          <c:showCatName val="0"/>
          <c:showSerName val="0"/>
          <c:showPercent val="0"/>
          <c:showBubbleSize val="0"/>
        </c:dLbls>
        <c:marker val="1"/>
        <c:smooth val="0"/>
        <c:axId val="504184344"/>
        <c:axId val="382881776"/>
      </c:lineChart>
      <c:catAx>
        <c:axId val="504184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881776"/>
        <c:crosses val="autoZero"/>
        <c:auto val="1"/>
        <c:lblAlgn val="ctr"/>
        <c:lblOffset val="100"/>
        <c:noMultiLvlLbl val="0"/>
      </c:catAx>
      <c:valAx>
        <c:axId val="3828817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184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'TDL 2 Breakout'!$A$31</c:f>
              <c:strCache>
                <c:ptCount val="1"/>
                <c:pt idx="0">
                  <c:v>FUNDED</c:v>
                </c:pt>
              </c:strCache>
            </c:strRef>
          </c:tx>
          <c:spPr>
            <a:ln w="28575" cap="rnd">
              <a:solidFill>
                <a:srgbClr val="0070C0"/>
              </a:solidFill>
              <a:round/>
            </a:ln>
            <a:effectLst/>
          </c:spPr>
          <c:marker>
            <c:symbol val="circle"/>
            <c:size val="5"/>
            <c:spPr>
              <a:solidFill>
                <a:srgbClr val="0070C0"/>
              </a:solidFill>
              <a:ln w="9525">
                <a:solidFill>
                  <a:srgbClr val="0070C0"/>
                </a:solidFill>
              </a:ln>
              <a:effectLst/>
            </c:spPr>
          </c:marker>
          <c:cat>
            <c:strRef>
              <c:f>'TDL 2 Breakout'!$B$30:$M$30</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'TDL 2 Breakout'!$B$31:$M$31</c:f>
              <c:numCache>
                <c:formatCode>_("$"* #,##0.00_);_("$"* \(#,##0.00\);_("$"* "-"??_);_(@_)</c:formatCode>
                <c:ptCount val="12"/>
                <c:pt idx="0">
                  <c:v>25000</c:v>
                </c:pt>
                <c:pt idx="1">
                  <c:v>25000</c:v>
                </c:pt>
                <c:pt idx="2">
                  <c:v>25000</c:v>
                </c:pt>
                <c:pt idx="3">
                  <c:v>120000</c:v>
                </c:pt>
                <c:pt idx="4">
                  <c:v>350000</c:v>
                </c:pt>
                <c:pt idx="5">
                  <c:v>15000000</c:v>
                </c:pt>
                <c:pt idx="6">
                  <c:v>15000000</c:v>
                </c:pt>
                <c:pt idx="7">
                  <c:v>15000000</c:v>
                </c:pt>
                <c:pt idx="8">
                  <c:v>15000000</c:v>
                </c:pt>
                <c:pt idx="9">
                  <c:v>15000000</c:v>
                </c:pt>
                <c:pt idx="10">
                  <c:v>15000000</c:v>
                </c:pt>
                <c:pt idx="11">
                  <c:v>15000000</c:v>
                </c:pt>
              </c:numCache>
            </c:numRef>
          </c:val>
          <c:smooth val="0"/>
          <c:extLst>
            <c:ext xmlns:c16="http://schemas.microsoft.com/office/drawing/2014/chart" uri="{C3380CC4-5D6E-409C-BE32-E72D297353CC}">
              <c16:uniqueId val="{00000000-343B-41A4-A9FD-ABABDDCF929D}"/>
            </c:ext>
          </c:extLst>
        </c:ser>
        <c:ser>
          <c:idx val="1"/>
          <c:order val="1"/>
          <c:tx>
            <c:strRef>
              <c:f>'TDL 2 Breakout'!$A$32</c:f>
              <c:strCache>
                <c:ptCount val="1"/>
                <c:pt idx="0">
                  <c:v>Expenditures to Date</c:v>
                </c:pt>
              </c:strCache>
            </c:strRef>
          </c:tx>
          <c:spPr>
            <a:ln w="28575" cap="rnd">
              <a:solidFill>
                <a:schemeClr val="accent2">
                  <a:lumMod val="40000"/>
                  <a:lumOff val="60000"/>
                </a:schemeClr>
              </a:solidFill>
              <a:round/>
            </a:ln>
            <a:effectLst/>
          </c:spPr>
          <c:marker>
            <c:symbol val="circle"/>
            <c:size val="5"/>
            <c:spPr>
              <a:solidFill>
                <a:schemeClr val="accent2">
                  <a:lumMod val="40000"/>
                  <a:lumOff val="60000"/>
                </a:schemeClr>
              </a:solidFill>
              <a:ln w="9525">
                <a:solidFill>
                  <a:schemeClr val="accent2">
                    <a:lumMod val="40000"/>
                    <a:lumOff val="60000"/>
                  </a:schemeClr>
                </a:solidFill>
              </a:ln>
              <a:effectLst/>
            </c:spPr>
          </c:marker>
          <c:cat>
            <c:strRef>
              <c:f>'TDL 2 Breakout'!$B$30:$M$30</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'TDL 2 Breakout'!$B$32:$M$32</c:f>
              <c:numCache>
                <c:formatCode>_("$"* #,##0.00_);_("$"* \(#,##0.00\);_("$"* "-"??_);_(@_)</c:formatCode>
                <c:ptCount val="12"/>
                <c:pt idx="0">
                  <c:v>15000</c:v>
                </c:pt>
                <c:pt idx="1">
                  <c:v>22500</c:v>
                </c:pt>
                <c:pt idx="2">
                  <c:v>24500</c:v>
                </c:pt>
                <c:pt idx="3">
                  <c:v>50000</c:v>
                </c:pt>
                <c:pt idx="4">
                  <c:v>75000</c:v>
                </c:pt>
                <c:pt idx="5">
                  <c:v>100000</c:v>
                </c:pt>
                <c:pt idx="6">
                  <c:v>13000000</c:v>
                </c:pt>
                <c:pt idx="7">
                  <c:v>14000000</c:v>
                </c:pt>
                <c:pt idx="8">
                  <c:v>14100000</c:v>
                </c:pt>
                <c:pt idx="9">
                  <c:v>14589000</c:v>
                </c:pt>
                <c:pt idx="10">
                  <c:v>15552412</c:v>
                </c:pt>
                <c:pt idx="11">
                  <c:v>15860000</c:v>
                </c:pt>
              </c:numCache>
            </c:numRef>
          </c:val>
          <c:smooth val="0"/>
          <c:extLst>
            <c:ext xmlns:c16="http://schemas.microsoft.com/office/drawing/2014/chart" uri="{C3380CC4-5D6E-409C-BE32-E72D297353CC}">
              <c16:uniqueId val="{00000001-343B-41A4-A9FD-ABABDDCF929D}"/>
            </c:ext>
          </c:extLst>
        </c:ser>
        <c:ser>
          <c:idx val="2"/>
          <c:order val="2"/>
          <c:tx>
            <c:strRef>
              <c:f>'TDL 2 Breakout'!$A$33</c:f>
              <c:strCache>
                <c:ptCount val="1"/>
                <c:pt idx="0">
                  <c:v>EAC</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'TDL 2 Breakout'!$B$30:$M$30</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'TDL 2 Breakout'!$B$33:$M$33</c:f>
              <c:numCache>
                <c:formatCode>_("$"* #,##0.00_);_("$"* \(#,##0.00\);_("$"* "-"??_);_(@_)</c:formatCode>
                <c:ptCount val="12"/>
                <c:pt idx="0">
                  <c:v>15000000</c:v>
                </c:pt>
                <c:pt idx="1">
                  <c:v>15000000</c:v>
                </c:pt>
                <c:pt idx="2">
                  <c:v>15860000</c:v>
                </c:pt>
                <c:pt idx="3">
                  <c:v>15860000</c:v>
                </c:pt>
                <c:pt idx="4">
                  <c:v>15860000</c:v>
                </c:pt>
                <c:pt idx="5">
                  <c:v>15860000</c:v>
                </c:pt>
                <c:pt idx="6">
                  <c:v>15860000</c:v>
                </c:pt>
                <c:pt idx="7">
                  <c:v>15860000</c:v>
                </c:pt>
                <c:pt idx="8">
                  <c:v>15860000</c:v>
                </c:pt>
                <c:pt idx="9">
                  <c:v>15860000</c:v>
                </c:pt>
                <c:pt idx="10">
                  <c:v>15860000</c:v>
                </c:pt>
                <c:pt idx="11">
                  <c:v>15860000</c:v>
                </c:pt>
              </c:numCache>
            </c:numRef>
          </c:val>
          <c:smooth val="0"/>
          <c:extLst>
            <c:ext xmlns:c16="http://schemas.microsoft.com/office/drawing/2014/chart" uri="{C3380CC4-5D6E-409C-BE32-E72D297353CC}">
              <c16:uniqueId val="{00000002-343B-41A4-A9FD-ABABDDCF929D}"/>
            </c:ext>
          </c:extLst>
        </c:ser>
        <c:ser>
          <c:idx val="3"/>
          <c:order val="3"/>
          <c:tx>
            <c:strRef>
              <c:f>'TDL 2 Breakout'!$A$34</c:f>
              <c:strCache>
                <c:ptCount val="1"/>
                <c:pt idx="0">
                  <c:v>Estimate</c:v>
                </c:pt>
              </c:strCache>
            </c:strRef>
          </c:tx>
          <c:spPr>
            <a:ln w="28575" cap="rnd">
              <a:solidFill>
                <a:srgbClr val="BC8FDD"/>
              </a:solidFill>
              <a:round/>
            </a:ln>
            <a:effectLst/>
          </c:spPr>
          <c:marker>
            <c:symbol val="circle"/>
            <c:size val="5"/>
            <c:spPr>
              <a:solidFill>
                <a:srgbClr val="BC8FDD"/>
              </a:solidFill>
              <a:ln w="9525">
                <a:solidFill>
                  <a:srgbClr val="BC8FDD"/>
                </a:solidFill>
              </a:ln>
              <a:effectLst/>
            </c:spPr>
          </c:marker>
          <c:cat>
            <c:strRef>
              <c:f>'TDL 2 Breakout'!$B$30:$M$30</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'TDL 2 Breakout'!$B$34:$M$34</c:f>
              <c:numCache>
                <c:formatCode>_("$"* #,##0.00_);_("$"* \(#,##0.00\);_("$"* "-"??_);_(@_)</c:formatCode>
                <c:ptCount val="12"/>
                <c:pt idx="0">
                  <c:v>15000000</c:v>
                </c:pt>
                <c:pt idx="1">
                  <c:v>15000000</c:v>
                </c:pt>
                <c:pt idx="2">
                  <c:v>15000000</c:v>
                </c:pt>
                <c:pt idx="3">
                  <c:v>15000000</c:v>
                </c:pt>
                <c:pt idx="4">
                  <c:v>15000000</c:v>
                </c:pt>
                <c:pt idx="5">
                  <c:v>15000000</c:v>
                </c:pt>
                <c:pt idx="6">
                  <c:v>15000000</c:v>
                </c:pt>
                <c:pt idx="7">
                  <c:v>15000000</c:v>
                </c:pt>
                <c:pt idx="8">
                  <c:v>15000000</c:v>
                </c:pt>
                <c:pt idx="9">
                  <c:v>15000000</c:v>
                </c:pt>
                <c:pt idx="10">
                  <c:v>15000000</c:v>
                </c:pt>
                <c:pt idx="11">
                  <c:v>15000000</c:v>
                </c:pt>
              </c:numCache>
            </c:numRef>
          </c:val>
          <c:smooth val="0"/>
          <c:extLst>
            <c:ext xmlns:c16="http://schemas.microsoft.com/office/drawing/2014/chart" uri="{C3380CC4-5D6E-409C-BE32-E72D297353CC}">
              <c16:uniqueId val="{00000003-343B-41A4-A9FD-ABABDDCF929D}"/>
            </c:ext>
          </c:extLst>
        </c:ser>
        <c:dLbls>
          <c:showLegendKey val="0"/>
          <c:showVal val="0"/>
          <c:showCatName val="0"/>
          <c:showSerName val="0"/>
          <c:showPercent val="0"/>
          <c:showBubbleSize val="0"/>
        </c:dLbls>
        <c:marker val="1"/>
        <c:smooth val="0"/>
        <c:axId val="504184344"/>
        <c:axId val="382881776"/>
      </c:lineChart>
      <c:catAx>
        <c:axId val="504184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881776"/>
        <c:crosses val="autoZero"/>
        <c:auto val="1"/>
        <c:lblAlgn val="ctr"/>
        <c:lblOffset val="100"/>
        <c:noMultiLvlLbl val="0"/>
      </c:catAx>
      <c:valAx>
        <c:axId val="3828817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184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257174</xdr:colOff>
      <xdr:row>34</xdr:row>
      <xdr:rowOff>171449</xdr:rowOff>
    </xdr:from>
    <xdr:to>
      <xdr:col>10</xdr:col>
      <xdr:colOff>819149</xdr:colOff>
      <xdr:row>56</xdr:row>
      <xdr:rowOff>9524</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435429</xdr:colOff>
      <xdr:row>58</xdr:row>
      <xdr:rowOff>27214</xdr:rowOff>
    </xdr:from>
    <xdr:to>
      <xdr:col>5</xdr:col>
      <xdr:colOff>780143</xdr:colOff>
      <xdr:row>68</xdr:row>
      <xdr:rowOff>562429</xdr:rowOff>
    </xdr:to>
    <xdr:sp macro="" textlink="">
      <xdr:nvSpPr>
        <xdr:cNvPr id="3" name="Right Brace 2">
          <a:extLst>
            <a:ext uri="{FF2B5EF4-FFF2-40B4-BE49-F238E27FC236}">
              <a16:creationId xmlns:a16="http://schemas.microsoft.com/office/drawing/2014/main" id="{00000000-0008-0000-0300-000003000000}"/>
            </a:ext>
          </a:extLst>
        </xdr:cNvPr>
        <xdr:cNvSpPr/>
      </xdr:nvSpPr>
      <xdr:spPr>
        <a:xfrm>
          <a:off x="10087429" y="10686143"/>
          <a:ext cx="344714" cy="4290786"/>
        </a:xfrm>
        <a:prstGeom prst="rightBrace">
          <a:avLst/>
        </a:prstGeom>
        <a:ln>
          <a:solidFill>
            <a:srgbClr val="FF000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861786</xdr:colOff>
      <xdr:row>62</xdr:row>
      <xdr:rowOff>244928</xdr:rowOff>
    </xdr:from>
    <xdr:to>
      <xdr:col>7</xdr:col>
      <xdr:colOff>671286</xdr:colOff>
      <xdr:row>63</xdr:row>
      <xdr:rowOff>163286</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10513786" y="12600214"/>
          <a:ext cx="3837214" cy="453572"/>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100" b="1">
              <a:solidFill>
                <a:srgbClr val="FF0000"/>
              </a:solidFill>
            </a:rPr>
            <a:t>This section of the deliverable may</a:t>
          </a:r>
          <a:r>
            <a:rPr lang="en-US" sz="1100" b="1" baseline="0">
              <a:solidFill>
                <a:srgbClr val="FF0000"/>
              </a:solidFill>
            </a:rPr>
            <a:t> be submitted in Microsoft Word or as a Separate PDF document.</a:t>
          </a:r>
          <a:endParaRPr lang="en-US" sz="1100" b="1">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257174</xdr:colOff>
      <xdr:row>34</xdr:row>
      <xdr:rowOff>171449</xdr:rowOff>
    </xdr:from>
    <xdr:to>
      <xdr:col>10</xdr:col>
      <xdr:colOff>819149</xdr:colOff>
      <xdr:row>56</xdr:row>
      <xdr:rowOff>9524</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435429</xdr:colOff>
      <xdr:row>58</xdr:row>
      <xdr:rowOff>27214</xdr:rowOff>
    </xdr:from>
    <xdr:to>
      <xdr:col>5</xdr:col>
      <xdr:colOff>780143</xdr:colOff>
      <xdr:row>68</xdr:row>
      <xdr:rowOff>562429</xdr:rowOff>
    </xdr:to>
    <xdr:sp macro="" textlink="">
      <xdr:nvSpPr>
        <xdr:cNvPr id="3" name="Right Brace 2">
          <a:extLst>
            <a:ext uri="{FF2B5EF4-FFF2-40B4-BE49-F238E27FC236}">
              <a16:creationId xmlns:a16="http://schemas.microsoft.com/office/drawing/2014/main" id="{00000000-0008-0000-0400-000003000000}"/>
            </a:ext>
          </a:extLst>
        </xdr:cNvPr>
        <xdr:cNvSpPr/>
      </xdr:nvSpPr>
      <xdr:spPr>
        <a:xfrm>
          <a:off x="10081079" y="10815864"/>
          <a:ext cx="344714" cy="4288065"/>
        </a:xfrm>
        <a:prstGeom prst="rightBrace">
          <a:avLst/>
        </a:prstGeom>
        <a:ln>
          <a:solidFill>
            <a:srgbClr val="FF000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861786</xdr:colOff>
      <xdr:row>62</xdr:row>
      <xdr:rowOff>244928</xdr:rowOff>
    </xdr:from>
    <xdr:to>
      <xdr:col>7</xdr:col>
      <xdr:colOff>671286</xdr:colOff>
      <xdr:row>63</xdr:row>
      <xdr:rowOff>163286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10507436" y="12722678"/>
          <a:ext cx="3835400" cy="451758"/>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100" b="1">
              <a:solidFill>
                <a:srgbClr val="FF0000"/>
              </a:solidFill>
            </a:rPr>
            <a:t>This section of the deliverable may</a:t>
          </a:r>
          <a:r>
            <a:rPr lang="en-US" sz="1100" b="1" baseline="0">
              <a:solidFill>
                <a:srgbClr val="FF0000"/>
              </a:solidFill>
            </a:rPr>
            <a:t> be submitted in Microsoft Word or as a Separate PDF document.</a:t>
          </a:r>
          <a:endParaRPr lang="en-US" sz="1100" b="1">
            <a:solidFill>
              <a:srgbClr val="FF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4"/>
  <sheetViews>
    <sheetView tabSelected="1" workbookViewId="0">
      <selection activeCell="B24" sqref="B24"/>
    </sheetView>
  </sheetViews>
  <sheetFormatPr defaultRowHeight="15" x14ac:dyDescent="0.25"/>
  <cols>
    <col min="2" max="2" width="48.42578125" bestFit="1" customWidth="1"/>
    <col min="3" max="3" width="117" bestFit="1" customWidth="1"/>
  </cols>
  <sheetData>
    <row r="1" spans="2:3" ht="15.75" thickBot="1" x14ac:dyDescent="0.3"/>
    <row r="2" spans="2:3" ht="15.75" x14ac:dyDescent="0.25">
      <c r="B2" s="66" t="s">
        <v>115</v>
      </c>
      <c r="C2" s="67"/>
    </row>
    <row r="3" spans="2:3" ht="15.75" x14ac:dyDescent="0.25">
      <c r="B3" s="44" t="s">
        <v>92</v>
      </c>
      <c r="C3" s="45" t="s">
        <v>93</v>
      </c>
    </row>
    <row r="4" spans="2:3" ht="15.75" x14ac:dyDescent="0.25">
      <c r="B4" s="46" t="s">
        <v>0</v>
      </c>
      <c r="C4" s="47" t="s">
        <v>95</v>
      </c>
    </row>
    <row r="5" spans="2:3" ht="15.75" x14ac:dyDescent="0.25">
      <c r="B5" s="46" t="s">
        <v>94</v>
      </c>
      <c r="C5" s="47" t="s">
        <v>96</v>
      </c>
    </row>
    <row r="6" spans="2:3" ht="15.75" x14ac:dyDescent="0.25">
      <c r="B6" s="46" t="s">
        <v>4</v>
      </c>
      <c r="C6" s="47" t="s">
        <v>155</v>
      </c>
    </row>
    <row r="7" spans="2:3" ht="15.75" x14ac:dyDescent="0.25">
      <c r="B7" s="46" t="s">
        <v>5</v>
      </c>
      <c r="C7" s="47" t="s">
        <v>156</v>
      </c>
    </row>
    <row r="8" spans="2:3" ht="15.75" x14ac:dyDescent="0.25">
      <c r="B8" s="46" t="s">
        <v>2</v>
      </c>
      <c r="C8" s="47" t="s">
        <v>157</v>
      </c>
    </row>
    <row r="9" spans="2:3" ht="15.75" x14ac:dyDescent="0.25">
      <c r="B9" s="46" t="s">
        <v>3</v>
      </c>
      <c r="C9" s="47" t="s">
        <v>154</v>
      </c>
    </row>
    <row r="10" spans="2:3" ht="15.75" x14ac:dyDescent="0.25">
      <c r="B10" s="46" t="s">
        <v>196</v>
      </c>
      <c r="C10" s="47" t="s">
        <v>97</v>
      </c>
    </row>
    <row r="11" spans="2:3" ht="15.75" x14ac:dyDescent="0.25">
      <c r="B11" s="46" t="s">
        <v>197</v>
      </c>
      <c r="C11" s="47" t="s">
        <v>198</v>
      </c>
    </row>
    <row r="12" spans="2:3" ht="15.75" x14ac:dyDescent="0.25">
      <c r="B12" s="46" t="s">
        <v>78</v>
      </c>
      <c r="C12" s="47" t="s">
        <v>158</v>
      </c>
    </row>
    <row r="13" spans="2:3" ht="15.75" x14ac:dyDescent="0.25">
      <c r="B13" s="46" t="s">
        <v>1</v>
      </c>
      <c r="C13" s="47" t="s">
        <v>159</v>
      </c>
    </row>
    <row r="14" spans="2:3" ht="16.5" thickBot="1" x14ac:dyDescent="0.3">
      <c r="B14" s="48" t="s">
        <v>6</v>
      </c>
      <c r="C14" s="49" t="s">
        <v>160</v>
      </c>
    </row>
  </sheetData>
  <mergeCells count="1">
    <mergeCell ref="B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32"/>
  <sheetViews>
    <sheetView zoomScaleNormal="100" zoomScaleSheetLayoutView="110" zoomScalePageLayoutView="60" workbookViewId="0"/>
  </sheetViews>
  <sheetFormatPr defaultColWidth="8.7109375" defaultRowHeight="15" x14ac:dyDescent="0.25"/>
  <cols>
    <col min="1" max="16384" width="8.7109375" style="11"/>
  </cols>
  <sheetData>
    <row r="1" spans="1:4" x14ac:dyDescent="0.25">
      <c r="A1" s="11" t="s">
        <v>201</v>
      </c>
    </row>
    <row r="6" spans="1:4" x14ac:dyDescent="0.25">
      <c r="D6" s="11" t="s">
        <v>0</v>
      </c>
    </row>
    <row r="7" spans="1:4" x14ac:dyDescent="0.25">
      <c r="D7" s="11" t="s">
        <v>77</v>
      </c>
    </row>
    <row r="13" spans="1:4" x14ac:dyDescent="0.25">
      <c r="D13" s="11" t="s">
        <v>4</v>
      </c>
    </row>
    <row r="14" spans="1:4" x14ac:dyDescent="0.25">
      <c r="D14" s="11" t="s">
        <v>5</v>
      </c>
    </row>
    <row r="15" spans="1:4" x14ac:dyDescent="0.25">
      <c r="D15" s="11" t="s">
        <v>2</v>
      </c>
    </row>
    <row r="16" spans="1:4" x14ac:dyDescent="0.25">
      <c r="D16" s="11" t="s">
        <v>3</v>
      </c>
    </row>
    <row r="20" spans="1:4" x14ac:dyDescent="0.25">
      <c r="D20" s="11" t="s">
        <v>196</v>
      </c>
    </row>
    <row r="21" spans="1:4" x14ac:dyDescent="0.25">
      <c r="D21" s="11" t="s">
        <v>197</v>
      </c>
    </row>
    <row r="22" spans="1:4" x14ac:dyDescent="0.25">
      <c r="D22" s="11" t="s">
        <v>78</v>
      </c>
    </row>
    <row r="23" spans="1:4" x14ac:dyDescent="0.25">
      <c r="D23" s="11" t="s">
        <v>1</v>
      </c>
    </row>
    <row r="26" spans="1:4" x14ac:dyDescent="0.25">
      <c r="D26" s="11" t="s">
        <v>6</v>
      </c>
    </row>
    <row r="28" spans="1:4" x14ac:dyDescent="0.25">
      <c r="A28" s="1" t="s">
        <v>184</v>
      </c>
    </row>
    <row r="29" spans="1:4" x14ac:dyDescent="0.25">
      <c r="A29" s="1" t="s">
        <v>186</v>
      </c>
    </row>
    <row r="30" spans="1:4" x14ac:dyDescent="0.25">
      <c r="A30" s="1" t="s">
        <v>185</v>
      </c>
    </row>
    <row r="31" spans="1:4" x14ac:dyDescent="0.25">
      <c r="A31" s="1" t="s">
        <v>187</v>
      </c>
    </row>
    <row r="32" spans="1:4" x14ac:dyDescent="0.25">
      <c r="A32" s="1" t="s">
        <v>190</v>
      </c>
    </row>
  </sheetData>
  <pageMargins left="0.7" right="0.7" top="0.75" bottom="0.75" header="0.3" footer="0.3"/>
  <pageSetup orientation="landscape" r:id="rId1"/>
  <headerFooter>
    <oddHeader>&amp;CCDRL# &amp; Title
TO Number</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1"/>
  <sheetViews>
    <sheetView zoomScale="80" zoomScaleNormal="80" workbookViewId="0">
      <selection activeCell="C28" sqref="C28"/>
    </sheetView>
  </sheetViews>
  <sheetFormatPr defaultRowHeight="15" x14ac:dyDescent="0.25"/>
  <cols>
    <col min="3" max="3" width="61.7109375" bestFit="1" customWidth="1"/>
    <col min="4" max="4" width="125.140625" bestFit="1" customWidth="1"/>
  </cols>
  <sheetData>
    <row r="1" spans="1:4" ht="15.75" x14ac:dyDescent="0.25">
      <c r="A1" s="50" t="s">
        <v>98</v>
      </c>
    </row>
    <row r="2" spans="1:4" ht="15.75" thickBot="1" x14ac:dyDescent="0.3"/>
    <row r="3" spans="1:4" ht="15.75" x14ac:dyDescent="0.25">
      <c r="B3" s="71" t="s">
        <v>99</v>
      </c>
      <c r="C3" s="72"/>
      <c r="D3" s="51" t="s">
        <v>100</v>
      </c>
    </row>
    <row r="4" spans="1:4" ht="15.75" x14ac:dyDescent="0.25">
      <c r="B4" s="52"/>
      <c r="C4" s="53" t="s">
        <v>10</v>
      </c>
      <c r="D4" s="54" t="s">
        <v>105</v>
      </c>
    </row>
    <row r="5" spans="1:4" ht="15.75" x14ac:dyDescent="0.25">
      <c r="B5" s="55"/>
      <c r="C5" s="56" t="s">
        <v>11</v>
      </c>
      <c r="D5" s="54" t="s">
        <v>106</v>
      </c>
    </row>
    <row r="6" spans="1:4" ht="15.75" x14ac:dyDescent="0.25">
      <c r="B6" s="55"/>
      <c r="C6" s="57" t="s">
        <v>12</v>
      </c>
      <c r="D6" s="54" t="s">
        <v>173</v>
      </c>
    </row>
    <row r="7" spans="1:4" ht="15.75" x14ac:dyDescent="0.25">
      <c r="B7" s="55"/>
      <c r="C7" s="56" t="s">
        <v>13</v>
      </c>
      <c r="D7" s="54" t="s">
        <v>161</v>
      </c>
    </row>
    <row r="8" spans="1:4" ht="15.75" x14ac:dyDescent="0.25">
      <c r="B8" s="55"/>
      <c r="C8" s="57" t="s">
        <v>90</v>
      </c>
      <c r="D8" s="54" t="s">
        <v>175</v>
      </c>
    </row>
    <row r="9" spans="1:4" ht="15.75" x14ac:dyDescent="0.25">
      <c r="B9" s="55"/>
      <c r="C9" s="56" t="s">
        <v>91</v>
      </c>
      <c r="D9" s="54" t="s">
        <v>176</v>
      </c>
    </row>
    <row r="10" spans="1:4" ht="15.75" x14ac:dyDescent="0.25">
      <c r="B10" s="55"/>
      <c r="C10" s="56" t="s">
        <v>14</v>
      </c>
      <c r="D10" s="54" t="s">
        <v>162</v>
      </c>
    </row>
    <row r="11" spans="1:4" ht="15.75" x14ac:dyDescent="0.25">
      <c r="B11" s="55"/>
      <c r="C11" s="56" t="s">
        <v>7</v>
      </c>
      <c r="D11" s="54" t="s">
        <v>120</v>
      </c>
    </row>
    <row r="12" spans="1:4" ht="15.75" x14ac:dyDescent="0.25">
      <c r="B12" s="55"/>
      <c r="C12" s="56" t="s">
        <v>89</v>
      </c>
      <c r="D12" s="54" t="s">
        <v>107</v>
      </c>
    </row>
    <row r="13" spans="1:4" ht="15.75" x14ac:dyDescent="0.25">
      <c r="B13" s="55"/>
      <c r="C13" s="57" t="s">
        <v>17</v>
      </c>
      <c r="D13" s="54" t="s">
        <v>114</v>
      </c>
    </row>
    <row r="14" spans="1:4" ht="15.75" x14ac:dyDescent="0.25">
      <c r="B14" s="55"/>
      <c r="C14" s="56" t="s">
        <v>18</v>
      </c>
      <c r="D14" s="54" t="s">
        <v>121</v>
      </c>
    </row>
    <row r="15" spans="1:4" ht="15.75" x14ac:dyDescent="0.25">
      <c r="B15" s="55"/>
      <c r="C15" s="56" t="s">
        <v>29</v>
      </c>
      <c r="D15" s="54" t="s">
        <v>122</v>
      </c>
    </row>
    <row r="16" spans="1:4" ht="15.75" x14ac:dyDescent="0.25">
      <c r="B16" s="55"/>
      <c r="C16" s="56" t="s">
        <v>74</v>
      </c>
      <c r="D16" s="54" t="s">
        <v>123</v>
      </c>
    </row>
    <row r="17" spans="2:4" ht="15.75" x14ac:dyDescent="0.25">
      <c r="B17" s="55"/>
      <c r="C17" s="56" t="s">
        <v>76</v>
      </c>
      <c r="D17" s="54" t="s">
        <v>163</v>
      </c>
    </row>
    <row r="18" spans="2:4" ht="15.75" x14ac:dyDescent="0.25">
      <c r="B18" s="55"/>
      <c r="C18" s="57" t="s">
        <v>23</v>
      </c>
      <c r="D18" s="54" t="s">
        <v>124</v>
      </c>
    </row>
    <row r="19" spans="2:4" ht="15.75" x14ac:dyDescent="0.25">
      <c r="B19" s="73" t="s">
        <v>44</v>
      </c>
      <c r="C19" s="56" t="s">
        <v>45</v>
      </c>
      <c r="D19" s="54" t="s">
        <v>125</v>
      </c>
    </row>
    <row r="20" spans="2:4" ht="15.75" x14ac:dyDescent="0.25">
      <c r="B20" s="73"/>
      <c r="C20" s="56" t="s">
        <v>46</v>
      </c>
      <c r="D20" s="54" t="s">
        <v>126</v>
      </c>
    </row>
    <row r="21" spans="2:4" ht="15.75" x14ac:dyDescent="0.25">
      <c r="B21" s="73"/>
      <c r="C21" s="56" t="s">
        <v>79</v>
      </c>
      <c r="D21" s="54" t="s">
        <v>127</v>
      </c>
    </row>
    <row r="22" spans="2:4" ht="15.75" x14ac:dyDescent="0.25">
      <c r="B22" s="73"/>
      <c r="C22" s="56" t="s">
        <v>55</v>
      </c>
      <c r="D22" s="54" t="s">
        <v>128</v>
      </c>
    </row>
    <row r="23" spans="2:4" ht="15.75" x14ac:dyDescent="0.25">
      <c r="B23" s="73"/>
      <c r="C23" s="56" t="s">
        <v>116</v>
      </c>
      <c r="D23" s="54" t="s">
        <v>117</v>
      </c>
    </row>
    <row r="24" spans="2:4" ht="15.75" x14ac:dyDescent="0.25">
      <c r="B24" s="73"/>
      <c r="C24" s="57" t="s">
        <v>9</v>
      </c>
      <c r="D24" s="54" t="s">
        <v>129</v>
      </c>
    </row>
    <row r="25" spans="2:4" ht="15.75" x14ac:dyDescent="0.25">
      <c r="B25" s="73"/>
      <c r="C25" s="57" t="s">
        <v>108</v>
      </c>
      <c r="D25" s="54" t="s">
        <v>130</v>
      </c>
    </row>
    <row r="26" spans="2:4" ht="15.75" x14ac:dyDescent="0.25">
      <c r="B26" s="73"/>
      <c r="C26" s="57" t="s">
        <v>43</v>
      </c>
      <c r="D26" s="54" t="s">
        <v>146</v>
      </c>
    </row>
    <row r="27" spans="2:4" ht="15.75" x14ac:dyDescent="0.25">
      <c r="B27" s="73"/>
      <c r="C27" s="57" t="s">
        <v>48</v>
      </c>
      <c r="D27" s="54" t="s">
        <v>191</v>
      </c>
    </row>
    <row r="28" spans="2:4" ht="15.75" x14ac:dyDescent="0.25">
      <c r="B28" s="73"/>
      <c r="C28" s="56" t="s">
        <v>20</v>
      </c>
      <c r="D28" s="54" t="s">
        <v>131</v>
      </c>
    </row>
    <row r="29" spans="2:4" ht="15.75" x14ac:dyDescent="0.25">
      <c r="B29" s="73"/>
      <c r="C29" s="57" t="s">
        <v>21</v>
      </c>
      <c r="D29" s="58" t="s">
        <v>118</v>
      </c>
    </row>
    <row r="30" spans="2:4" ht="15.75" x14ac:dyDescent="0.25">
      <c r="B30" s="73"/>
      <c r="C30" s="57" t="s">
        <v>22</v>
      </c>
      <c r="D30" s="58" t="s">
        <v>147</v>
      </c>
    </row>
    <row r="31" spans="2:4" ht="15.75" x14ac:dyDescent="0.25">
      <c r="B31" s="73"/>
      <c r="C31" s="57" t="s">
        <v>80</v>
      </c>
      <c r="D31" s="58" t="s">
        <v>177</v>
      </c>
    </row>
    <row r="32" spans="2:4" ht="15.75" x14ac:dyDescent="0.25">
      <c r="B32" s="73"/>
      <c r="C32" s="57" t="s">
        <v>81</v>
      </c>
      <c r="D32" s="58" t="s">
        <v>178</v>
      </c>
    </row>
    <row r="33" spans="2:4" ht="15.75" x14ac:dyDescent="0.25">
      <c r="B33" s="73"/>
      <c r="C33" s="57" t="s">
        <v>82</v>
      </c>
      <c r="D33" s="58" t="s">
        <v>179</v>
      </c>
    </row>
    <row r="34" spans="2:4" ht="15.75" x14ac:dyDescent="0.25">
      <c r="B34" s="73"/>
      <c r="C34" s="57" t="s">
        <v>24</v>
      </c>
      <c r="D34" s="58" t="s">
        <v>180</v>
      </c>
    </row>
    <row r="35" spans="2:4" ht="15.75" x14ac:dyDescent="0.25">
      <c r="B35" s="73"/>
      <c r="C35" s="56" t="s">
        <v>53</v>
      </c>
      <c r="D35" s="58" t="s">
        <v>148</v>
      </c>
    </row>
    <row r="36" spans="2:4" ht="15.75" x14ac:dyDescent="0.25">
      <c r="B36" s="73" t="s">
        <v>101</v>
      </c>
      <c r="C36" s="56" t="s">
        <v>49</v>
      </c>
      <c r="D36" s="58" t="s">
        <v>132</v>
      </c>
    </row>
    <row r="37" spans="2:4" ht="15.75" x14ac:dyDescent="0.25">
      <c r="B37" s="73"/>
      <c r="C37" s="57" t="s">
        <v>83</v>
      </c>
      <c r="D37" s="58" t="s">
        <v>181</v>
      </c>
    </row>
    <row r="38" spans="2:4" ht="15.75" x14ac:dyDescent="0.25">
      <c r="B38" s="73"/>
      <c r="C38" s="56" t="s">
        <v>43</v>
      </c>
      <c r="D38" s="58" t="s">
        <v>133</v>
      </c>
    </row>
    <row r="39" spans="2:4" ht="30" customHeight="1" x14ac:dyDescent="0.25">
      <c r="B39" s="73" t="s">
        <v>102</v>
      </c>
      <c r="C39" s="56" t="s">
        <v>51</v>
      </c>
      <c r="D39" s="58" t="s">
        <v>134</v>
      </c>
    </row>
    <row r="40" spans="2:4" ht="15.75" x14ac:dyDescent="0.25">
      <c r="B40" s="73"/>
      <c r="C40" s="56" t="s">
        <v>84</v>
      </c>
      <c r="D40" s="58" t="s">
        <v>182</v>
      </c>
    </row>
    <row r="41" spans="2:4" ht="15.75" x14ac:dyDescent="0.25">
      <c r="B41" s="73"/>
      <c r="C41" s="56" t="s">
        <v>43</v>
      </c>
      <c r="D41" s="58" t="s">
        <v>135</v>
      </c>
    </row>
    <row r="42" spans="2:4" ht="15.75" x14ac:dyDescent="0.25">
      <c r="B42" s="73" t="s">
        <v>103</v>
      </c>
      <c r="C42" s="57" t="s">
        <v>52</v>
      </c>
      <c r="D42" s="58" t="s">
        <v>136</v>
      </c>
    </row>
    <row r="43" spans="2:4" ht="15.75" x14ac:dyDescent="0.25">
      <c r="B43" s="73"/>
      <c r="C43" s="57" t="s">
        <v>85</v>
      </c>
      <c r="D43" s="58" t="s">
        <v>183</v>
      </c>
    </row>
    <row r="44" spans="2:4" ht="44.25" customHeight="1" thickBot="1" x14ac:dyDescent="0.3">
      <c r="B44" s="74"/>
      <c r="C44" s="56" t="s">
        <v>43</v>
      </c>
      <c r="D44" s="58" t="s">
        <v>149</v>
      </c>
    </row>
    <row r="45" spans="2:4" ht="15.6" customHeight="1" x14ac:dyDescent="0.25">
      <c r="B45" s="68" t="s">
        <v>104</v>
      </c>
      <c r="C45" s="60" t="s">
        <v>39</v>
      </c>
      <c r="D45" s="54" t="s">
        <v>138</v>
      </c>
    </row>
    <row r="46" spans="2:4" ht="15.75" x14ac:dyDescent="0.25">
      <c r="B46" s="69"/>
      <c r="C46" s="60" t="s">
        <v>72</v>
      </c>
      <c r="D46" s="54" t="s">
        <v>137</v>
      </c>
    </row>
    <row r="47" spans="2:4" ht="15.75" x14ac:dyDescent="0.25">
      <c r="B47" s="69"/>
      <c r="C47" s="60" t="s">
        <v>29</v>
      </c>
      <c r="D47" s="54" t="s">
        <v>139</v>
      </c>
    </row>
    <row r="48" spans="2:4" ht="15.75" x14ac:dyDescent="0.25">
      <c r="B48" s="69"/>
      <c r="C48" s="60" t="s">
        <v>12</v>
      </c>
      <c r="D48" s="54" t="s">
        <v>164</v>
      </c>
    </row>
    <row r="49" spans="2:4" ht="15.75" x14ac:dyDescent="0.25">
      <c r="B49" s="69"/>
      <c r="C49" s="60" t="s">
        <v>31</v>
      </c>
      <c r="D49" s="54" t="s">
        <v>165</v>
      </c>
    </row>
    <row r="50" spans="2:4" ht="15.75" x14ac:dyDescent="0.25">
      <c r="B50" s="69"/>
      <c r="C50" s="56" t="s">
        <v>32</v>
      </c>
      <c r="D50" s="54" t="s">
        <v>166</v>
      </c>
    </row>
    <row r="51" spans="2:4" ht="15.75" x14ac:dyDescent="0.25">
      <c r="B51" s="69"/>
      <c r="C51" s="56" t="s">
        <v>30</v>
      </c>
      <c r="D51" s="54" t="s">
        <v>167</v>
      </c>
    </row>
    <row r="52" spans="2:4" ht="15.75" x14ac:dyDescent="0.25">
      <c r="B52" s="69"/>
      <c r="C52" s="60" t="s">
        <v>33</v>
      </c>
      <c r="D52" s="54" t="s">
        <v>153</v>
      </c>
    </row>
    <row r="53" spans="2:4" ht="15.75" x14ac:dyDescent="0.25">
      <c r="B53" s="69"/>
      <c r="C53" s="60" t="s">
        <v>41</v>
      </c>
      <c r="D53" s="54" t="s">
        <v>109</v>
      </c>
    </row>
    <row r="54" spans="2:4" ht="15.75" x14ac:dyDescent="0.25">
      <c r="B54" s="69"/>
      <c r="C54" s="60" t="s">
        <v>42</v>
      </c>
      <c r="D54" s="54" t="s">
        <v>110</v>
      </c>
    </row>
    <row r="55" spans="2:4" ht="15.75" x14ac:dyDescent="0.25">
      <c r="B55" s="69"/>
      <c r="C55" s="60" t="s">
        <v>56</v>
      </c>
      <c r="D55" s="54" t="s">
        <v>174</v>
      </c>
    </row>
    <row r="56" spans="2:4" ht="15.75" x14ac:dyDescent="0.25">
      <c r="B56" s="69"/>
      <c r="C56" s="60" t="s">
        <v>35</v>
      </c>
      <c r="D56" s="54" t="s">
        <v>140</v>
      </c>
    </row>
    <row r="57" spans="2:4" ht="15.75" x14ac:dyDescent="0.25">
      <c r="B57" s="69"/>
      <c r="C57" s="61" t="s">
        <v>34</v>
      </c>
      <c r="D57" s="54" t="s">
        <v>168</v>
      </c>
    </row>
    <row r="58" spans="2:4" ht="15.6" customHeight="1" thickBot="1" x14ac:dyDescent="0.3">
      <c r="B58" s="70"/>
      <c r="C58" s="60" t="s">
        <v>86</v>
      </c>
      <c r="D58" s="54" t="s">
        <v>150</v>
      </c>
    </row>
    <row r="59" spans="2:4" ht="42.95" customHeight="1" x14ac:dyDescent="0.25">
      <c r="B59" s="68" t="s">
        <v>101</v>
      </c>
      <c r="C59" s="60" t="s">
        <v>37</v>
      </c>
      <c r="D59" s="54" t="s">
        <v>142</v>
      </c>
    </row>
    <row r="60" spans="2:4" ht="15.75" x14ac:dyDescent="0.25">
      <c r="B60" s="69"/>
      <c r="C60" s="61" t="s">
        <v>72</v>
      </c>
      <c r="D60" s="54" t="s">
        <v>119</v>
      </c>
    </row>
    <row r="61" spans="2:4" ht="15.75" x14ac:dyDescent="0.25">
      <c r="B61" s="69"/>
      <c r="C61" s="60" t="s">
        <v>38</v>
      </c>
      <c r="D61" s="54" t="s">
        <v>111</v>
      </c>
    </row>
    <row r="62" spans="2:4" ht="15.75" x14ac:dyDescent="0.25">
      <c r="B62" s="69"/>
      <c r="C62" s="60" t="s">
        <v>31</v>
      </c>
      <c r="D62" s="54" t="s">
        <v>112</v>
      </c>
    </row>
    <row r="63" spans="2:4" ht="15.75" x14ac:dyDescent="0.25">
      <c r="B63" s="69"/>
      <c r="C63" s="60" t="s">
        <v>36</v>
      </c>
      <c r="D63" s="54" t="s">
        <v>143</v>
      </c>
    </row>
    <row r="64" spans="2:4" ht="15.75" x14ac:dyDescent="0.25">
      <c r="B64" s="69"/>
      <c r="C64" s="60" t="s">
        <v>40</v>
      </c>
      <c r="D64" s="54" t="s">
        <v>169</v>
      </c>
    </row>
    <row r="65" spans="2:4" ht="15.75" x14ac:dyDescent="0.25">
      <c r="B65" s="69"/>
      <c r="C65" s="60" t="s">
        <v>41</v>
      </c>
      <c r="D65" s="54" t="s">
        <v>144</v>
      </c>
    </row>
    <row r="66" spans="2:4" ht="15.75" x14ac:dyDescent="0.25">
      <c r="B66" s="69"/>
      <c r="C66" s="60" t="s">
        <v>42</v>
      </c>
      <c r="D66" s="54" t="s">
        <v>145</v>
      </c>
    </row>
    <row r="67" spans="2:4" ht="15.75" x14ac:dyDescent="0.25">
      <c r="B67" s="69"/>
      <c r="C67" s="60" t="s">
        <v>56</v>
      </c>
      <c r="D67" s="54" t="s">
        <v>174</v>
      </c>
    </row>
    <row r="68" spans="2:4" ht="15.75" x14ac:dyDescent="0.25">
      <c r="B68" s="69"/>
      <c r="C68" s="60" t="s">
        <v>70</v>
      </c>
      <c r="D68" s="54" t="s">
        <v>170</v>
      </c>
    </row>
    <row r="69" spans="2:4" ht="15.75" x14ac:dyDescent="0.25">
      <c r="B69" s="69"/>
      <c r="C69" s="60" t="s">
        <v>87</v>
      </c>
      <c r="D69" s="54" t="s">
        <v>113</v>
      </c>
    </row>
    <row r="70" spans="2:4" ht="15.75" x14ac:dyDescent="0.25">
      <c r="B70" s="69"/>
      <c r="C70" s="60" t="s">
        <v>71</v>
      </c>
      <c r="D70" s="54" t="s">
        <v>171</v>
      </c>
    </row>
    <row r="71" spans="2:4" ht="16.5" thickBot="1" x14ac:dyDescent="0.3">
      <c r="B71" s="70"/>
      <c r="C71" s="62" t="s">
        <v>86</v>
      </c>
      <c r="D71" s="59" t="s">
        <v>141</v>
      </c>
    </row>
  </sheetData>
  <mergeCells count="7">
    <mergeCell ref="B59:B71"/>
    <mergeCell ref="B3:C3"/>
    <mergeCell ref="B19:B35"/>
    <mergeCell ref="B36:B38"/>
    <mergeCell ref="B39:B41"/>
    <mergeCell ref="B42:B44"/>
    <mergeCell ref="B45:B5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69"/>
  <sheetViews>
    <sheetView zoomScale="70" zoomScaleNormal="70" workbookViewId="0"/>
  </sheetViews>
  <sheetFormatPr defaultColWidth="8.7109375" defaultRowHeight="15" x14ac:dyDescent="0.25"/>
  <cols>
    <col min="1" max="1" width="22.85546875" style="11" customWidth="1"/>
    <col min="2" max="8" width="28.85546875" style="11" customWidth="1"/>
    <col min="9" max="9" width="40.140625" style="11" bestFit="1" customWidth="1"/>
    <col min="10" max="10" width="16.85546875" style="11" bestFit="1" customWidth="1"/>
    <col min="11" max="11" width="19.85546875" style="11" bestFit="1" customWidth="1"/>
    <col min="12" max="13" width="43.42578125" style="11" bestFit="1" customWidth="1"/>
    <col min="14" max="14" width="25.28515625" style="11" bestFit="1" customWidth="1"/>
    <col min="15" max="15" width="27" style="11" bestFit="1" customWidth="1"/>
    <col min="16" max="16" width="34.28515625" style="11" bestFit="1" customWidth="1"/>
    <col min="17" max="17" width="25.42578125" style="11" bestFit="1" customWidth="1"/>
    <col min="18" max="18" width="17.42578125" style="11" bestFit="1" customWidth="1"/>
    <col min="19" max="19" width="20.140625" style="11" bestFit="1" customWidth="1"/>
    <col min="20" max="20" width="23.42578125" style="11" bestFit="1" customWidth="1"/>
    <col min="21" max="21" width="21.42578125" style="11" bestFit="1" customWidth="1"/>
    <col min="22" max="22" width="18.28515625" style="11" bestFit="1" customWidth="1"/>
    <col min="23" max="23" width="31.85546875" style="11" customWidth="1"/>
    <col min="24" max="24" width="57" style="11" bestFit="1" customWidth="1"/>
    <col min="25" max="25" width="19" style="11" bestFit="1" customWidth="1"/>
    <col min="26" max="26" width="25.28515625" style="11" bestFit="1" customWidth="1"/>
    <col min="27" max="27" width="23.42578125" style="11" bestFit="1" customWidth="1"/>
    <col min="28" max="28" width="21" style="11" bestFit="1" customWidth="1"/>
    <col min="29" max="29" width="25.28515625" style="11" bestFit="1" customWidth="1"/>
    <col min="30" max="30" width="23.42578125" style="11" bestFit="1" customWidth="1"/>
    <col min="31" max="31" width="23.140625" style="11" bestFit="1" customWidth="1"/>
    <col min="32" max="32" width="25.28515625" style="11" bestFit="1" customWidth="1"/>
    <col min="33" max="33" width="23.42578125" style="11" bestFit="1" customWidth="1"/>
    <col min="34" max="16384" width="8.7109375" style="11"/>
  </cols>
  <sheetData>
    <row r="1" spans="1:34" x14ac:dyDescent="0.25">
      <c r="A1" s="11" t="s">
        <v>201</v>
      </c>
    </row>
    <row r="3" spans="1:34" x14ac:dyDescent="0.25">
      <c r="A3" s="11" t="s">
        <v>10</v>
      </c>
    </row>
    <row r="4" spans="1:34" x14ac:dyDescent="0.25">
      <c r="A4" s="11" t="s">
        <v>11</v>
      </c>
    </row>
    <row r="5" spans="1:34" x14ac:dyDescent="0.25">
      <c r="A5" s="11" t="s">
        <v>12</v>
      </c>
    </row>
    <row r="6" spans="1:34" x14ac:dyDescent="0.25">
      <c r="A6" s="11" t="s">
        <v>13</v>
      </c>
    </row>
    <row r="7" spans="1:34" x14ac:dyDescent="0.25">
      <c r="A7" s="11" t="s">
        <v>90</v>
      </c>
    </row>
    <row r="8" spans="1:34" x14ac:dyDescent="0.25">
      <c r="A8" s="11" t="s">
        <v>91</v>
      </c>
    </row>
    <row r="9" spans="1:34" x14ac:dyDescent="0.25">
      <c r="A9" s="11" t="s">
        <v>14</v>
      </c>
    </row>
    <row r="10" spans="1:34" ht="15.75" thickBot="1" x14ac:dyDescent="0.3"/>
    <row r="11" spans="1:34" ht="18.75" x14ac:dyDescent="0.3">
      <c r="A11" s="12"/>
      <c r="B11" s="41"/>
      <c r="C11" s="13"/>
      <c r="D11" s="13"/>
      <c r="E11" s="13"/>
      <c r="F11" s="13"/>
      <c r="G11" s="13"/>
      <c r="H11" s="13"/>
      <c r="I11" s="75" t="s">
        <v>44</v>
      </c>
      <c r="J11" s="75"/>
      <c r="K11" s="75"/>
      <c r="L11" s="75"/>
      <c r="M11" s="75"/>
      <c r="N11" s="75"/>
      <c r="O11" s="75"/>
      <c r="P11" s="75"/>
      <c r="Q11" s="75"/>
      <c r="R11" s="75"/>
      <c r="S11" s="75"/>
      <c r="T11" s="75"/>
      <c r="U11" s="75"/>
      <c r="V11" s="75"/>
      <c r="W11" s="75"/>
      <c r="X11" s="75"/>
      <c r="Y11" s="75"/>
      <c r="Z11" s="75" t="s">
        <v>15</v>
      </c>
      <c r="AA11" s="75"/>
      <c r="AB11" s="75"/>
      <c r="AC11" s="75" t="s">
        <v>16</v>
      </c>
      <c r="AD11" s="75"/>
      <c r="AE11" s="75"/>
      <c r="AF11" s="75" t="s">
        <v>50</v>
      </c>
      <c r="AG11" s="75"/>
      <c r="AH11" s="76"/>
    </row>
    <row r="12" spans="1:34" s="39" customFormat="1" x14ac:dyDescent="0.25">
      <c r="A12" s="40" t="s">
        <v>7</v>
      </c>
      <c r="B12" s="42" t="s">
        <v>89</v>
      </c>
      <c r="C12" s="15" t="s">
        <v>17</v>
      </c>
      <c r="D12" s="15" t="s">
        <v>18</v>
      </c>
      <c r="E12" s="15" t="s">
        <v>29</v>
      </c>
      <c r="F12" s="15" t="s">
        <v>74</v>
      </c>
      <c r="G12" s="15" t="s">
        <v>76</v>
      </c>
      <c r="H12" s="15" t="s">
        <v>23</v>
      </c>
      <c r="I12" s="15" t="s">
        <v>45</v>
      </c>
      <c r="J12" s="15" t="s">
        <v>46</v>
      </c>
      <c r="K12" s="15" t="s">
        <v>79</v>
      </c>
      <c r="L12" s="15" t="s">
        <v>55</v>
      </c>
      <c r="M12" s="15" t="s">
        <v>116</v>
      </c>
      <c r="N12" s="15" t="s">
        <v>9</v>
      </c>
      <c r="O12" s="15" t="s">
        <v>47</v>
      </c>
      <c r="P12" s="15" t="s">
        <v>43</v>
      </c>
      <c r="Q12" s="15" t="s">
        <v>48</v>
      </c>
      <c r="R12" s="15" t="s">
        <v>20</v>
      </c>
      <c r="S12" s="15" t="s">
        <v>21</v>
      </c>
      <c r="T12" s="15" t="s">
        <v>22</v>
      </c>
      <c r="U12" s="15" t="s">
        <v>80</v>
      </c>
      <c r="V12" s="15" t="s">
        <v>81</v>
      </c>
      <c r="W12" s="15" t="s">
        <v>82</v>
      </c>
      <c r="X12" s="15" t="s">
        <v>24</v>
      </c>
      <c r="Y12" s="15" t="s">
        <v>53</v>
      </c>
      <c r="Z12" s="15" t="s">
        <v>49</v>
      </c>
      <c r="AA12" s="15" t="s">
        <v>83</v>
      </c>
      <c r="AB12" s="15" t="s">
        <v>43</v>
      </c>
      <c r="AC12" s="15" t="s">
        <v>51</v>
      </c>
      <c r="AD12" s="15" t="s">
        <v>84</v>
      </c>
      <c r="AE12" s="15" t="s">
        <v>43</v>
      </c>
      <c r="AF12" s="15" t="s">
        <v>52</v>
      </c>
      <c r="AG12" s="15" t="s">
        <v>85</v>
      </c>
      <c r="AH12" s="16" t="s">
        <v>43</v>
      </c>
    </row>
    <row r="13" spans="1:34" s="1" customFormat="1" ht="15.75" thickBot="1" x14ac:dyDescent="0.3">
      <c r="A13" s="2"/>
      <c r="B13" s="43"/>
      <c r="C13" s="3" t="s">
        <v>19</v>
      </c>
      <c r="D13" s="3"/>
      <c r="E13" s="3" t="s">
        <v>54</v>
      </c>
      <c r="F13" s="3" t="s">
        <v>75</v>
      </c>
      <c r="G13" s="3">
        <v>50012345</v>
      </c>
      <c r="H13" s="4">
        <v>44105</v>
      </c>
      <c r="I13" s="5">
        <v>150000</v>
      </c>
      <c r="J13" s="6">
        <v>1250</v>
      </c>
      <c r="K13" s="5">
        <v>75000</v>
      </c>
      <c r="L13" s="3">
        <v>625</v>
      </c>
      <c r="M13" s="7">
        <v>37500</v>
      </c>
      <c r="N13" s="7">
        <v>37500</v>
      </c>
      <c r="O13" s="3">
        <v>145</v>
      </c>
      <c r="P13" s="5">
        <v>3600</v>
      </c>
      <c r="Q13" s="7">
        <v>41100</v>
      </c>
      <c r="R13" s="3">
        <v>160</v>
      </c>
      <c r="S13" s="3">
        <v>0</v>
      </c>
      <c r="T13" s="3">
        <v>160</v>
      </c>
      <c r="U13" s="3">
        <v>480</v>
      </c>
      <c r="V13" s="3">
        <v>10</v>
      </c>
      <c r="W13" s="3">
        <v>490</v>
      </c>
      <c r="X13" s="5">
        <v>1248</v>
      </c>
      <c r="Y13" s="4">
        <v>44280</v>
      </c>
      <c r="Z13" s="3">
        <v>0</v>
      </c>
      <c r="AA13" s="3">
        <v>0</v>
      </c>
      <c r="AB13" s="3">
        <v>1350</v>
      </c>
      <c r="AC13" s="3">
        <v>0</v>
      </c>
      <c r="AD13" s="3">
        <v>0</v>
      </c>
      <c r="AE13" s="3">
        <v>0</v>
      </c>
      <c r="AF13" s="3">
        <v>0</v>
      </c>
      <c r="AG13" s="3">
        <v>0</v>
      </c>
      <c r="AH13" s="8">
        <v>0</v>
      </c>
    </row>
    <row r="14" spans="1:34" ht="15.75" thickBot="1" x14ac:dyDescent="0.3">
      <c r="A14" s="64" t="s">
        <v>151</v>
      </c>
    </row>
    <row r="15" spans="1:34" ht="15.75" thickBot="1" x14ac:dyDescent="0.3">
      <c r="A15" s="83" t="s">
        <v>28</v>
      </c>
      <c r="B15" s="84"/>
      <c r="C15" s="84"/>
      <c r="D15" s="84"/>
      <c r="E15" s="84"/>
      <c r="F15" s="84"/>
      <c r="G15" s="84"/>
      <c r="H15" s="84"/>
      <c r="I15" s="84"/>
      <c r="J15" s="84"/>
      <c r="K15" s="84"/>
      <c r="L15" s="84"/>
      <c r="M15" s="85"/>
    </row>
    <row r="16" spans="1:34" s="39" customFormat="1" x14ac:dyDescent="0.25">
      <c r="A16" s="37" t="s">
        <v>39</v>
      </c>
      <c r="B16" s="37" t="s">
        <v>72</v>
      </c>
      <c r="C16" s="37" t="s">
        <v>29</v>
      </c>
      <c r="D16" s="37" t="s">
        <v>12</v>
      </c>
      <c r="E16" s="37" t="s">
        <v>31</v>
      </c>
      <c r="F16" s="37" t="s">
        <v>32</v>
      </c>
      <c r="G16" s="37" t="s">
        <v>30</v>
      </c>
      <c r="H16" s="37" t="s">
        <v>33</v>
      </c>
      <c r="I16" s="37" t="s">
        <v>41</v>
      </c>
      <c r="J16" s="37" t="s">
        <v>42</v>
      </c>
      <c r="K16" s="37" t="s">
        <v>56</v>
      </c>
      <c r="L16" s="37" t="s">
        <v>35</v>
      </c>
      <c r="M16" s="38" t="s">
        <v>34</v>
      </c>
    </row>
    <row r="17" spans="1:17" x14ac:dyDescent="0.25">
      <c r="A17" s="14"/>
      <c r="B17" s="9"/>
      <c r="C17" s="9"/>
      <c r="D17" s="9"/>
      <c r="E17" s="9"/>
      <c r="F17" s="9"/>
      <c r="G17" s="9"/>
      <c r="H17" s="9"/>
      <c r="I17" s="9"/>
      <c r="J17" s="9"/>
      <c r="K17" s="9"/>
      <c r="L17" s="9"/>
      <c r="M17" s="10"/>
    </row>
    <row r="18" spans="1:17" x14ac:dyDescent="0.25">
      <c r="A18" s="14"/>
      <c r="B18" s="9"/>
      <c r="C18" s="9"/>
      <c r="D18" s="9"/>
      <c r="E18" s="9"/>
      <c r="F18" s="9"/>
      <c r="G18" s="9"/>
      <c r="H18" s="9"/>
      <c r="I18" s="9"/>
      <c r="J18" s="9"/>
      <c r="K18" s="9"/>
      <c r="L18" s="9"/>
      <c r="M18" s="10"/>
    </row>
    <row r="19" spans="1:17" ht="15.75" thickBot="1" x14ac:dyDescent="0.3">
      <c r="A19" s="17"/>
      <c r="B19" s="18"/>
      <c r="C19" s="18"/>
      <c r="D19" s="18"/>
      <c r="E19" s="18"/>
      <c r="F19" s="18"/>
      <c r="G19" s="18"/>
      <c r="H19" s="18" t="s">
        <v>86</v>
      </c>
      <c r="I19" s="19"/>
      <c r="J19" s="19"/>
      <c r="K19" s="78"/>
      <c r="L19" s="78"/>
      <c r="M19" s="79"/>
    </row>
    <row r="20" spans="1:17" ht="15.75" thickBot="1" x14ac:dyDescent="0.3">
      <c r="A20" s="20"/>
      <c r="B20" s="20"/>
      <c r="C20" s="20"/>
      <c r="D20" s="20"/>
      <c r="E20" s="20"/>
      <c r="F20" s="20"/>
      <c r="G20" s="20"/>
      <c r="H20" s="20"/>
      <c r="I20" s="20"/>
      <c r="J20" s="20"/>
      <c r="K20" s="20"/>
      <c r="L20" s="20"/>
      <c r="M20" s="20"/>
      <c r="N20" s="20"/>
      <c r="O20" s="20"/>
      <c r="P20" s="20"/>
      <c r="Q20" s="20"/>
    </row>
    <row r="21" spans="1:17" x14ac:dyDescent="0.25">
      <c r="A21" s="80" t="s">
        <v>15</v>
      </c>
      <c r="B21" s="81"/>
      <c r="C21" s="81"/>
      <c r="D21" s="81"/>
      <c r="E21" s="81"/>
      <c r="F21" s="81"/>
      <c r="G21" s="81"/>
      <c r="H21" s="81"/>
      <c r="I21" s="81"/>
      <c r="J21" s="81"/>
      <c r="K21" s="81"/>
      <c r="L21" s="82"/>
    </row>
    <row r="22" spans="1:17" s="39" customFormat="1" x14ac:dyDescent="0.25">
      <c r="A22" s="40" t="s">
        <v>37</v>
      </c>
      <c r="B22" s="15" t="s">
        <v>72</v>
      </c>
      <c r="C22" s="15" t="s">
        <v>38</v>
      </c>
      <c r="D22" s="15" t="s">
        <v>31</v>
      </c>
      <c r="E22" s="15" t="s">
        <v>36</v>
      </c>
      <c r="F22" s="15" t="s">
        <v>40</v>
      </c>
      <c r="G22" s="15" t="s">
        <v>41</v>
      </c>
      <c r="H22" s="15" t="s">
        <v>42</v>
      </c>
      <c r="I22" s="15" t="s">
        <v>56</v>
      </c>
      <c r="J22" s="15" t="s">
        <v>70</v>
      </c>
      <c r="K22" s="15" t="s">
        <v>87</v>
      </c>
      <c r="L22" s="16" t="s">
        <v>71</v>
      </c>
    </row>
    <row r="23" spans="1:17" x14ac:dyDescent="0.25">
      <c r="A23" s="14"/>
      <c r="B23" s="9"/>
      <c r="C23" s="9"/>
      <c r="D23" s="9"/>
      <c r="E23" s="9"/>
      <c r="F23" s="9"/>
      <c r="G23" s="9"/>
      <c r="H23" s="9"/>
      <c r="I23" s="9"/>
      <c r="J23" s="9"/>
      <c r="K23" s="9"/>
      <c r="L23" s="10"/>
    </row>
    <row r="24" spans="1:17" x14ac:dyDescent="0.25">
      <c r="A24" s="14"/>
      <c r="B24" s="9"/>
      <c r="C24" s="9"/>
      <c r="D24" s="9"/>
      <c r="E24" s="9"/>
      <c r="F24" s="9"/>
      <c r="G24" s="9"/>
      <c r="H24" s="9"/>
      <c r="I24" s="9"/>
      <c r="J24" s="9"/>
      <c r="K24" s="9"/>
      <c r="L24" s="10"/>
    </row>
    <row r="25" spans="1:17" ht="15.75" thickBot="1" x14ac:dyDescent="0.3">
      <c r="A25" s="17"/>
      <c r="B25" s="18"/>
      <c r="C25" s="18"/>
      <c r="D25" s="18"/>
      <c r="E25" s="18"/>
      <c r="F25" s="18" t="s">
        <v>86</v>
      </c>
      <c r="G25" s="19"/>
      <c r="H25" s="21"/>
      <c r="I25" s="78"/>
      <c r="J25" s="78"/>
      <c r="K25" s="78"/>
      <c r="L25" s="79"/>
    </row>
    <row r="26" spans="1:17" x14ac:dyDescent="0.25">
      <c r="J26" s="20"/>
      <c r="K26" s="20"/>
    </row>
    <row r="27" spans="1:17" x14ac:dyDescent="0.25">
      <c r="A27" s="64" t="s">
        <v>152</v>
      </c>
      <c r="J27" s="20"/>
      <c r="K27" s="20"/>
    </row>
    <row r="28" spans="1:17" x14ac:dyDescent="0.25">
      <c r="J28" s="20"/>
      <c r="K28" s="20"/>
    </row>
    <row r="29" spans="1:17" ht="15.75" thickBot="1" x14ac:dyDescent="0.3"/>
    <row r="30" spans="1:17" x14ac:dyDescent="0.25">
      <c r="A30" s="22"/>
      <c r="B30" s="23" t="s">
        <v>58</v>
      </c>
      <c r="C30" s="23" t="s">
        <v>59</v>
      </c>
      <c r="D30" s="24" t="s">
        <v>60</v>
      </c>
      <c r="E30" s="23" t="s">
        <v>61</v>
      </c>
      <c r="F30" s="23" t="s">
        <v>62</v>
      </c>
      <c r="G30" s="24" t="s">
        <v>63</v>
      </c>
      <c r="H30" s="23" t="s">
        <v>64</v>
      </c>
      <c r="I30" s="23" t="s">
        <v>65</v>
      </c>
      <c r="J30" s="24" t="s">
        <v>66</v>
      </c>
      <c r="K30" s="23" t="s">
        <v>67</v>
      </c>
      <c r="L30" s="23" t="s">
        <v>68</v>
      </c>
      <c r="M30" s="25" t="s">
        <v>69</v>
      </c>
      <c r="N30" s="64" t="s">
        <v>200</v>
      </c>
    </row>
    <row r="31" spans="1:17" x14ac:dyDescent="0.25">
      <c r="A31" s="26" t="s">
        <v>57</v>
      </c>
      <c r="B31" s="29">
        <v>25000</v>
      </c>
      <c r="C31" s="29">
        <v>25000</v>
      </c>
      <c r="D31" s="29">
        <v>25000</v>
      </c>
      <c r="E31" s="29">
        <v>120000</v>
      </c>
      <c r="F31" s="29">
        <v>350000</v>
      </c>
      <c r="G31" s="29">
        <v>15000000</v>
      </c>
      <c r="H31" s="29">
        <v>15000000</v>
      </c>
      <c r="I31" s="29">
        <v>15000000</v>
      </c>
      <c r="J31" s="29">
        <v>15000000</v>
      </c>
      <c r="K31" s="29">
        <v>15000000</v>
      </c>
      <c r="L31" s="29">
        <v>15000000</v>
      </c>
      <c r="M31" s="30">
        <v>15000000</v>
      </c>
      <c r="N31" s="64" t="s">
        <v>192</v>
      </c>
    </row>
    <row r="32" spans="1:17" x14ac:dyDescent="0.25">
      <c r="A32" s="26" t="s">
        <v>8</v>
      </c>
      <c r="B32" s="31">
        <v>15000</v>
      </c>
      <c r="C32" s="31">
        <v>22500</v>
      </c>
      <c r="D32" s="31">
        <v>24500</v>
      </c>
      <c r="E32" s="31">
        <v>50000</v>
      </c>
      <c r="F32" s="31">
        <v>75000</v>
      </c>
      <c r="G32" s="31">
        <v>100000</v>
      </c>
      <c r="H32" s="31">
        <v>13000000</v>
      </c>
      <c r="I32" s="31">
        <v>14000000</v>
      </c>
      <c r="J32" s="31">
        <v>14100000</v>
      </c>
      <c r="K32" s="31">
        <v>14589000</v>
      </c>
      <c r="L32" s="31">
        <v>15552412</v>
      </c>
      <c r="M32" s="32">
        <v>15860000</v>
      </c>
      <c r="N32" s="64" t="s">
        <v>193</v>
      </c>
    </row>
    <row r="33" spans="1:14" x14ac:dyDescent="0.25">
      <c r="A33" s="27" t="s">
        <v>24</v>
      </c>
      <c r="B33" s="33">
        <v>15000000</v>
      </c>
      <c r="C33" s="33">
        <v>15000000</v>
      </c>
      <c r="D33" s="33">
        <v>15860000</v>
      </c>
      <c r="E33" s="33">
        <v>15860000</v>
      </c>
      <c r="F33" s="33">
        <v>15860000</v>
      </c>
      <c r="G33" s="33">
        <v>15860000</v>
      </c>
      <c r="H33" s="33">
        <v>15860000</v>
      </c>
      <c r="I33" s="33">
        <v>15860000</v>
      </c>
      <c r="J33" s="33">
        <v>15860000</v>
      </c>
      <c r="K33" s="33">
        <v>15860000</v>
      </c>
      <c r="L33" s="33">
        <v>15860000</v>
      </c>
      <c r="M33" s="34">
        <v>15860000</v>
      </c>
      <c r="N33" s="64" t="s">
        <v>194</v>
      </c>
    </row>
    <row r="34" spans="1:14" ht="15.75" thickBot="1" x14ac:dyDescent="0.3">
      <c r="A34" s="28" t="s">
        <v>73</v>
      </c>
      <c r="B34" s="35">
        <v>15000000</v>
      </c>
      <c r="C34" s="35">
        <v>15000000</v>
      </c>
      <c r="D34" s="35">
        <v>15000000</v>
      </c>
      <c r="E34" s="35">
        <v>15000000</v>
      </c>
      <c r="F34" s="35">
        <v>15000000</v>
      </c>
      <c r="G34" s="35">
        <v>15000000</v>
      </c>
      <c r="H34" s="35">
        <v>15000000</v>
      </c>
      <c r="I34" s="35">
        <v>15000000</v>
      </c>
      <c r="J34" s="35">
        <v>15000000</v>
      </c>
      <c r="K34" s="35">
        <v>15000000</v>
      </c>
      <c r="L34" s="35">
        <v>15000000</v>
      </c>
      <c r="M34" s="36">
        <v>15000000</v>
      </c>
      <c r="N34" s="64" t="s">
        <v>195</v>
      </c>
    </row>
    <row r="57" spans="1:12" x14ac:dyDescent="0.25">
      <c r="A57" s="86"/>
      <c r="B57" s="86"/>
      <c r="C57" s="86"/>
      <c r="D57" s="86"/>
      <c r="E57" s="86"/>
      <c r="F57" s="86"/>
      <c r="G57" s="86"/>
      <c r="H57" s="86"/>
      <c r="I57" s="86"/>
      <c r="J57" s="86"/>
      <c r="K57" s="86"/>
    </row>
    <row r="58" spans="1:12" x14ac:dyDescent="0.25">
      <c r="A58" s="86"/>
      <c r="B58" s="86"/>
      <c r="C58" s="86"/>
      <c r="D58" s="86"/>
      <c r="E58" s="86"/>
      <c r="F58" s="86"/>
      <c r="G58" s="86"/>
      <c r="H58" s="86"/>
      <c r="I58" s="86"/>
      <c r="J58" s="86"/>
      <c r="K58" s="86"/>
    </row>
    <row r="59" spans="1:12" ht="44.25" customHeight="1" x14ac:dyDescent="0.25">
      <c r="A59" s="77" t="s">
        <v>25</v>
      </c>
      <c r="B59" s="77"/>
      <c r="C59" s="77"/>
      <c r="D59" s="77"/>
      <c r="E59" s="77"/>
      <c r="F59" s="63"/>
      <c r="G59" s="63"/>
      <c r="H59" s="63"/>
      <c r="I59" s="63"/>
      <c r="J59" s="63"/>
      <c r="K59" s="63"/>
      <c r="L59" s="20"/>
    </row>
    <row r="60" spans="1:12" x14ac:dyDescent="0.25">
      <c r="A60" s="77"/>
      <c r="B60" s="77"/>
      <c r="C60" s="77"/>
      <c r="D60" s="77"/>
      <c r="E60" s="77"/>
      <c r="F60" s="63"/>
      <c r="G60" s="63"/>
      <c r="H60" s="63"/>
      <c r="I60" s="63"/>
      <c r="J60" s="63"/>
      <c r="K60" s="63"/>
      <c r="L60" s="20"/>
    </row>
    <row r="61" spans="1:12" ht="59.25" customHeight="1" x14ac:dyDescent="0.25">
      <c r="A61" s="77" t="s">
        <v>88</v>
      </c>
      <c r="B61" s="77"/>
      <c r="C61" s="77"/>
      <c r="D61" s="77"/>
      <c r="E61" s="77"/>
      <c r="F61" s="63"/>
      <c r="G61" s="63"/>
      <c r="H61" s="63"/>
      <c r="I61" s="63"/>
      <c r="J61" s="63"/>
      <c r="K61" s="63"/>
      <c r="L61" s="20"/>
    </row>
    <row r="62" spans="1:12" x14ac:dyDescent="0.25">
      <c r="A62" s="77"/>
      <c r="B62" s="77"/>
      <c r="C62" s="77"/>
      <c r="D62" s="77"/>
      <c r="E62" s="77"/>
      <c r="F62" s="63"/>
      <c r="G62" s="63"/>
      <c r="H62" s="63"/>
      <c r="I62" s="63"/>
      <c r="J62" s="63"/>
      <c r="K62" s="63"/>
      <c r="L62" s="20"/>
    </row>
    <row r="63" spans="1:12" ht="42" customHeight="1" x14ac:dyDescent="0.25">
      <c r="A63" s="77" t="s">
        <v>26</v>
      </c>
      <c r="B63" s="77"/>
      <c r="C63" s="77"/>
      <c r="D63" s="77"/>
      <c r="E63" s="77"/>
      <c r="F63" s="63"/>
      <c r="G63" s="63"/>
      <c r="H63" s="63"/>
      <c r="I63" s="63"/>
      <c r="J63" s="63"/>
      <c r="K63" s="63"/>
      <c r="L63" s="20"/>
    </row>
    <row r="64" spans="1:12" x14ac:dyDescent="0.25">
      <c r="A64" s="77"/>
      <c r="B64" s="77"/>
      <c r="C64" s="77"/>
      <c r="D64" s="77"/>
      <c r="E64" s="77"/>
      <c r="F64" s="63"/>
      <c r="G64" s="63"/>
      <c r="H64" s="63"/>
      <c r="I64" s="63"/>
      <c r="J64" s="63"/>
      <c r="K64" s="63"/>
      <c r="L64" s="20"/>
    </row>
    <row r="65" spans="1:12" ht="49.5" customHeight="1" x14ac:dyDescent="0.25">
      <c r="A65" s="77" t="s">
        <v>27</v>
      </c>
      <c r="B65" s="77"/>
      <c r="C65" s="77"/>
      <c r="D65" s="77"/>
      <c r="E65" s="77"/>
      <c r="F65" s="63"/>
      <c r="G65" s="63"/>
      <c r="H65" s="63"/>
      <c r="I65" s="63"/>
      <c r="J65" s="63"/>
      <c r="K65" s="63"/>
      <c r="L65" s="20"/>
    </row>
    <row r="66" spans="1:12" ht="14.45" customHeight="1" x14ac:dyDescent="0.25">
      <c r="A66" s="87"/>
      <c r="B66" s="87"/>
      <c r="C66" s="87"/>
      <c r="D66" s="87"/>
      <c r="E66" s="87"/>
      <c r="F66" s="63"/>
      <c r="G66" s="63"/>
      <c r="H66" s="63"/>
      <c r="I66" s="63"/>
      <c r="J66" s="63"/>
      <c r="K66" s="63"/>
      <c r="L66" s="20"/>
    </row>
    <row r="67" spans="1:12" ht="27" customHeight="1" x14ac:dyDescent="0.25">
      <c r="A67" s="77" t="s">
        <v>188</v>
      </c>
      <c r="B67" s="77"/>
      <c r="C67" s="77"/>
      <c r="D67" s="77"/>
      <c r="E67" s="77"/>
      <c r="F67" s="63"/>
      <c r="G67" s="63"/>
      <c r="H67" s="63"/>
      <c r="I67" s="63"/>
      <c r="J67" s="63"/>
      <c r="K67" s="63"/>
      <c r="L67" s="20"/>
    </row>
    <row r="68" spans="1:12" ht="14.45" customHeight="1" x14ac:dyDescent="0.25">
      <c r="A68" s="87"/>
      <c r="B68" s="87"/>
      <c r="C68" s="87"/>
      <c r="D68" s="87"/>
      <c r="E68" s="87"/>
      <c r="F68" s="63"/>
      <c r="G68" s="63"/>
      <c r="H68" s="63"/>
      <c r="I68" s="63"/>
      <c r="J68" s="63"/>
      <c r="K68" s="63"/>
      <c r="L68" s="20"/>
    </row>
    <row r="69" spans="1:12" ht="47.25" customHeight="1" x14ac:dyDescent="0.25">
      <c r="A69" s="77" t="s">
        <v>189</v>
      </c>
      <c r="B69" s="77"/>
      <c r="C69" s="77"/>
      <c r="D69" s="77"/>
      <c r="E69" s="77"/>
      <c r="F69" s="63"/>
      <c r="G69" s="63"/>
      <c r="H69" s="63"/>
      <c r="I69" s="63"/>
      <c r="J69" s="63"/>
      <c r="K69" s="63"/>
      <c r="L69" s="20"/>
    </row>
  </sheetData>
  <mergeCells count="20">
    <mergeCell ref="A69:E69"/>
    <mergeCell ref="I25:L25"/>
    <mergeCell ref="A59:E59"/>
    <mergeCell ref="A57:K58"/>
    <mergeCell ref="A68:E68"/>
    <mergeCell ref="A66:E66"/>
    <mergeCell ref="A64:E64"/>
    <mergeCell ref="A62:E62"/>
    <mergeCell ref="A60:E60"/>
    <mergeCell ref="A63:E63"/>
    <mergeCell ref="A65:E65"/>
    <mergeCell ref="A67:E67"/>
    <mergeCell ref="I11:Y11"/>
    <mergeCell ref="Z11:AB11"/>
    <mergeCell ref="AC11:AE11"/>
    <mergeCell ref="AF11:AH11"/>
    <mergeCell ref="A61:E61"/>
    <mergeCell ref="K19:M19"/>
    <mergeCell ref="A21:L21"/>
    <mergeCell ref="A15:M15"/>
  </mergeCells>
  <pageMargins left="0" right="0" top="0" bottom="0" header="0.3" footer="0.3"/>
  <pageSetup paperSize="5"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69"/>
  <sheetViews>
    <sheetView zoomScale="70" zoomScaleNormal="70" workbookViewId="0">
      <selection activeCell="A5" sqref="A5"/>
    </sheetView>
  </sheetViews>
  <sheetFormatPr defaultColWidth="8.7109375" defaultRowHeight="15" x14ac:dyDescent="0.25"/>
  <cols>
    <col min="1" max="1" width="22.85546875" style="11" customWidth="1"/>
    <col min="2" max="8" width="28.85546875" style="11" customWidth="1"/>
    <col min="9" max="9" width="40.140625" style="11" bestFit="1" customWidth="1"/>
    <col min="10" max="10" width="16.85546875" style="11" bestFit="1" customWidth="1"/>
    <col min="11" max="11" width="19.85546875" style="11" bestFit="1" customWidth="1"/>
    <col min="12" max="13" width="43.42578125" style="11" bestFit="1" customWidth="1"/>
    <col min="14" max="14" width="25.28515625" style="11" bestFit="1" customWidth="1"/>
    <col min="15" max="15" width="27" style="11" bestFit="1" customWidth="1"/>
    <col min="16" max="16" width="34.28515625" style="11" bestFit="1" customWidth="1"/>
    <col min="17" max="17" width="25.42578125" style="11" bestFit="1" customWidth="1"/>
    <col min="18" max="18" width="17.42578125" style="11" bestFit="1" customWidth="1"/>
    <col min="19" max="19" width="20.140625" style="11" bestFit="1" customWidth="1"/>
    <col min="20" max="20" width="23.42578125" style="11" bestFit="1" customWidth="1"/>
    <col min="21" max="21" width="21.42578125" style="11" bestFit="1" customWidth="1"/>
    <col min="22" max="22" width="18.28515625" style="11" bestFit="1" customWidth="1"/>
    <col min="23" max="23" width="31.85546875" style="11" customWidth="1"/>
    <col min="24" max="24" width="57" style="11" bestFit="1" customWidth="1"/>
    <col min="25" max="25" width="19" style="11" bestFit="1" customWidth="1"/>
    <col min="26" max="26" width="25.28515625" style="11" bestFit="1" customWidth="1"/>
    <col min="27" max="27" width="23.42578125" style="11" bestFit="1" customWidth="1"/>
    <col min="28" max="28" width="21" style="11" bestFit="1" customWidth="1"/>
    <col min="29" max="29" width="25.28515625" style="11" bestFit="1" customWidth="1"/>
    <col min="30" max="30" width="23.42578125" style="11" bestFit="1" customWidth="1"/>
    <col min="31" max="31" width="23.140625" style="11" bestFit="1" customWidth="1"/>
    <col min="32" max="32" width="25.28515625" style="11" bestFit="1" customWidth="1"/>
    <col min="33" max="33" width="23.42578125" style="11" bestFit="1" customWidth="1"/>
    <col min="34" max="16384" width="8.7109375" style="11"/>
  </cols>
  <sheetData>
    <row r="1" spans="1:34" x14ac:dyDescent="0.25">
      <c r="A1" s="11" t="s">
        <v>201</v>
      </c>
    </row>
    <row r="3" spans="1:34" x14ac:dyDescent="0.25">
      <c r="A3" s="11" t="s">
        <v>10</v>
      </c>
    </row>
    <row r="4" spans="1:34" x14ac:dyDescent="0.25">
      <c r="A4" s="11" t="s">
        <v>11</v>
      </c>
    </row>
    <row r="5" spans="1:34" x14ac:dyDescent="0.25">
      <c r="A5" s="11" t="s">
        <v>12</v>
      </c>
    </row>
    <row r="6" spans="1:34" x14ac:dyDescent="0.25">
      <c r="A6" s="11" t="s">
        <v>13</v>
      </c>
    </row>
    <row r="7" spans="1:34" x14ac:dyDescent="0.25">
      <c r="A7" s="11" t="s">
        <v>90</v>
      </c>
    </row>
    <row r="8" spans="1:34" x14ac:dyDescent="0.25">
      <c r="A8" s="11" t="s">
        <v>91</v>
      </c>
    </row>
    <row r="9" spans="1:34" x14ac:dyDescent="0.25">
      <c r="A9" s="11" t="s">
        <v>14</v>
      </c>
    </row>
    <row r="10" spans="1:34" ht="15.75" thickBot="1" x14ac:dyDescent="0.3"/>
    <row r="11" spans="1:34" ht="18.75" x14ac:dyDescent="0.3">
      <c r="A11" s="12"/>
      <c r="B11" s="41"/>
      <c r="C11" s="13"/>
      <c r="D11" s="13"/>
      <c r="E11" s="13"/>
      <c r="F11" s="13"/>
      <c r="G11" s="13"/>
      <c r="H11" s="13"/>
      <c r="I11" s="75" t="s">
        <v>44</v>
      </c>
      <c r="J11" s="75"/>
      <c r="K11" s="75"/>
      <c r="L11" s="75"/>
      <c r="M11" s="75"/>
      <c r="N11" s="75"/>
      <c r="O11" s="75"/>
      <c r="P11" s="75"/>
      <c r="Q11" s="75"/>
      <c r="R11" s="75"/>
      <c r="S11" s="75"/>
      <c r="T11" s="75"/>
      <c r="U11" s="75"/>
      <c r="V11" s="75"/>
      <c r="W11" s="75"/>
      <c r="X11" s="75"/>
      <c r="Y11" s="75"/>
      <c r="Z11" s="75" t="s">
        <v>15</v>
      </c>
      <c r="AA11" s="75"/>
      <c r="AB11" s="75"/>
      <c r="AC11" s="75" t="s">
        <v>16</v>
      </c>
      <c r="AD11" s="75"/>
      <c r="AE11" s="75"/>
      <c r="AF11" s="75" t="s">
        <v>50</v>
      </c>
      <c r="AG11" s="75"/>
      <c r="AH11" s="76"/>
    </row>
    <row r="12" spans="1:34" s="65" customFormat="1" x14ac:dyDescent="0.25">
      <c r="A12" s="40" t="s">
        <v>7</v>
      </c>
      <c r="B12" s="42" t="s">
        <v>89</v>
      </c>
      <c r="C12" s="15" t="s">
        <v>17</v>
      </c>
      <c r="D12" s="15" t="s">
        <v>18</v>
      </c>
      <c r="E12" s="15" t="s">
        <v>29</v>
      </c>
      <c r="F12" s="15" t="s">
        <v>74</v>
      </c>
      <c r="G12" s="15" t="s">
        <v>76</v>
      </c>
      <c r="H12" s="15" t="s">
        <v>23</v>
      </c>
      <c r="I12" s="15" t="s">
        <v>45</v>
      </c>
      <c r="J12" s="15" t="s">
        <v>46</v>
      </c>
      <c r="K12" s="15" t="s">
        <v>79</v>
      </c>
      <c r="L12" s="15" t="s">
        <v>55</v>
      </c>
      <c r="M12" s="15" t="s">
        <v>116</v>
      </c>
      <c r="N12" s="15" t="s">
        <v>9</v>
      </c>
      <c r="O12" s="15" t="s">
        <v>47</v>
      </c>
      <c r="P12" s="15" t="s">
        <v>43</v>
      </c>
      <c r="Q12" s="15" t="s">
        <v>48</v>
      </c>
      <c r="R12" s="15" t="s">
        <v>20</v>
      </c>
      <c r="S12" s="15" t="s">
        <v>21</v>
      </c>
      <c r="T12" s="15" t="s">
        <v>22</v>
      </c>
      <c r="U12" s="15" t="s">
        <v>80</v>
      </c>
      <c r="V12" s="15" t="s">
        <v>81</v>
      </c>
      <c r="W12" s="15" t="s">
        <v>82</v>
      </c>
      <c r="X12" s="15" t="s">
        <v>24</v>
      </c>
      <c r="Y12" s="15" t="s">
        <v>53</v>
      </c>
      <c r="Z12" s="15" t="s">
        <v>49</v>
      </c>
      <c r="AA12" s="15" t="s">
        <v>83</v>
      </c>
      <c r="AB12" s="15" t="s">
        <v>43</v>
      </c>
      <c r="AC12" s="15" t="s">
        <v>51</v>
      </c>
      <c r="AD12" s="15" t="s">
        <v>84</v>
      </c>
      <c r="AE12" s="15" t="s">
        <v>43</v>
      </c>
      <c r="AF12" s="15" t="s">
        <v>52</v>
      </c>
      <c r="AG12" s="15" t="s">
        <v>85</v>
      </c>
      <c r="AH12" s="16" t="s">
        <v>43</v>
      </c>
    </row>
    <row r="13" spans="1:34" s="1" customFormat="1" ht="15.75" thickBot="1" x14ac:dyDescent="0.3">
      <c r="A13" s="2"/>
      <c r="B13" s="43"/>
      <c r="C13" s="3" t="s">
        <v>172</v>
      </c>
      <c r="D13" s="3"/>
      <c r="E13" s="3" t="s">
        <v>199</v>
      </c>
      <c r="F13" s="3" t="s">
        <v>75</v>
      </c>
      <c r="G13" s="3">
        <v>50012345</v>
      </c>
      <c r="H13" s="4">
        <v>44105</v>
      </c>
      <c r="I13" s="5">
        <v>150000</v>
      </c>
      <c r="J13" s="6">
        <v>1250</v>
      </c>
      <c r="K13" s="5">
        <v>75000</v>
      </c>
      <c r="L13" s="3">
        <v>625</v>
      </c>
      <c r="M13" s="7">
        <v>37500</v>
      </c>
      <c r="N13" s="7">
        <v>37500</v>
      </c>
      <c r="O13" s="3">
        <v>145</v>
      </c>
      <c r="P13" s="5">
        <v>3600</v>
      </c>
      <c r="Q13" s="7">
        <v>41100</v>
      </c>
      <c r="R13" s="3">
        <v>160</v>
      </c>
      <c r="S13" s="3">
        <v>0</v>
      </c>
      <c r="T13" s="3">
        <v>160</v>
      </c>
      <c r="U13" s="3">
        <v>480</v>
      </c>
      <c r="V13" s="3">
        <v>10</v>
      </c>
      <c r="W13" s="3">
        <v>490</v>
      </c>
      <c r="X13" s="5">
        <v>1248</v>
      </c>
      <c r="Y13" s="4">
        <v>44280</v>
      </c>
      <c r="Z13" s="3">
        <v>0</v>
      </c>
      <c r="AA13" s="3">
        <v>0</v>
      </c>
      <c r="AB13" s="3">
        <v>1350</v>
      </c>
      <c r="AC13" s="3">
        <v>0</v>
      </c>
      <c r="AD13" s="3">
        <v>0</v>
      </c>
      <c r="AE13" s="3">
        <v>0</v>
      </c>
      <c r="AF13" s="3">
        <v>0</v>
      </c>
      <c r="AG13" s="3">
        <v>0</v>
      </c>
      <c r="AH13" s="8">
        <v>0</v>
      </c>
    </row>
    <row r="14" spans="1:34" ht="15.75" thickBot="1" x14ac:dyDescent="0.3">
      <c r="A14" s="64" t="s">
        <v>151</v>
      </c>
    </row>
    <row r="15" spans="1:34" ht="15.75" thickBot="1" x14ac:dyDescent="0.3">
      <c r="A15" s="83" t="s">
        <v>28</v>
      </c>
      <c r="B15" s="84"/>
      <c r="C15" s="84"/>
      <c r="D15" s="84"/>
      <c r="E15" s="84"/>
      <c r="F15" s="84"/>
      <c r="G15" s="84"/>
      <c r="H15" s="84"/>
      <c r="I15" s="84"/>
      <c r="J15" s="84"/>
      <c r="K15" s="84"/>
      <c r="L15" s="84"/>
      <c r="M15" s="85"/>
    </row>
    <row r="16" spans="1:34" s="65" customFormat="1" x14ac:dyDescent="0.25">
      <c r="A16" s="37" t="s">
        <v>39</v>
      </c>
      <c r="B16" s="37" t="s">
        <v>72</v>
      </c>
      <c r="C16" s="37" t="s">
        <v>29</v>
      </c>
      <c r="D16" s="37" t="s">
        <v>12</v>
      </c>
      <c r="E16" s="37" t="s">
        <v>31</v>
      </c>
      <c r="F16" s="37" t="s">
        <v>32</v>
      </c>
      <c r="G16" s="37" t="s">
        <v>30</v>
      </c>
      <c r="H16" s="37" t="s">
        <v>33</v>
      </c>
      <c r="I16" s="37" t="s">
        <v>41</v>
      </c>
      <c r="J16" s="37" t="s">
        <v>42</v>
      </c>
      <c r="K16" s="37" t="s">
        <v>56</v>
      </c>
      <c r="L16" s="37" t="s">
        <v>35</v>
      </c>
      <c r="M16" s="38" t="s">
        <v>34</v>
      </c>
    </row>
    <row r="17" spans="1:17" x14ac:dyDescent="0.25">
      <c r="A17" s="14"/>
      <c r="B17" s="9"/>
      <c r="C17" s="9"/>
      <c r="D17" s="9"/>
      <c r="E17" s="9"/>
      <c r="F17" s="9"/>
      <c r="G17" s="9"/>
      <c r="H17" s="9"/>
      <c r="I17" s="9"/>
      <c r="J17" s="9"/>
      <c r="K17" s="9"/>
      <c r="L17" s="9"/>
      <c r="M17" s="10"/>
    </row>
    <row r="18" spans="1:17" x14ac:dyDescent="0.25">
      <c r="A18" s="14"/>
      <c r="B18" s="9"/>
      <c r="C18" s="9"/>
      <c r="D18" s="9"/>
      <c r="E18" s="9"/>
      <c r="F18" s="9"/>
      <c r="G18" s="9"/>
      <c r="H18" s="9"/>
      <c r="I18" s="9"/>
      <c r="J18" s="9"/>
      <c r="K18" s="9"/>
      <c r="L18" s="9"/>
      <c r="M18" s="10"/>
    </row>
    <row r="19" spans="1:17" ht="15.75" thickBot="1" x14ac:dyDescent="0.3">
      <c r="A19" s="17"/>
      <c r="B19" s="18"/>
      <c r="C19" s="18"/>
      <c r="D19" s="18"/>
      <c r="E19" s="18"/>
      <c r="F19" s="18"/>
      <c r="G19" s="18"/>
      <c r="H19" s="18" t="s">
        <v>86</v>
      </c>
      <c r="I19" s="19"/>
      <c r="J19" s="19"/>
      <c r="K19" s="78"/>
      <c r="L19" s="78"/>
      <c r="M19" s="79"/>
    </row>
    <row r="20" spans="1:17" ht="15.75" thickBot="1" x14ac:dyDescent="0.3">
      <c r="A20" s="20"/>
      <c r="B20" s="20"/>
      <c r="C20" s="20"/>
      <c r="D20" s="20"/>
      <c r="E20" s="20"/>
      <c r="F20" s="20"/>
      <c r="G20" s="20"/>
      <c r="H20" s="20"/>
      <c r="I20" s="20"/>
      <c r="J20" s="20"/>
      <c r="K20" s="20"/>
      <c r="L20" s="20"/>
      <c r="M20" s="20"/>
      <c r="N20" s="20"/>
      <c r="O20" s="20"/>
      <c r="P20" s="20"/>
      <c r="Q20" s="20"/>
    </row>
    <row r="21" spans="1:17" x14ac:dyDescent="0.25">
      <c r="A21" s="80" t="s">
        <v>15</v>
      </c>
      <c r="B21" s="81"/>
      <c r="C21" s="81"/>
      <c r="D21" s="81"/>
      <c r="E21" s="81"/>
      <c r="F21" s="81"/>
      <c r="G21" s="81"/>
      <c r="H21" s="81"/>
      <c r="I21" s="81"/>
      <c r="J21" s="81"/>
      <c r="K21" s="81"/>
      <c r="L21" s="82"/>
    </row>
    <row r="22" spans="1:17" s="65" customFormat="1" x14ac:dyDescent="0.25">
      <c r="A22" s="40" t="s">
        <v>37</v>
      </c>
      <c r="B22" s="15" t="s">
        <v>72</v>
      </c>
      <c r="C22" s="15" t="s">
        <v>38</v>
      </c>
      <c r="D22" s="15" t="s">
        <v>31</v>
      </c>
      <c r="E22" s="15" t="s">
        <v>36</v>
      </c>
      <c r="F22" s="15" t="s">
        <v>40</v>
      </c>
      <c r="G22" s="15" t="s">
        <v>41</v>
      </c>
      <c r="H22" s="15" t="s">
        <v>42</v>
      </c>
      <c r="I22" s="15" t="s">
        <v>56</v>
      </c>
      <c r="J22" s="15" t="s">
        <v>70</v>
      </c>
      <c r="K22" s="15" t="s">
        <v>87</v>
      </c>
      <c r="L22" s="16" t="s">
        <v>71</v>
      </c>
    </row>
    <row r="23" spans="1:17" x14ac:dyDescent="0.25">
      <c r="A23" s="14"/>
      <c r="B23" s="9"/>
      <c r="C23" s="9"/>
      <c r="D23" s="9"/>
      <c r="E23" s="9"/>
      <c r="F23" s="9"/>
      <c r="G23" s="9"/>
      <c r="H23" s="9"/>
      <c r="I23" s="9"/>
      <c r="J23" s="9"/>
      <c r="K23" s="9"/>
      <c r="L23" s="10"/>
    </row>
    <row r="24" spans="1:17" x14ac:dyDescent="0.25">
      <c r="A24" s="14"/>
      <c r="B24" s="9"/>
      <c r="C24" s="9"/>
      <c r="D24" s="9"/>
      <c r="E24" s="9"/>
      <c r="F24" s="9"/>
      <c r="G24" s="9"/>
      <c r="H24" s="9"/>
      <c r="I24" s="9"/>
      <c r="J24" s="9"/>
      <c r="K24" s="9"/>
      <c r="L24" s="10"/>
    </row>
    <row r="25" spans="1:17" ht="15.75" thickBot="1" x14ac:dyDescent="0.3">
      <c r="A25" s="17"/>
      <c r="B25" s="18"/>
      <c r="C25" s="18"/>
      <c r="D25" s="18"/>
      <c r="E25" s="18"/>
      <c r="F25" s="18" t="s">
        <v>86</v>
      </c>
      <c r="G25" s="19"/>
      <c r="H25" s="21"/>
      <c r="I25" s="78"/>
      <c r="J25" s="78"/>
      <c r="K25" s="78"/>
      <c r="L25" s="79"/>
    </row>
    <row r="26" spans="1:17" x14ac:dyDescent="0.25">
      <c r="J26" s="20"/>
      <c r="K26" s="20"/>
    </row>
    <row r="27" spans="1:17" x14ac:dyDescent="0.25">
      <c r="A27" s="64" t="s">
        <v>152</v>
      </c>
      <c r="J27" s="20"/>
      <c r="K27" s="20"/>
    </row>
    <row r="28" spans="1:17" x14ac:dyDescent="0.25">
      <c r="J28" s="20"/>
      <c r="K28" s="20"/>
    </row>
    <row r="29" spans="1:17" ht="15.75" thickBot="1" x14ac:dyDescent="0.3"/>
    <row r="30" spans="1:17" x14ac:dyDescent="0.25">
      <c r="A30" s="22"/>
      <c r="B30" s="23" t="s">
        <v>58</v>
      </c>
      <c r="C30" s="23" t="s">
        <v>59</v>
      </c>
      <c r="D30" s="24" t="s">
        <v>60</v>
      </c>
      <c r="E30" s="23" t="s">
        <v>61</v>
      </c>
      <c r="F30" s="23" t="s">
        <v>62</v>
      </c>
      <c r="G30" s="24" t="s">
        <v>63</v>
      </c>
      <c r="H30" s="23" t="s">
        <v>64</v>
      </c>
      <c r="I30" s="23" t="s">
        <v>65</v>
      </c>
      <c r="J30" s="24" t="s">
        <v>66</v>
      </c>
      <c r="K30" s="23" t="s">
        <v>67</v>
      </c>
      <c r="L30" s="23" t="s">
        <v>68</v>
      </c>
      <c r="M30" s="25" t="s">
        <v>69</v>
      </c>
      <c r="N30" s="64" t="s">
        <v>200</v>
      </c>
    </row>
    <row r="31" spans="1:17" x14ac:dyDescent="0.25">
      <c r="A31" s="26" t="s">
        <v>57</v>
      </c>
      <c r="B31" s="29">
        <v>25000</v>
      </c>
      <c r="C31" s="29">
        <v>25000</v>
      </c>
      <c r="D31" s="29">
        <v>25000</v>
      </c>
      <c r="E31" s="29">
        <v>120000</v>
      </c>
      <c r="F31" s="29">
        <v>350000</v>
      </c>
      <c r="G31" s="29">
        <v>15000000</v>
      </c>
      <c r="H31" s="29">
        <v>15000000</v>
      </c>
      <c r="I31" s="29">
        <v>15000000</v>
      </c>
      <c r="J31" s="29">
        <v>15000000</v>
      </c>
      <c r="K31" s="29">
        <v>15000000</v>
      </c>
      <c r="L31" s="29">
        <v>15000000</v>
      </c>
      <c r="M31" s="30">
        <v>15000000</v>
      </c>
      <c r="N31" s="64" t="s">
        <v>192</v>
      </c>
    </row>
    <row r="32" spans="1:17" x14ac:dyDescent="0.25">
      <c r="A32" s="26" t="s">
        <v>8</v>
      </c>
      <c r="B32" s="31">
        <v>15000</v>
      </c>
      <c r="C32" s="31">
        <v>22500</v>
      </c>
      <c r="D32" s="31">
        <v>24500</v>
      </c>
      <c r="E32" s="31">
        <v>50000</v>
      </c>
      <c r="F32" s="31">
        <v>75000</v>
      </c>
      <c r="G32" s="31">
        <v>100000</v>
      </c>
      <c r="H32" s="31">
        <v>13000000</v>
      </c>
      <c r="I32" s="31">
        <v>14000000</v>
      </c>
      <c r="J32" s="31">
        <v>14100000</v>
      </c>
      <c r="K32" s="31">
        <v>14589000</v>
      </c>
      <c r="L32" s="31">
        <v>15552412</v>
      </c>
      <c r="M32" s="32">
        <v>15860000</v>
      </c>
      <c r="N32" s="64" t="s">
        <v>193</v>
      </c>
    </row>
    <row r="33" spans="1:14" x14ac:dyDescent="0.25">
      <c r="A33" s="27" t="s">
        <v>24</v>
      </c>
      <c r="B33" s="33">
        <v>15000000</v>
      </c>
      <c r="C33" s="33">
        <v>15000000</v>
      </c>
      <c r="D33" s="33">
        <v>15860000</v>
      </c>
      <c r="E33" s="33">
        <v>15860000</v>
      </c>
      <c r="F33" s="33">
        <v>15860000</v>
      </c>
      <c r="G33" s="33">
        <v>15860000</v>
      </c>
      <c r="H33" s="33">
        <v>15860000</v>
      </c>
      <c r="I33" s="33">
        <v>15860000</v>
      </c>
      <c r="J33" s="33">
        <v>15860000</v>
      </c>
      <c r="K33" s="33">
        <v>15860000</v>
      </c>
      <c r="L33" s="33">
        <v>15860000</v>
      </c>
      <c r="M33" s="34">
        <v>15860000</v>
      </c>
      <c r="N33" s="64" t="s">
        <v>194</v>
      </c>
    </row>
    <row r="34" spans="1:14" ht="15.75" thickBot="1" x14ac:dyDescent="0.3">
      <c r="A34" s="28" t="s">
        <v>73</v>
      </c>
      <c r="B34" s="35">
        <v>15000000</v>
      </c>
      <c r="C34" s="35">
        <v>15000000</v>
      </c>
      <c r="D34" s="35">
        <v>15000000</v>
      </c>
      <c r="E34" s="35">
        <v>15000000</v>
      </c>
      <c r="F34" s="35">
        <v>15000000</v>
      </c>
      <c r="G34" s="35">
        <v>15000000</v>
      </c>
      <c r="H34" s="35">
        <v>15000000</v>
      </c>
      <c r="I34" s="35">
        <v>15000000</v>
      </c>
      <c r="J34" s="35">
        <v>15000000</v>
      </c>
      <c r="K34" s="35">
        <v>15000000</v>
      </c>
      <c r="L34" s="35">
        <v>15000000</v>
      </c>
      <c r="M34" s="36">
        <v>15000000</v>
      </c>
      <c r="N34" s="64" t="s">
        <v>195</v>
      </c>
    </row>
    <row r="57" spans="1:12" x14ac:dyDescent="0.25">
      <c r="A57" s="86"/>
      <c r="B57" s="86"/>
      <c r="C57" s="86"/>
      <c r="D57" s="86"/>
      <c r="E57" s="86"/>
      <c r="F57" s="86"/>
      <c r="G57" s="86"/>
      <c r="H57" s="86"/>
      <c r="I57" s="86"/>
      <c r="J57" s="86"/>
      <c r="K57" s="86"/>
    </row>
    <row r="58" spans="1:12" x14ac:dyDescent="0.25">
      <c r="A58" s="86"/>
      <c r="B58" s="86"/>
      <c r="C58" s="86"/>
      <c r="D58" s="86"/>
      <c r="E58" s="86"/>
      <c r="F58" s="86"/>
      <c r="G58" s="86"/>
      <c r="H58" s="86"/>
      <c r="I58" s="86"/>
      <c r="J58" s="86"/>
      <c r="K58" s="86"/>
    </row>
    <row r="59" spans="1:12" ht="44.25" customHeight="1" x14ac:dyDescent="0.25">
      <c r="A59" s="77" t="s">
        <v>25</v>
      </c>
      <c r="B59" s="77"/>
      <c r="C59" s="77"/>
      <c r="D59" s="77"/>
      <c r="E59" s="77"/>
      <c r="F59" s="63"/>
      <c r="G59" s="63"/>
      <c r="H59" s="63"/>
      <c r="I59" s="63"/>
      <c r="J59" s="63"/>
      <c r="K59" s="63"/>
      <c r="L59" s="20"/>
    </row>
    <row r="60" spans="1:12" x14ac:dyDescent="0.25">
      <c r="A60" s="77"/>
      <c r="B60" s="77"/>
      <c r="C60" s="77"/>
      <c r="D60" s="77"/>
      <c r="E60" s="77"/>
      <c r="F60" s="63"/>
      <c r="G60" s="63"/>
      <c r="H60" s="63"/>
      <c r="I60" s="63"/>
      <c r="J60" s="63"/>
      <c r="K60" s="63"/>
      <c r="L60" s="20"/>
    </row>
    <row r="61" spans="1:12" ht="59.25" customHeight="1" x14ac:dyDescent="0.25">
      <c r="A61" s="77" t="s">
        <v>88</v>
      </c>
      <c r="B61" s="77"/>
      <c r="C61" s="77"/>
      <c r="D61" s="77"/>
      <c r="E61" s="77"/>
      <c r="F61" s="63"/>
      <c r="G61" s="63"/>
      <c r="H61" s="63"/>
      <c r="I61" s="63"/>
      <c r="J61" s="63"/>
      <c r="K61" s="63"/>
      <c r="L61" s="20"/>
    </row>
    <row r="62" spans="1:12" x14ac:dyDescent="0.25">
      <c r="A62" s="77"/>
      <c r="B62" s="77"/>
      <c r="C62" s="77"/>
      <c r="D62" s="77"/>
      <c r="E62" s="77"/>
      <c r="F62" s="63"/>
      <c r="G62" s="63"/>
      <c r="H62" s="63"/>
      <c r="I62" s="63"/>
      <c r="J62" s="63"/>
      <c r="K62" s="63"/>
      <c r="L62" s="20"/>
    </row>
    <row r="63" spans="1:12" ht="42" customHeight="1" x14ac:dyDescent="0.25">
      <c r="A63" s="77" t="s">
        <v>26</v>
      </c>
      <c r="B63" s="77"/>
      <c r="C63" s="77"/>
      <c r="D63" s="77"/>
      <c r="E63" s="77"/>
      <c r="F63" s="63"/>
      <c r="G63" s="63"/>
      <c r="H63" s="63"/>
      <c r="I63" s="63"/>
      <c r="J63" s="63"/>
      <c r="K63" s="63"/>
      <c r="L63" s="20"/>
    </row>
    <row r="64" spans="1:12" x14ac:dyDescent="0.25">
      <c r="A64" s="77"/>
      <c r="B64" s="77"/>
      <c r="C64" s="77"/>
      <c r="D64" s="77"/>
      <c r="E64" s="77"/>
      <c r="F64" s="63"/>
      <c r="G64" s="63"/>
      <c r="H64" s="63"/>
      <c r="I64" s="63"/>
      <c r="J64" s="63"/>
      <c r="K64" s="63"/>
      <c r="L64" s="20"/>
    </row>
    <row r="65" spans="1:12" ht="49.5" customHeight="1" x14ac:dyDescent="0.25">
      <c r="A65" s="77" t="s">
        <v>27</v>
      </c>
      <c r="B65" s="77"/>
      <c r="C65" s="77"/>
      <c r="D65" s="77"/>
      <c r="E65" s="77"/>
      <c r="F65" s="63"/>
      <c r="G65" s="63"/>
      <c r="H65" s="63"/>
      <c r="I65" s="63"/>
      <c r="J65" s="63"/>
      <c r="K65" s="63"/>
      <c r="L65" s="20"/>
    </row>
    <row r="66" spans="1:12" ht="14.45" customHeight="1" x14ac:dyDescent="0.25">
      <c r="A66" s="87"/>
      <c r="B66" s="87"/>
      <c r="C66" s="87"/>
      <c r="D66" s="87"/>
      <c r="E66" s="87"/>
      <c r="F66" s="63"/>
      <c r="G66" s="63"/>
      <c r="H66" s="63"/>
      <c r="I66" s="63"/>
      <c r="J66" s="63"/>
      <c r="K66" s="63"/>
      <c r="L66" s="20"/>
    </row>
    <row r="67" spans="1:12" ht="27" customHeight="1" x14ac:dyDescent="0.25">
      <c r="A67" s="77" t="s">
        <v>188</v>
      </c>
      <c r="B67" s="77"/>
      <c r="C67" s="77"/>
      <c r="D67" s="77"/>
      <c r="E67" s="77"/>
      <c r="F67" s="63"/>
      <c r="G67" s="63"/>
      <c r="H67" s="63"/>
      <c r="I67" s="63"/>
      <c r="J67" s="63"/>
      <c r="K67" s="63"/>
      <c r="L67" s="20"/>
    </row>
    <row r="68" spans="1:12" ht="14.45" customHeight="1" x14ac:dyDescent="0.25">
      <c r="A68" s="87"/>
      <c r="B68" s="87"/>
      <c r="C68" s="87"/>
      <c r="D68" s="87"/>
      <c r="E68" s="87"/>
      <c r="F68" s="63"/>
      <c r="G68" s="63"/>
      <c r="H68" s="63"/>
      <c r="I68" s="63"/>
      <c r="J68" s="63"/>
      <c r="K68" s="63"/>
      <c r="L68" s="20"/>
    </row>
    <row r="69" spans="1:12" ht="47.25" customHeight="1" x14ac:dyDescent="0.25">
      <c r="A69" s="77" t="s">
        <v>189</v>
      </c>
      <c r="B69" s="77"/>
      <c r="C69" s="77"/>
      <c r="D69" s="77"/>
      <c r="E69" s="77"/>
      <c r="F69" s="63"/>
      <c r="G69" s="63"/>
      <c r="H69" s="63"/>
      <c r="I69" s="63"/>
      <c r="J69" s="63"/>
      <c r="K69" s="63"/>
      <c r="L69" s="20"/>
    </row>
  </sheetData>
  <mergeCells count="20">
    <mergeCell ref="A68:E68"/>
    <mergeCell ref="A69:E69"/>
    <mergeCell ref="A62:E62"/>
    <mergeCell ref="A63:E63"/>
    <mergeCell ref="A64:E64"/>
    <mergeCell ref="A65:E65"/>
    <mergeCell ref="A66:E66"/>
    <mergeCell ref="A67:E67"/>
    <mergeCell ref="A61:E61"/>
    <mergeCell ref="I11:Y11"/>
    <mergeCell ref="Z11:AB11"/>
    <mergeCell ref="AC11:AE11"/>
    <mergeCell ref="AF11:AH11"/>
    <mergeCell ref="A15:M15"/>
    <mergeCell ref="K19:M19"/>
    <mergeCell ref="A21:L21"/>
    <mergeCell ref="I25:L25"/>
    <mergeCell ref="A57:K58"/>
    <mergeCell ref="A59:E59"/>
    <mergeCell ref="A60:E60"/>
  </mergeCells>
  <pageMargins left="0" right="0" top="0" bottom="0" header="0.3" footer="0.3"/>
  <pageSetup paperSize="5" scale="6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2130a69-70b2-4abb-afa6-fe5edc804dca" xsi:nil="true"/>
    <lcf76f155ced4ddcb4097134ff3c332f xmlns="1438cc18-f613-495a-893f-1116621d34d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C80BA2CEED28742A4F8AC2D51BC246E" ma:contentTypeVersion="13" ma:contentTypeDescription="Create a new document." ma:contentTypeScope="" ma:versionID="ffa8ce9ac313f800e379c4672fa7e91c">
  <xsd:schema xmlns:xsd="http://www.w3.org/2001/XMLSchema" xmlns:xs="http://www.w3.org/2001/XMLSchema" xmlns:p="http://schemas.microsoft.com/office/2006/metadata/properties" xmlns:ns2="1438cc18-f613-495a-893f-1116621d34dd" xmlns:ns3="b2130a69-70b2-4abb-afa6-fe5edc804dca" targetNamespace="http://schemas.microsoft.com/office/2006/metadata/properties" ma:root="true" ma:fieldsID="22a2d8ac9c86e3cbdf326cdb22a118ed" ns2:_="" ns3:_="">
    <xsd:import namespace="1438cc18-f613-495a-893f-1116621d34dd"/>
    <xsd:import namespace="b2130a69-70b2-4abb-afa6-fe5edc804dc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38cc18-f613-495a-893f-1116621d34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2130a69-70b2-4abb-afa6-fe5edc804dca"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3b929628-be75-4929-8336-c013cf3c6647}" ma:internalName="TaxCatchAll" ma:showField="CatchAllData" ma:web="b2130a69-70b2-4abb-afa6-fe5edc804dca">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145DCC-A824-4FC2-B76A-489CE8B56F03}">
  <ds:schemaRefs>
    <ds:schemaRef ds:uri="http://schemas.microsoft.com/sharepoint/v3/contenttype/forms"/>
  </ds:schemaRefs>
</ds:datastoreItem>
</file>

<file path=customXml/itemProps2.xml><?xml version="1.0" encoding="utf-8"?>
<ds:datastoreItem xmlns:ds="http://schemas.openxmlformats.org/officeDocument/2006/customXml" ds:itemID="{BCE0C2B5-D61F-459B-BB05-E3D0CA6C5E93}">
  <ds:schemaRefs>
    <ds:schemaRef ds:uri="http://schemas.openxmlformats.org/package/2006/metadata/core-properties"/>
    <ds:schemaRef ds:uri="http://purl.org/dc/elements/1.1/"/>
    <ds:schemaRef ds:uri="http://schemas.microsoft.com/office/infopath/2007/PartnerControls"/>
    <ds:schemaRef ds:uri="bb93f5d2-c592-48b4-878c-5360851d3b98"/>
    <ds:schemaRef ds:uri="http://purl.org/dc/terms/"/>
    <ds:schemaRef ds:uri="bcf8a2c1-1a1f-495c-99df-745bf95b69a1"/>
    <ds:schemaRef ds:uri="http://schemas.microsoft.com/office/2006/documentManagement/types"/>
    <ds:schemaRef ds:uri="http://schemas.microsoft.com/office/2006/metadata/properties"/>
    <ds:schemaRef ds:uri="http://www.w3.org/XML/1998/namespace"/>
    <ds:schemaRef ds:uri="http://purl.org/dc/dcmitype/"/>
    <ds:schemaRef ds:uri="bb83fcdf-3d7c-47db-b20b-9ffc00a1843d"/>
  </ds:schemaRefs>
</ds:datastoreItem>
</file>

<file path=customXml/itemProps3.xml><?xml version="1.0" encoding="utf-8"?>
<ds:datastoreItem xmlns:ds="http://schemas.openxmlformats.org/officeDocument/2006/customXml" ds:itemID="{CEB5FCC1-EF49-4421-8C2C-FD4ED580C3D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Title Page Definition</vt:lpstr>
      <vt:lpstr>Title Page</vt:lpstr>
      <vt:lpstr>TDL Breakout Definition</vt:lpstr>
      <vt:lpstr>TDL 1 Breakout One tab per TDL</vt:lpstr>
      <vt:lpstr>TDL 2 Breakout</vt:lpstr>
      <vt:lpstr>Sheet1</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 Evelyn S CIV AD, 4.11D Staff</dc:creator>
  <cp:lastModifiedBy>Davis, Amy G CIV USN (USA)</cp:lastModifiedBy>
  <cp:lastPrinted>2020-05-12T18:18:06Z</cp:lastPrinted>
  <dcterms:created xsi:type="dcterms:W3CDTF">2019-07-19T17:41:52Z</dcterms:created>
  <dcterms:modified xsi:type="dcterms:W3CDTF">2025-11-26T16:14:33Z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0x0101007C80BA2CEED28742A4F8AC2D51BC246E</vt:lpwstr>
  </property>
  <property fmtid="{D5CDD505-2E9C-101B-9397-08002B2CF9AE}" pid="3" name="MediaServiceImageTags">
    <vt:lpwstr/>
  </property>
</Properties>
</file>