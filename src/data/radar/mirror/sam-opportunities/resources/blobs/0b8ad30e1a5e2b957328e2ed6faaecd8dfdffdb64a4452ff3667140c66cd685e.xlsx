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codeName="ThisWorkbook" defaultThemeVersion="124226"/>
  <mc:AlternateContent xmlns:mc="http://schemas.openxmlformats.org/markup-compatibility/2006">
    <mc:Choice Requires="x15">
      <x15ac:absPath xmlns:x15ac="http://schemas.microsoft.com/office/spreadsheetml/2010/11/ac" url="O:\Data\NAVFAC\22103.25 B60 Production Facility Repairs SIOP\Specifications\Attachments\Source Files\"/>
    </mc:Choice>
  </mc:AlternateContent>
  <xr:revisionPtr revIDLastSave="0" documentId="13_ncr:1_{997A0A9B-01AB-4262-A182-4E568F70D68D}"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Print_Area" localSheetId="0">Sheet1!$B$3:$L$88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 i="1" l="1"/>
  <c r="C46" i="1"/>
  <c r="B52" i="1" l="1"/>
  <c r="M52" i="1" s="1"/>
  <c r="N68" i="1"/>
  <c r="N64" i="1"/>
  <c r="M44" i="1" l="1"/>
  <c r="B78" i="1" l="1"/>
  <c r="M78" i="1" s="1"/>
  <c r="C45" i="1"/>
  <c r="C44" i="1"/>
  <c r="B46" i="1"/>
  <c r="B45" i="1"/>
  <c r="B44" i="1"/>
  <c r="B43" i="1"/>
  <c r="F18" i="1"/>
  <c r="C4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Craven, Curtis L CIV NAVFAC LANT, CI</author>
  </authors>
  <commentList>
    <comment ref="B5" authorId="0" shapeId="0" xr:uid="{00000000-0006-0000-0000-000001000000}">
      <text>
        <r>
          <rPr>
            <b/>
            <sz val="9"/>
            <color indexed="81"/>
            <rFont val="Tahoma"/>
            <family val="2"/>
          </rPr>
          <t>Can be a contract and task order number or other identifiying database identification number such as an Eprojects # (navy)</t>
        </r>
      </text>
    </comment>
  </commentList>
</comments>
</file>

<file path=xl/sharedStrings.xml><?xml version="1.0" encoding="utf-8"?>
<sst xmlns="http://schemas.openxmlformats.org/spreadsheetml/2006/main" count="75" uniqueCount="68">
  <si>
    <t>Lateral Force Resisting System (LFRS)</t>
  </si>
  <si>
    <t>Project:</t>
  </si>
  <si>
    <t>Special Inspector of Record (SIOR)</t>
  </si>
  <si>
    <t>Date:</t>
  </si>
  <si>
    <t>III</t>
  </si>
  <si>
    <t>C</t>
  </si>
  <si>
    <t>Statement of Special Inspections Page 2 of 2</t>
  </si>
  <si>
    <t>Statement of Special Inspections Page 1 of 2</t>
  </si>
  <si>
    <t>Project Seismic Design Category:</t>
  </si>
  <si>
    <t>Project Risk Category:</t>
  </si>
  <si>
    <t>Project Design Wind Speed (mph):</t>
  </si>
  <si>
    <t>Number of Stories:</t>
  </si>
  <si>
    <t>A Special Inspector of Record (SIOR)</t>
  </si>
  <si>
    <t>Location:</t>
  </si>
  <si>
    <t>Project #:</t>
  </si>
  <si>
    <t>Structure Height Above Grade (ft):</t>
  </si>
  <si>
    <t>required (per UFGS 01 45 35, Section 1.3.8)</t>
  </si>
  <si>
    <t>STATEMENT OF SPECIAL INSPECTIONS</t>
  </si>
  <si>
    <t>A</t>
  </si>
  <si>
    <t>B</t>
  </si>
  <si>
    <t>D</t>
  </si>
  <si>
    <t>E</t>
  </si>
  <si>
    <t>F</t>
  </si>
  <si>
    <t>I</t>
  </si>
  <si>
    <t>II</t>
  </si>
  <si>
    <t>IV</t>
  </si>
  <si>
    <t>V</t>
  </si>
  <si>
    <t>1.  Record observations of Final Walk Down Inspection</t>
  </si>
  <si>
    <t>2.  Document that Inspections were performed in accordance with the Schedule of Special Inspections</t>
  </si>
  <si>
    <t>Final Walk Down Inspection and Report</t>
  </si>
  <si>
    <t>Horizontal LFRS Elements</t>
  </si>
  <si>
    <t>Notes</t>
  </si>
  <si>
    <t>Vertical LFRS Elements</t>
  </si>
  <si>
    <t>Final Walk Down Report, Prepared by the Registered Design Professional in Responsible Charge, Must Include:</t>
  </si>
  <si>
    <t>USER NOTES (Not intended to print)</t>
  </si>
  <si>
    <t xml:space="preserve">SPECIAL INSPECTOR OF RECORD (SIOR) DETERMINATION </t>
  </si>
  <si>
    <t>&lt; The Special Inspector of Record (SIOR) is a DOD mandate.  Enter the requested data to determine whether an SIOR is required or is not required.</t>
  </si>
  <si>
    <r>
      <t xml:space="preserve">Edit, print, and append the </t>
    </r>
    <r>
      <rPr>
        <b/>
        <sz val="11"/>
        <color theme="0"/>
        <rFont val="Calibri"/>
        <family val="2"/>
        <scheme val="minor"/>
      </rPr>
      <t>Schedule of Special Inspections Template</t>
    </r>
    <r>
      <rPr>
        <sz val="11"/>
        <color theme="0"/>
        <rFont val="Calibri"/>
        <family val="2"/>
        <scheme val="minor"/>
      </rPr>
      <t xml:space="preserve"> to this </t>
    </r>
    <r>
      <rPr>
        <b/>
        <sz val="11"/>
        <color theme="0"/>
        <rFont val="Calibri"/>
        <family val="2"/>
        <scheme val="minor"/>
      </rPr>
      <t>Statement of Special Inspections</t>
    </r>
    <r>
      <rPr>
        <sz val="11"/>
        <color theme="0"/>
        <rFont val="Calibri"/>
        <family val="2"/>
        <scheme val="minor"/>
      </rPr>
      <t xml:space="preserve"> and insert both at the back of the project </t>
    </r>
    <r>
      <rPr>
        <b/>
        <sz val="11"/>
        <color theme="0"/>
        <rFont val="Calibri"/>
        <family val="2"/>
        <scheme val="minor"/>
      </rPr>
      <t xml:space="preserve">Special Inspections Specification                       (01 45 35).  </t>
    </r>
  </si>
  <si>
    <r>
      <rPr>
        <sz val="11"/>
        <rFont val="Calibri"/>
        <family val="2"/>
        <scheme val="minor"/>
      </rPr>
      <t xml:space="preserve">ELECTRICAL </t>
    </r>
    <r>
      <rPr>
        <sz val="11"/>
        <color theme="1"/>
        <rFont val="Calibri"/>
        <family val="2"/>
        <scheme val="minor"/>
      </rPr>
      <t>Designated Seismic Systems (DSS) Requiring a Certificate of Compliance</t>
    </r>
  </si>
  <si>
    <t xml:space="preserve">Designated Seismic Systems (DSS) </t>
  </si>
  <si>
    <t>MECHANICAL/PLUMBING Designated Seismic Systems (DSS) Requiring a Certificate of Compliance</t>
  </si>
  <si>
    <t>OTHER Designated Seismic Systems (DSS) Requiring a Certificate of Compliance</t>
  </si>
  <si>
    <t>FINAL WALK DOWN INSPECTION AND REPORT FOR NON-STRUCTURAL DSS</t>
  </si>
  <si>
    <t>&lt; Edit Blue text/cells only</t>
  </si>
  <si>
    <r>
      <t>NEXT:  COMPLETE THE</t>
    </r>
    <r>
      <rPr>
        <b/>
        <sz val="11"/>
        <color theme="0"/>
        <rFont val="Calibri"/>
        <family val="2"/>
        <scheme val="minor"/>
      </rPr>
      <t xml:space="preserve"> SCHEDULE OF SPECIAL INSPECTIONS TEMPLATE.</t>
    </r>
  </si>
  <si>
    <t xml:space="preserve">&lt; …Certificates of compliance documenting that the requirements are met shall be submited to the buidling offical (2015 IBC 1704.5 &amp; 1705.13.3) and shall be maintained in a file identified as "Equipment Certification Documentation".  This file shall be part of the final project O&amp;M Manual </t>
  </si>
  <si>
    <t>1. The component is required to function for life-safety purposes after an earthquake, including fire sprinkler systems and egress stairways (RC I thru V + SDC C thru F).</t>
  </si>
  <si>
    <t>2.  The component conveys, supports, or otherwise contains toxic, highly toxic, or explosive substances where the quantity of the a material excees a threshold quantity established by the authority having jurisdiction and is sufficient to pose a threat to the public if released (RC I thru V + SDC C thru F).</t>
  </si>
  <si>
    <t>Yes</t>
  </si>
  <si>
    <t>No</t>
  </si>
  <si>
    <t>Hazardous Occupancy or attached to such?</t>
  </si>
  <si>
    <t>DESIGNATED SEISMIC SYSTEMS  (DSS)</t>
  </si>
  <si>
    <t>DSS for this project are nonstructural components with an importance factor of 1.5 AND with the following project conditions (UFC 3-310 SECTION 2-11.2) (ASCE 7-10, 13.1.3):</t>
  </si>
  <si>
    <r>
      <t>Link to</t>
    </r>
    <r>
      <rPr>
        <b/>
        <sz val="11"/>
        <color theme="0"/>
        <rFont val="Calibri"/>
        <family val="2"/>
        <scheme val="minor"/>
      </rPr>
      <t xml:space="preserve"> Schedule of Special Inpections Template</t>
    </r>
    <r>
      <rPr>
        <sz val="11"/>
        <color theme="0"/>
        <rFont val="Calibri"/>
        <family val="2"/>
        <scheme val="minor"/>
      </rPr>
      <t>:   http://wbdg.org/ccb/NAVGRAPH/graphtoc.pdf</t>
    </r>
  </si>
  <si>
    <t xml:space="preserve">If additional space is required, append an additional sheet listing the remaining DSS           </t>
  </si>
  <si>
    <r>
      <t xml:space="preserve">3.  Document that all Designated Seismic Systems are installed according to construction/manufacturer document requirements, and that Compliance Certificates have been collected </t>
    </r>
    <r>
      <rPr>
        <sz val="10"/>
        <rFont val="Calibri"/>
        <family val="2"/>
        <scheme val="minor"/>
      </rPr>
      <t>(UFC 03 301 01, 2-13.2.2.1).</t>
    </r>
  </si>
  <si>
    <t>LATERAL FORCE RESISTING SYSTEM IDENTIFICATION</t>
  </si>
  <si>
    <t>Following is a listing of critical main wind/seismic force resisting systems for this structure.  Carefully inspect these elements as part of the roles and responsiblities of the Special Inspector (reference the Schedule of Special Inspections for inspection checklists).</t>
  </si>
  <si>
    <t>Portsmouth Naval Shipyard, Kittery, Maine</t>
  </si>
  <si>
    <t>N/A</t>
  </si>
  <si>
    <t>Group H Occupancies (2021 IBC, Section 415)</t>
  </si>
  <si>
    <t>2021 IBC 1704.3.2 and 1704.3.3</t>
  </si>
  <si>
    <t xml:space="preserve">(2021 IBC 1705.13.3) (ASCE 7-16, 13.2.2, C13.2.2) (UFC 3-301-01, 2.5.3) </t>
  </si>
  <si>
    <t>B60 Production Facility Repairs - SIOP</t>
  </si>
  <si>
    <t>Diagonal steel braces in each principle direction.</t>
  </si>
  <si>
    <t>Composite steel deck/concrete steel slab</t>
  </si>
  <si>
    <t>Mezzanines:  Steel Braced Frames (R=3)</t>
  </si>
  <si>
    <t>Mezzanines:  Steel Deck/Concrete Slab Rigid Floor Diaphragm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</si>
</sst>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sz val="11"/>
      <color theme="6" tint="-0.249977111117893"/>
      <name val="Calibri"/>
      <family val="2"/>
      <scheme val="minor"/>
    </font>
    <font>
      <sz val="11"/>
      <color rgb="FF0070C0"/>
      <name val="Calibri"/>
      <family val="2"/>
      <scheme val="minor"/>
    </font>
    <font>
      <b/>
      <sz val="11"/>
      <name val="Calibri"/>
      <family val="2"/>
      <scheme val="minor"/>
    </font>
    <font>
      <b/>
      <sz val="11"/>
      <color theme="0"/>
      <name val="Calibri"/>
      <family val="2"/>
      <scheme val="minor"/>
    </font>
    <font>
      <sz val="11"/>
      <color theme="0"/>
      <name val="Calibri"/>
      <family val="2"/>
      <scheme val="minor"/>
    </font>
    <font>
      <sz val="11"/>
      <name val="Calibri"/>
      <family val="2"/>
      <scheme val="minor"/>
    </font>
    <font>
      <b/>
      <sz val="12"/>
      <color theme="1"/>
      <name val="Calibri"/>
      <family val="2"/>
      <scheme val="minor"/>
    </font>
    <font>
      <sz val="11"/>
      <color theme="1"/>
      <name val="Calibri"/>
      <family val="2"/>
    </font>
    <font>
      <sz val="10.5"/>
      <color theme="1"/>
      <name val="Calibri"/>
      <family val="2"/>
      <scheme val="minor"/>
    </font>
    <font>
      <b/>
      <sz val="9"/>
      <color indexed="81"/>
      <name val="Tahoma"/>
      <family val="2"/>
    </font>
    <font>
      <sz val="11"/>
      <color theme="2" tint="-0.499984740745262"/>
      <name val="Calibri"/>
      <family val="2"/>
      <scheme val="minor"/>
    </font>
    <font>
      <sz val="10.5"/>
      <color theme="2" tint="-0.499984740745262"/>
      <name val="Calibri"/>
      <family val="2"/>
      <scheme val="minor"/>
    </font>
    <font>
      <u/>
      <sz val="14"/>
      <color theme="0"/>
      <name val="Calibri"/>
      <family val="2"/>
      <scheme val="minor"/>
    </font>
    <font>
      <u/>
      <sz val="12"/>
      <color theme="0"/>
      <name val="Calibri"/>
      <family val="2"/>
      <scheme val="minor"/>
    </font>
    <font>
      <sz val="10"/>
      <color theme="0"/>
      <name val="Calibri"/>
      <family val="2"/>
      <scheme val="minor"/>
    </font>
    <font>
      <sz val="10.5"/>
      <color theme="0"/>
      <name val="Calibri"/>
      <family val="2"/>
      <scheme val="minor"/>
    </font>
    <font>
      <sz val="12"/>
      <color theme="1"/>
      <name val="Calibri"/>
      <family val="2"/>
      <scheme val="minor"/>
    </font>
    <font>
      <sz val="12"/>
      <color theme="0"/>
      <name val="Calibri"/>
      <family val="2"/>
      <scheme val="minor"/>
    </font>
    <font>
      <sz val="12"/>
      <color theme="2" tint="-0.499984740745262"/>
      <name val="Calibri"/>
      <family val="2"/>
      <scheme val="minor"/>
    </font>
    <font>
      <sz val="10"/>
      <color theme="1"/>
      <name val="Calibri"/>
      <family val="2"/>
      <scheme val="minor"/>
    </font>
    <font>
      <sz val="14"/>
      <color theme="0"/>
      <name val="Calibri"/>
      <family val="2"/>
      <scheme val="minor"/>
    </font>
    <font>
      <sz val="9"/>
      <color theme="0" tint="-0.499984740745262"/>
      <name val="Calibri"/>
      <family val="2"/>
      <scheme val="minor"/>
    </font>
    <font>
      <sz val="10"/>
      <name val="Calibri"/>
      <family val="2"/>
      <scheme val="minor"/>
    </font>
    <font>
      <sz val="8"/>
      <color theme="1" tint="0.34998626667073579"/>
      <name val="Calibri"/>
      <family val="2"/>
      <scheme val="minor"/>
    </font>
    <font>
      <b/>
      <u/>
      <sz val="16"/>
      <color theme="1"/>
      <name val="Calibri"/>
      <family val="2"/>
      <scheme val="minor"/>
    </font>
    <font>
      <sz val="10"/>
      <color rgb="FF0070C0"/>
      <name val="Calibri"/>
      <family val="2"/>
      <scheme val="minor"/>
    </font>
    <font>
      <sz val="9.5"/>
      <color rgb="FF0070C0"/>
      <name val="Calibri"/>
      <family val="2"/>
      <scheme val="minor"/>
    </font>
  </fonts>
  <fills count="12">
    <fill>
      <patternFill patternType="none"/>
    </fill>
    <fill>
      <patternFill patternType="gray125"/>
    </fill>
    <fill>
      <patternFill patternType="solid">
        <fgColor theme="0"/>
        <bgColor indexed="64"/>
      </patternFill>
    </fill>
    <fill>
      <patternFill patternType="mediumGray">
        <fgColor theme="0"/>
        <bgColor theme="4" tint="0.79995117038483843"/>
      </patternFill>
    </fill>
    <fill>
      <patternFill patternType="mediumGray">
        <fgColor theme="0"/>
        <bgColor theme="4" tint="0.79998168889431442"/>
      </patternFill>
    </fill>
    <fill>
      <patternFill patternType="mediumGray">
        <fgColor theme="0"/>
        <bgColor theme="0"/>
      </patternFill>
    </fill>
    <fill>
      <patternFill patternType="solid">
        <fgColor theme="0" tint="-0.14999847407452621"/>
        <bgColor indexed="64"/>
      </patternFill>
    </fill>
    <fill>
      <patternFill patternType="solid">
        <fgColor theme="0" tint="-0.14996795556505021"/>
        <bgColor theme="0"/>
      </patternFill>
    </fill>
    <fill>
      <patternFill patternType="solid">
        <fgColor theme="2" tint="-0.499984740745262"/>
        <bgColor indexed="64"/>
      </patternFill>
    </fill>
    <fill>
      <patternFill patternType="solid">
        <fgColor theme="0"/>
        <bgColor theme="0"/>
      </patternFill>
    </fill>
    <fill>
      <patternFill patternType="solid">
        <fgColor theme="2" tint="-0.749992370372631"/>
        <bgColor indexed="64"/>
      </patternFill>
    </fill>
    <fill>
      <patternFill patternType="solid">
        <fgColor theme="2" tint="-9.9978637043366805E-2"/>
        <bgColor indexed="64"/>
      </patternFill>
    </fill>
  </fills>
  <borders count="1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diagonal/>
    </border>
    <border>
      <left/>
      <right/>
      <top style="hair">
        <color theme="0" tint="-0.14996795556505021"/>
      </top>
      <bottom/>
      <diagonal/>
    </border>
    <border>
      <left/>
      <right/>
      <top/>
      <bottom style="thin">
        <color theme="0"/>
      </bottom>
      <diagonal/>
    </border>
    <border>
      <left/>
      <right style="thin">
        <color theme="0"/>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style="thin">
        <color theme="0"/>
      </left>
      <right/>
      <top/>
      <bottom/>
      <diagonal/>
    </border>
    <border>
      <left style="thin">
        <color theme="0"/>
      </left>
      <right/>
      <top/>
      <bottom style="thin">
        <color theme="0"/>
      </bottom>
      <diagonal/>
    </border>
    <border>
      <left/>
      <right/>
      <top/>
      <bottom style="hair">
        <color theme="0" tint="-0.14996795556505021"/>
      </bottom>
      <diagonal/>
    </border>
  </borders>
  <cellStyleXfs count="1">
    <xf numFmtId="0" fontId="0" fillId="0" borderId="0"/>
  </cellStyleXfs>
  <cellXfs count="132">
    <xf numFmtId="0" fontId="0" fillId="0" borderId="0" xfId="0"/>
    <xf numFmtId="0" fontId="0" fillId="11" borderId="0" xfId="0" applyFill="1"/>
    <xf numFmtId="0" fontId="6" fillId="11" borderId="0" xfId="0" applyFont="1" applyFill="1"/>
    <xf numFmtId="0" fontId="3" fillId="2" borderId="0" xfId="0" applyFont="1" applyFill="1"/>
    <xf numFmtId="0" fontId="0" fillId="2" borderId="0" xfId="0" applyFill="1"/>
    <xf numFmtId="0" fontId="6" fillId="8" borderId="0" xfId="0" applyFont="1" applyFill="1"/>
    <xf numFmtId="14" fontId="3" fillId="2" borderId="0" xfId="0" applyNumberFormat="1" applyFont="1" applyFill="1"/>
    <xf numFmtId="0" fontId="12" fillId="11" borderId="0" xfId="0" applyFont="1" applyFill="1"/>
    <xf numFmtId="0" fontId="2" fillId="2" borderId="0" xfId="0" applyFont="1" applyFill="1" applyAlignment="1">
      <alignment horizontal="center"/>
    </xf>
    <xf numFmtId="0" fontId="12" fillId="11" borderId="0" xfId="0" applyFont="1" applyFill="1" applyAlignment="1">
      <alignment horizontal="left"/>
    </xf>
    <xf numFmtId="0" fontId="0" fillId="2" borderId="0" xfId="0" applyFill="1" applyAlignment="1">
      <alignment horizontal="right"/>
    </xf>
    <xf numFmtId="0" fontId="3" fillId="5" borderId="0" xfId="0" applyFont="1" applyFill="1" applyAlignment="1">
      <alignment horizontal="left"/>
    </xf>
    <xf numFmtId="0" fontId="6" fillId="8" borderId="5" xfId="0" applyFont="1" applyFill="1" applyBorder="1"/>
    <xf numFmtId="0" fontId="6" fillId="11" borderId="0" xfId="0" applyFont="1" applyFill="1" applyAlignment="1">
      <alignment horizontal="left"/>
    </xf>
    <xf numFmtId="0" fontId="0" fillId="11" borderId="0" xfId="0" applyFill="1" applyAlignment="1">
      <alignment horizontal="left"/>
    </xf>
    <xf numFmtId="0" fontId="0" fillId="0" borderId="0" xfId="0" applyAlignment="1">
      <alignment horizontal="left"/>
    </xf>
    <xf numFmtId="0" fontId="0" fillId="2" borderId="6" xfId="0" applyFill="1" applyBorder="1"/>
    <xf numFmtId="2" fontId="7" fillId="2" borderId="0" xfId="0" applyNumberFormat="1" applyFont="1" applyFill="1"/>
    <xf numFmtId="0" fontId="10" fillId="2" borderId="0" xfId="0" applyFont="1" applyFill="1"/>
    <xf numFmtId="0" fontId="17" fillId="11" borderId="0" xfId="0" applyFont="1" applyFill="1"/>
    <xf numFmtId="0" fontId="13" fillId="11" borderId="0" xfId="0" applyFont="1" applyFill="1"/>
    <xf numFmtId="0" fontId="10" fillId="11" borderId="0" xfId="0" applyFont="1" applyFill="1"/>
    <xf numFmtId="0" fontId="10" fillId="0" borderId="0" xfId="0" applyFont="1"/>
    <xf numFmtId="0" fontId="6" fillId="11" borderId="0" xfId="0" applyFont="1" applyFill="1" applyAlignment="1">
      <alignment vertical="top" wrapText="1"/>
    </xf>
    <xf numFmtId="0" fontId="12" fillId="11" borderId="0" xfId="0" applyFont="1" applyFill="1" applyAlignment="1">
      <alignment vertical="top" wrapText="1"/>
    </xf>
    <xf numFmtId="0" fontId="6" fillId="11" borderId="0" xfId="0" applyFont="1" applyFill="1" applyAlignment="1">
      <alignment wrapText="1"/>
    </xf>
    <xf numFmtId="0" fontId="12" fillId="11" borderId="0" xfId="0" applyFont="1" applyFill="1" applyAlignment="1">
      <alignment wrapText="1"/>
    </xf>
    <xf numFmtId="0" fontId="0" fillId="11" borderId="0" xfId="0" applyFill="1" applyAlignment="1">
      <alignment wrapText="1"/>
    </xf>
    <xf numFmtId="0" fontId="6" fillId="10" borderId="0" xfId="0" applyFont="1" applyFill="1" applyAlignment="1">
      <alignment vertical="top" wrapText="1"/>
    </xf>
    <xf numFmtId="0" fontId="19" fillId="8" borderId="5" xfId="0" applyFont="1" applyFill="1" applyBorder="1" applyAlignment="1">
      <alignment horizontal="left" vertical="top" wrapText="1"/>
    </xf>
    <xf numFmtId="0" fontId="18" fillId="2" borderId="0" xfId="0" applyFont="1" applyFill="1"/>
    <xf numFmtId="0" fontId="19" fillId="11" borderId="0" xfId="0" applyFont="1" applyFill="1"/>
    <xf numFmtId="0" fontId="20" fillId="11" borderId="0" xfId="0" applyFont="1" applyFill="1"/>
    <xf numFmtId="0" fontId="18" fillId="11" borderId="0" xfId="0" applyFont="1" applyFill="1"/>
    <xf numFmtId="0" fontId="18" fillId="0" borderId="0" xfId="0" applyFont="1"/>
    <xf numFmtId="0" fontId="6" fillId="8" borderId="0" xfId="0" applyFont="1" applyFill="1" applyAlignment="1">
      <alignment vertical="top" wrapText="1"/>
    </xf>
    <xf numFmtId="0" fontId="7" fillId="9" borderId="0" xfId="0" applyFont="1" applyFill="1" applyAlignment="1">
      <alignment horizontal="left" vertical="top" wrapText="1"/>
    </xf>
    <xf numFmtId="0" fontId="0" fillId="11" borderId="5" xfId="0" applyFill="1" applyBorder="1"/>
    <xf numFmtId="0" fontId="6" fillId="2" borderId="0" xfId="0" applyFont="1" applyFill="1"/>
    <xf numFmtId="0" fontId="3" fillId="4" borderId="1" xfId="0" applyFont="1" applyFill="1" applyBorder="1" applyAlignment="1" applyProtection="1">
      <alignment horizontal="left"/>
      <protection locked="0"/>
    </xf>
    <xf numFmtId="49" fontId="3" fillId="4" borderId="3" xfId="0" applyNumberFormat="1" applyFont="1" applyFill="1" applyBorder="1" applyAlignment="1" applyProtection="1">
      <alignment horizontal="left"/>
      <protection locked="0"/>
    </xf>
    <xf numFmtId="0" fontId="3" fillId="4" borderId="3" xfId="0" applyFont="1" applyFill="1" applyBorder="1" applyAlignment="1" applyProtection="1">
      <alignment horizontal="left"/>
      <protection locked="0"/>
    </xf>
    <xf numFmtId="0" fontId="6" fillId="8" borderId="9" xfId="0" applyFont="1" applyFill="1" applyBorder="1"/>
    <xf numFmtId="0" fontId="14" fillId="8" borderId="0" xfId="0" applyFont="1" applyFill="1"/>
    <xf numFmtId="0" fontId="16" fillId="8" borderId="0" xfId="0" applyFont="1" applyFill="1"/>
    <xf numFmtId="0" fontId="6" fillId="10" borderId="9" xfId="0" applyFont="1" applyFill="1" applyBorder="1" applyAlignment="1">
      <alignment vertical="top" wrapText="1"/>
    </xf>
    <xf numFmtId="0" fontId="6" fillId="10" borderId="0" xfId="0" applyFont="1" applyFill="1" applyAlignment="1">
      <alignment horizontal="left"/>
    </xf>
    <xf numFmtId="0" fontId="6" fillId="10" borderId="9" xfId="0" applyFont="1" applyFill="1" applyBorder="1" applyAlignment="1">
      <alignment horizontal="left"/>
    </xf>
    <xf numFmtId="0" fontId="6" fillId="10" borderId="0" xfId="0" applyFont="1" applyFill="1"/>
    <xf numFmtId="0" fontId="6" fillId="10" borderId="9" xfId="0" applyFont="1" applyFill="1" applyBorder="1"/>
    <xf numFmtId="0" fontId="6" fillId="8" borderId="8" xfId="0" applyFont="1" applyFill="1" applyBorder="1"/>
    <xf numFmtId="0" fontId="6" fillId="8" borderId="0" xfId="0" applyFont="1" applyFill="1" applyAlignment="1">
      <alignment horizontal="left"/>
    </xf>
    <xf numFmtId="0" fontId="6" fillId="8" borderId="9" xfId="0" applyFont="1" applyFill="1" applyBorder="1" applyAlignment="1">
      <alignment horizontal="left"/>
    </xf>
    <xf numFmtId="0" fontId="17" fillId="10" borderId="0" xfId="0" applyFont="1" applyFill="1"/>
    <xf numFmtId="0" fontId="17" fillId="10" borderId="9" xfId="0" applyFont="1" applyFill="1" applyBorder="1"/>
    <xf numFmtId="0" fontId="19" fillId="8" borderId="8" xfId="0" applyFont="1" applyFill="1" applyBorder="1" applyAlignment="1">
      <alignment horizontal="left" vertical="top" wrapText="1"/>
    </xf>
    <xf numFmtId="0" fontId="6" fillId="8" borderId="9" xfId="0" applyFont="1" applyFill="1" applyBorder="1" applyAlignment="1">
      <alignment vertical="top" wrapText="1"/>
    </xf>
    <xf numFmtId="0" fontId="6" fillId="8" borderId="7" xfId="0" applyFont="1" applyFill="1" applyBorder="1"/>
    <xf numFmtId="0" fontId="6" fillId="8" borderId="10" xfId="0" applyFont="1" applyFill="1" applyBorder="1"/>
    <xf numFmtId="0" fontId="6" fillId="10" borderId="13" xfId="0" applyFont="1" applyFill="1" applyBorder="1"/>
    <xf numFmtId="0" fontId="6" fillId="10" borderId="7" xfId="0" applyFont="1" applyFill="1" applyBorder="1"/>
    <xf numFmtId="0" fontId="6" fillId="10" borderId="10" xfId="0" applyFont="1" applyFill="1" applyBorder="1"/>
    <xf numFmtId="0" fontId="23" fillId="2" borderId="14" xfId="0" applyFont="1" applyFill="1" applyBorder="1"/>
    <xf numFmtId="0" fontId="21" fillId="2" borderId="0" xfId="0" applyFont="1" applyFill="1"/>
    <xf numFmtId="2" fontId="0" fillId="2" borderId="0" xfId="0" applyNumberFormat="1" applyFill="1" applyAlignment="1">
      <alignment vertical="top" wrapText="1"/>
    </xf>
    <xf numFmtId="0" fontId="23" fillId="2" borderId="7" xfId="0" applyFont="1" applyFill="1" applyBorder="1"/>
    <xf numFmtId="0" fontId="22" fillId="11" borderId="7" xfId="0" applyFont="1" applyFill="1" applyBorder="1"/>
    <xf numFmtId="0" fontId="22" fillId="8" borderId="0" xfId="0" applyFont="1" applyFill="1" applyAlignment="1">
      <alignment vertical="top"/>
    </xf>
    <xf numFmtId="0" fontId="22" fillId="8" borderId="9" xfId="0" applyFont="1" applyFill="1" applyBorder="1" applyAlignment="1">
      <alignment vertical="top"/>
    </xf>
    <xf numFmtId="0" fontId="15" fillId="8" borderId="0" xfId="0" applyFont="1" applyFill="1"/>
    <xf numFmtId="0" fontId="15" fillId="8" borderId="9" xfId="0" applyFont="1" applyFill="1" applyBorder="1"/>
    <xf numFmtId="0" fontId="0" fillId="2" borderId="14" xfId="0" applyFill="1" applyBorder="1"/>
    <xf numFmtId="0" fontId="7" fillId="2" borderId="6" xfId="0" applyFont="1" applyFill="1" applyBorder="1"/>
    <xf numFmtId="14" fontId="7" fillId="2" borderId="0" xfId="0" applyNumberFormat="1" applyFont="1" applyFill="1"/>
    <xf numFmtId="0" fontId="0" fillId="11" borderId="0" xfId="0" applyFill="1" applyAlignment="1">
      <alignment vertical="top" wrapText="1"/>
    </xf>
    <xf numFmtId="0" fontId="6" fillId="10" borderId="11" xfId="0" applyFont="1" applyFill="1" applyBorder="1"/>
    <xf numFmtId="0" fontId="6" fillId="10" borderId="5" xfId="0" applyFont="1" applyFill="1" applyBorder="1"/>
    <xf numFmtId="0" fontId="6" fillId="10" borderId="8" xfId="0" applyFont="1" applyFill="1" applyBorder="1"/>
    <xf numFmtId="0" fontId="0" fillId="2" borderId="6" xfId="0" applyFill="1" applyBorder="1" applyAlignment="1">
      <alignment horizontal="right"/>
    </xf>
    <xf numFmtId="0" fontId="0" fillId="0" borderId="0" xfId="0" applyAlignment="1">
      <alignment horizontal="right"/>
    </xf>
    <xf numFmtId="0" fontId="7" fillId="7" borderId="4" xfId="0" applyFont="1" applyFill="1" applyBorder="1" applyAlignment="1">
      <alignment horizontal="right"/>
    </xf>
    <xf numFmtId="0" fontId="21" fillId="2" borderId="0" xfId="0" applyFont="1" applyFill="1" applyAlignment="1">
      <alignment horizontal="left"/>
    </xf>
    <xf numFmtId="2" fontId="0" fillId="2" borderId="0" xfId="0" applyNumberFormat="1" applyFill="1" applyAlignment="1">
      <alignment horizontal="left" vertical="top" wrapText="1"/>
    </xf>
    <xf numFmtId="2" fontId="0" fillId="2" borderId="0" xfId="0" applyNumberFormat="1" applyFill="1" applyAlignment="1">
      <alignment horizontal="left" wrapText="1"/>
    </xf>
    <xf numFmtId="0" fontId="7" fillId="9" borderId="0" xfId="0" applyFont="1" applyFill="1" applyAlignment="1">
      <alignment horizontal="left"/>
    </xf>
    <xf numFmtId="0" fontId="7" fillId="9" borderId="0" xfId="0" applyFont="1" applyFill="1" applyAlignment="1">
      <alignment horizontal="left" vertical="top" wrapText="1"/>
    </xf>
    <xf numFmtId="0" fontId="23" fillId="2" borderId="7" xfId="0" applyFont="1" applyFill="1" applyBorder="1" applyAlignment="1">
      <alignment horizontal="left"/>
    </xf>
    <xf numFmtId="0" fontId="6" fillId="10" borderId="12" xfId="0" applyFont="1" applyFill="1" applyBorder="1" applyAlignment="1">
      <alignment horizontal="left" vertical="top" wrapText="1"/>
    </xf>
    <xf numFmtId="0" fontId="6" fillId="10" borderId="0" xfId="0" applyFont="1" applyFill="1" applyAlignment="1">
      <alignment horizontal="left" vertical="top" wrapText="1"/>
    </xf>
    <xf numFmtId="0" fontId="6" fillId="10" borderId="9" xfId="0" applyFont="1" applyFill="1" applyBorder="1" applyAlignment="1">
      <alignment horizontal="left" vertical="top" wrapText="1"/>
    </xf>
    <xf numFmtId="0" fontId="28" fillId="3" borderId="2" xfId="0" applyFont="1" applyFill="1" applyBorder="1" applyAlignment="1">
      <alignment horizontal="left"/>
    </xf>
    <xf numFmtId="0" fontId="28" fillId="3" borderId="3" xfId="0" applyFont="1" applyFill="1" applyBorder="1" applyAlignment="1">
      <alignment horizontal="left"/>
    </xf>
    <xf numFmtId="0" fontId="25" fillId="9" borderId="3" xfId="0" applyFont="1" applyFill="1" applyBorder="1" applyAlignment="1">
      <alignment horizontal="center" vertical="top"/>
    </xf>
    <xf numFmtId="2" fontId="0" fillId="6" borderId="3" xfId="0" applyNumberFormat="1" applyFill="1" applyBorder="1" applyAlignment="1">
      <alignment horizontal="left" wrapText="1"/>
    </xf>
    <xf numFmtId="0" fontId="6" fillId="8" borderId="0" xfId="0" applyFont="1" applyFill="1" applyAlignment="1">
      <alignment horizontal="left" vertical="top" wrapText="1"/>
    </xf>
    <xf numFmtId="0" fontId="6" fillId="8" borderId="9" xfId="0" applyFont="1" applyFill="1" applyBorder="1" applyAlignment="1">
      <alignment horizontal="left" vertical="top" wrapText="1"/>
    </xf>
    <xf numFmtId="0" fontId="6" fillId="8" borderId="0" xfId="0" applyFont="1" applyFill="1" applyAlignment="1">
      <alignment horizontal="left"/>
    </xf>
    <xf numFmtId="0" fontId="6" fillId="8" borderId="9" xfId="0" applyFont="1" applyFill="1" applyBorder="1" applyAlignment="1">
      <alignment horizontal="left"/>
    </xf>
    <xf numFmtId="0" fontId="22" fillId="8" borderId="5" xfId="0" applyFont="1" applyFill="1" applyBorder="1" applyAlignment="1">
      <alignment horizontal="left" vertical="top"/>
    </xf>
    <xf numFmtId="0" fontId="22" fillId="8" borderId="8" xfId="0" applyFont="1" applyFill="1" applyBorder="1" applyAlignment="1">
      <alignment horizontal="left" vertical="top"/>
    </xf>
    <xf numFmtId="0" fontId="6" fillId="10" borderId="5" xfId="0" applyFont="1" applyFill="1" applyBorder="1" applyAlignment="1">
      <alignment horizontal="left" vertical="top" wrapText="1"/>
    </xf>
    <xf numFmtId="0" fontId="6" fillId="10" borderId="8" xfId="0" applyFont="1" applyFill="1" applyBorder="1" applyAlignment="1">
      <alignment horizontal="left" vertical="top" wrapText="1"/>
    </xf>
    <xf numFmtId="0" fontId="6" fillId="10" borderId="5" xfId="0" applyFont="1" applyFill="1" applyBorder="1" applyAlignment="1">
      <alignment horizontal="left"/>
    </xf>
    <xf numFmtId="0" fontId="6" fillId="10" borderId="8" xfId="0" applyFont="1" applyFill="1" applyBorder="1" applyAlignment="1">
      <alignment horizontal="left"/>
    </xf>
    <xf numFmtId="0" fontId="8" fillId="2" borderId="0" xfId="0" applyFont="1" applyFill="1" applyAlignment="1">
      <alignment horizontal="left"/>
    </xf>
    <xf numFmtId="0" fontId="9" fillId="0" borderId="1" xfId="0" applyFont="1" applyBorder="1" applyAlignment="1">
      <alignment horizontal="left" vertical="top" wrapText="1"/>
    </xf>
    <xf numFmtId="1" fontId="28" fillId="3" borderId="2" xfId="0" applyNumberFormat="1" applyFont="1" applyFill="1" applyBorder="1" applyAlignment="1">
      <alignment horizontal="left"/>
    </xf>
    <xf numFmtId="1" fontId="28" fillId="3" borderId="3" xfId="0" applyNumberFormat="1" applyFont="1" applyFill="1" applyBorder="1" applyAlignment="1">
      <alignment horizontal="left"/>
    </xf>
    <xf numFmtId="0" fontId="6" fillId="10" borderId="7" xfId="0" applyFont="1" applyFill="1" applyBorder="1" applyAlignment="1">
      <alignment horizontal="left" vertical="top" wrapText="1"/>
    </xf>
    <xf numFmtId="0" fontId="6" fillId="10" borderId="10" xfId="0" applyFont="1" applyFill="1" applyBorder="1" applyAlignment="1">
      <alignment horizontal="left" vertical="top" wrapText="1"/>
    </xf>
    <xf numFmtId="0" fontId="0" fillId="2" borderId="0" xfId="0" applyFill="1" applyAlignment="1">
      <alignment horizontal="right"/>
    </xf>
    <xf numFmtId="0" fontId="26" fillId="2" borderId="0" xfId="0" applyFont="1" applyFill="1" applyAlignment="1">
      <alignment horizontal="center"/>
    </xf>
    <xf numFmtId="0" fontId="8" fillId="2" borderId="0" xfId="0" applyFont="1" applyFill="1" applyAlignment="1">
      <alignment horizontal="right"/>
    </xf>
    <xf numFmtId="0" fontId="4" fillId="2" borderId="1" xfId="0" applyFont="1" applyFill="1" applyBorder="1" applyAlignment="1">
      <alignment horizontal="center"/>
    </xf>
    <xf numFmtId="0" fontId="0" fillId="2" borderId="0" xfId="0" applyFill="1" applyAlignment="1">
      <alignment horizontal="left"/>
    </xf>
    <xf numFmtId="0" fontId="0" fillId="0" borderId="0" xfId="0" applyAlignment="1">
      <alignment horizontal="left"/>
    </xf>
    <xf numFmtId="0" fontId="27" fillId="4" borderId="1" xfId="0" applyFont="1" applyFill="1" applyBorder="1" applyAlignment="1" applyProtection="1">
      <alignment horizontal="left"/>
      <protection locked="0"/>
    </xf>
    <xf numFmtId="0" fontId="27" fillId="4" borderId="3" xfId="0" applyFont="1" applyFill="1" applyBorder="1" applyAlignment="1" applyProtection="1">
      <alignment horizontal="left"/>
      <protection locked="0"/>
    </xf>
    <xf numFmtId="14" fontId="27" fillId="4" borderId="3" xfId="0" applyNumberFormat="1" applyFont="1" applyFill="1" applyBorder="1" applyAlignment="1" applyProtection="1">
      <alignment horizontal="left"/>
      <protection locked="0"/>
    </xf>
    <xf numFmtId="0" fontId="21" fillId="2" borderId="0" xfId="0" applyFont="1" applyFill="1" applyAlignment="1">
      <alignment horizontal="left" wrapText="1"/>
    </xf>
    <xf numFmtId="0" fontId="21" fillId="2" borderId="1" xfId="0" applyFont="1" applyFill="1" applyBorder="1" applyAlignment="1">
      <alignment horizontal="left" wrapText="1"/>
    </xf>
    <xf numFmtId="0" fontId="1" fillId="6" borderId="3" xfId="0" applyFont="1" applyFill="1" applyBorder="1" applyAlignment="1">
      <alignment horizontal="left"/>
    </xf>
    <xf numFmtId="0" fontId="1" fillId="6" borderId="4" xfId="0" applyFont="1" applyFill="1" applyBorder="1" applyAlignment="1">
      <alignment horizontal="left"/>
    </xf>
    <xf numFmtId="0" fontId="1" fillId="6" borderId="2" xfId="0" applyFont="1" applyFill="1" applyBorder="1" applyAlignment="1">
      <alignment horizontal="left"/>
    </xf>
    <xf numFmtId="0" fontId="28" fillId="4" borderId="3" xfId="0" applyFont="1" applyFill="1" applyBorder="1" applyAlignment="1" applyProtection="1">
      <alignment horizontal="left"/>
      <protection locked="0"/>
    </xf>
    <xf numFmtId="0" fontId="28" fillId="4" borderId="4" xfId="0" applyFont="1" applyFill="1" applyBorder="1" applyAlignment="1" applyProtection="1">
      <alignment horizontal="left"/>
      <protection locked="0"/>
    </xf>
    <xf numFmtId="0" fontId="28" fillId="3" borderId="2" xfId="0" applyFont="1" applyFill="1" applyBorder="1" applyAlignment="1" applyProtection="1">
      <alignment horizontal="left"/>
      <protection locked="0"/>
    </xf>
    <xf numFmtId="0" fontId="28" fillId="3" borderId="3" xfId="0" applyFont="1" applyFill="1" applyBorder="1" applyAlignment="1" applyProtection="1">
      <alignment horizontal="left"/>
      <protection locked="0"/>
    </xf>
    <xf numFmtId="0" fontId="28" fillId="4" borderId="2" xfId="0" applyFont="1" applyFill="1" applyBorder="1" applyAlignment="1" applyProtection="1">
      <alignment horizontal="left"/>
      <protection locked="0"/>
    </xf>
    <xf numFmtId="0" fontId="23" fillId="2" borderId="14" xfId="0" applyFont="1" applyFill="1" applyBorder="1" applyAlignment="1">
      <alignment horizontal="left"/>
    </xf>
    <xf numFmtId="14" fontId="7" fillId="2" borderId="0" xfId="0" applyNumberFormat="1" applyFont="1" applyFill="1" applyAlignment="1">
      <alignment horizontal="left"/>
    </xf>
    <xf numFmtId="0" fontId="7" fillId="2" borderId="6" xfId="0" applyFont="1" applyFill="1" applyBorder="1" applyAlignment="1">
      <alignment horizontal="left"/>
    </xf>
  </cellXfs>
  <cellStyles count="1">
    <cellStyle name="Normal" xfId="0" builtinId="0"/>
  </cellStyles>
  <dxfs count="11">
    <dxf>
      <border>
        <bottom/>
        <vertical/>
        <horizontal/>
      </border>
    </dxf>
    <dxf>
      <font>
        <strike val="0"/>
        <color theme="2" tint="-0.749961851863155"/>
      </font>
    </dxf>
    <dxf>
      <font>
        <strike val="0"/>
        <color theme="2" tint="-0.749961851863155"/>
      </font>
    </dxf>
    <dxf>
      <font>
        <strike val="0"/>
        <color theme="2" tint="-0.749961851863155"/>
      </font>
    </dxf>
    <dxf>
      <border>
        <bottom/>
        <vertical/>
        <horizontal/>
      </border>
    </dxf>
    <dxf>
      <font>
        <strike val="0"/>
        <color theme="2" tint="-0.499984740745262"/>
      </font>
    </dxf>
    <dxf>
      <font>
        <color theme="0" tint="-0.14996795556505021"/>
      </font>
      <fill>
        <patternFill patternType="solid">
          <bgColor theme="0" tint="-0.14996795556505021"/>
        </patternFill>
      </fill>
      <border>
        <left/>
      </border>
    </dxf>
    <dxf>
      <font>
        <color theme="0" tint="-0.14996795556505021"/>
      </font>
      <fill>
        <patternFill patternType="solid">
          <bgColor theme="0" tint="-0.14996795556505021"/>
        </patternFill>
      </fill>
      <border>
        <left/>
      </border>
    </dxf>
    <dxf>
      <font>
        <strike val="0"/>
        <color theme="0" tint="-0.14996795556505021"/>
      </font>
      <fill>
        <patternFill patternType="solid">
          <bgColor theme="0" tint="-0.14996795556505021"/>
        </patternFill>
      </fill>
      <border>
        <left/>
      </border>
    </dxf>
    <dxf>
      <font>
        <strike val="0"/>
        <color theme="0"/>
      </font>
    </dxf>
    <dxf>
      <font>
        <color theme="7"/>
      </font>
    </dxf>
  </dxfs>
  <tableStyles count="0" defaultTableStyle="TableStyleMedium2" defaultPivotStyle="PivotStyleLight16"/>
  <colors>
    <mruColors>
      <color rgb="FFE8F0F8"/>
      <color rgb="FFE1ECF6"/>
      <color rgb="FFDFEA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jpe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7</xdr:col>
      <xdr:colOff>231915</xdr:colOff>
      <xdr:row>2</xdr:row>
      <xdr:rowOff>16567</xdr:rowOff>
    </xdr:from>
    <xdr:to>
      <xdr:col>11</xdr:col>
      <xdr:colOff>398519</xdr:colOff>
      <xdr:row>7</xdr:row>
      <xdr:rowOff>1088</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4581665" y="389630"/>
          <a:ext cx="2531979" cy="913208"/>
          <a:chOff x="4727715" y="382327"/>
          <a:chExt cx="2605004" cy="906541"/>
        </a:xfrm>
      </xdr:grpSpPr>
      <xdr:pic>
        <xdr:nvPicPr>
          <xdr:cNvPr id="8" name="irc_mi" descr="Image result for army corp">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rcRect/>
          <a:stretch>
            <a:fillRect/>
          </a:stretch>
        </xdr:blipFill>
        <xdr:spPr bwMode="auto">
          <a:xfrm>
            <a:off x="4727715" y="400082"/>
            <a:ext cx="916056" cy="702233"/>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grayscl/>
            <a:extLst>
              <a:ext uri="{BEBA8EAE-BF5A-486C-A8C5-ECC9F3942E4B}">
                <a14:imgProps xmlns:a14="http://schemas.microsoft.com/office/drawing/2010/main">
                  <a14:imgLayer r:embed="rId4">
                    <a14:imgEffect>
                      <a14:saturation sat="33000"/>
                    </a14:imgEffect>
                  </a14:imgLayer>
                </a14:imgProps>
              </a:ext>
              <a:ext uri="{28A0092B-C50C-407E-A947-70E740481C1C}">
                <a14:useLocalDpi xmlns:a14="http://schemas.microsoft.com/office/drawing/2010/main" val="0"/>
              </a:ext>
            </a:extLst>
          </a:blip>
          <a:stretch>
            <a:fillRect/>
          </a:stretch>
        </xdr:blipFill>
        <xdr:spPr>
          <a:xfrm>
            <a:off x="5719637" y="382327"/>
            <a:ext cx="655055" cy="783913"/>
          </a:xfrm>
          <a:prstGeom prst="rect">
            <a:avLst/>
          </a:prstGeom>
        </xdr:spPr>
      </xdr:pic>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saturation sat="0"/>
                    </a14:imgEffect>
                  </a14:imgLayer>
                </a14:imgProps>
              </a:ext>
              <a:ext uri="{28A0092B-C50C-407E-A947-70E740481C1C}">
                <a14:useLocalDpi xmlns:a14="http://schemas.microsoft.com/office/drawing/2010/main" val="0"/>
              </a:ext>
            </a:extLst>
          </a:blip>
          <a:stretch>
            <a:fillRect/>
          </a:stretch>
        </xdr:blipFill>
        <xdr:spPr>
          <a:xfrm>
            <a:off x="6427965" y="390609"/>
            <a:ext cx="904754" cy="898259"/>
          </a:xfrm>
          <a:prstGeom prst="rect">
            <a:avLst/>
          </a:prstGeom>
        </xdr:spPr>
      </xdr:pic>
    </xdr:grpSp>
    <xdr:clientData/>
  </xdr:twoCellAnchor>
  <xdr:twoCellAnchor>
    <xdr:from>
      <xdr:col>12</xdr:col>
      <xdr:colOff>305926</xdr:colOff>
      <xdr:row>31</xdr:row>
      <xdr:rowOff>87254</xdr:rowOff>
    </xdr:from>
    <xdr:to>
      <xdr:col>14</xdr:col>
      <xdr:colOff>3055620</xdr:colOff>
      <xdr:row>32</xdr:row>
      <xdr:rowOff>152400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674466" y="6861434"/>
          <a:ext cx="3968894" cy="24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solidFill>
                <a:schemeClr val="bg1"/>
              </a:solidFill>
            </a:rPr>
            <a:t>Example entries are provided, replace/delete as necessary</a:t>
          </a:r>
        </a:p>
      </xdr:txBody>
    </xdr:sp>
    <xdr:clientData/>
  </xdr:twoCellAnchor>
  <xdr:twoCellAnchor>
    <xdr:from>
      <xdr:col>12</xdr:col>
      <xdr:colOff>3810</xdr:colOff>
      <xdr:row>25</xdr:row>
      <xdr:rowOff>179070</xdr:rowOff>
    </xdr:from>
    <xdr:to>
      <xdr:col>12</xdr:col>
      <xdr:colOff>358140</xdr:colOff>
      <xdr:row>40</xdr:row>
      <xdr:rowOff>0</xdr:rowOff>
    </xdr:to>
    <xdr:sp macro="" textlink="">
      <xdr:nvSpPr>
        <xdr:cNvPr id="5" name="Isosceles Triangle 4">
          <a:extLst>
            <a:ext uri="{FF2B5EF4-FFF2-40B4-BE49-F238E27FC236}">
              <a16:creationId xmlns:a16="http://schemas.microsoft.com/office/drawing/2014/main" id="{00000000-0008-0000-0000-000005000000}"/>
            </a:ext>
          </a:extLst>
        </xdr:cNvPr>
        <xdr:cNvSpPr/>
      </xdr:nvSpPr>
      <xdr:spPr>
        <a:xfrm rot="5400000">
          <a:off x="5993130" y="6869430"/>
          <a:ext cx="3112770" cy="354330"/>
        </a:xfrm>
        <a:prstGeom prst="triangle">
          <a:avLst>
            <a:gd name="adj" fmla="val 47919"/>
          </a:avLst>
        </a:prstGeom>
        <a:pattFill prst="pct50">
          <a:fgClr>
            <a:schemeClr val="bg1"/>
          </a:fgClr>
          <a:bgClr>
            <a:schemeClr val="accent1">
              <a:lumMod val="20000"/>
              <a:lumOff val="80000"/>
            </a:schemeClr>
          </a:bgClr>
        </a:patt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L684"/>
  <sheetViews>
    <sheetView tabSelected="1" view="pageBreakPreview" zoomScale="120" zoomScaleNormal="130" zoomScaleSheetLayoutView="120" workbookViewId="0">
      <selection activeCell="B8" sqref="B8:L8"/>
    </sheetView>
  </sheetViews>
  <sheetFormatPr defaultColWidth="8.85546875" defaultRowHeight="15" x14ac:dyDescent="0.25"/>
  <cols>
    <col min="1" max="1" width="17.28515625" style="1" customWidth="1"/>
    <col min="2" max="2" width="9.42578125" customWidth="1"/>
    <col min="5" max="5" width="9.42578125" customWidth="1"/>
    <col min="6" max="6" width="4.28515625" customWidth="1"/>
    <col min="7" max="7" width="7.28515625" customWidth="1"/>
    <col min="9" max="9" width="8.28515625" customWidth="1"/>
    <col min="11" max="11" width="9.5703125" customWidth="1"/>
    <col min="12" max="12" width="6.28515625" customWidth="1"/>
    <col min="13" max="14" width="8.85546875" style="5"/>
    <col min="15" max="15" width="64.7109375" style="5" customWidth="1"/>
    <col min="16" max="16" width="8.85546875" style="2"/>
    <col min="17" max="18" width="8.85546875" style="1" hidden="1" customWidth="1"/>
    <col min="19" max="19" width="0" style="1" hidden="1" customWidth="1"/>
    <col min="20" max="142" width="8.85546875" style="1"/>
  </cols>
  <sheetData>
    <row r="1" spans="2:19" x14ac:dyDescent="0.25">
      <c r="B1" s="1"/>
      <c r="C1" s="1"/>
      <c r="D1" s="1"/>
      <c r="E1" s="1"/>
      <c r="F1" s="1"/>
      <c r="G1" s="1"/>
      <c r="H1" s="1"/>
      <c r="I1" s="1"/>
      <c r="J1" s="1"/>
      <c r="K1" s="1"/>
      <c r="L1" s="1"/>
      <c r="M1" s="2"/>
      <c r="N1" s="2"/>
      <c r="O1" s="2"/>
    </row>
    <row r="2" spans="2:19" s="1" customFormat="1" ht="14.45" customHeight="1" x14ac:dyDescent="0.3">
      <c r="M2" s="66"/>
      <c r="N2" s="66"/>
      <c r="O2" s="66"/>
      <c r="P2" s="2"/>
    </row>
    <row r="3" spans="2:19" ht="14.45" customHeight="1" x14ac:dyDescent="0.25">
      <c r="B3" s="10" t="s">
        <v>1</v>
      </c>
      <c r="C3" s="116" t="s">
        <v>63</v>
      </c>
      <c r="D3" s="116"/>
      <c r="E3" s="116"/>
      <c r="F3" s="116"/>
      <c r="G3" s="116"/>
      <c r="H3" s="3"/>
      <c r="I3" s="4"/>
      <c r="J3" s="4"/>
      <c r="K3" s="4"/>
      <c r="L3" s="4"/>
      <c r="M3" s="98" t="s">
        <v>34</v>
      </c>
      <c r="N3" s="98"/>
      <c r="O3" s="99"/>
    </row>
    <row r="4" spans="2:19" ht="14.45" customHeight="1" x14ac:dyDescent="0.25">
      <c r="B4" s="10" t="s">
        <v>13</v>
      </c>
      <c r="C4" s="117" t="s">
        <v>58</v>
      </c>
      <c r="D4" s="117"/>
      <c r="E4" s="117"/>
      <c r="F4" s="117"/>
      <c r="G4" s="117"/>
      <c r="H4" s="3"/>
      <c r="I4" s="4"/>
      <c r="J4" s="4"/>
      <c r="K4" s="4"/>
      <c r="L4" s="4"/>
      <c r="M4" s="67"/>
      <c r="N4" s="67"/>
      <c r="O4" s="68"/>
    </row>
    <row r="5" spans="2:19" x14ac:dyDescent="0.25">
      <c r="B5" s="10" t="s">
        <v>14</v>
      </c>
      <c r="C5" s="117">
        <v>1740579</v>
      </c>
      <c r="D5" s="117"/>
      <c r="E5" s="117"/>
      <c r="F5" s="117"/>
      <c r="G5" s="117"/>
      <c r="H5" s="3"/>
      <c r="I5" s="4"/>
      <c r="J5" s="4"/>
      <c r="K5" s="4"/>
      <c r="L5" s="4"/>
      <c r="O5" s="42"/>
    </row>
    <row r="6" spans="2:19" ht="15.75" x14ac:dyDescent="0.25">
      <c r="B6" s="10" t="s">
        <v>3</v>
      </c>
      <c r="C6" s="118">
        <v>45917</v>
      </c>
      <c r="D6" s="118"/>
      <c r="E6" s="118"/>
      <c r="F6" s="118"/>
      <c r="G6" s="118"/>
      <c r="H6" s="6"/>
      <c r="I6" s="4"/>
      <c r="J6" s="4"/>
      <c r="K6" s="4"/>
      <c r="L6" s="4"/>
      <c r="M6" s="69"/>
      <c r="N6" s="69"/>
      <c r="O6" s="70"/>
    </row>
    <row r="7" spans="2:19" ht="13.9" customHeight="1" x14ac:dyDescent="0.3">
      <c r="B7" s="4"/>
      <c r="C7" s="4"/>
      <c r="D7" s="4"/>
      <c r="E7" s="4"/>
      <c r="F7" s="4"/>
      <c r="G7" s="4"/>
      <c r="H7" s="4"/>
      <c r="I7" s="4"/>
      <c r="J7" s="4"/>
      <c r="K7" s="4"/>
      <c r="L7" s="4"/>
      <c r="M7" s="43"/>
      <c r="O7" s="42"/>
      <c r="Q7" s="7"/>
      <c r="R7" s="7"/>
    </row>
    <row r="8" spans="2:19" ht="21" x14ac:dyDescent="0.35">
      <c r="B8" s="111" t="s">
        <v>17</v>
      </c>
      <c r="C8" s="111"/>
      <c r="D8" s="111"/>
      <c r="E8" s="111"/>
      <c r="F8" s="111"/>
      <c r="G8" s="111"/>
      <c r="H8" s="111"/>
      <c r="I8" s="111"/>
      <c r="J8" s="111"/>
      <c r="K8" s="111"/>
      <c r="L8" s="111"/>
      <c r="M8" s="96" t="s">
        <v>43</v>
      </c>
      <c r="N8" s="96"/>
      <c r="O8" s="97"/>
      <c r="Q8" s="7"/>
      <c r="R8" s="7"/>
    </row>
    <row r="9" spans="2:19" x14ac:dyDescent="0.25">
      <c r="B9" s="8"/>
      <c r="C9" s="8"/>
      <c r="D9" s="8"/>
      <c r="E9" s="8"/>
      <c r="F9" s="8"/>
      <c r="G9" s="8"/>
      <c r="H9" s="8"/>
      <c r="I9" s="8"/>
      <c r="J9" s="8"/>
      <c r="K9" s="8"/>
      <c r="L9" s="8"/>
      <c r="M9" s="44"/>
      <c r="O9" s="42"/>
      <c r="Q9" s="7"/>
      <c r="R9" s="7"/>
    </row>
    <row r="10" spans="2:19" ht="14.45" customHeight="1" x14ac:dyDescent="0.25">
      <c r="B10" s="110" t="s">
        <v>8</v>
      </c>
      <c r="C10" s="110"/>
      <c r="D10" s="110"/>
      <c r="E10" s="110"/>
      <c r="F10" s="39" t="s">
        <v>5</v>
      </c>
      <c r="G10" s="4"/>
      <c r="H10" s="4"/>
      <c r="I10" s="4"/>
      <c r="J10" s="4"/>
      <c r="K10" s="4"/>
      <c r="L10" s="4"/>
      <c r="M10" s="100" t="s">
        <v>35</v>
      </c>
      <c r="N10" s="100"/>
      <c r="O10" s="101"/>
      <c r="Q10" s="7" t="s">
        <v>18</v>
      </c>
      <c r="R10" s="7" t="s">
        <v>23</v>
      </c>
      <c r="S10" s="9" t="s">
        <v>48</v>
      </c>
    </row>
    <row r="11" spans="2:19" x14ac:dyDescent="0.25">
      <c r="B11" s="110" t="s">
        <v>9</v>
      </c>
      <c r="C11" s="110"/>
      <c r="D11" s="110"/>
      <c r="E11" s="110"/>
      <c r="F11" s="40" t="s">
        <v>24</v>
      </c>
      <c r="G11" s="4"/>
      <c r="H11" s="4"/>
      <c r="I11" s="4"/>
      <c r="J11" s="4"/>
      <c r="K11" s="4"/>
      <c r="L11" s="4"/>
      <c r="M11" s="28"/>
      <c r="N11" s="28"/>
      <c r="O11" s="45"/>
      <c r="Q11" s="7" t="s">
        <v>19</v>
      </c>
      <c r="R11" s="7" t="s">
        <v>24</v>
      </c>
      <c r="S11" s="9" t="s">
        <v>49</v>
      </c>
    </row>
    <row r="12" spans="2:19" ht="14.45" customHeight="1" x14ac:dyDescent="0.25">
      <c r="B12" s="110" t="s">
        <v>10</v>
      </c>
      <c r="C12" s="110"/>
      <c r="D12" s="110"/>
      <c r="E12" s="110"/>
      <c r="F12" s="41">
        <v>115</v>
      </c>
      <c r="G12" s="4"/>
      <c r="H12" s="4"/>
      <c r="I12" s="4"/>
      <c r="J12" s="4"/>
      <c r="K12" s="4"/>
      <c r="L12" s="4"/>
      <c r="M12" s="88" t="s">
        <v>36</v>
      </c>
      <c r="N12" s="88"/>
      <c r="O12" s="89"/>
      <c r="Q12" s="7" t="s">
        <v>5</v>
      </c>
      <c r="R12" s="7" t="s">
        <v>4</v>
      </c>
      <c r="S12" s="9"/>
    </row>
    <row r="13" spans="2:19" x14ac:dyDescent="0.25">
      <c r="B13" s="110" t="s">
        <v>11</v>
      </c>
      <c r="C13" s="110"/>
      <c r="D13" s="110"/>
      <c r="E13" s="110"/>
      <c r="F13" s="41">
        <v>2</v>
      </c>
      <c r="G13" s="4"/>
      <c r="H13" s="4"/>
      <c r="I13" s="4"/>
      <c r="J13" s="4"/>
      <c r="K13" s="4"/>
      <c r="L13" s="4"/>
      <c r="M13" s="88"/>
      <c r="N13" s="88"/>
      <c r="O13" s="89"/>
      <c r="Q13" s="7" t="s">
        <v>20</v>
      </c>
      <c r="R13" s="7" t="s">
        <v>25</v>
      </c>
      <c r="S13" s="9"/>
    </row>
    <row r="14" spans="2:19" x14ac:dyDescent="0.25">
      <c r="B14" s="110" t="s">
        <v>15</v>
      </c>
      <c r="C14" s="110"/>
      <c r="D14" s="110"/>
      <c r="E14" s="110"/>
      <c r="F14" s="41">
        <v>48</v>
      </c>
      <c r="G14" s="4"/>
      <c r="H14" s="4"/>
      <c r="I14" s="4"/>
      <c r="J14" s="4"/>
      <c r="K14" s="4"/>
      <c r="L14" s="4"/>
      <c r="M14" s="28"/>
      <c r="N14" s="28"/>
      <c r="O14" s="45"/>
      <c r="Q14" s="7" t="s">
        <v>21</v>
      </c>
      <c r="R14" s="7" t="s">
        <v>26</v>
      </c>
      <c r="S14" s="9"/>
    </row>
    <row r="15" spans="2:19" x14ac:dyDescent="0.25">
      <c r="B15" s="110" t="s">
        <v>50</v>
      </c>
      <c r="C15" s="110"/>
      <c r="D15" s="110"/>
      <c r="E15" s="110"/>
      <c r="F15" s="41" t="s">
        <v>49</v>
      </c>
      <c r="G15" s="114" t="s">
        <v>60</v>
      </c>
      <c r="H15" s="114"/>
      <c r="I15" s="114"/>
      <c r="J15" s="114"/>
      <c r="K15" s="114"/>
      <c r="L15" s="4"/>
      <c r="M15" s="48"/>
      <c r="N15" s="48"/>
      <c r="O15" s="49"/>
      <c r="Q15" s="7" t="s">
        <v>22</v>
      </c>
      <c r="R15" s="7"/>
      <c r="S15" s="9"/>
    </row>
    <row r="16" spans="2:19" ht="5.45" customHeight="1" x14ac:dyDescent="0.25">
      <c r="B16" s="10"/>
      <c r="C16" s="10"/>
      <c r="D16" s="10"/>
      <c r="E16" s="10"/>
      <c r="F16" s="11"/>
      <c r="G16" s="4"/>
      <c r="H16" s="4"/>
      <c r="I16" s="4"/>
      <c r="J16" s="4"/>
      <c r="K16" s="4"/>
      <c r="L16" s="4"/>
      <c r="M16" s="46"/>
      <c r="N16" s="46"/>
      <c r="O16" s="47"/>
      <c r="Q16" s="7"/>
      <c r="R16" s="7"/>
      <c r="S16" s="9"/>
    </row>
    <row r="17" spans="2:19" ht="15.75" x14ac:dyDescent="0.25">
      <c r="B17" s="112" t="s">
        <v>2</v>
      </c>
      <c r="C17" s="112"/>
      <c r="D17" s="112"/>
      <c r="E17" s="112"/>
      <c r="F17" s="4"/>
      <c r="G17" s="4"/>
      <c r="H17" s="4"/>
      <c r="I17" s="4"/>
      <c r="J17" s="4"/>
      <c r="K17" s="4"/>
      <c r="L17" s="4"/>
      <c r="M17" s="48"/>
      <c r="N17" s="48"/>
      <c r="O17" s="49"/>
      <c r="Q17" s="7"/>
      <c r="R17" s="7"/>
      <c r="S17" s="9"/>
    </row>
    <row r="18" spans="2:19" x14ac:dyDescent="0.25">
      <c r="B18" s="110" t="s">
        <v>12</v>
      </c>
      <c r="C18" s="110"/>
      <c r="D18" s="110"/>
      <c r="E18" s="110"/>
      <c r="F18" s="113" t="str">
        <f>IF(AND(OR(F11="III",F11="IV",F11="V"),OR(F10="D",F10="E",F10="F")),"IS",(IF(AND((F14&gt;75),OR(F10="D",F10="E",F10="F")),"IS",IF(AND(OR(F11="I",F11="II"),F10="E",F13&gt;2),"IS",IF(AND(OR(F11="III",F11="IV",F11="V"),F12&gt;110),"IS",IF(AND(F12&gt;110,F14&gt;75),"IS","IS NOT"))))))</f>
        <v>IS NOT</v>
      </c>
      <c r="G18" s="113"/>
      <c r="H18" s="115" t="s">
        <v>16</v>
      </c>
      <c r="I18" s="115"/>
      <c r="J18" s="115"/>
      <c r="K18" s="115"/>
      <c r="L18" s="115"/>
      <c r="M18" s="48"/>
      <c r="N18" s="48"/>
      <c r="O18" s="49"/>
      <c r="Q18" s="7"/>
      <c r="R18" s="7"/>
      <c r="S18" s="9"/>
    </row>
    <row r="19" spans="2:19" x14ac:dyDescent="0.25">
      <c r="B19" s="4"/>
      <c r="C19" s="4"/>
      <c r="D19" s="4"/>
      <c r="E19" s="4"/>
      <c r="F19" s="4"/>
      <c r="G19" s="4"/>
      <c r="H19" s="4"/>
      <c r="I19" s="4"/>
      <c r="J19" s="4"/>
      <c r="K19" s="4"/>
      <c r="L19" s="4"/>
      <c r="M19" s="48"/>
      <c r="N19" s="48"/>
      <c r="O19" s="49"/>
      <c r="Q19" s="7"/>
      <c r="R19" s="7"/>
    </row>
    <row r="20" spans="2:19" x14ac:dyDescent="0.25">
      <c r="B20" s="10"/>
      <c r="C20" s="10"/>
      <c r="D20" s="10"/>
      <c r="E20" s="10"/>
      <c r="F20" s="4"/>
      <c r="G20" s="4"/>
      <c r="H20" s="4"/>
      <c r="I20" s="4"/>
      <c r="J20" s="4"/>
      <c r="K20" s="4"/>
      <c r="L20" s="4"/>
      <c r="M20" s="48"/>
      <c r="N20" s="48"/>
      <c r="O20" s="49"/>
      <c r="Q20" s="7"/>
      <c r="R20" s="7"/>
    </row>
    <row r="21" spans="2:19" ht="15.75" x14ac:dyDescent="0.25">
      <c r="B21" s="104" t="s">
        <v>0</v>
      </c>
      <c r="C21" s="104"/>
      <c r="D21" s="104"/>
      <c r="E21" s="104"/>
      <c r="F21" s="104"/>
      <c r="G21" s="4"/>
      <c r="H21" s="4"/>
      <c r="I21" s="4"/>
      <c r="J21" s="4"/>
      <c r="K21" s="4"/>
      <c r="L21" s="4"/>
      <c r="M21" s="12" t="s">
        <v>56</v>
      </c>
      <c r="N21" s="12"/>
      <c r="O21" s="50"/>
      <c r="Q21" s="7"/>
      <c r="R21" s="7"/>
    </row>
    <row r="22" spans="2:19" x14ac:dyDescent="0.25">
      <c r="B22" s="81" t="s">
        <v>61</v>
      </c>
      <c r="C22" s="81"/>
      <c r="D22" s="81"/>
      <c r="E22" s="81"/>
      <c r="F22" s="4"/>
      <c r="G22" s="4"/>
      <c r="H22" s="4"/>
      <c r="I22" s="4"/>
      <c r="J22" s="4"/>
      <c r="K22" s="4"/>
      <c r="L22" s="4"/>
      <c r="O22" s="42"/>
      <c r="Q22" s="7"/>
      <c r="R22" s="7"/>
    </row>
    <row r="23" spans="2:19" ht="14.45" customHeight="1" x14ac:dyDescent="0.25">
      <c r="B23" s="119" t="s">
        <v>57</v>
      </c>
      <c r="C23" s="119"/>
      <c r="D23" s="119"/>
      <c r="E23" s="119"/>
      <c r="F23" s="119"/>
      <c r="G23" s="119"/>
      <c r="H23" s="119"/>
      <c r="I23" s="119"/>
      <c r="J23" s="119"/>
      <c r="K23" s="119"/>
      <c r="L23" s="119"/>
      <c r="O23" s="42"/>
      <c r="Q23" s="7"/>
      <c r="R23" s="7"/>
    </row>
    <row r="24" spans="2:19" x14ac:dyDescent="0.25">
      <c r="B24" s="119"/>
      <c r="C24" s="119"/>
      <c r="D24" s="119"/>
      <c r="E24" s="119"/>
      <c r="F24" s="119"/>
      <c r="G24" s="119"/>
      <c r="H24" s="119"/>
      <c r="I24" s="119"/>
      <c r="J24" s="119"/>
      <c r="K24" s="119"/>
      <c r="L24" s="119"/>
      <c r="O24" s="42"/>
      <c r="Q24" s="7"/>
      <c r="R24" s="7"/>
    </row>
    <row r="25" spans="2:19" x14ac:dyDescent="0.25">
      <c r="B25" s="120"/>
      <c r="C25" s="120"/>
      <c r="D25" s="120"/>
      <c r="E25" s="120"/>
      <c r="F25" s="120"/>
      <c r="G25" s="120"/>
      <c r="H25" s="120"/>
      <c r="I25" s="120"/>
      <c r="J25" s="120"/>
      <c r="K25" s="120"/>
      <c r="L25" s="120"/>
      <c r="O25" s="42"/>
      <c r="Q25" s="7"/>
      <c r="R25" s="7"/>
    </row>
    <row r="26" spans="2:19" x14ac:dyDescent="0.25">
      <c r="B26" s="121" t="s">
        <v>32</v>
      </c>
      <c r="C26" s="121"/>
      <c r="D26" s="121"/>
      <c r="E26" s="121"/>
      <c r="F26" s="121"/>
      <c r="G26" s="122"/>
      <c r="H26" s="123" t="s">
        <v>31</v>
      </c>
      <c r="I26" s="121"/>
      <c r="J26" s="121"/>
      <c r="K26" s="121"/>
      <c r="L26" s="121"/>
      <c r="O26" s="42"/>
      <c r="Q26" s="7"/>
      <c r="R26" s="7"/>
    </row>
    <row r="27" spans="2:19" x14ac:dyDescent="0.25">
      <c r="B27" s="124" t="s">
        <v>66</v>
      </c>
      <c r="C27" s="124"/>
      <c r="D27" s="124"/>
      <c r="E27" s="124"/>
      <c r="F27" s="124"/>
      <c r="G27" s="125"/>
      <c r="H27" s="126" t="s">
        <v>64</v>
      </c>
      <c r="I27" s="127"/>
      <c r="J27" s="127"/>
      <c r="K27" s="127"/>
      <c r="L27" s="127"/>
      <c r="O27" s="42"/>
      <c r="Q27" s="7"/>
      <c r="R27" s="7"/>
    </row>
    <row r="28" spans="2:19" x14ac:dyDescent="0.25">
      <c r="B28" s="124"/>
      <c r="C28" s="124"/>
      <c r="D28" s="124"/>
      <c r="E28" s="124"/>
      <c r="F28" s="124"/>
      <c r="G28" s="125"/>
      <c r="H28" s="126"/>
      <c r="I28" s="127"/>
      <c r="J28" s="127"/>
      <c r="K28" s="127"/>
      <c r="L28" s="127"/>
      <c r="O28" s="42"/>
      <c r="Q28" s="7"/>
      <c r="R28" s="7"/>
    </row>
    <row r="29" spans="2:19" x14ac:dyDescent="0.25">
      <c r="B29" s="124"/>
      <c r="C29" s="124"/>
      <c r="D29" s="124"/>
      <c r="E29" s="124"/>
      <c r="F29" s="124"/>
      <c r="G29" s="125"/>
      <c r="H29" s="126"/>
      <c r="I29" s="127"/>
      <c r="J29" s="127"/>
      <c r="K29" s="127"/>
      <c r="L29" s="127"/>
      <c r="O29" s="42"/>
      <c r="Q29" s="7"/>
      <c r="R29" s="7"/>
    </row>
    <row r="30" spans="2:19" x14ac:dyDescent="0.25">
      <c r="B30" s="124"/>
      <c r="C30" s="124"/>
      <c r="D30" s="124"/>
      <c r="E30" s="124"/>
      <c r="F30" s="124"/>
      <c r="G30" s="125"/>
      <c r="H30" s="126"/>
      <c r="I30" s="127"/>
      <c r="J30" s="127"/>
      <c r="K30" s="127"/>
      <c r="L30" s="127"/>
      <c r="O30" s="42"/>
      <c r="Q30" s="7"/>
      <c r="R30" s="7"/>
    </row>
    <row r="31" spans="2:19" x14ac:dyDescent="0.25">
      <c r="B31" s="124"/>
      <c r="C31" s="124"/>
      <c r="D31" s="124"/>
      <c r="E31" s="124"/>
      <c r="F31" s="124"/>
      <c r="G31" s="125"/>
      <c r="H31" s="126"/>
      <c r="I31" s="127"/>
      <c r="J31" s="127"/>
      <c r="K31" s="127"/>
      <c r="L31" s="127"/>
      <c r="O31" s="42"/>
      <c r="Q31" s="7"/>
      <c r="R31" s="7"/>
    </row>
    <row r="32" spans="2:19" x14ac:dyDescent="0.25">
      <c r="B32" s="124"/>
      <c r="C32" s="124"/>
      <c r="D32" s="124"/>
      <c r="E32" s="124"/>
      <c r="F32" s="124"/>
      <c r="G32" s="125"/>
      <c r="H32" s="126"/>
      <c r="I32" s="127"/>
      <c r="J32" s="127"/>
      <c r="K32" s="127"/>
      <c r="L32" s="127"/>
      <c r="O32" s="42"/>
      <c r="Q32" s="7"/>
      <c r="R32" s="7"/>
    </row>
    <row r="33" spans="1:142" x14ac:dyDescent="0.25">
      <c r="B33" s="121" t="s">
        <v>30</v>
      </c>
      <c r="C33" s="121"/>
      <c r="D33" s="121"/>
      <c r="E33" s="121"/>
      <c r="F33" s="121"/>
      <c r="G33" s="122"/>
      <c r="H33" s="123" t="s">
        <v>31</v>
      </c>
      <c r="I33" s="121"/>
      <c r="J33" s="121"/>
      <c r="K33" s="121"/>
      <c r="L33" s="121"/>
      <c r="O33" s="42"/>
      <c r="P33" s="7"/>
      <c r="Q33" s="7"/>
      <c r="R33" s="7"/>
      <c r="EJ33"/>
      <c r="EK33"/>
      <c r="EL33"/>
    </row>
    <row r="34" spans="1:142" x14ac:dyDescent="0.25">
      <c r="B34" s="124" t="s">
        <v>67</v>
      </c>
      <c r="C34" s="124"/>
      <c r="D34" s="124"/>
      <c r="E34" s="124"/>
      <c r="F34" s="124"/>
      <c r="G34" s="125"/>
      <c r="H34" s="128" t="s">
        <v>65</v>
      </c>
      <c r="I34" s="124"/>
      <c r="J34" s="124"/>
      <c r="K34" s="124"/>
      <c r="L34" s="124"/>
      <c r="O34" s="42"/>
      <c r="P34" s="7"/>
      <c r="Q34" s="7"/>
      <c r="R34" s="7"/>
      <c r="EJ34"/>
      <c r="EK34"/>
      <c r="EL34"/>
    </row>
    <row r="35" spans="1:142" x14ac:dyDescent="0.25">
      <c r="B35" s="124"/>
      <c r="C35" s="124"/>
      <c r="D35" s="124"/>
      <c r="E35" s="124"/>
      <c r="F35" s="124"/>
      <c r="G35" s="125"/>
      <c r="H35" s="128"/>
      <c r="I35" s="124"/>
      <c r="J35" s="124"/>
      <c r="K35" s="124"/>
      <c r="L35" s="124"/>
      <c r="O35" s="42"/>
      <c r="P35" s="7"/>
      <c r="Q35" s="7"/>
      <c r="R35" s="7"/>
      <c r="EJ35"/>
      <c r="EK35"/>
      <c r="EL35"/>
    </row>
    <row r="36" spans="1:142" x14ac:dyDescent="0.25">
      <c r="B36" s="124"/>
      <c r="C36" s="124"/>
      <c r="D36" s="124"/>
      <c r="E36" s="124"/>
      <c r="F36" s="124"/>
      <c r="G36" s="125"/>
      <c r="H36" s="128"/>
      <c r="I36" s="124"/>
      <c r="J36" s="124"/>
      <c r="K36" s="124"/>
      <c r="L36" s="124"/>
      <c r="O36" s="42"/>
      <c r="P36" s="7"/>
      <c r="Q36" s="7"/>
      <c r="R36" s="7"/>
      <c r="EJ36"/>
      <c r="EK36"/>
      <c r="EL36"/>
    </row>
    <row r="37" spans="1:142" x14ac:dyDescent="0.25">
      <c r="B37" s="124"/>
      <c r="C37" s="124"/>
      <c r="D37" s="124"/>
      <c r="E37" s="124"/>
      <c r="F37" s="124"/>
      <c r="G37" s="125"/>
      <c r="H37" s="128"/>
      <c r="I37" s="124"/>
      <c r="J37" s="124"/>
      <c r="K37" s="124"/>
      <c r="L37" s="124"/>
      <c r="O37" s="42"/>
      <c r="P37" s="7"/>
      <c r="Q37" s="7"/>
      <c r="R37" s="7"/>
      <c r="EJ37"/>
      <c r="EK37"/>
      <c r="EL37"/>
    </row>
    <row r="38" spans="1:142" x14ac:dyDescent="0.25">
      <c r="B38" s="124"/>
      <c r="C38" s="124"/>
      <c r="D38" s="124"/>
      <c r="E38" s="124"/>
      <c r="F38" s="124"/>
      <c r="G38" s="125"/>
      <c r="H38" s="128"/>
      <c r="I38" s="124"/>
      <c r="J38" s="124"/>
      <c r="K38" s="124"/>
      <c r="L38" s="124"/>
      <c r="O38" s="42"/>
      <c r="P38" s="7"/>
      <c r="Q38" s="7"/>
      <c r="R38" s="7"/>
      <c r="EJ38"/>
      <c r="EK38"/>
      <c r="EL38"/>
    </row>
    <row r="39" spans="1:142" x14ac:dyDescent="0.25">
      <c r="B39" s="124"/>
      <c r="C39" s="124"/>
      <c r="D39" s="124"/>
      <c r="E39" s="124"/>
      <c r="F39" s="124"/>
      <c r="G39" s="125"/>
      <c r="H39" s="128"/>
      <c r="I39" s="124"/>
      <c r="J39" s="124"/>
      <c r="K39" s="124"/>
      <c r="L39" s="124"/>
      <c r="O39" s="42"/>
      <c r="P39" s="7"/>
      <c r="Q39" s="7"/>
      <c r="R39" s="7"/>
      <c r="EJ39"/>
      <c r="EK39"/>
      <c r="EL39"/>
    </row>
    <row r="40" spans="1:142" x14ac:dyDescent="0.25">
      <c r="B40" s="124"/>
      <c r="C40" s="124"/>
      <c r="D40" s="124"/>
      <c r="E40" s="124"/>
      <c r="F40" s="124"/>
      <c r="G40" s="125"/>
      <c r="H40" s="128"/>
      <c r="I40" s="124"/>
      <c r="J40" s="124"/>
      <c r="K40" s="124"/>
      <c r="L40" s="124"/>
      <c r="O40" s="42"/>
      <c r="P40" s="7"/>
      <c r="Q40" s="7"/>
      <c r="R40" s="7"/>
      <c r="EJ40"/>
      <c r="EK40"/>
      <c r="EL40"/>
    </row>
    <row r="41" spans="1:142" s="15" customFormat="1" x14ac:dyDescent="0.25">
      <c r="A41" s="14"/>
      <c r="B41" s="11"/>
      <c r="C41" s="11"/>
      <c r="D41" s="11"/>
      <c r="E41" s="11"/>
      <c r="F41" s="11"/>
      <c r="G41" s="11"/>
      <c r="H41" s="11"/>
      <c r="I41" s="11"/>
      <c r="J41" s="11"/>
      <c r="K41" s="11"/>
      <c r="L41" s="11"/>
      <c r="M41" s="51"/>
      <c r="N41" s="51"/>
      <c r="O41" s="52"/>
      <c r="P41" s="13"/>
      <c r="Q41" s="9"/>
      <c r="R41" s="9"/>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row>
    <row r="42" spans="1:142" x14ac:dyDescent="0.25">
      <c r="B42" s="129" t="s">
        <v>7</v>
      </c>
      <c r="C42" s="129"/>
      <c r="D42" s="129"/>
      <c r="E42" s="129"/>
      <c r="F42" s="129"/>
      <c r="G42" s="62"/>
      <c r="H42" s="71"/>
      <c r="I42" s="71"/>
      <c r="J42" s="71"/>
      <c r="K42" s="71"/>
      <c r="L42" s="71"/>
      <c r="O42" s="42"/>
      <c r="Q42" s="7"/>
      <c r="R42" s="7"/>
    </row>
    <row r="43" spans="1:142" x14ac:dyDescent="0.25">
      <c r="B43" s="78" t="str">
        <f t="shared" ref="B43:C45" si="0">B3</f>
        <v>Project:</v>
      </c>
      <c r="C43" s="131" t="str">
        <f t="shared" si="0"/>
        <v>B60 Production Facility Repairs - SIOP</v>
      </c>
      <c r="D43" s="131"/>
      <c r="E43" s="131"/>
      <c r="F43" s="131"/>
      <c r="G43" s="131"/>
      <c r="H43" s="72"/>
      <c r="I43" s="16"/>
      <c r="J43" s="16"/>
      <c r="K43" s="16"/>
      <c r="L43" s="16"/>
      <c r="M43" s="102" t="s">
        <v>51</v>
      </c>
      <c r="N43" s="102"/>
      <c r="O43" s="103"/>
      <c r="Q43" s="7"/>
      <c r="R43" s="7"/>
    </row>
    <row r="44" spans="1:142" ht="14.45" customHeight="1" x14ac:dyDescent="0.25">
      <c r="B44" s="79" t="str">
        <f t="shared" si="0"/>
        <v>Location:</v>
      </c>
      <c r="C44" s="114" t="str">
        <f t="shared" si="0"/>
        <v>Portsmouth Naval Shipyard, Kittery, Maine</v>
      </c>
      <c r="D44" s="114"/>
      <c r="E44" s="114"/>
      <c r="F44" s="115"/>
      <c r="G44" s="115"/>
      <c r="H44" s="115"/>
      <c r="I44" s="4"/>
      <c r="J44" s="4"/>
      <c r="K44" s="4"/>
      <c r="L44" s="4"/>
      <c r="M44" s="88" t="str">
        <f>IF(B54="N/A","This section identifies whether Designated Seismic Systems apply to this project or do not apply.","This section identifies whether Designated Seismic Systems apply to this project or do not apply.  Additionally, and where DSS apply, some explanation is provided below for what a Designated Seismic System is for this specific project.")</f>
        <v>This section identifies whether Designated Seismic Systems apply to this project or do not apply.</v>
      </c>
      <c r="N44" s="88"/>
      <c r="O44" s="89"/>
      <c r="Q44" s="7"/>
      <c r="R44" s="7"/>
    </row>
    <row r="45" spans="1:142" x14ac:dyDescent="0.25">
      <c r="B45" s="10" t="str">
        <f t="shared" si="0"/>
        <v>Project #:</v>
      </c>
      <c r="C45" s="114">
        <f t="shared" si="0"/>
        <v>1740579</v>
      </c>
      <c r="D45" s="114"/>
      <c r="E45" s="114"/>
      <c r="F45" s="4"/>
      <c r="G45" s="4"/>
      <c r="H45" s="4"/>
      <c r="I45" s="4"/>
      <c r="J45" s="4"/>
      <c r="K45" s="4"/>
      <c r="L45" s="4"/>
      <c r="M45" s="88"/>
      <c r="N45" s="88"/>
      <c r="O45" s="89"/>
      <c r="Q45" s="7"/>
      <c r="R45" s="7"/>
    </row>
    <row r="46" spans="1:142" x14ac:dyDescent="0.25">
      <c r="B46" s="79" t="str">
        <f>B6</f>
        <v>Date:</v>
      </c>
      <c r="C46" s="130">
        <f>C6</f>
        <v>45917</v>
      </c>
      <c r="D46" s="130"/>
      <c r="E46" s="73"/>
      <c r="F46" s="17"/>
      <c r="G46" s="17"/>
      <c r="H46" s="17"/>
      <c r="I46" s="4"/>
      <c r="J46" s="4"/>
      <c r="K46" s="4"/>
      <c r="L46" s="4"/>
      <c r="M46" s="88"/>
      <c r="N46" s="88"/>
      <c r="O46" s="89"/>
      <c r="Q46" s="7"/>
      <c r="R46" s="7"/>
    </row>
    <row r="47" spans="1:142" ht="4.9000000000000004" customHeight="1" x14ac:dyDescent="0.25">
      <c r="B47" s="10"/>
      <c r="C47" s="73"/>
      <c r="D47" s="73"/>
      <c r="E47" s="73"/>
      <c r="F47" s="73"/>
      <c r="G47" s="73"/>
      <c r="H47" s="73"/>
      <c r="I47" s="4"/>
      <c r="J47" s="4"/>
      <c r="K47" s="4"/>
      <c r="L47" s="4"/>
      <c r="M47" s="48"/>
      <c r="N47" s="48"/>
      <c r="O47" s="49"/>
      <c r="Q47" s="7"/>
      <c r="R47" s="7"/>
    </row>
    <row r="48" spans="1:142" ht="22.9" customHeight="1" x14ac:dyDescent="0.25">
      <c r="B48" s="10"/>
      <c r="C48" s="73"/>
      <c r="D48" s="73"/>
      <c r="E48" s="73"/>
      <c r="F48" s="73"/>
      <c r="G48" s="73"/>
      <c r="H48" s="73"/>
      <c r="I48" s="4"/>
      <c r="J48" s="4"/>
      <c r="K48" s="4"/>
      <c r="L48" s="4"/>
      <c r="M48" s="48"/>
      <c r="N48" s="48"/>
      <c r="O48" s="48"/>
      <c r="Q48" s="7"/>
      <c r="R48" s="7"/>
    </row>
    <row r="49" spans="1:142" ht="15.75" x14ac:dyDescent="0.25">
      <c r="B49" s="104" t="s">
        <v>39</v>
      </c>
      <c r="C49" s="104"/>
      <c r="D49" s="104"/>
      <c r="E49" s="104"/>
      <c r="F49" s="4"/>
      <c r="G49" s="4"/>
      <c r="H49" s="4"/>
      <c r="I49" s="4"/>
      <c r="J49" s="4"/>
      <c r="K49" s="4"/>
      <c r="L49" s="4"/>
      <c r="M49" s="88"/>
      <c r="N49" s="88"/>
      <c r="O49" s="88"/>
      <c r="Q49" s="7"/>
      <c r="R49" s="7"/>
    </row>
    <row r="50" spans="1:142" s="22" customFormat="1" ht="14.25" x14ac:dyDescent="0.25">
      <c r="A50" s="21"/>
      <c r="B50" s="81" t="s">
        <v>62</v>
      </c>
      <c r="C50" s="81"/>
      <c r="D50" s="81"/>
      <c r="E50" s="81"/>
      <c r="F50" s="81"/>
      <c r="G50" s="81"/>
      <c r="H50" s="81"/>
      <c r="I50" s="81"/>
      <c r="J50" s="81"/>
      <c r="K50" s="81"/>
      <c r="L50" s="81"/>
      <c r="M50" s="88"/>
      <c r="N50" s="88"/>
      <c r="O50" s="88"/>
      <c r="P50" s="19"/>
      <c r="Q50" s="20"/>
      <c r="R50" s="20"/>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21"/>
      <c r="DY50" s="21"/>
      <c r="DZ50" s="21"/>
      <c r="EA50" s="21"/>
      <c r="EB50" s="21"/>
      <c r="EC50" s="21"/>
      <c r="ED50" s="21"/>
      <c r="EE50" s="21"/>
      <c r="EF50" s="21"/>
      <c r="EG50" s="21"/>
      <c r="EH50" s="21"/>
      <c r="EI50" s="21"/>
      <c r="EJ50" s="21"/>
      <c r="EK50" s="21"/>
      <c r="EL50" s="21"/>
    </row>
    <row r="51" spans="1:142" s="22" customFormat="1" ht="1.9" customHeight="1" x14ac:dyDescent="0.25">
      <c r="A51" s="21"/>
      <c r="B51" s="18"/>
      <c r="C51" s="18"/>
      <c r="D51" s="18"/>
      <c r="E51" s="18"/>
      <c r="F51" s="18"/>
      <c r="G51" s="18"/>
      <c r="H51" s="18"/>
      <c r="I51" s="18"/>
      <c r="J51" s="18"/>
      <c r="K51" s="18"/>
      <c r="L51" s="18"/>
      <c r="M51" s="53"/>
      <c r="N51" s="53"/>
      <c r="O51" s="54"/>
      <c r="P51" s="19"/>
      <c r="Q51" s="20"/>
      <c r="R51" s="20"/>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21"/>
      <c r="DY51" s="21"/>
      <c r="DZ51" s="21"/>
      <c r="EA51" s="21"/>
      <c r="EB51" s="21"/>
      <c r="EC51" s="21"/>
      <c r="ED51" s="21"/>
      <c r="EE51" s="21"/>
      <c r="EF51" s="21"/>
      <c r="EG51" s="21"/>
      <c r="EH51" s="21"/>
      <c r="EI51" s="21"/>
      <c r="EJ51" s="21"/>
      <c r="EK51" s="21"/>
      <c r="EL51" s="21"/>
    </row>
    <row r="52" spans="1:142" ht="49.15" customHeight="1" x14ac:dyDescent="0.25">
      <c r="B52" s="105" t="str">
        <f>IF(AND(OR(F10="C",F10="D",F10="E",F10="F"),(OR(F11="I",F11="II",F11="III",F11="IV",F11="V"))),CONCATENATE("Non-structural 'Designated Seismic Systems' (DSS) must remain operable and contain hazardous substances following a design earthquake.  Accordingly, all Designated Seismic Systems must be listed below and must"," be certified by the manufacturer to remain both operable"," and/or to contain hazardous substances after a design earthquake per UFC 3-301-01, Section 2-13.2.2.  Submit ","said Certificates of Compliance to the Contracting Officer for each DSS after they have been"," reviewed and accepted by the EOR/DOR.                                              Additionally, the below listed Designated Seismic Systems must be carefully"," inspected by the Special Inspector according to the requirements noted"," in the Schedule of Special Inspections, Section AA."),"DESIGNATED SEISMIC SYSTEMS DO NOT APPLY TO THIS PROJECT, due to the Seismic Design Category being less than C.")</f>
        <v>Non-structural 'Designated Seismic Systems' (DSS) must remain operable and contain hazardous substances following a design earthquake.  Accordingly, all Designated Seismic Systems must be listed below and must be certified by the manufacturer to remain both operable and/or to contain hazardous substances after a design earthquake per UFC 3-301-01, Section 2-13.2.2.  Submit said Certificates of Compliance to the Contracting Officer for each DSS after they have been reviewed and accepted by the EOR/DOR.                                              Additionally, the below listed Designated Seismic Systems must be carefully inspected by the Special Inspector according to the requirements noted in the Schedule of Special Inspections, Section AA.</v>
      </c>
      <c r="C52" s="105"/>
      <c r="D52" s="105"/>
      <c r="E52" s="105"/>
      <c r="F52" s="105"/>
      <c r="G52" s="105"/>
      <c r="H52" s="105"/>
      <c r="I52" s="105"/>
      <c r="J52" s="105"/>
      <c r="K52" s="105"/>
      <c r="L52" s="105"/>
      <c r="M52" s="88" t="str">
        <f>IF(B52="DESIGNATED SEISMIC SYSTEMS DO NOT APPLY TO THIS PROJECT, due to the Seismic Design Category being less than C.","&lt; Designated Seismic Systems DO NOT APPLY to this project, nothing further is required as part of this Statement of Special Inspections.","&lt; Designated Seismic Systems APPLY to this project.  List all Designated Seismic Systems in the blue tables below.  Some DSS suggestions are already populated, delete or keep as necessary.")</f>
        <v>&lt; Designated Seismic Systems APPLY to this project.  List all Designated Seismic Systems in the blue tables below.  Some DSS suggestions are already populated, delete or keep as necessary.</v>
      </c>
      <c r="N52" s="88"/>
      <c r="O52" s="89"/>
      <c r="P52" s="23"/>
      <c r="Q52" s="24"/>
      <c r="R52" s="24"/>
    </row>
    <row r="53" spans="1:142" ht="14.45" customHeight="1" x14ac:dyDescent="0.25">
      <c r="B53" s="93" t="s">
        <v>38</v>
      </c>
      <c r="C53" s="93"/>
      <c r="D53" s="93"/>
      <c r="E53" s="93"/>
      <c r="F53" s="93"/>
      <c r="G53" s="93"/>
      <c r="H53" s="93"/>
      <c r="I53" s="93"/>
      <c r="J53" s="93"/>
      <c r="K53" s="93"/>
      <c r="L53" s="93"/>
      <c r="M53" s="28"/>
      <c r="N53" s="88" t="s">
        <v>52</v>
      </c>
      <c r="O53" s="89"/>
      <c r="Q53" s="7"/>
      <c r="R53" s="7"/>
    </row>
    <row r="54" spans="1:142" x14ac:dyDescent="0.25">
      <c r="A54" s="27"/>
      <c r="B54" s="80" t="s">
        <v>59</v>
      </c>
      <c r="C54" s="90"/>
      <c r="D54" s="91"/>
      <c r="E54" s="91"/>
      <c r="F54" s="91"/>
      <c r="G54" s="91"/>
      <c r="H54" s="91"/>
      <c r="I54" s="91"/>
      <c r="J54" s="91"/>
      <c r="K54" s="91"/>
      <c r="L54" s="91"/>
      <c r="M54" s="28"/>
      <c r="N54" s="108"/>
      <c r="O54" s="109"/>
      <c r="P54" s="25"/>
      <c r="Q54" s="26"/>
      <c r="R54" s="26"/>
      <c r="S54" s="27"/>
      <c r="T54" s="27"/>
      <c r="U54" s="27"/>
    </row>
    <row r="55" spans="1:142" x14ac:dyDescent="0.25">
      <c r="A55" s="27"/>
      <c r="B55" s="80"/>
      <c r="C55" s="90"/>
      <c r="D55" s="91"/>
      <c r="E55" s="91"/>
      <c r="F55" s="91"/>
      <c r="G55" s="91"/>
      <c r="H55" s="91"/>
      <c r="I55" s="91"/>
      <c r="J55" s="91"/>
      <c r="K55" s="91"/>
      <c r="L55" s="91"/>
      <c r="M55" s="28"/>
      <c r="N55" s="28"/>
      <c r="O55" s="45"/>
      <c r="P55" s="25"/>
      <c r="Q55" s="26"/>
      <c r="R55" s="26"/>
      <c r="S55" s="27"/>
      <c r="T55" s="27"/>
      <c r="U55" s="27"/>
    </row>
    <row r="56" spans="1:142" ht="14.45" customHeight="1" x14ac:dyDescent="0.25">
      <c r="A56" s="27"/>
      <c r="B56" s="80"/>
      <c r="C56" s="106"/>
      <c r="D56" s="107"/>
      <c r="E56" s="107"/>
      <c r="F56" s="107"/>
      <c r="G56" s="107"/>
      <c r="H56" s="107"/>
      <c r="I56" s="107"/>
      <c r="J56" s="107"/>
      <c r="K56" s="107"/>
      <c r="L56" s="107"/>
      <c r="M56" s="28"/>
      <c r="N56" s="88" t="s">
        <v>46</v>
      </c>
      <c r="O56" s="89"/>
      <c r="P56" s="25"/>
      <c r="Q56" s="26"/>
      <c r="R56" s="26"/>
      <c r="S56" s="27"/>
      <c r="T56" s="27"/>
      <c r="U56" s="27"/>
      <c r="V56" s="27"/>
      <c r="W56" s="27"/>
      <c r="X56" s="27"/>
      <c r="Y56" s="27"/>
      <c r="Z56" s="27"/>
      <c r="AA56" s="27"/>
      <c r="AB56" s="27"/>
    </row>
    <row r="57" spans="1:142" ht="14.45" customHeight="1" x14ac:dyDescent="0.25">
      <c r="A57" s="27"/>
      <c r="B57" s="80"/>
      <c r="C57" s="90"/>
      <c r="D57" s="91"/>
      <c r="E57" s="91"/>
      <c r="F57" s="91"/>
      <c r="G57" s="91"/>
      <c r="H57" s="91"/>
      <c r="I57" s="91"/>
      <c r="J57" s="91"/>
      <c r="K57" s="91"/>
      <c r="L57" s="91"/>
      <c r="M57" s="28"/>
      <c r="N57" s="88"/>
      <c r="O57" s="89"/>
      <c r="P57" s="25"/>
      <c r="Q57" s="26"/>
      <c r="R57" s="26"/>
      <c r="S57" s="27"/>
      <c r="T57" s="27"/>
      <c r="U57" s="27"/>
      <c r="V57" s="27"/>
      <c r="W57" s="27"/>
      <c r="X57" s="27"/>
      <c r="Y57" s="27"/>
      <c r="Z57" s="27"/>
      <c r="AA57" s="27"/>
      <c r="AB57" s="27"/>
    </row>
    <row r="58" spans="1:142" ht="14.45" customHeight="1" x14ac:dyDescent="0.25">
      <c r="A58" s="27"/>
      <c r="B58" s="80"/>
      <c r="C58" s="90"/>
      <c r="D58" s="91"/>
      <c r="E58" s="91"/>
      <c r="F58" s="91"/>
      <c r="G58" s="91"/>
      <c r="H58" s="91"/>
      <c r="I58" s="91"/>
      <c r="J58" s="91"/>
      <c r="K58" s="91"/>
      <c r="L58" s="91"/>
      <c r="M58" s="28"/>
      <c r="N58" s="28"/>
      <c r="O58" s="45"/>
      <c r="P58" s="25"/>
      <c r="Q58" s="26"/>
      <c r="R58" s="26"/>
      <c r="S58" s="27"/>
      <c r="T58" s="27"/>
      <c r="U58" s="27"/>
    </row>
    <row r="59" spans="1:142" ht="14.45" customHeight="1" x14ac:dyDescent="0.25">
      <c r="A59" s="74"/>
      <c r="B59" s="92" t="s">
        <v>54</v>
      </c>
      <c r="C59" s="92"/>
      <c r="D59" s="92"/>
      <c r="E59" s="92"/>
      <c r="F59" s="92"/>
      <c r="G59" s="92"/>
      <c r="H59" s="92"/>
      <c r="I59" s="92"/>
      <c r="J59" s="92"/>
      <c r="K59" s="92"/>
      <c r="L59" s="92"/>
      <c r="M59" s="28"/>
      <c r="N59" s="88" t="s">
        <v>47</v>
      </c>
      <c r="O59" s="89"/>
      <c r="P59" s="25"/>
      <c r="Q59" s="26"/>
      <c r="R59" s="26"/>
      <c r="S59" s="74"/>
      <c r="T59" s="74"/>
      <c r="U59" s="74"/>
      <c r="V59" s="74"/>
      <c r="W59" s="74"/>
      <c r="X59" s="74"/>
      <c r="Y59" s="74"/>
      <c r="Z59" s="74"/>
      <c r="AA59" s="74"/>
    </row>
    <row r="60" spans="1:142" ht="14.45" customHeight="1" x14ac:dyDescent="0.25">
      <c r="A60" s="74"/>
      <c r="B60" s="93" t="s">
        <v>40</v>
      </c>
      <c r="C60" s="93"/>
      <c r="D60" s="93"/>
      <c r="E60" s="93"/>
      <c r="F60" s="93"/>
      <c r="G60" s="93"/>
      <c r="H60" s="93"/>
      <c r="I60" s="93"/>
      <c r="J60" s="93"/>
      <c r="K60" s="93"/>
      <c r="L60" s="93"/>
      <c r="M60" s="28"/>
      <c r="N60" s="88"/>
      <c r="O60" s="89"/>
      <c r="Q60" s="7"/>
      <c r="R60" s="7"/>
      <c r="S60" s="74"/>
      <c r="T60" s="74"/>
      <c r="U60" s="74"/>
      <c r="V60" s="74"/>
      <c r="W60" s="74"/>
      <c r="X60" s="74"/>
      <c r="Y60" s="74"/>
      <c r="Z60" s="74"/>
      <c r="AA60" s="74"/>
    </row>
    <row r="61" spans="1:142" ht="14.45" customHeight="1" x14ac:dyDescent="0.25">
      <c r="A61" s="74"/>
      <c r="B61" s="80" t="s">
        <v>59</v>
      </c>
      <c r="C61" s="90"/>
      <c r="D61" s="91"/>
      <c r="E61" s="91"/>
      <c r="F61" s="91"/>
      <c r="G61" s="91"/>
      <c r="H61" s="91"/>
      <c r="I61" s="91"/>
      <c r="J61" s="91"/>
      <c r="K61" s="91"/>
      <c r="L61" s="91"/>
      <c r="M61" s="28"/>
      <c r="N61" s="88"/>
      <c r="O61" s="89"/>
      <c r="Q61" s="7"/>
      <c r="R61" s="7"/>
      <c r="S61" s="74"/>
      <c r="T61" s="74"/>
      <c r="U61" s="74"/>
      <c r="V61" s="74"/>
      <c r="W61" s="74"/>
      <c r="X61" s="74"/>
      <c r="Y61" s="74"/>
      <c r="Z61" s="74"/>
      <c r="AA61" s="74"/>
    </row>
    <row r="62" spans="1:142" ht="14.45" customHeight="1" x14ac:dyDescent="0.25">
      <c r="A62" s="74"/>
      <c r="B62" s="80"/>
      <c r="C62" s="90"/>
      <c r="D62" s="91"/>
      <c r="E62" s="91"/>
      <c r="F62" s="91"/>
      <c r="G62" s="91"/>
      <c r="H62" s="91"/>
      <c r="I62" s="91"/>
      <c r="J62" s="91"/>
      <c r="K62" s="91"/>
      <c r="L62" s="91"/>
      <c r="M62" s="28"/>
      <c r="N62" s="88"/>
      <c r="O62" s="89"/>
      <c r="Q62" s="7"/>
      <c r="R62" s="7"/>
      <c r="S62" s="74"/>
      <c r="T62" s="74"/>
      <c r="U62" s="74"/>
      <c r="V62" s="74"/>
      <c r="W62" s="74"/>
      <c r="X62" s="74"/>
      <c r="Y62" s="74"/>
      <c r="Z62" s="74"/>
      <c r="AA62" s="74"/>
    </row>
    <row r="63" spans="1:142" x14ac:dyDescent="0.25">
      <c r="A63" s="74"/>
      <c r="B63" s="80"/>
      <c r="C63" s="90"/>
      <c r="D63" s="91"/>
      <c r="E63" s="91"/>
      <c r="F63" s="91"/>
      <c r="G63" s="91"/>
      <c r="H63" s="91"/>
      <c r="I63" s="91"/>
      <c r="J63" s="91"/>
      <c r="K63" s="91"/>
      <c r="L63" s="91"/>
      <c r="M63" s="28"/>
      <c r="N63" s="28"/>
      <c r="O63" s="45"/>
      <c r="Q63" s="7"/>
      <c r="R63" s="7"/>
      <c r="S63" s="74"/>
      <c r="T63" s="74"/>
      <c r="U63" s="74"/>
      <c r="V63" s="74"/>
      <c r="W63" s="74"/>
      <c r="X63" s="74"/>
      <c r="Y63" s="74"/>
      <c r="Z63" s="74"/>
      <c r="AA63" s="74"/>
    </row>
    <row r="64" spans="1:142" ht="14.45" customHeight="1" x14ac:dyDescent="0.25">
      <c r="A64" s="74"/>
      <c r="B64" s="80"/>
      <c r="C64" s="90"/>
      <c r="D64" s="91"/>
      <c r="E64" s="91"/>
      <c r="F64" s="91"/>
      <c r="G64" s="91"/>
      <c r="H64" s="91"/>
      <c r="I64" s="91"/>
      <c r="J64" s="91"/>
      <c r="K64" s="91"/>
      <c r="L64" s="91"/>
      <c r="M64" s="28"/>
      <c r="N64" s="88" t="str">
        <f>IF(OR(F11="I",F11="II",F11="III"),"3.  The component conveys, supports, or otherwise contains hazardous substances and is attached to a structure, or portion thereof, classified by the authority having jurisdiction as a hazardous occupancy (RC I thru V + SDC C thru F).","3.   The component is in, or attached to, a Risk Category IV or V structure, and it is needed for continued operation of the facility, or its faiure could impair the continued operation of the facility (RC IV thru V + SDC C thru F).")</f>
        <v>3.  The component conveys, supports, or otherwise contains hazardous substances and is attached to a structure, or portion thereof, classified by the authority having jurisdiction as a hazardous occupancy (RC I thru V + SDC C thru F).</v>
      </c>
      <c r="O64" s="89"/>
      <c r="Q64" s="7"/>
      <c r="R64" s="7"/>
      <c r="S64" s="74"/>
      <c r="T64" s="74"/>
      <c r="U64" s="74"/>
      <c r="V64" s="74"/>
      <c r="W64" s="74"/>
      <c r="X64" s="74"/>
      <c r="Y64" s="74"/>
      <c r="Z64" s="74"/>
      <c r="AA64" s="74"/>
    </row>
    <row r="65" spans="1:142" x14ac:dyDescent="0.25">
      <c r="A65" s="74"/>
      <c r="B65" s="80"/>
      <c r="C65" s="90"/>
      <c r="D65" s="91"/>
      <c r="E65" s="91"/>
      <c r="F65" s="91"/>
      <c r="G65" s="91"/>
      <c r="H65" s="91"/>
      <c r="I65" s="91"/>
      <c r="J65" s="91"/>
      <c r="K65" s="91"/>
      <c r="L65" s="91"/>
      <c r="M65" s="28"/>
      <c r="N65" s="88"/>
      <c r="O65" s="89"/>
      <c r="Q65" s="7"/>
      <c r="R65" s="7"/>
      <c r="S65" s="74"/>
      <c r="T65" s="74"/>
      <c r="U65" s="74"/>
      <c r="V65" s="74"/>
      <c r="W65" s="74"/>
      <c r="X65" s="74"/>
      <c r="Y65" s="74"/>
      <c r="Z65" s="74"/>
      <c r="AA65" s="74"/>
    </row>
    <row r="66" spans="1:142" x14ac:dyDescent="0.25">
      <c r="A66" s="74"/>
      <c r="B66" s="80"/>
      <c r="C66" s="90"/>
      <c r="D66" s="91"/>
      <c r="E66" s="91"/>
      <c r="F66" s="91"/>
      <c r="G66" s="91"/>
      <c r="H66" s="91"/>
      <c r="I66" s="91"/>
      <c r="J66" s="91"/>
      <c r="K66" s="91"/>
      <c r="L66" s="91"/>
      <c r="M66" s="28"/>
      <c r="N66" s="88"/>
      <c r="O66" s="89"/>
      <c r="Q66" s="7"/>
      <c r="R66" s="7"/>
      <c r="S66" s="74"/>
      <c r="T66" s="74"/>
      <c r="U66" s="74"/>
      <c r="V66" s="74"/>
      <c r="W66" s="74"/>
      <c r="X66" s="74"/>
      <c r="Y66" s="74"/>
      <c r="Z66" s="74"/>
      <c r="AA66" s="74"/>
    </row>
    <row r="67" spans="1:142" x14ac:dyDescent="0.25">
      <c r="A67" s="74"/>
      <c r="B67" s="92" t="s">
        <v>54</v>
      </c>
      <c r="C67" s="92"/>
      <c r="D67" s="92"/>
      <c r="E67" s="92"/>
      <c r="F67" s="92"/>
      <c r="G67" s="92"/>
      <c r="H67" s="92"/>
      <c r="I67" s="92"/>
      <c r="J67" s="92"/>
      <c r="K67" s="92"/>
      <c r="L67" s="92"/>
      <c r="M67" s="28"/>
      <c r="N67" s="28"/>
      <c r="O67" s="45"/>
      <c r="Q67" s="7"/>
      <c r="R67" s="7"/>
      <c r="S67" s="74"/>
      <c r="T67" s="74"/>
      <c r="U67" s="74"/>
      <c r="V67" s="74"/>
      <c r="W67" s="74"/>
      <c r="X67" s="74"/>
      <c r="Y67" s="74"/>
      <c r="Z67" s="74"/>
      <c r="AA67" s="74"/>
    </row>
    <row r="68" spans="1:142" ht="14.45" customHeight="1" x14ac:dyDescent="0.25">
      <c r="A68" s="74"/>
      <c r="B68" s="93" t="s">
        <v>41</v>
      </c>
      <c r="C68" s="93"/>
      <c r="D68" s="93"/>
      <c r="E68" s="93"/>
      <c r="F68" s="93"/>
      <c r="G68" s="93"/>
      <c r="H68" s="93"/>
      <c r="I68" s="93"/>
      <c r="J68" s="93"/>
      <c r="K68" s="93"/>
      <c r="L68" s="93"/>
      <c r="M68" s="28"/>
      <c r="N68" s="88" t="str">
        <f>IF(OR(F11="I",F11="II",F11="III"),"","4.  The component conveys, supports, or otherwise contains hazardous substances and is attached to a structure, or portion thereof, classified by the authority having jurisdiction as a hazardous occupancy (RC I thru V + SDC C thru F).")</f>
        <v/>
      </c>
      <c r="O68" s="89"/>
      <c r="Q68" s="7"/>
      <c r="R68" s="7"/>
      <c r="S68" s="74"/>
      <c r="T68" s="74"/>
      <c r="U68" s="74"/>
      <c r="V68" s="74"/>
      <c r="W68" s="74"/>
      <c r="X68" s="74"/>
      <c r="Y68" s="74"/>
      <c r="Z68" s="74"/>
      <c r="AA68" s="74"/>
    </row>
    <row r="69" spans="1:142" x14ac:dyDescent="0.25">
      <c r="A69" s="74"/>
      <c r="B69" s="80" t="s">
        <v>59</v>
      </c>
      <c r="C69" s="90"/>
      <c r="D69" s="91"/>
      <c r="E69" s="91"/>
      <c r="F69" s="91"/>
      <c r="G69" s="91"/>
      <c r="H69" s="91"/>
      <c r="I69" s="91"/>
      <c r="J69" s="91"/>
      <c r="K69" s="91"/>
      <c r="L69" s="91"/>
      <c r="M69" s="28"/>
      <c r="N69" s="88"/>
      <c r="O69" s="89"/>
      <c r="Q69" s="7"/>
      <c r="R69" s="7"/>
      <c r="S69" s="74"/>
      <c r="T69" s="74"/>
      <c r="U69" s="74"/>
      <c r="V69" s="74"/>
      <c r="W69" s="74"/>
      <c r="X69" s="74"/>
      <c r="Y69" s="74"/>
      <c r="Z69" s="74"/>
      <c r="AA69" s="74"/>
    </row>
    <row r="70" spans="1:142" ht="14.45" customHeight="1" x14ac:dyDescent="0.25">
      <c r="A70" s="74"/>
      <c r="B70" s="80"/>
      <c r="C70" s="90"/>
      <c r="D70" s="91"/>
      <c r="E70" s="91"/>
      <c r="F70" s="91"/>
      <c r="G70" s="91"/>
      <c r="H70" s="91"/>
      <c r="I70" s="91"/>
      <c r="J70" s="91"/>
      <c r="K70" s="91"/>
      <c r="L70" s="91"/>
      <c r="M70" s="28"/>
      <c r="N70" s="88"/>
      <c r="O70" s="89"/>
      <c r="Q70" s="7"/>
      <c r="R70" s="7"/>
      <c r="S70" s="74"/>
      <c r="T70" s="74"/>
      <c r="U70" s="74"/>
      <c r="V70" s="74"/>
      <c r="W70" s="74"/>
      <c r="X70" s="74"/>
      <c r="Y70" s="74"/>
      <c r="Z70" s="74"/>
      <c r="AA70" s="74"/>
    </row>
    <row r="71" spans="1:142" ht="14.45" customHeight="1" x14ac:dyDescent="0.25">
      <c r="A71" s="74"/>
      <c r="B71" s="80"/>
      <c r="C71" s="90"/>
      <c r="D71" s="91"/>
      <c r="E71" s="91"/>
      <c r="F71" s="91"/>
      <c r="G71" s="91"/>
      <c r="H71" s="91"/>
      <c r="I71" s="91"/>
      <c r="J71" s="91"/>
      <c r="K71" s="91"/>
      <c r="L71" s="91"/>
      <c r="M71" s="28"/>
      <c r="N71" s="28"/>
      <c r="O71" s="45"/>
      <c r="Q71" s="7"/>
      <c r="R71" s="7"/>
      <c r="S71" s="74"/>
      <c r="T71" s="74"/>
      <c r="U71" s="74"/>
      <c r="V71" s="74"/>
      <c r="W71" s="74"/>
      <c r="X71" s="74"/>
      <c r="Y71" s="74"/>
      <c r="Z71" s="74"/>
      <c r="AA71" s="74"/>
    </row>
    <row r="72" spans="1:142" x14ac:dyDescent="0.25">
      <c r="B72" s="80"/>
      <c r="C72" s="90"/>
      <c r="D72" s="91"/>
      <c r="E72" s="91"/>
      <c r="F72" s="91"/>
      <c r="G72" s="91"/>
      <c r="H72" s="91"/>
      <c r="I72" s="91"/>
      <c r="J72" s="91"/>
      <c r="K72" s="91"/>
      <c r="L72" s="91"/>
      <c r="M72" s="28"/>
      <c r="N72" s="28"/>
      <c r="O72" s="45"/>
      <c r="Q72" s="7"/>
      <c r="R72" s="7"/>
    </row>
    <row r="73" spans="1:142" x14ac:dyDescent="0.25">
      <c r="B73" s="80"/>
      <c r="C73" s="90"/>
      <c r="D73" s="91"/>
      <c r="E73" s="91"/>
      <c r="F73" s="91"/>
      <c r="G73" s="91"/>
      <c r="H73" s="91"/>
      <c r="I73" s="91"/>
      <c r="J73" s="91"/>
      <c r="K73" s="91"/>
      <c r="L73" s="91"/>
      <c r="M73" s="28"/>
      <c r="N73" s="28"/>
      <c r="O73" s="45"/>
      <c r="Q73" s="7"/>
      <c r="R73" s="7"/>
    </row>
    <row r="74" spans="1:142" ht="14.45" customHeight="1" x14ac:dyDescent="0.25">
      <c r="B74" s="80"/>
      <c r="C74" s="90"/>
      <c r="D74" s="91"/>
      <c r="E74" s="91"/>
      <c r="F74" s="91"/>
      <c r="G74" s="91"/>
      <c r="H74" s="91"/>
      <c r="I74" s="91"/>
      <c r="J74" s="91"/>
      <c r="K74" s="91"/>
      <c r="L74" s="91"/>
      <c r="M74" s="28"/>
      <c r="N74" s="28"/>
      <c r="O74" s="45"/>
      <c r="Q74" s="7"/>
      <c r="R74" s="7"/>
    </row>
    <row r="75" spans="1:142" ht="5.45" customHeight="1" x14ac:dyDescent="0.25">
      <c r="B75" s="4"/>
      <c r="C75" s="4"/>
      <c r="D75" s="4"/>
      <c r="E75" s="4"/>
      <c r="F75" s="4"/>
      <c r="G75" s="4"/>
      <c r="H75" s="4"/>
      <c r="I75" s="4"/>
      <c r="J75" s="4"/>
      <c r="K75" s="4"/>
      <c r="L75" s="4"/>
      <c r="M75" s="29"/>
      <c r="N75" s="29"/>
      <c r="O75" s="55"/>
      <c r="Q75" s="7"/>
      <c r="R75" s="7"/>
    </row>
    <row r="76" spans="1:142" s="34" customFormat="1" ht="14.45" customHeight="1" x14ac:dyDescent="0.25">
      <c r="A76" s="33"/>
      <c r="B76" s="104" t="s">
        <v>29</v>
      </c>
      <c r="C76" s="104"/>
      <c r="D76" s="104"/>
      <c r="E76" s="104"/>
      <c r="F76" s="104"/>
      <c r="G76" s="104"/>
      <c r="H76" s="30"/>
      <c r="I76" s="30"/>
      <c r="J76" s="30"/>
      <c r="K76" s="30"/>
      <c r="L76" s="30"/>
      <c r="M76" s="94" t="s">
        <v>42</v>
      </c>
      <c r="N76" s="94"/>
      <c r="O76" s="95"/>
      <c r="P76" s="31"/>
      <c r="Q76" s="32"/>
      <c r="R76" s="32"/>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row>
    <row r="77" spans="1:142" s="34" customFormat="1" ht="11.45" customHeight="1" x14ac:dyDescent="0.25">
      <c r="A77" s="33"/>
      <c r="B77" s="81" t="str">
        <f>IF(F11="V","(UFC 3 301 01 SECTION 2-2.4.3) (UFC 3-310-04 SECTION 4-1601.2.2)","(UFC 3 301 01 SECTION 2-5.4)")</f>
        <v>(UFC 3 301 01 SECTION 2-5.4)</v>
      </c>
      <c r="C77" s="81"/>
      <c r="D77" s="81"/>
      <c r="E77" s="81"/>
      <c r="F77" s="81"/>
      <c r="G77" s="63"/>
      <c r="H77" s="63"/>
      <c r="I77" s="63"/>
      <c r="J77" s="63"/>
      <c r="K77" s="63"/>
      <c r="L77" s="63"/>
      <c r="M77" s="94"/>
      <c r="N77" s="94"/>
      <c r="O77" s="95"/>
      <c r="P77" s="31"/>
      <c r="Q77" s="32"/>
      <c r="R77" s="32"/>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row>
    <row r="78" spans="1:142" ht="14.45" customHeight="1" x14ac:dyDescent="0.25">
      <c r="B78" s="82" t="str">
        <f>IF(B54&lt;&gt;"N/A",IF(F11="V",CONCATENATE("Designated Seismic Systems must receive a final walk-down inspection by the Registered Design Professional in Responsible Charge.  ","Additionally, because this project is a Risk Category V project, the Non-Structural Component Design Review Panel must also particpate in this DSS walk down inspection"),"Designated Seismic Systems shall receive a final walk-down inspection by the Registered Design Professional in Responsible Charge"),"Final Walk Down Inspection of non-structural Designated Seismic Systems does not apply to this project (no Designated Seismic Systems)")</f>
        <v>Final Walk Down Inspection of non-structural Designated Seismic Systems does not apply to this project (no Designated Seismic Systems)</v>
      </c>
      <c r="C78" s="82"/>
      <c r="D78" s="82"/>
      <c r="E78" s="82"/>
      <c r="F78" s="82"/>
      <c r="G78" s="82"/>
      <c r="H78" s="82"/>
      <c r="I78" s="82"/>
      <c r="J78" s="82"/>
      <c r="K78" s="82"/>
      <c r="L78" s="82"/>
      <c r="M78" s="96" t="str">
        <f>IF(B78="Final Walk Down Inspection of non-structural Designated Seismic Systems does not apply to this project (no Designated Seismic Systems)","&lt; Does not apply - no Designated Seismic Systems.","&lt;  A non-structural DSS final walk down inspection applies to this project")</f>
        <v>&lt; Does not apply - no Designated Seismic Systems.</v>
      </c>
      <c r="N78" s="96"/>
      <c r="O78" s="97"/>
      <c r="Q78" s="7"/>
      <c r="R78" s="7"/>
    </row>
    <row r="79" spans="1:142" s="4" customFormat="1" x14ac:dyDescent="0.25">
      <c r="A79" s="1"/>
      <c r="B79" s="82"/>
      <c r="C79" s="82"/>
      <c r="D79" s="82"/>
      <c r="E79" s="82"/>
      <c r="F79" s="82"/>
      <c r="G79" s="82"/>
      <c r="H79" s="82"/>
      <c r="I79" s="82"/>
      <c r="J79" s="82"/>
      <c r="K79" s="82"/>
      <c r="L79" s="82"/>
      <c r="M79" s="35"/>
      <c r="N79" s="35"/>
      <c r="O79" s="56"/>
      <c r="P79" s="2"/>
      <c r="Q79" s="7"/>
      <c r="R79" s="7"/>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row>
    <row r="80" spans="1:142" s="4" customFormat="1" x14ac:dyDescent="0.25">
      <c r="A80" s="1"/>
      <c r="B80" s="82"/>
      <c r="C80" s="82"/>
      <c r="D80" s="82"/>
      <c r="E80" s="82"/>
      <c r="F80" s="82"/>
      <c r="G80" s="82"/>
      <c r="H80" s="82"/>
      <c r="I80" s="82"/>
      <c r="J80" s="82"/>
      <c r="K80" s="82"/>
      <c r="L80" s="82"/>
      <c r="M80" s="35"/>
      <c r="N80" s="35"/>
      <c r="O80" s="56"/>
      <c r="P80" s="2"/>
      <c r="Q80" s="7"/>
      <c r="R80" s="7"/>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row>
    <row r="81" spans="1:142" s="4" customFormat="1" ht="3.6" customHeight="1" x14ac:dyDescent="0.25">
      <c r="A81" s="1"/>
      <c r="B81" s="64"/>
      <c r="C81" s="64"/>
      <c r="D81" s="64"/>
      <c r="E81" s="64"/>
      <c r="F81" s="64"/>
      <c r="G81" s="64"/>
      <c r="H81" s="64"/>
      <c r="I81" s="64"/>
      <c r="J81" s="64"/>
      <c r="K81" s="64"/>
      <c r="L81" s="64"/>
      <c r="M81" s="35"/>
      <c r="N81" s="35"/>
      <c r="O81" s="56"/>
      <c r="P81" s="2"/>
      <c r="Q81" s="7"/>
      <c r="R81" s="7"/>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row>
    <row r="82" spans="1:142" s="4" customFormat="1" ht="14.45" customHeight="1" x14ac:dyDescent="0.25">
      <c r="A82" s="1"/>
      <c r="B82" s="83" t="s">
        <v>33</v>
      </c>
      <c r="C82" s="83"/>
      <c r="D82" s="83"/>
      <c r="E82" s="83"/>
      <c r="F82" s="83"/>
      <c r="G82" s="83"/>
      <c r="H82" s="83"/>
      <c r="I82" s="83"/>
      <c r="J82" s="83"/>
      <c r="K82" s="83"/>
      <c r="L82" s="83"/>
      <c r="M82" s="35"/>
      <c r="N82" s="35"/>
      <c r="O82" s="56"/>
      <c r="P82" s="2"/>
      <c r="Q82" s="7"/>
      <c r="R82" s="7"/>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row>
    <row r="83" spans="1:142" s="4" customFormat="1" ht="14.45" customHeight="1" x14ac:dyDescent="0.25">
      <c r="A83" s="1"/>
      <c r="B83" s="83" t="s">
        <v>27</v>
      </c>
      <c r="C83" s="83"/>
      <c r="D83" s="83"/>
      <c r="E83" s="83"/>
      <c r="F83" s="83"/>
      <c r="G83" s="83"/>
      <c r="H83" s="83"/>
      <c r="I83" s="83"/>
      <c r="J83" s="83"/>
      <c r="K83" s="83"/>
      <c r="L83" s="83"/>
      <c r="M83" s="35"/>
      <c r="N83" s="35"/>
      <c r="O83" s="56"/>
      <c r="P83" s="2"/>
      <c r="Q83" s="7"/>
      <c r="R83" s="7"/>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row>
    <row r="84" spans="1:142" s="4" customFormat="1" ht="14.45" customHeight="1" x14ac:dyDescent="0.25">
      <c r="A84" s="1"/>
      <c r="B84" s="84" t="s">
        <v>28</v>
      </c>
      <c r="C84" s="84"/>
      <c r="D84" s="84"/>
      <c r="E84" s="84"/>
      <c r="F84" s="84"/>
      <c r="G84" s="84"/>
      <c r="H84" s="84"/>
      <c r="I84" s="84"/>
      <c r="J84" s="84"/>
      <c r="K84" s="84"/>
      <c r="L84" s="84"/>
      <c r="M84" s="94" t="s">
        <v>45</v>
      </c>
      <c r="N84" s="94"/>
      <c r="O84" s="95"/>
      <c r="P84" s="2"/>
      <c r="Q84" s="7"/>
      <c r="R84" s="7"/>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row>
    <row r="85" spans="1:142" s="4" customFormat="1" ht="14.45" customHeight="1" x14ac:dyDescent="0.25">
      <c r="A85" s="1"/>
      <c r="B85" s="85" t="s">
        <v>55</v>
      </c>
      <c r="C85" s="85"/>
      <c r="D85" s="85"/>
      <c r="E85" s="85"/>
      <c r="F85" s="85"/>
      <c r="G85" s="85"/>
      <c r="H85" s="85"/>
      <c r="I85" s="85"/>
      <c r="J85" s="85"/>
      <c r="K85" s="85"/>
      <c r="L85" s="85"/>
      <c r="M85" s="94"/>
      <c r="N85" s="94"/>
      <c r="O85" s="95"/>
      <c r="P85" s="2"/>
      <c r="Q85" s="7"/>
      <c r="R85" s="7"/>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row>
    <row r="86" spans="1:142" s="4" customFormat="1" x14ac:dyDescent="0.25">
      <c r="A86" s="1"/>
      <c r="B86" s="85"/>
      <c r="C86" s="85"/>
      <c r="D86" s="85"/>
      <c r="E86" s="85"/>
      <c r="F86" s="85"/>
      <c r="G86" s="85"/>
      <c r="H86" s="85"/>
      <c r="I86" s="85"/>
      <c r="J86" s="85"/>
      <c r="K86" s="85"/>
      <c r="L86" s="85"/>
      <c r="M86" s="94"/>
      <c r="N86" s="94"/>
      <c r="O86" s="95"/>
      <c r="P86" s="2"/>
      <c r="Q86" s="7"/>
      <c r="R86" s="7"/>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row>
    <row r="87" spans="1:142" s="4" customFormat="1" ht="1.1499999999999999" customHeight="1" x14ac:dyDescent="0.25">
      <c r="A87" s="1"/>
      <c r="B87" s="36"/>
      <c r="C87" s="36"/>
      <c r="D87" s="36"/>
      <c r="E87" s="36"/>
      <c r="F87" s="36"/>
      <c r="G87" s="36"/>
      <c r="H87" s="36"/>
      <c r="I87" s="36"/>
      <c r="J87" s="36"/>
      <c r="K87" s="36"/>
      <c r="L87" s="36"/>
      <c r="M87" s="94"/>
      <c r="N87" s="94"/>
      <c r="O87" s="95"/>
      <c r="P87" s="2"/>
      <c r="Q87" s="7"/>
      <c r="R87" s="7"/>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row>
    <row r="88" spans="1:142" s="4" customFormat="1" ht="12" customHeight="1" x14ac:dyDescent="0.25">
      <c r="A88" s="1"/>
      <c r="B88" s="86" t="s">
        <v>6</v>
      </c>
      <c r="C88" s="86"/>
      <c r="D88" s="86"/>
      <c r="E88" s="86"/>
      <c r="F88" s="86"/>
      <c r="G88" s="65"/>
      <c r="H88" s="65"/>
      <c r="I88" s="65"/>
      <c r="J88" s="65"/>
      <c r="K88" s="65"/>
      <c r="L88" s="65"/>
      <c r="M88" s="57"/>
      <c r="N88" s="57"/>
      <c r="O88" s="58"/>
      <c r="P88" s="2"/>
      <c r="Q88" s="7"/>
      <c r="R88" s="7"/>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row>
    <row r="89" spans="1:142" s="4" customFormat="1" x14ac:dyDescent="0.25">
      <c r="A89" s="1"/>
      <c r="B89" s="37"/>
      <c r="C89" s="37"/>
      <c r="D89" s="37"/>
      <c r="E89" s="37"/>
      <c r="F89" s="37"/>
      <c r="G89" s="37"/>
      <c r="H89" s="37"/>
      <c r="I89" s="37"/>
      <c r="J89" s="37"/>
      <c r="K89" s="37"/>
      <c r="L89" s="37"/>
      <c r="M89" s="75" t="s">
        <v>44</v>
      </c>
      <c r="N89" s="76"/>
      <c r="O89" s="77"/>
      <c r="P89" s="2"/>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row>
    <row r="90" spans="1:142" s="4" customFormat="1" ht="14.45" customHeight="1" x14ac:dyDescent="0.25">
      <c r="A90" s="1"/>
      <c r="B90" s="1"/>
      <c r="C90" s="1"/>
      <c r="D90" s="1"/>
      <c r="E90" s="1"/>
      <c r="F90" s="1"/>
      <c r="G90" s="1"/>
      <c r="H90" s="1"/>
      <c r="I90" s="1"/>
      <c r="J90" s="1"/>
      <c r="K90" s="1"/>
      <c r="L90" s="1"/>
      <c r="M90" s="87" t="s">
        <v>37</v>
      </c>
      <c r="N90" s="88"/>
      <c r="O90" s="89"/>
      <c r="P90" s="2"/>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row>
    <row r="91" spans="1:142" s="4" customFormat="1" x14ac:dyDescent="0.25">
      <c r="A91" s="1"/>
      <c r="B91" s="1"/>
      <c r="C91" s="1"/>
      <c r="D91" s="1"/>
      <c r="E91" s="1"/>
      <c r="F91" s="1"/>
      <c r="G91" s="1"/>
      <c r="H91" s="1"/>
      <c r="I91" s="1"/>
      <c r="J91" s="1"/>
      <c r="K91" s="1"/>
      <c r="L91" s="1"/>
      <c r="M91" s="87"/>
      <c r="N91" s="88"/>
      <c r="O91" s="89"/>
      <c r="P91" s="2"/>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row>
    <row r="92" spans="1:142" s="4" customFormat="1" x14ac:dyDescent="0.25">
      <c r="A92" s="1"/>
      <c r="B92" s="1"/>
      <c r="C92" s="1"/>
      <c r="D92" s="1"/>
      <c r="E92" s="1"/>
      <c r="F92" s="1"/>
      <c r="G92" s="1"/>
      <c r="H92" s="1"/>
      <c r="I92" s="1"/>
      <c r="J92" s="1"/>
      <c r="K92" s="1"/>
      <c r="L92" s="1"/>
      <c r="M92" s="87"/>
      <c r="N92" s="88"/>
      <c r="O92" s="89"/>
      <c r="P92" s="2"/>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row>
    <row r="93" spans="1:142" s="1" customFormat="1" x14ac:dyDescent="0.25">
      <c r="M93" s="59" t="s">
        <v>53</v>
      </c>
      <c r="N93" s="60"/>
      <c r="O93" s="61"/>
      <c r="P93" s="2"/>
    </row>
    <row r="94" spans="1:142" s="1" customFormat="1" x14ac:dyDescent="0.25">
      <c r="M94" s="2"/>
      <c r="N94" s="2"/>
      <c r="O94" s="2"/>
      <c r="P94" s="2"/>
    </row>
    <row r="95" spans="1:142" s="1" customFormat="1" x14ac:dyDescent="0.25">
      <c r="M95" s="2"/>
      <c r="N95" s="2"/>
      <c r="O95" s="2"/>
      <c r="P95" s="2"/>
    </row>
    <row r="96" spans="1:142" s="1" customFormat="1" x14ac:dyDescent="0.25">
      <c r="M96" s="2"/>
      <c r="N96" s="2"/>
      <c r="O96" s="2"/>
      <c r="P96" s="2"/>
    </row>
    <row r="97" spans="13:16" s="1" customFormat="1" x14ac:dyDescent="0.25">
      <c r="M97" s="2"/>
      <c r="N97" s="2"/>
      <c r="O97" s="2"/>
      <c r="P97" s="2"/>
    </row>
    <row r="98" spans="13:16" s="1" customFormat="1" x14ac:dyDescent="0.25">
      <c r="M98" s="2"/>
      <c r="N98" s="2"/>
      <c r="O98" s="2"/>
      <c r="P98" s="2"/>
    </row>
    <row r="99" spans="13:16" s="1" customFormat="1" x14ac:dyDescent="0.25">
      <c r="M99" s="2"/>
      <c r="N99" s="2"/>
      <c r="O99" s="2"/>
      <c r="P99" s="2"/>
    </row>
    <row r="100" spans="13:16" s="1" customFormat="1" x14ac:dyDescent="0.25">
      <c r="M100" s="2"/>
      <c r="N100" s="2"/>
      <c r="O100" s="2"/>
      <c r="P100" s="2"/>
    </row>
    <row r="101" spans="13:16" s="1" customFormat="1" x14ac:dyDescent="0.25">
      <c r="M101" s="2"/>
      <c r="N101" s="2"/>
      <c r="O101" s="2"/>
      <c r="P101" s="2"/>
    </row>
    <row r="102" spans="13:16" s="1" customFormat="1" x14ac:dyDescent="0.25">
      <c r="M102" s="2"/>
      <c r="N102" s="2"/>
      <c r="O102" s="2"/>
      <c r="P102" s="2"/>
    </row>
    <row r="103" spans="13:16" s="1" customFormat="1" x14ac:dyDescent="0.25">
      <c r="M103" s="2"/>
      <c r="N103" s="2"/>
      <c r="O103" s="2"/>
      <c r="P103" s="2"/>
    </row>
    <row r="104" spans="13:16" s="1" customFormat="1" x14ac:dyDescent="0.25">
      <c r="M104" s="2"/>
      <c r="N104" s="2"/>
      <c r="O104" s="2"/>
      <c r="P104" s="2"/>
    </row>
    <row r="105" spans="13:16" s="1" customFormat="1" x14ac:dyDescent="0.25">
      <c r="M105" s="2"/>
      <c r="N105" s="2"/>
      <c r="O105" s="2"/>
      <c r="P105" s="2"/>
    </row>
    <row r="106" spans="13:16" s="1" customFormat="1" x14ac:dyDescent="0.25">
      <c r="M106" s="2"/>
      <c r="N106" s="2"/>
      <c r="O106" s="2"/>
      <c r="P106" s="2"/>
    </row>
    <row r="107" spans="13:16" s="1" customFormat="1" x14ac:dyDescent="0.25">
      <c r="M107" s="2"/>
      <c r="N107" s="2"/>
      <c r="O107" s="2"/>
      <c r="P107" s="2"/>
    </row>
    <row r="108" spans="13:16" s="1" customFormat="1" x14ac:dyDescent="0.25">
      <c r="M108" s="2"/>
      <c r="N108" s="2"/>
      <c r="O108" s="2"/>
      <c r="P108" s="2"/>
    </row>
    <row r="109" spans="13:16" s="1" customFormat="1" x14ac:dyDescent="0.25">
      <c r="M109" s="2"/>
      <c r="N109" s="2"/>
      <c r="O109" s="2"/>
      <c r="P109" s="2"/>
    </row>
    <row r="110" spans="13:16" s="1" customFormat="1" x14ac:dyDescent="0.25">
      <c r="M110" s="2"/>
      <c r="N110" s="2"/>
      <c r="O110" s="2"/>
      <c r="P110" s="2"/>
    </row>
    <row r="111" spans="13:16" s="1" customFormat="1" x14ac:dyDescent="0.25">
      <c r="M111" s="2"/>
      <c r="N111" s="2"/>
      <c r="O111" s="2"/>
      <c r="P111" s="2"/>
    </row>
    <row r="112" spans="13:16" s="1" customFormat="1" x14ac:dyDescent="0.25">
      <c r="M112" s="2"/>
      <c r="N112" s="2"/>
      <c r="O112" s="2"/>
      <c r="P112" s="2"/>
    </row>
    <row r="113" spans="13:16" s="1" customFormat="1" x14ac:dyDescent="0.25">
      <c r="M113" s="2"/>
      <c r="N113" s="2"/>
      <c r="O113" s="2"/>
      <c r="P113" s="2"/>
    </row>
    <row r="114" spans="13:16" s="1" customFormat="1" x14ac:dyDescent="0.25">
      <c r="M114" s="2"/>
      <c r="N114" s="2"/>
      <c r="O114" s="2"/>
      <c r="P114" s="2"/>
    </row>
    <row r="115" spans="13:16" s="1" customFormat="1" x14ac:dyDescent="0.25">
      <c r="M115" s="2"/>
      <c r="N115" s="2"/>
      <c r="O115" s="2"/>
      <c r="P115" s="2"/>
    </row>
    <row r="116" spans="13:16" s="1" customFormat="1" x14ac:dyDescent="0.25">
      <c r="M116" s="2"/>
      <c r="N116" s="2"/>
      <c r="O116" s="2"/>
      <c r="P116" s="2"/>
    </row>
    <row r="117" spans="13:16" s="1" customFormat="1" x14ac:dyDescent="0.25">
      <c r="M117" s="2"/>
      <c r="N117" s="2"/>
      <c r="O117" s="2"/>
      <c r="P117" s="2"/>
    </row>
    <row r="118" spans="13:16" s="1" customFormat="1" x14ac:dyDescent="0.25">
      <c r="M118" s="2"/>
      <c r="N118" s="2"/>
      <c r="O118" s="2"/>
      <c r="P118" s="2"/>
    </row>
    <row r="119" spans="13:16" s="1" customFormat="1" x14ac:dyDescent="0.25">
      <c r="M119" s="2"/>
      <c r="N119" s="2"/>
      <c r="O119" s="2"/>
      <c r="P119" s="2"/>
    </row>
    <row r="120" spans="13:16" s="1" customFormat="1" x14ac:dyDescent="0.25">
      <c r="M120" s="2"/>
      <c r="N120" s="2"/>
      <c r="O120" s="2"/>
      <c r="P120" s="2"/>
    </row>
    <row r="121" spans="13:16" s="1" customFormat="1" x14ac:dyDescent="0.25">
      <c r="M121" s="2"/>
      <c r="N121" s="2"/>
      <c r="O121" s="2"/>
      <c r="P121" s="2"/>
    </row>
    <row r="122" spans="13:16" s="1" customFormat="1" x14ac:dyDescent="0.25">
      <c r="M122" s="2"/>
      <c r="N122" s="2"/>
      <c r="O122" s="2"/>
      <c r="P122" s="2"/>
    </row>
    <row r="123" spans="13:16" s="1" customFormat="1" x14ac:dyDescent="0.25">
      <c r="M123" s="2"/>
      <c r="N123" s="2"/>
      <c r="O123" s="2"/>
      <c r="P123" s="2"/>
    </row>
    <row r="124" spans="13:16" s="1" customFormat="1" x14ac:dyDescent="0.25">
      <c r="M124" s="2"/>
      <c r="N124" s="2"/>
      <c r="O124" s="2"/>
      <c r="P124" s="2"/>
    </row>
    <row r="125" spans="13:16" s="1" customFormat="1" x14ac:dyDescent="0.25">
      <c r="M125" s="2"/>
      <c r="N125" s="2"/>
      <c r="O125" s="2"/>
      <c r="P125" s="2"/>
    </row>
    <row r="126" spans="13:16" s="1" customFormat="1" x14ac:dyDescent="0.25">
      <c r="M126" s="2"/>
      <c r="N126" s="2"/>
      <c r="O126" s="2"/>
      <c r="P126" s="2"/>
    </row>
    <row r="127" spans="13:16" s="1" customFormat="1" x14ac:dyDescent="0.25">
      <c r="M127" s="2"/>
      <c r="N127" s="2"/>
      <c r="O127" s="2"/>
      <c r="P127" s="2"/>
    </row>
    <row r="128" spans="13:16" s="1" customFormat="1" x14ac:dyDescent="0.25">
      <c r="M128" s="2"/>
      <c r="N128" s="2"/>
      <c r="O128" s="2"/>
      <c r="P128" s="2"/>
    </row>
    <row r="129" spans="13:16" s="1" customFormat="1" x14ac:dyDescent="0.25">
      <c r="M129" s="2"/>
      <c r="N129" s="2"/>
      <c r="O129" s="2"/>
      <c r="P129" s="2"/>
    </row>
    <row r="130" spans="13:16" s="1" customFormat="1" x14ac:dyDescent="0.25">
      <c r="M130" s="2"/>
      <c r="N130" s="2"/>
      <c r="O130" s="2"/>
      <c r="P130" s="2"/>
    </row>
    <row r="131" spans="13:16" s="1" customFormat="1" x14ac:dyDescent="0.25">
      <c r="M131" s="2"/>
      <c r="N131" s="2"/>
      <c r="O131" s="2"/>
      <c r="P131" s="2"/>
    </row>
    <row r="132" spans="13:16" s="1" customFormat="1" x14ac:dyDescent="0.25">
      <c r="M132" s="2"/>
      <c r="N132" s="2"/>
      <c r="O132" s="2"/>
      <c r="P132" s="2"/>
    </row>
    <row r="133" spans="13:16" s="1" customFormat="1" x14ac:dyDescent="0.25">
      <c r="M133" s="2"/>
      <c r="N133" s="2"/>
      <c r="O133" s="2"/>
      <c r="P133" s="2"/>
    </row>
    <row r="134" spans="13:16" s="1" customFormat="1" x14ac:dyDescent="0.25">
      <c r="M134" s="2"/>
      <c r="N134" s="2"/>
      <c r="O134" s="2"/>
      <c r="P134" s="2"/>
    </row>
    <row r="135" spans="13:16" s="1" customFormat="1" x14ac:dyDescent="0.25">
      <c r="M135" s="2"/>
      <c r="N135" s="2"/>
      <c r="O135" s="2"/>
      <c r="P135" s="2"/>
    </row>
    <row r="136" spans="13:16" s="1" customFormat="1" x14ac:dyDescent="0.25">
      <c r="M136" s="2"/>
      <c r="N136" s="2"/>
      <c r="O136" s="2"/>
      <c r="P136" s="2"/>
    </row>
    <row r="137" spans="13:16" s="1" customFormat="1" x14ac:dyDescent="0.25">
      <c r="M137" s="2"/>
      <c r="N137" s="2"/>
      <c r="O137" s="2"/>
      <c r="P137" s="2"/>
    </row>
    <row r="138" spans="13:16" s="1" customFormat="1" x14ac:dyDescent="0.25">
      <c r="M138" s="2"/>
      <c r="N138" s="2"/>
      <c r="O138" s="2"/>
      <c r="P138" s="2"/>
    </row>
    <row r="139" spans="13:16" s="1" customFormat="1" x14ac:dyDescent="0.25">
      <c r="M139" s="2"/>
      <c r="N139" s="2"/>
      <c r="O139" s="2"/>
      <c r="P139" s="2"/>
    </row>
    <row r="140" spans="13:16" s="1" customFormat="1" x14ac:dyDescent="0.25">
      <c r="M140" s="2"/>
      <c r="N140" s="2"/>
      <c r="O140" s="2"/>
      <c r="P140" s="2"/>
    </row>
    <row r="141" spans="13:16" s="1" customFormat="1" x14ac:dyDescent="0.25">
      <c r="M141" s="2"/>
      <c r="N141" s="2"/>
      <c r="O141" s="2"/>
      <c r="P141" s="2"/>
    </row>
    <row r="142" spans="13:16" s="1" customFormat="1" x14ac:dyDescent="0.25">
      <c r="M142" s="2"/>
      <c r="N142" s="2"/>
      <c r="O142" s="2"/>
      <c r="P142" s="2"/>
    </row>
    <row r="143" spans="13:16" s="1" customFormat="1" x14ac:dyDescent="0.25">
      <c r="M143" s="2"/>
      <c r="N143" s="2"/>
      <c r="O143" s="2"/>
      <c r="P143" s="2"/>
    </row>
    <row r="144" spans="13:16" s="1" customFormat="1" x14ac:dyDescent="0.25">
      <c r="M144" s="2"/>
      <c r="N144" s="2"/>
      <c r="O144" s="2"/>
      <c r="P144" s="2"/>
    </row>
    <row r="145" spans="13:16" s="1" customFormat="1" x14ac:dyDescent="0.25">
      <c r="M145" s="2"/>
      <c r="N145" s="2"/>
      <c r="O145" s="2"/>
      <c r="P145" s="2"/>
    </row>
    <row r="146" spans="13:16" s="1" customFormat="1" x14ac:dyDescent="0.25">
      <c r="M146" s="2"/>
      <c r="N146" s="2"/>
      <c r="O146" s="2"/>
      <c r="P146" s="2"/>
    </row>
    <row r="147" spans="13:16" s="1" customFormat="1" x14ac:dyDescent="0.25">
      <c r="M147" s="2"/>
      <c r="N147" s="2"/>
      <c r="O147" s="2"/>
      <c r="P147" s="2"/>
    </row>
    <row r="148" spans="13:16" s="1" customFormat="1" x14ac:dyDescent="0.25">
      <c r="M148" s="2"/>
      <c r="N148" s="2"/>
      <c r="O148" s="2"/>
      <c r="P148" s="2"/>
    </row>
    <row r="149" spans="13:16" s="1" customFormat="1" x14ac:dyDescent="0.25">
      <c r="M149" s="2"/>
      <c r="N149" s="2"/>
      <c r="O149" s="2"/>
      <c r="P149" s="2"/>
    </row>
    <row r="150" spans="13:16" s="1" customFormat="1" x14ac:dyDescent="0.25">
      <c r="M150" s="2"/>
      <c r="N150" s="2"/>
      <c r="O150" s="2"/>
      <c r="P150" s="2"/>
    </row>
    <row r="151" spans="13:16" s="1" customFormat="1" x14ac:dyDescent="0.25">
      <c r="M151" s="2"/>
      <c r="N151" s="2"/>
      <c r="O151" s="2"/>
      <c r="P151" s="2"/>
    </row>
    <row r="152" spans="13:16" s="1" customFormat="1" x14ac:dyDescent="0.25">
      <c r="M152" s="2"/>
      <c r="N152" s="2"/>
      <c r="O152" s="2"/>
      <c r="P152" s="2"/>
    </row>
    <row r="153" spans="13:16" s="1" customFormat="1" x14ac:dyDescent="0.25">
      <c r="M153" s="2"/>
      <c r="N153" s="2"/>
      <c r="O153" s="2"/>
      <c r="P153" s="2"/>
    </row>
    <row r="154" spans="13:16" s="1" customFormat="1" x14ac:dyDescent="0.25">
      <c r="M154" s="2"/>
      <c r="N154" s="2"/>
      <c r="O154" s="2"/>
      <c r="P154" s="2"/>
    </row>
    <row r="155" spans="13:16" s="1" customFormat="1" x14ac:dyDescent="0.25">
      <c r="M155" s="2"/>
      <c r="N155" s="2"/>
      <c r="O155" s="2"/>
      <c r="P155" s="2"/>
    </row>
    <row r="156" spans="13:16" s="1" customFormat="1" x14ac:dyDescent="0.25">
      <c r="M156" s="2"/>
      <c r="N156" s="2"/>
      <c r="O156" s="2"/>
      <c r="P156" s="2"/>
    </row>
    <row r="157" spans="13:16" s="1" customFormat="1" x14ac:dyDescent="0.25">
      <c r="M157" s="2"/>
      <c r="N157" s="2"/>
      <c r="O157" s="2"/>
      <c r="P157" s="2"/>
    </row>
    <row r="158" spans="13:16" s="1" customFormat="1" x14ac:dyDescent="0.25">
      <c r="M158" s="2"/>
      <c r="N158" s="2"/>
      <c r="O158" s="2"/>
      <c r="P158" s="2"/>
    </row>
    <row r="159" spans="13:16" s="1" customFormat="1" x14ac:dyDescent="0.25">
      <c r="M159" s="2"/>
      <c r="N159" s="2"/>
      <c r="O159" s="2"/>
      <c r="P159" s="2"/>
    </row>
    <row r="160" spans="13:16" s="1" customFormat="1" x14ac:dyDescent="0.25">
      <c r="M160" s="2"/>
      <c r="N160" s="2"/>
      <c r="O160" s="2"/>
      <c r="P160" s="2"/>
    </row>
    <row r="161" spans="13:16" s="1" customFormat="1" x14ac:dyDescent="0.25">
      <c r="M161" s="2"/>
      <c r="N161" s="2"/>
      <c r="O161" s="2"/>
      <c r="P161" s="2"/>
    </row>
    <row r="162" spans="13:16" s="1" customFormat="1" x14ac:dyDescent="0.25">
      <c r="M162" s="2"/>
      <c r="N162" s="2"/>
      <c r="O162" s="2"/>
      <c r="P162" s="2"/>
    </row>
    <row r="163" spans="13:16" s="1" customFormat="1" x14ac:dyDescent="0.25">
      <c r="M163" s="2"/>
      <c r="N163" s="2"/>
      <c r="O163" s="2"/>
      <c r="P163" s="2"/>
    </row>
    <row r="164" spans="13:16" s="1" customFormat="1" x14ac:dyDescent="0.25">
      <c r="M164" s="2"/>
      <c r="N164" s="2"/>
      <c r="O164" s="2"/>
      <c r="P164" s="2"/>
    </row>
    <row r="165" spans="13:16" s="1" customFormat="1" x14ac:dyDescent="0.25">
      <c r="M165" s="2"/>
      <c r="N165" s="2"/>
      <c r="O165" s="2"/>
      <c r="P165" s="2"/>
    </row>
    <row r="166" spans="13:16" s="1" customFormat="1" x14ac:dyDescent="0.25">
      <c r="M166" s="2"/>
      <c r="N166" s="2"/>
      <c r="O166" s="2"/>
      <c r="P166" s="2"/>
    </row>
    <row r="167" spans="13:16" s="1" customFormat="1" x14ac:dyDescent="0.25">
      <c r="M167" s="2"/>
      <c r="N167" s="2"/>
      <c r="O167" s="2"/>
      <c r="P167" s="2"/>
    </row>
    <row r="168" spans="13:16" s="1" customFormat="1" x14ac:dyDescent="0.25">
      <c r="M168" s="2"/>
      <c r="N168" s="2"/>
      <c r="O168" s="2"/>
      <c r="P168" s="2"/>
    </row>
    <row r="169" spans="13:16" s="1" customFormat="1" x14ac:dyDescent="0.25">
      <c r="M169" s="2"/>
      <c r="N169" s="2"/>
      <c r="O169" s="2"/>
      <c r="P169" s="2"/>
    </row>
    <row r="170" spans="13:16" s="1" customFormat="1" x14ac:dyDescent="0.25">
      <c r="M170" s="2"/>
      <c r="N170" s="2"/>
      <c r="O170" s="2"/>
      <c r="P170" s="2"/>
    </row>
    <row r="171" spans="13:16" s="1" customFormat="1" x14ac:dyDescent="0.25">
      <c r="M171" s="2"/>
      <c r="N171" s="2"/>
      <c r="O171" s="2"/>
      <c r="P171" s="2"/>
    </row>
    <row r="172" spans="13:16" s="1" customFormat="1" x14ac:dyDescent="0.25">
      <c r="M172" s="2"/>
      <c r="N172" s="2"/>
      <c r="O172" s="2"/>
      <c r="P172" s="2"/>
    </row>
    <row r="173" spans="13:16" s="1" customFormat="1" x14ac:dyDescent="0.25">
      <c r="M173" s="2"/>
      <c r="N173" s="2"/>
      <c r="O173" s="2"/>
      <c r="P173" s="2"/>
    </row>
    <row r="174" spans="13:16" s="1" customFormat="1" x14ac:dyDescent="0.25">
      <c r="M174" s="2"/>
      <c r="N174" s="2"/>
      <c r="O174" s="2"/>
      <c r="P174" s="2"/>
    </row>
    <row r="175" spans="13:16" s="1" customFormat="1" x14ac:dyDescent="0.25">
      <c r="M175" s="2"/>
      <c r="N175" s="2"/>
      <c r="O175" s="2"/>
      <c r="P175" s="2"/>
    </row>
    <row r="176" spans="13:16" s="1" customFormat="1" x14ac:dyDescent="0.25">
      <c r="M176" s="2"/>
      <c r="N176" s="2"/>
      <c r="O176" s="2"/>
      <c r="P176" s="2"/>
    </row>
    <row r="177" spans="13:16" s="1" customFormat="1" x14ac:dyDescent="0.25">
      <c r="M177" s="2"/>
      <c r="N177" s="2"/>
      <c r="O177" s="2"/>
      <c r="P177" s="2"/>
    </row>
    <row r="178" spans="13:16" s="1" customFormat="1" x14ac:dyDescent="0.25">
      <c r="M178" s="2"/>
      <c r="N178" s="2"/>
      <c r="O178" s="2"/>
      <c r="P178" s="2"/>
    </row>
    <row r="179" spans="13:16" s="1" customFormat="1" x14ac:dyDescent="0.25">
      <c r="M179" s="2"/>
      <c r="N179" s="2"/>
      <c r="O179" s="2"/>
      <c r="P179" s="2"/>
    </row>
    <row r="180" spans="13:16" s="1" customFormat="1" x14ac:dyDescent="0.25">
      <c r="M180" s="2"/>
      <c r="N180" s="2"/>
      <c r="O180" s="2"/>
      <c r="P180" s="2"/>
    </row>
    <row r="181" spans="13:16" s="1" customFormat="1" x14ac:dyDescent="0.25">
      <c r="M181" s="2"/>
      <c r="N181" s="2"/>
      <c r="O181" s="2"/>
      <c r="P181" s="2"/>
    </row>
    <row r="182" spans="13:16" s="1" customFormat="1" x14ac:dyDescent="0.25">
      <c r="M182" s="2"/>
      <c r="N182" s="2"/>
      <c r="O182" s="2"/>
      <c r="P182" s="2"/>
    </row>
    <row r="183" spans="13:16" s="1" customFormat="1" x14ac:dyDescent="0.25">
      <c r="M183" s="2"/>
      <c r="N183" s="2"/>
      <c r="O183" s="2"/>
      <c r="P183" s="2"/>
    </row>
    <row r="184" spans="13:16" s="1" customFormat="1" x14ac:dyDescent="0.25">
      <c r="M184" s="2"/>
      <c r="N184" s="2"/>
      <c r="O184" s="2"/>
      <c r="P184" s="2"/>
    </row>
    <row r="185" spans="13:16" s="1" customFormat="1" x14ac:dyDescent="0.25">
      <c r="M185" s="2"/>
      <c r="N185" s="2"/>
      <c r="O185" s="2"/>
      <c r="P185" s="2"/>
    </row>
    <row r="186" spans="13:16" s="1" customFormat="1" x14ac:dyDescent="0.25">
      <c r="M186" s="2"/>
      <c r="N186" s="2"/>
      <c r="O186" s="2"/>
      <c r="P186" s="2"/>
    </row>
    <row r="187" spans="13:16" s="1" customFormat="1" x14ac:dyDescent="0.25">
      <c r="M187" s="2"/>
      <c r="N187" s="2"/>
      <c r="O187" s="2"/>
      <c r="P187" s="2"/>
    </row>
    <row r="188" spans="13:16" s="1" customFormat="1" x14ac:dyDescent="0.25">
      <c r="M188" s="2"/>
      <c r="N188" s="2"/>
      <c r="O188" s="2"/>
      <c r="P188" s="2"/>
    </row>
    <row r="189" spans="13:16" s="1" customFormat="1" x14ac:dyDescent="0.25">
      <c r="M189" s="2"/>
      <c r="N189" s="2"/>
      <c r="O189" s="2"/>
      <c r="P189" s="2"/>
    </row>
    <row r="190" spans="13:16" s="1" customFormat="1" x14ac:dyDescent="0.25">
      <c r="M190" s="2"/>
      <c r="N190" s="2"/>
      <c r="O190" s="2"/>
      <c r="P190" s="2"/>
    </row>
    <row r="191" spans="13:16" s="1" customFormat="1" x14ac:dyDescent="0.25">
      <c r="M191" s="2"/>
      <c r="N191" s="2"/>
      <c r="O191" s="2"/>
      <c r="P191" s="2"/>
    </row>
    <row r="192" spans="13:16" s="1" customFormat="1" x14ac:dyDescent="0.25">
      <c r="M192" s="2"/>
      <c r="N192" s="2"/>
      <c r="O192" s="2"/>
      <c r="P192" s="2"/>
    </row>
    <row r="193" spans="13:16" s="1" customFormat="1" x14ac:dyDescent="0.25">
      <c r="M193" s="2"/>
      <c r="N193" s="2"/>
      <c r="O193" s="2"/>
      <c r="P193" s="2"/>
    </row>
    <row r="194" spans="13:16" s="1" customFormat="1" x14ac:dyDescent="0.25">
      <c r="M194" s="2"/>
      <c r="N194" s="2"/>
      <c r="O194" s="2"/>
      <c r="P194" s="2"/>
    </row>
    <row r="195" spans="13:16" s="1" customFormat="1" x14ac:dyDescent="0.25">
      <c r="M195" s="2"/>
      <c r="N195" s="2"/>
      <c r="O195" s="2"/>
      <c r="P195" s="2"/>
    </row>
    <row r="196" spans="13:16" s="1" customFormat="1" x14ac:dyDescent="0.25">
      <c r="M196" s="2"/>
      <c r="N196" s="2"/>
      <c r="O196" s="2"/>
      <c r="P196" s="2"/>
    </row>
    <row r="197" spans="13:16" s="1" customFormat="1" x14ac:dyDescent="0.25">
      <c r="M197" s="2"/>
      <c r="N197" s="2"/>
      <c r="O197" s="2"/>
      <c r="P197" s="2"/>
    </row>
    <row r="198" spans="13:16" s="1" customFormat="1" x14ac:dyDescent="0.25">
      <c r="M198" s="2"/>
      <c r="N198" s="2"/>
      <c r="O198" s="2"/>
      <c r="P198" s="2"/>
    </row>
    <row r="199" spans="13:16" s="1" customFormat="1" x14ac:dyDescent="0.25">
      <c r="M199" s="2"/>
      <c r="N199" s="2"/>
      <c r="O199" s="2"/>
      <c r="P199" s="2"/>
    </row>
    <row r="200" spans="13:16" s="1" customFormat="1" x14ac:dyDescent="0.25">
      <c r="M200" s="2"/>
      <c r="N200" s="2"/>
      <c r="O200" s="2"/>
      <c r="P200" s="2"/>
    </row>
    <row r="201" spans="13:16" s="1" customFormat="1" x14ac:dyDescent="0.25">
      <c r="M201" s="2"/>
      <c r="N201" s="2"/>
      <c r="O201" s="2"/>
      <c r="P201" s="2"/>
    </row>
    <row r="202" spans="13:16" s="1" customFormat="1" x14ac:dyDescent="0.25">
      <c r="M202" s="2"/>
      <c r="N202" s="2"/>
      <c r="O202" s="2"/>
      <c r="P202" s="2"/>
    </row>
    <row r="203" spans="13:16" s="1" customFormat="1" x14ac:dyDescent="0.25">
      <c r="M203" s="2"/>
      <c r="N203" s="2"/>
      <c r="O203" s="2"/>
      <c r="P203" s="2"/>
    </row>
    <row r="204" spans="13:16" s="1" customFormat="1" x14ac:dyDescent="0.25">
      <c r="M204" s="2"/>
      <c r="N204" s="2"/>
      <c r="O204" s="2"/>
      <c r="P204" s="2"/>
    </row>
    <row r="205" spans="13:16" s="1" customFormat="1" x14ac:dyDescent="0.25">
      <c r="M205" s="2"/>
      <c r="N205" s="2"/>
      <c r="O205" s="2"/>
      <c r="P205" s="2"/>
    </row>
    <row r="206" spans="13:16" s="1" customFormat="1" x14ac:dyDescent="0.25">
      <c r="M206" s="2"/>
      <c r="N206" s="2"/>
      <c r="O206" s="2"/>
      <c r="P206" s="2"/>
    </row>
    <row r="207" spans="13:16" s="1" customFormat="1" x14ac:dyDescent="0.25">
      <c r="M207" s="2"/>
      <c r="N207" s="2"/>
      <c r="O207" s="2"/>
      <c r="P207" s="2"/>
    </row>
    <row r="208" spans="13:16" s="1" customFormat="1" x14ac:dyDescent="0.25">
      <c r="M208" s="2"/>
      <c r="N208" s="2"/>
      <c r="O208" s="2"/>
      <c r="P208" s="2"/>
    </row>
    <row r="209" spans="13:16" s="1" customFormat="1" x14ac:dyDescent="0.25">
      <c r="M209" s="2"/>
      <c r="N209" s="2"/>
      <c r="O209" s="2"/>
      <c r="P209" s="2"/>
    </row>
    <row r="210" spans="13:16" s="1" customFormat="1" x14ac:dyDescent="0.25">
      <c r="M210" s="2"/>
      <c r="N210" s="2"/>
      <c r="O210" s="2"/>
      <c r="P210" s="2"/>
    </row>
    <row r="211" spans="13:16" s="1" customFormat="1" x14ac:dyDescent="0.25">
      <c r="M211" s="2"/>
      <c r="N211" s="2"/>
      <c r="O211" s="2"/>
      <c r="P211" s="2"/>
    </row>
    <row r="212" spans="13:16" s="1" customFormat="1" x14ac:dyDescent="0.25">
      <c r="M212" s="2"/>
      <c r="N212" s="2"/>
      <c r="O212" s="2"/>
      <c r="P212" s="2"/>
    </row>
    <row r="213" spans="13:16" s="1" customFormat="1" x14ac:dyDescent="0.25">
      <c r="M213" s="2"/>
      <c r="N213" s="2"/>
      <c r="O213" s="2"/>
      <c r="P213" s="2"/>
    </row>
    <row r="214" spans="13:16" s="1" customFormat="1" x14ac:dyDescent="0.25">
      <c r="M214" s="2"/>
      <c r="N214" s="2"/>
      <c r="O214" s="2"/>
      <c r="P214" s="2"/>
    </row>
    <row r="215" spans="13:16" s="1" customFormat="1" x14ac:dyDescent="0.25">
      <c r="M215" s="2"/>
      <c r="N215" s="2"/>
      <c r="O215" s="2"/>
      <c r="P215" s="2"/>
    </row>
    <row r="216" spans="13:16" s="1" customFormat="1" x14ac:dyDescent="0.25">
      <c r="M216" s="2"/>
      <c r="N216" s="2"/>
      <c r="O216" s="2"/>
      <c r="P216" s="2"/>
    </row>
    <row r="217" spans="13:16" s="1" customFormat="1" x14ac:dyDescent="0.25">
      <c r="M217" s="2"/>
      <c r="N217" s="2"/>
      <c r="O217" s="2"/>
      <c r="P217" s="2"/>
    </row>
    <row r="218" spans="13:16" s="1" customFormat="1" x14ac:dyDescent="0.25">
      <c r="M218" s="2"/>
      <c r="N218" s="2"/>
      <c r="O218" s="2"/>
      <c r="P218" s="2"/>
    </row>
    <row r="219" spans="13:16" s="1" customFormat="1" x14ac:dyDescent="0.25">
      <c r="M219" s="2"/>
      <c r="N219" s="2"/>
      <c r="O219" s="2"/>
      <c r="P219" s="2"/>
    </row>
    <row r="220" spans="13:16" s="1" customFormat="1" x14ac:dyDescent="0.25">
      <c r="M220" s="2"/>
      <c r="N220" s="2"/>
      <c r="O220" s="2"/>
      <c r="P220" s="2"/>
    </row>
    <row r="221" spans="13:16" s="1" customFormat="1" x14ac:dyDescent="0.25">
      <c r="M221" s="2"/>
      <c r="N221" s="2"/>
      <c r="O221" s="2"/>
      <c r="P221" s="2"/>
    </row>
    <row r="222" spans="13:16" s="1" customFormat="1" x14ac:dyDescent="0.25">
      <c r="M222" s="2"/>
      <c r="N222" s="2"/>
      <c r="O222" s="2"/>
      <c r="P222" s="2"/>
    </row>
    <row r="223" spans="13:16" s="1" customFormat="1" x14ac:dyDescent="0.25">
      <c r="M223" s="2"/>
      <c r="N223" s="2"/>
      <c r="O223" s="2"/>
      <c r="P223" s="2"/>
    </row>
    <row r="224" spans="13:16" s="1" customFormat="1" x14ac:dyDescent="0.25">
      <c r="M224" s="2"/>
      <c r="N224" s="2"/>
      <c r="O224" s="2"/>
      <c r="P224" s="2"/>
    </row>
    <row r="225" spans="13:16" s="1" customFormat="1" x14ac:dyDescent="0.25">
      <c r="M225" s="2"/>
      <c r="N225" s="2"/>
      <c r="O225" s="2"/>
      <c r="P225" s="2"/>
    </row>
    <row r="226" spans="13:16" s="1" customFormat="1" x14ac:dyDescent="0.25">
      <c r="M226" s="2"/>
      <c r="N226" s="2"/>
      <c r="O226" s="2"/>
      <c r="P226" s="2"/>
    </row>
    <row r="227" spans="13:16" s="1" customFormat="1" x14ac:dyDescent="0.25">
      <c r="M227" s="2"/>
      <c r="N227" s="2"/>
      <c r="O227" s="2"/>
      <c r="P227" s="2"/>
    </row>
    <row r="228" spans="13:16" s="1" customFormat="1" x14ac:dyDescent="0.25">
      <c r="M228" s="2"/>
      <c r="N228" s="2"/>
      <c r="O228" s="2"/>
      <c r="P228" s="2"/>
    </row>
    <row r="229" spans="13:16" s="1" customFormat="1" x14ac:dyDescent="0.25">
      <c r="M229" s="2"/>
      <c r="N229" s="2"/>
      <c r="O229" s="2"/>
      <c r="P229" s="2"/>
    </row>
    <row r="230" spans="13:16" s="1" customFormat="1" x14ac:dyDescent="0.25">
      <c r="M230" s="2"/>
      <c r="N230" s="2"/>
      <c r="O230" s="2"/>
      <c r="P230" s="2"/>
    </row>
    <row r="231" spans="13:16" s="1" customFormat="1" x14ac:dyDescent="0.25">
      <c r="M231" s="2"/>
      <c r="N231" s="2"/>
      <c r="O231" s="2"/>
      <c r="P231" s="2"/>
    </row>
    <row r="232" spans="13:16" s="1" customFormat="1" x14ac:dyDescent="0.25">
      <c r="M232" s="2"/>
      <c r="N232" s="2"/>
      <c r="O232" s="2"/>
      <c r="P232" s="2"/>
    </row>
    <row r="233" spans="13:16" s="1" customFormat="1" x14ac:dyDescent="0.25">
      <c r="M233" s="2"/>
      <c r="N233" s="2"/>
      <c r="O233" s="2"/>
      <c r="P233" s="2"/>
    </row>
    <row r="234" spans="13:16" s="1" customFormat="1" x14ac:dyDescent="0.25">
      <c r="M234" s="2"/>
      <c r="N234" s="2"/>
      <c r="O234" s="2"/>
      <c r="P234" s="2"/>
    </row>
    <row r="235" spans="13:16" s="1" customFormat="1" x14ac:dyDescent="0.25">
      <c r="M235" s="2"/>
      <c r="N235" s="2"/>
      <c r="O235" s="2"/>
      <c r="P235" s="2"/>
    </row>
    <row r="236" spans="13:16" s="1" customFormat="1" x14ac:dyDescent="0.25">
      <c r="M236" s="2"/>
      <c r="N236" s="2"/>
      <c r="O236" s="2"/>
      <c r="P236" s="2"/>
    </row>
    <row r="237" spans="13:16" s="1" customFormat="1" x14ac:dyDescent="0.25">
      <c r="M237" s="2"/>
      <c r="N237" s="2"/>
      <c r="O237" s="2"/>
      <c r="P237" s="2"/>
    </row>
    <row r="238" spans="13:16" s="1" customFormat="1" x14ac:dyDescent="0.25">
      <c r="M238" s="2"/>
      <c r="N238" s="2"/>
      <c r="O238" s="2"/>
      <c r="P238" s="2"/>
    </row>
    <row r="239" spans="13:16" s="1" customFormat="1" x14ac:dyDescent="0.25">
      <c r="M239" s="2"/>
      <c r="N239" s="2"/>
      <c r="O239" s="2"/>
      <c r="P239" s="2"/>
    </row>
    <row r="240" spans="13:16" s="1" customFormat="1" x14ac:dyDescent="0.25">
      <c r="M240" s="2"/>
      <c r="N240" s="2"/>
      <c r="O240" s="2"/>
      <c r="P240" s="2"/>
    </row>
    <row r="241" spans="13:16" s="1" customFormat="1" x14ac:dyDescent="0.25">
      <c r="M241" s="2"/>
      <c r="N241" s="2"/>
      <c r="O241" s="2"/>
      <c r="P241" s="2"/>
    </row>
    <row r="242" spans="13:16" s="1" customFormat="1" x14ac:dyDescent="0.25">
      <c r="M242" s="2"/>
      <c r="N242" s="2"/>
      <c r="O242" s="2"/>
      <c r="P242" s="2"/>
    </row>
    <row r="243" spans="13:16" s="1" customFormat="1" x14ac:dyDescent="0.25">
      <c r="M243" s="2"/>
      <c r="N243" s="2"/>
      <c r="O243" s="2"/>
      <c r="P243" s="2"/>
    </row>
    <row r="244" spans="13:16" s="1" customFormat="1" x14ac:dyDescent="0.25">
      <c r="M244" s="2"/>
      <c r="N244" s="2"/>
      <c r="O244" s="2"/>
      <c r="P244" s="2"/>
    </row>
    <row r="245" spans="13:16" s="1" customFormat="1" x14ac:dyDescent="0.25">
      <c r="M245" s="2"/>
      <c r="N245" s="2"/>
      <c r="O245" s="2"/>
      <c r="P245" s="2"/>
    </row>
    <row r="246" spans="13:16" s="1" customFormat="1" x14ac:dyDescent="0.25">
      <c r="M246" s="2"/>
      <c r="N246" s="2"/>
      <c r="O246" s="2"/>
      <c r="P246" s="2"/>
    </row>
    <row r="247" spans="13:16" s="1" customFormat="1" x14ac:dyDescent="0.25">
      <c r="M247" s="2"/>
      <c r="N247" s="2"/>
      <c r="O247" s="2"/>
      <c r="P247" s="2"/>
    </row>
    <row r="248" spans="13:16" s="1" customFormat="1" x14ac:dyDescent="0.25">
      <c r="M248" s="2"/>
      <c r="N248" s="2"/>
      <c r="O248" s="2"/>
      <c r="P248" s="2"/>
    </row>
    <row r="249" spans="13:16" s="1" customFormat="1" x14ac:dyDescent="0.25">
      <c r="M249" s="2"/>
      <c r="N249" s="2"/>
      <c r="O249" s="2"/>
      <c r="P249" s="2"/>
    </row>
    <row r="250" spans="13:16" s="1" customFormat="1" x14ac:dyDescent="0.25">
      <c r="M250" s="2"/>
      <c r="N250" s="2"/>
      <c r="O250" s="2"/>
      <c r="P250" s="2"/>
    </row>
    <row r="251" spans="13:16" s="1" customFormat="1" x14ac:dyDescent="0.25">
      <c r="M251" s="2"/>
      <c r="N251" s="2"/>
      <c r="O251" s="2"/>
      <c r="P251" s="2"/>
    </row>
    <row r="252" spans="13:16" s="1" customFormat="1" x14ac:dyDescent="0.25">
      <c r="M252" s="2"/>
      <c r="N252" s="2"/>
      <c r="O252" s="2"/>
      <c r="P252" s="2"/>
    </row>
    <row r="253" spans="13:16" s="1" customFormat="1" x14ac:dyDescent="0.25">
      <c r="M253" s="2"/>
      <c r="N253" s="2"/>
      <c r="O253" s="2"/>
      <c r="P253" s="2"/>
    </row>
    <row r="254" spans="13:16" s="1" customFormat="1" x14ac:dyDescent="0.25">
      <c r="M254" s="2"/>
      <c r="N254" s="2"/>
      <c r="O254" s="2"/>
      <c r="P254" s="2"/>
    </row>
    <row r="255" spans="13:16" s="1" customFormat="1" x14ac:dyDescent="0.25">
      <c r="M255" s="2"/>
      <c r="N255" s="2"/>
      <c r="O255" s="2"/>
      <c r="P255" s="2"/>
    </row>
    <row r="256" spans="13:16" s="1" customFormat="1" x14ac:dyDescent="0.25">
      <c r="M256" s="2"/>
      <c r="N256" s="2"/>
      <c r="O256" s="2"/>
      <c r="P256" s="2"/>
    </row>
    <row r="257" spans="13:16" s="1" customFormat="1" x14ac:dyDescent="0.25">
      <c r="M257" s="2"/>
      <c r="N257" s="2"/>
      <c r="O257" s="2"/>
      <c r="P257" s="2"/>
    </row>
    <row r="258" spans="13:16" s="1" customFormat="1" x14ac:dyDescent="0.25">
      <c r="M258" s="2"/>
      <c r="N258" s="2"/>
      <c r="O258" s="2"/>
      <c r="P258" s="2"/>
    </row>
    <row r="259" spans="13:16" s="1" customFormat="1" x14ac:dyDescent="0.25">
      <c r="M259" s="2"/>
      <c r="N259" s="2"/>
      <c r="O259" s="2"/>
      <c r="P259" s="2"/>
    </row>
    <row r="260" spans="13:16" s="1" customFormat="1" x14ac:dyDescent="0.25">
      <c r="M260" s="2"/>
      <c r="N260" s="2"/>
      <c r="O260" s="2"/>
      <c r="P260" s="2"/>
    </row>
    <row r="261" spans="13:16" s="1" customFormat="1" x14ac:dyDescent="0.25">
      <c r="M261" s="2"/>
      <c r="N261" s="2"/>
      <c r="O261" s="2"/>
      <c r="P261" s="2"/>
    </row>
    <row r="262" spans="13:16" s="1" customFormat="1" x14ac:dyDescent="0.25">
      <c r="M262" s="2"/>
      <c r="N262" s="2"/>
      <c r="O262" s="2"/>
      <c r="P262" s="2"/>
    </row>
    <row r="263" spans="13:16" s="1" customFormat="1" x14ac:dyDescent="0.25">
      <c r="M263" s="2"/>
      <c r="N263" s="2"/>
      <c r="O263" s="2"/>
      <c r="P263" s="2"/>
    </row>
    <row r="264" spans="13:16" s="1" customFormat="1" x14ac:dyDescent="0.25">
      <c r="M264" s="2"/>
      <c r="N264" s="2"/>
      <c r="O264" s="2"/>
      <c r="P264" s="2"/>
    </row>
    <row r="265" spans="13:16" s="1" customFormat="1" x14ac:dyDescent="0.25">
      <c r="M265" s="2"/>
      <c r="N265" s="2"/>
      <c r="O265" s="2"/>
      <c r="P265" s="2"/>
    </row>
    <row r="266" spans="13:16" s="1" customFormat="1" x14ac:dyDescent="0.25">
      <c r="M266" s="2"/>
      <c r="N266" s="2"/>
      <c r="O266" s="2"/>
      <c r="P266" s="2"/>
    </row>
    <row r="267" spans="13:16" s="1" customFormat="1" x14ac:dyDescent="0.25">
      <c r="M267" s="2"/>
      <c r="N267" s="2"/>
      <c r="O267" s="2"/>
      <c r="P267" s="2"/>
    </row>
    <row r="268" spans="13:16" s="1" customFormat="1" x14ac:dyDescent="0.25">
      <c r="M268" s="2"/>
      <c r="N268" s="2"/>
      <c r="O268" s="2"/>
      <c r="P268" s="2"/>
    </row>
    <row r="269" spans="13:16" s="1" customFormat="1" x14ac:dyDescent="0.25">
      <c r="M269" s="2"/>
      <c r="N269" s="2"/>
      <c r="O269" s="2"/>
      <c r="P269" s="2"/>
    </row>
    <row r="270" spans="13:16" s="1" customFormat="1" x14ac:dyDescent="0.25">
      <c r="M270" s="2"/>
      <c r="N270" s="2"/>
      <c r="O270" s="2"/>
      <c r="P270" s="2"/>
    </row>
    <row r="271" spans="13:16" s="1" customFormat="1" x14ac:dyDescent="0.25">
      <c r="M271" s="2"/>
      <c r="N271" s="2"/>
      <c r="O271" s="2"/>
      <c r="P271" s="2"/>
    </row>
    <row r="272" spans="13:16" s="1" customFormat="1" x14ac:dyDescent="0.25">
      <c r="M272" s="2"/>
      <c r="N272" s="2"/>
      <c r="O272" s="2"/>
      <c r="P272" s="2"/>
    </row>
    <row r="273" spans="13:16" s="1" customFormat="1" x14ac:dyDescent="0.25">
      <c r="M273" s="2"/>
      <c r="N273" s="2"/>
      <c r="O273" s="2"/>
      <c r="P273" s="2"/>
    </row>
    <row r="274" spans="13:16" s="1" customFormat="1" x14ac:dyDescent="0.25">
      <c r="M274" s="2"/>
      <c r="N274" s="2"/>
      <c r="O274" s="2"/>
      <c r="P274" s="2"/>
    </row>
    <row r="275" spans="13:16" s="1" customFormat="1" x14ac:dyDescent="0.25">
      <c r="M275" s="2"/>
      <c r="N275" s="2"/>
      <c r="O275" s="2"/>
      <c r="P275" s="2"/>
    </row>
    <row r="276" spans="13:16" s="1" customFormat="1" x14ac:dyDescent="0.25">
      <c r="M276" s="2"/>
      <c r="N276" s="2"/>
      <c r="O276" s="2"/>
      <c r="P276" s="2"/>
    </row>
    <row r="277" spans="13:16" s="1" customFormat="1" x14ac:dyDescent="0.25">
      <c r="M277" s="2"/>
      <c r="N277" s="2"/>
      <c r="O277" s="2"/>
      <c r="P277" s="2"/>
    </row>
    <row r="278" spans="13:16" s="1" customFormat="1" x14ac:dyDescent="0.25">
      <c r="M278" s="2"/>
      <c r="N278" s="2"/>
      <c r="O278" s="2"/>
      <c r="P278" s="2"/>
    </row>
    <row r="279" spans="13:16" s="1" customFormat="1" x14ac:dyDescent="0.25">
      <c r="M279" s="2"/>
      <c r="N279" s="2"/>
      <c r="O279" s="2"/>
      <c r="P279" s="2"/>
    </row>
    <row r="280" spans="13:16" s="1" customFormat="1" x14ac:dyDescent="0.25">
      <c r="M280" s="2"/>
      <c r="N280" s="2"/>
      <c r="O280" s="2"/>
      <c r="P280" s="2"/>
    </row>
    <row r="281" spans="13:16" s="1" customFormat="1" x14ac:dyDescent="0.25">
      <c r="M281" s="2"/>
      <c r="N281" s="2"/>
      <c r="O281" s="2"/>
      <c r="P281" s="2"/>
    </row>
    <row r="282" spans="13:16" s="1" customFormat="1" x14ac:dyDescent="0.25">
      <c r="M282" s="2"/>
      <c r="N282" s="2"/>
      <c r="O282" s="2"/>
      <c r="P282" s="2"/>
    </row>
    <row r="283" spans="13:16" s="1" customFormat="1" x14ac:dyDescent="0.25">
      <c r="M283" s="2"/>
      <c r="N283" s="2"/>
      <c r="O283" s="2"/>
      <c r="P283" s="2"/>
    </row>
    <row r="284" spans="13:16" s="1" customFormat="1" x14ac:dyDescent="0.25">
      <c r="M284" s="2"/>
      <c r="N284" s="2"/>
      <c r="O284" s="2"/>
      <c r="P284" s="2"/>
    </row>
    <row r="285" spans="13:16" s="1" customFormat="1" x14ac:dyDescent="0.25">
      <c r="M285" s="2"/>
      <c r="N285" s="2"/>
      <c r="O285" s="2"/>
      <c r="P285" s="2"/>
    </row>
    <row r="286" spans="13:16" s="1" customFormat="1" x14ac:dyDescent="0.25">
      <c r="M286" s="2"/>
      <c r="N286" s="2"/>
      <c r="O286" s="2"/>
      <c r="P286" s="2"/>
    </row>
    <row r="287" spans="13:16" s="1" customFormat="1" x14ac:dyDescent="0.25">
      <c r="M287" s="2"/>
      <c r="N287" s="2"/>
      <c r="O287" s="2"/>
      <c r="P287" s="2"/>
    </row>
    <row r="288" spans="13:16" s="1" customFormat="1" x14ac:dyDescent="0.25">
      <c r="M288" s="2"/>
      <c r="N288" s="2"/>
      <c r="O288" s="2"/>
      <c r="P288" s="2"/>
    </row>
    <row r="289" spans="13:16" s="1" customFormat="1" x14ac:dyDescent="0.25">
      <c r="M289" s="2"/>
      <c r="N289" s="2"/>
      <c r="O289" s="2"/>
      <c r="P289" s="2"/>
    </row>
    <row r="290" spans="13:16" s="1" customFormat="1" x14ac:dyDescent="0.25">
      <c r="M290" s="2"/>
      <c r="N290" s="2"/>
      <c r="O290" s="2"/>
      <c r="P290" s="2"/>
    </row>
    <row r="291" spans="13:16" s="1" customFormat="1" x14ac:dyDescent="0.25">
      <c r="M291" s="2"/>
      <c r="N291" s="2"/>
      <c r="O291" s="2"/>
      <c r="P291" s="2"/>
    </row>
    <row r="292" spans="13:16" s="1" customFormat="1" x14ac:dyDescent="0.25">
      <c r="M292" s="2"/>
      <c r="N292" s="2"/>
      <c r="O292" s="2"/>
      <c r="P292" s="2"/>
    </row>
    <row r="293" spans="13:16" s="1" customFormat="1" x14ac:dyDescent="0.25">
      <c r="M293" s="2"/>
      <c r="N293" s="2"/>
      <c r="O293" s="2"/>
      <c r="P293" s="2"/>
    </row>
    <row r="294" spans="13:16" s="1" customFormat="1" x14ac:dyDescent="0.25">
      <c r="M294" s="2"/>
      <c r="N294" s="2"/>
      <c r="O294" s="2"/>
      <c r="P294" s="2"/>
    </row>
    <row r="295" spans="13:16" s="1" customFormat="1" x14ac:dyDescent="0.25">
      <c r="M295" s="2"/>
      <c r="N295" s="2"/>
      <c r="O295" s="2"/>
      <c r="P295" s="2"/>
    </row>
    <row r="296" spans="13:16" s="1" customFormat="1" x14ac:dyDescent="0.25">
      <c r="M296" s="2"/>
      <c r="N296" s="2"/>
      <c r="O296" s="2"/>
      <c r="P296" s="2"/>
    </row>
    <row r="297" spans="13:16" s="1" customFormat="1" x14ac:dyDescent="0.25">
      <c r="M297" s="2"/>
      <c r="N297" s="2"/>
      <c r="O297" s="2"/>
      <c r="P297" s="2"/>
    </row>
    <row r="298" spans="13:16" s="1" customFormat="1" x14ac:dyDescent="0.25">
      <c r="M298" s="2"/>
      <c r="N298" s="2"/>
      <c r="O298" s="2"/>
      <c r="P298" s="2"/>
    </row>
    <row r="299" spans="13:16" s="1" customFormat="1" x14ac:dyDescent="0.25">
      <c r="M299" s="2"/>
      <c r="N299" s="2"/>
      <c r="O299" s="2"/>
      <c r="P299" s="2"/>
    </row>
    <row r="300" spans="13:16" s="1" customFormat="1" x14ac:dyDescent="0.25">
      <c r="M300" s="2"/>
      <c r="N300" s="2"/>
      <c r="O300" s="2"/>
      <c r="P300" s="2"/>
    </row>
    <row r="301" spans="13:16" s="1" customFormat="1" x14ac:dyDescent="0.25">
      <c r="M301" s="2"/>
      <c r="N301" s="2"/>
      <c r="O301" s="2"/>
      <c r="P301" s="2"/>
    </row>
    <row r="302" spans="13:16" s="1" customFormat="1" x14ac:dyDescent="0.25">
      <c r="M302" s="2"/>
      <c r="N302" s="2"/>
      <c r="O302" s="2"/>
      <c r="P302" s="2"/>
    </row>
    <row r="303" spans="13:16" s="1" customFormat="1" x14ac:dyDescent="0.25">
      <c r="M303" s="2"/>
      <c r="N303" s="2"/>
      <c r="O303" s="2"/>
      <c r="P303" s="2"/>
    </row>
    <row r="304" spans="13:16" s="1" customFormat="1" x14ac:dyDescent="0.25">
      <c r="M304" s="2"/>
      <c r="N304" s="2"/>
      <c r="O304" s="2"/>
      <c r="P304" s="2"/>
    </row>
    <row r="305" spans="13:16" s="1" customFormat="1" x14ac:dyDescent="0.25">
      <c r="M305" s="2"/>
      <c r="N305" s="2"/>
      <c r="O305" s="2"/>
      <c r="P305" s="2"/>
    </row>
    <row r="306" spans="13:16" s="1" customFormat="1" x14ac:dyDescent="0.25">
      <c r="M306" s="2"/>
      <c r="N306" s="2"/>
      <c r="O306" s="2"/>
      <c r="P306" s="2"/>
    </row>
    <row r="307" spans="13:16" s="1" customFormat="1" x14ac:dyDescent="0.25">
      <c r="M307" s="2"/>
      <c r="N307" s="2"/>
      <c r="O307" s="2"/>
      <c r="P307" s="2"/>
    </row>
    <row r="308" spans="13:16" s="1" customFormat="1" x14ac:dyDescent="0.25">
      <c r="M308" s="2"/>
      <c r="N308" s="2"/>
      <c r="O308" s="2"/>
      <c r="P308" s="2"/>
    </row>
    <row r="309" spans="13:16" s="1" customFormat="1" x14ac:dyDescent="0.25">
      <c r="M309" s="2"/>
      <c r="N309" s="2"/>
      <c r="O309" s="2"/>
      <c r="P309" s="2"/>
    </row>
    <row r="310" spans="13:16" s="1" customFormat="1" x14ac:dyDescent="0.25">
      <c r="M310" s="2"/>
      <c r="N310" s="2"/>
      <c r="O310" s="2"/>
      <c r="P310" s="2"/>
    </row>
    <row r="311" spans="13:16" s="1" customFormat="1" x14ac:dyDescent="0.25">
      <c r="M311" s="2"/>
      <c r="N311" s="2"/>
      <c r="O311" s="2"/>
      <c r="P311" s="2"/>
    </row>
    <row r="312" spans="13:16" s="1" customFormat="1" x14ac:dyDescent="0.25">
      <c r="M312" s="2"/>
      <c r="N312" s="2"/>
      <c r="O312" s="2"/>
      <c r="P312" s="2"/>
    </row>
    <row r="313" spans="13:16" s="1" customFormat="1" x14ac:dyDescent="0.25">
      <c r="M313" s="2"/>
      <c r="N313" s="2"/>
      <c r="O313" s="2"/>
      <c r="P313" s="2"/>
    </row>
    <row r="314" spans="13:16" s="1" customFormat="1" x14ac:dyDescent="0.25">
      <c r="M314" s="2"/>
      <c r="N314" s="2"/>
      <c r="O314" s="2"/>
      <c r="P314" s="2"/>
    </row>
    <row r="315" spans="13:16" s="1" customFormat="1" x14ac:dyDescent="0.25">
      <c r="M315" s="2"/>
      <c r="N315" s="2"/>
      <c r="O315" s="2"/>
      <c r="P315" s="2"/>
    </row>
    <row r="316" spans="13:16" s="1" customFormat="1" x14ac:dyDescent="0.25">
      <c r="M316" s="2"/>
      <c r="N316" s="2"/>
      <c r="O316" s="2"/>
      <c r="P316" s="2"/>
    </row>
    <row r="317" spans="13:16" s="1" customFormat="1" x14ac:dyDescent="0.25">
      <c r="M317" s="2"/>
      <c r="N317" s="2"/>
      <c r="O317" s="2"/>
      <c r="P317" s="2"/>
    </row>
    <row r="318" spans="13:16" s="1" customFormat="1" x14ac:dyDescent="0.25">
      <c r="M318" s="2"/>
      <c r="N318" s="2"/>
      <c r="O318" s="2"/>
      <c r="P318" s="2"/>
    </row>
    <row r="319" spans="13:16" s="1" customFormat="1" x14ac:dyDescent="0.25">
      <c r="M319" s="2"/>
      <c r="N319" s="2"/>
      <c r="O319" s="2"/>
      <c r="P319" s="2"/>
    </row>
    <row r="320" spans="13:16" s="1" customFormat="1" x14ac:dyDescent="0.25">
      <c r="M320" s="2"/>
      <c r="N320" s="2"/>
      <c r="O320" s="2"/>
      <c r="P320" s="2"/>
    </row>
    <row r="321" spans="13:16" s="1" customFormat="1" x14ac:dyDescent="0.25">
      <c r="M321" s="2"/>
      <c r="N321" s="2"/>
      <c r="O321" s="2"/>
      <c r="P321" s="2"/>
    </row>
    <row r="322" spans="13:16" s="1" customFormat="1" x14ac:dyDescent="0.25">
      <c r="M322" s="2"/>
      <c r="N322" s="2"/>
      <c r="O322" s="2"/>
      <c r="P322" s="2"/>
    </row>
    <row r="323" spans="13:16" s="1" customFormat="1" x14ac:dyDescent="0.25">
      <c r="M323" s="2"/>
      <c r="N323" s="2"/>
      <c r="O323" s="2"/>
      <c r="P323" s="2"/>
    </row>
    <row r="324" spans="13:16" s="1" customFormat="1" x14ac:dyDescent="0.25">
      <c r="M324" s="2"/>
      <c r="N324" s="2"/>
      <c r="O324" s="2"/>
      <c r="P324" s="2"/>
    </row>
    <row r="325" spans="13:16" s="1" customFormat="1" x14ac:dyDescent="0.25">
      <c r="M325" s="2"/>
      <c r="N325" s="2"/>
      <c r="O325" s="2"/>
      <c r="P325" s="2"/>
    </row>
    <row r="326" spans="13:16" s="1" customFormat="1" x14ac:dyDescent="0.25">
      <c r="M326" s="2"/>
      <c r="N326" s="2"/>
      <c r="O326" s="2"/>
      <c r="P326" s="2"/>
    </row>
    <row r="327" spans="13:16" s="1" customFormat="1" x14ac:dyDescent="0.25">
      <c r="M327" s="2"/>
      <c r="N327" s="2"/>
      <c r="O327" s="2"/>
      <c r="P327" s="2"/>
    </row>
    <row r="328" spans="13:16" s="1" customFormat="1" x14ac:dyDescent="0.25">
      <c r="M328" s="2"/>
      <c r="N328" s="2"/>
      <c r="O328" s="2"/>
      <c r="P328" s="2"/>
    </row>
    <row r="329" spans="13:16" s="1" customFormat="1" x14ac:dyDescent="0.25">
      <c r="M329" s="2"/>
      <c r="N329" s="2"/>
      <c r="O329" s="2"/>
      <c r="P329" s="2"/>
    </row>
    <row r="330" spans="13:16" s="1" customFormat="1" x14ac:dyDescent="0.25">
      <c r="M330" s="2"/>
      <c r="N330" s="2"/>
      <c r="O330" s="2"/>
      <c r="P330" s="2"/>
    </row>
    <row r="331" spans="13:16" s="1" customFormat="1" x14ac:dyDescent="0.25">
      <c r="M331" s="2"/>
      <c r="N331" s="2"/>
      <c r="O331" s="2"/>
      <c r="P331" s="2"/>
    </row>
    <row r="332" spans="13:16" s="1" customFormat="1" x14ac:dyDescent="0.25">
      <c r="M332" s="2"/>
      <c r="N332" s="2"/>
      <c r="O332" s="2"/>
      <c r="P332" s="2"/>
    </row>
    <row r="333" spans="13:16" s="1" customFormat="1" x14ac:dyDescent="0.25">
      <c r="M333" s="2"/>
      <c r="N333" s="2"/>
      <c r="O333" s="2"/>
      <c r="P333" s="2"/>
    </row>
    <row r="334" spans="13:16" s="1" customFormat="1" x14ac:dyDescent="0.25">
      <c r="M334" s="2"/>
      <c r="N334" s="2"/>
      <c r="O334" s="2"/>
      <c r="P334" s="2"/>
    </row>
    <row r="335" spans="13:16" s="1" customFormat="1" x14ac:dyDescent="0.25">
      <c r="M335" s="2"/>
      <c r="N335" s="2"/>
      <c r="O335" s="2"/>
      <c r="P335" s="2"/>
    </row>
    <row r="336" spans="13:16" s="1" customFormat="1" x14ac:dyDescent="0.25">
      <c r="M336" s="2"/>
      <c r="N336" s="2"/>
      <c r="O336" s="2"/>
      <c r="P336" s="2"/>
    </row>
    <row r="337" spans="13:16" s="1" customFormat="1" x14ac:dyDescent="0.25">
      <c r="M337" s="2"/>
      <c r="N337" s="2"/>
      <c r="O337" s="2"/>
      <c r="P337" s="2"/>
    </row>
    <row r="338" spans="13:16" s="1" customFormat="1" x14ac:dyDescent="0.25">
      <c r="M338" s="2"/>
      <c r="N338" s="2"/>
      <c r="O338" s="2"/>
      <c r="P338" s="2"/>
    </row>
    <row r="339" spans="13:16" s="1" customFormat="1" x14ac:dyDescent="0.25">
      <c r="M339" s="2"/>
      <c r="N339" s="2"/>
      <c r="O339" s="2"/>
      <c r="P339" s="2"/>
    </row>
    <row r="340" spans="13:16" s="1" customFormat="1" x14ac:dyDescent="0.25">
      <c r="M340" s="2"/>
      <c r="N340" s="2"/>
      <c r="O340" s="2"/>
      <c r="P340" s="2"/>
    </row>
    <row r="341" spans="13:16" s="1" customFormat="1" x14ac:dyDescent="0.25">
      <c r="M341" s="2"/>
      <c r="N341" s="2"/>
      <c r="O341" s="2"/>
      <c r="P341" s="2"/>
    </row>
    <row r="342" spans="13:16" s="1" customFormat="1" x14ac:dyDescent="0.25">
      <c r="M342" s="2"/>
      <c r="N342" s="2"/>
      <c r="O342" s="2"/>
      <c r="P342" s="2"/>
    </row>
    <row r="343" spans="13:16" s="1" customFormat="1" x14ac:dyDescent="0.25">
      <c r="M343" s="2"/>
      <c r="N343" s="2"/>
      <c r="O343" s="2"/>
      <c r="P343" s="2"/>
    </row>
    <row r="344" spans="13:16" s="1" customFormat="1" x14ac:dyDescent="0.25">
      <c r="M344" s="2"/>
      <c r="N344" s="2"/>
      <c r="O344" s="2"/>
      <c r="P344" s="2"/>
    </row>
    <row r="345" spans="13:16" s="1" customFormat="1" x14ac:dyDescent="0.25">
      <c r="M345" s="2"/>
      <c r="N345" s="2"/>
      <c r="O345" s="2"/>
      <c r="P345" s="2"/>
    </row>
    <row r="346" spans="13:16" s="1" customFormat="1" x14ac:dyDescent="0.25">
      <c r="M346" s="2"/>
      <c r="N346" s="2"/>
      <c r="O346" s="2"/>
      <c r="P346" s="2"/>
    </row>
    <row r="347" spans="13:16" s="1" customFormat="1" x14ac:dyDescent="0.25">
      <c r="M347" s="2"/>
      <c r="N347" s="2"/>
      <c r="O347" s="2"/>
      <c r="P347" s="2"/>
    </row>
    <row r="348" spans="13:16" s="1" customFormat="1" x14ac:dyDescent="0.25">
      <c r="M348" s="2"/>
      <c r="N348" s="2"/>
      <c r="O348" s="2"/>
      <c r="P348" s="2"/>
    </row>
    <row r="349" spans="13:16" s="1" customFormat="1" x14ac:dyDescent="0.25">
      <c r="M349" s="2"/>
      <c r="N349" s="2"/>
      <c r="O349" s="2"/>
      <c r="P349" s="2"/>
    </row>
    <row r="350" spans="13:16" s="1" customFormat="1" x14ac:dyDescent="0.25">
      <c r="M350" s="2"/>
      <c r="N350" s="2"/>
      <c r="O350" s="2"/>
      <c r="P350" s="2"/>
    </row>
    <row r="351" spans="13:16" s="1" customFormat="1" x14ac:dyDescent="0.25">
      <c r="M351" s="2"/>
      <c r="N351" s="2"/>
      <c r="O351" s="2"/>
      <c r="P351" s="2"/>
    </row>
    <row r="352" spans="13:16" s="1" customFormat="1" x14ac:dyDescent="0.25">
      <c r="M352" s="2"/>
      <c r="N352" s="2"/>
      <c r="O352" s="2"/>
      <c r="P352" s="2"/>
    </row>
    <row r="353" spans="13:16" s="1" customFormat="1" x14ac:dyDescent="0.25">
      <c r="M353" s="2"/>
      <c r="N353" s="2"/>
      <c r="O353" s="2"/>
      <c r="P353" s="2"/>
    </row>
    <row r="354" spans="13:16" s="1" customFormat="1" x14ac:dyDescent="0.25">
      <c r="M354" s="2"/>
      <c r="N354" s="2"/>
      <c r="O354" s="2"/>
      <c r="P354" s="2"/>
    </row>
    <row r="355" spans="13:16" s="1" customFormat="1" x14ac:dyDescent="0.25">
      <c r="M355" s="2"/>
      <c r="N355" s="2"/>
      <c r="O355" s="2"/>
      <c r="P355" s="2"/>
    </row>
    <row r="356" spans="13:16" s="1" customFormat="1" x14ac:dyDescent="0.25">
      <c r="M356" s="2"/>
      <c r="N356" s="2"/>
      <c r="O356" s="2"/>
      <c r="P356" s="2"/>
    </row>
    <row r="357" spans="13:16" s="1" customFormat="1" x14ac:dyDescent="0.25">
      <c r="M357" s="2"/>
      <c r="N357" s="2"/>
      <c r="O357" s="2"/>
      <c r="P357" s="2"/>
    </row>
    <row r="358" spans="13:16" s="1" customFormat="1" x14ac:dyDescent="0.25">
      <c r="M358" s="2"/>
      <c r="N358" s="2"/>
      <c r="O358" s="2"/>
      <c r="P358" s="2"/>
    </row>
    <row r="359" spans="13:16" s="1" customFormat="1" x14ac:dyDescent="0.25">
      <c r="M359" s="2"/>
      <c r="N359" s="2"/>
      <c r="O359" s="2"/>
      <c r="P359" s="2"/>
    </row>
    <row r="360" spans="13:16" s="1" customFormat="1" x14ac:dyDescent="0.25">
      <c r="M360" s="2"/>
      <c r="N360" s="2"/>
      <c r="O360" s="2"/>
      <c r="P360" s="2"/>
    </row>
    <row r="361" spans="13:16" s="1" customFormat="1" x14ac:dyDescent="0.25">
      <c r="M361" s="2"/>
      <c r="N361" s="2"/>
      <c r="O361" s="2"/>
      <c r="P361" s="2"/>
    </row>
    <row r="362" spans="13:16" s="1" customFormat="1" x14ac:dyDescent="0.25">
      <c r="M362" s="2"/>
      <c r="N362" s="2"/>
      <c r="O362" s="2"/>
      <c r="P362" s="2"/>
    </row>
    <row r="363" spans="13:16" s="1" customFormat="1" x14ac:dyDescent="0.25">
      <c r="M363" s="2"/>
      <c r="N363" s="2"/>
      <c r="O363" s="2"/>
      <c r="P363" s="2"/>
    </row>
    <row r="364" spans="13:16" s="1" customFormat="1" x14ac:dyDescent="0.25">
      <c r="M364" s="2"/>
      <c r="N364" s="2"/>
      <c r="O364" s="2"/>
      <c r="P364" s="2"/>
    </row>
    <row r="365" spans="13:16" s="1" customFormat="1" x14ac:dyDescent="0.25">
      <c r="M365" s="2"/>
      <c r="N365" s="2"/>
      <c r="O365" s="2"/>
      <c r="P365" s="2"/>
    </row>
    <row r="366" spans="13:16" s="1" customFormat="1" x14ac:dyDescent="0.25">
      <c r="M366" s="2"/>
      <c r="N366" s="2"/>
      <c r="O366" s="2"/>
      <c r="P366" s="2"/>
    </row>
    <row r="367" spans="13:16" s="1" customFormat="1" x14ac:dyDescent="0.25">
      <c r="M367" s="2"/>
      <c r="N367" s="2"/>
      <c r="O367" s="2"/>
      <c r="P367" s="2"/>
    </row>
    <row r="368" spans="13:16" s="1" customFormat="1" x14ac:dyDescent="0.25">
      <c r="M368" s="2"/>
      <c r="N368" s="2"/>
      <c r="O368" s="2"/>
      <c r="P368" s="2"/>
    </row>
    <row r="369" spans="13:16" s="1" customFormat="1" x14ac:dyDescent="0.25">
      <c r="M369" s="2"/>
      <c r="N369" s="2"/>
      <c r="O369" s="2"/>
      <c r="P369" s="2"/>
    </row>
    <row r="370" spans="13:16" s="1" customFormat="1" x14ac:dyDescent="0.25">
      <c r="M370" s="2"/>
      <c r="N370" s="2"/>
      <c r="O370" s="2"/>
      <c r="P370" s="2"/>
    </row>
    <row r="371" spans="13:16" s="1" customFormat="1" x14ac:dyDescent="0.25">
      <c r="M371" s="2"/>
      <c r="N371" s="2"/>
      <c r="O371" s="2"/>
      <c r="P371" s="2"/>
    </row>
    <row r="372" spans="13:16" s="1" customFormat="1" x14ac:dyDescent="0.25">
      <c r="M372" s="2"/>
      <c r="N372" s="2"/>
      <c r="O372" s="2"/>
      <c r="P372" s="2"/>
    </row>
    <row r="373" spans="13:16" s="1" customFormat="1" x14ac:dyDescent="0.25">
      <c r="M373" s="2"/>
      <c r="N373" s="2"/>
      <c r="O373" s="2"/>
      <c r="P373" s="2"/>
    </row>
    <row r="374" spans="13:16" s="1" customFormat="1" x14ac:dyDescent="0.25">
      <c r="M374" s="2"/>
      <c r="N374" s="2"/>
      <c r="O374" s="2"/>
      <c r="P374" s="2"/>
    </row>
    <row r="375" spans="13:16" s="1" customFormat="1" x14ac:dyDescent="0.25">
      <c r="M375" s="2"/>
      <c r="N375" s="2"/>
      <c r="O375" s="2"/>
      <c r="P375" s="2"/>
    </row>
    <row r="376" spans="13:16" s="1" customFormat="1" x14ac:dyDescent="0.25">
      <c r="M376" s="2"/>
      <c r="N376" s="2"/>
      <c r="O376" s="2"/>
      <c r="P376" s="2"/>
    </row>
    <row r="377" spans="13:16" s="1" customFormat="1" x14ac:dyDescent="0.25">
      <c r="M377" s="2"/>
      <c r="N377" s="2"/>
      <c r="O377" s="2"/>
      <c r="P377" s="2"/>
    </row>
    <row r="378" spans="13:16" s="1" customFormat="1" x14ac:dyDescent="0.25">
      <c r="M378" s="2"/>
      <c r="N378" s="2"/>
      <c r="O378" s="2"/>
      <c r="P378" s="2"/>
    </row>
    <row r="379" spans="13:16" s="1" customFormat="1" x14ac:dyDescent="0.25">
      <c r="M379" s="2"/>
      <c r="N379" s="2"/>
      <c r="O379" s="2"/>
      <c r="P379" s="2"/>
    </row>
    <row r="380" spans="13:16" s="1" customFormat="1" x14ac:dyDescent="0.25">
      <c r="M380" s="2"/>
      <c r="N380" s="2"/>
      <c r="O380" s="2"/>
      <c r="P380" s="2"/>
    </row>
    <row r="381" spans="13:16" s="1" customFormat="1" x14ac:dyDescent="0.25">
      <c r="M381" s="2"/>
      <c r="N381" s="2"/>
      <c r="O381" s="2"/>
      <c r="P381" s="2"/>
    </row>
    <row r="382" spans="13:16" s="1" customFormat="1" x14ac:dyDescent="0.25">
      <c r="M382" s="2"/>
      <c r="N382" s="2"/>
      <c r="O382" s="2"/>
      <c r="P382" s="2"/>
    </row>
    <row r="383" spans="13:16" s="1" customFormat="1" x14ac:dyDescent="0.25">
      <c r="M383" s="2"/>
      <c r="N383" s="2"/>
      <c r="O383" s="2"/>
      <c r="P383" s="2"/>
    </row>
    <row r="384" spans="13:16" s="1" customFormat="1" x14ac:dyDescent="0.25">
      <c r="M384" s="2"/>
      <c r="N384" s="2"/>
      <c r="O384" s="2"/>
      <c r="P384" s="2"/>
    </row>
    <row r="385" spans="13:16" s="1" customFormat="1" x14ac:dyDescent="0.25">
      <c r="M385" s="2"/>
      <c r="N385" s="2"/>
      <c r="O385" s="2"/>
      <c r="P385" s="2"/>
    </row>
    <row r="386" spans="13:16" s="1" customFormat="1" x14ac:dyDescent="0.25">
      <c r="M386" s="2"/>
      <c r="N386" s="2"/>
      <c r="O386" s="2"/>
      <c r="P386" s="2"/>
    </row>
    <row r="387" spans="13:16" s="1" customFormat="1" x14ac:dyDescent="0.25">
      <c r="M387" s="2"/>
      <c r="N387" s="2"/>
      <c r="O387" s="2"/>
      <c r="P387" s="2"/>
    </row>
    <row r="388" spans="13:16" s="1" customFormat="1" x14ac:dyDescent="0.25">
      <c r="M388" s="2"/>
      <c r="N388" s="2"/>
      <c r="O388" s="2"/>
      <c r="P388" s="2"/>
    </row>
    <row r="389" spans="13:16" s="1" customFormat="1" x14ac:dyDescent="0.25">
      <c r="M389" s="2"/>
      <c r="N389" s="2"/>
      <c r="O389" s="2"/>
      <c r="P389" s="2"/>
    </row>
    <row r="390" spans="13:16" s="1" customFormat="1" x14ac:dyDescent="0.25">
      <c r="M390" s="2"/>
      <c r="N390" s="2"/>
      <c r="O390" s="2"/>
      <c r="P390" s="2"/>
    </row>
    <row r="391" spans="13:16" s="1" customFormat="1" x14ac:dyDescent="0.25">
      <c r="M391" s="2"/>
      <c r="N391" s="2"/>
      <c r="O391" s="2"/>
      <c r="P391" s="2"/>
    </row>
    <row r="392" spans="13:16" s="1" customFormat="1" x14ac:dyDescent="0.25">
      <c r="M392" s="2"/>
      <c r="N392" s="2"/>
      <c r="O392" s="2"/>
      <c r="P392" s="2"/>
    </row>
    <row r="393" spans="13:16" s="1" customFormat="1" x14ac:dyDescent="0.25">
      <c r="M393" s="2"/>
      <c r="N393" s="2"/>
      <c r="O393" s="2"/>
      <c r="P393" s="2"/>
    </row>
    <row r="394" spans="13:16" s="1" customFormat="1" x14ac:dyDescent="0.25">
      <c r="M394" s="2"/>
      <c r="N394" s="2"/>
      <c r="O394" s="2"/>
      <c r="P394" s="2"/>
    </row>
    <row r="395" spans="13:16" s="1" customFormat="1" x14ac:dyDescent="0.25">
      <c r="M395" s="2"/>
      <c r="N395" s="2"/>
      <c r="O395" s="2"/>
      <c r="P395" s="2"/>
    </row>
    <row r="396" spans="13:16" s="1" customFormat="1" x14ac:dyDescent="0.25">
      <c r="M396" s="2"/>
      <c r="N396" s="2"/>
      <c r="O396" s="2"/>
      <c r="P396" s="2"/>
    </row>
    <row r="397" spans="13:16" s="1" customFormat="1" x14ac:dyDescent="0.25">
      <c r="M397" s="2"/>
      <c r="N397" s="2"/>
      <c r="O397" s="2"/>
      <c r="P397" s="2"/>
    </row>
    <row r="398" spans="13:16" s="1" customFormat="1" x14ac:dyDescent="0.25">
      <c r="M398" s="2"/>
      <c r="N398" s="2"/>
      <c r="O398" s="2"/>
      <c r="P398" s="2"/>
    </row>
    <row r="399" spans="13:16" s="1" customFormat="1" x14ac:dyDescent="0.25">
      <c r="M399" s="2"/>
      <c r="N399" s="2"/>
      <c r="O399" s="2"/>
      <c r="P399" s="2"/>
    </row>
    <row r="400" spans="13:16" s="1" customFormat="1" x14ac:dyDescent="0.25">
      <c r="M400" s="2"/>
      <c r="N400" s="2"/>
      <c r="O400" s="2"/>
      <c r="P400" s="2"/>
    </row>
    <row r="401" spans="13:16" s="1" customFormat="1" x14ac:dyDescent="0.25">
      <c r="M401" s="2"/>
      <c r="N401" s="2"/>
      <c r="O401" s="2"/>
      <c r="P401" s="2"/>
    </row>
    <row r="402" spans="13:16" s="1" customFormat="1" x14ac:dyDescent="0.25">
      <c r="M402" s="2"/>
      <c r="N402" s="2"/>
      <c r="O402" s="2"/>
      <c r="P402" s="2"/>
    </row>
    <row r="403" spans="13:16" s="1" customFormat="1" x14ac:dyDescent="0.25">
      <c r="M403" s="2"/>
      <c r="N403" s="2"/>
      <c r="O403" s="2"/>
      <c r="P403" s="2"/>
    </row>
    <row r="404" spans="13:16" s="1" customFormat="1" x14ac:dyDescent="0.25">
      <c r="M404" s="2"/>
      <c r="N404" s="2"/>
      <c r="O404" s="2"/>
      <c r="P404" s="2"/>
    </row>
    <row r="405" spans="13:16" s="1" customFormat="1" x14ac:dyDescent="0.25">
      <c r="M405" s="2"/>
      <c r="N405" s="2"/>
      <c r="O405" s="2"/>
      <c r="P405" s="2"/>
    </row>
    <row r="406" spans="13:16" s="1" customFormat="1" x14ac:dyDescent="0.25">
      <c r="M406" s="2"/>
      <c r="N406" s="2"/>
      <c r="O406" s="2"/>
      <c r="P406" s="2"/>
    </row>
    <row r="407" spans="13:16" s="1" customFormat="1" x14ac:dyDescent="0.25">
      <c r="M407" s="2"/>
      <c r="N407" s="2"/>
      <c r="O407" s="2"/>
      <c r="P407" s="2"/>
    </row>
    <row r="408" spans="13:16" s="1" customFormat="1" x14ac:dyDescent="0.25">
      <c r="M408" s="2"/>
      <c r="N408" s="2"/>
      <c r="O408" s="2"/>
      <c r="P408" s="2"/>
    </row>
    <row r="409" spans="13:16" s="1" customFormat="1" x14ac:dyDescent="0.25">
      <c r="M409" s="2"/>
      <c r="N409" s="2"/>
      <c r="O409" s="2"/>
      <c r="P409" s="2"/>
    </row>
    <row r="410" spans="13:16" s="1" customFormat="1" x14ac:dyDescent="0.25">
      <c r="M410" s="2"/>
      <c r="N410" s="2"/>
      <c r="O410" s="2"/>
      <c r="P410" s="2"/>
    </row>
    <row r="411" spans="13:16" s="1" customFormat="1" x14ac:dyDescent="0.25">
      <c r="M411" s="2"/>
      <c r="N411" s="2"/>
      <c r="O411" s="2"/>
      <c r="P411" s="2"/>
    </row>
    <row r="412" spans="13:16" s="1" customFormat="1" x14ac:dyDescent="0.25">
      <c r="M412" s="2"/>
      <c r="N412" s="2"/>
      <c r="O412" s="2"/>
      <c r="P412" s="2"/>
    </row>
    <row r="413" spans="13:16" s="1" customFormat="1" x14ac:dyDescent="0.25">
      <c r="M413" s="2"/>
      <c r="N413" s="2"/>
      <c r="O413" s="2"/>
      <c r="P413" s="2"/>
    </row>
    <row r="414" spans="13:16" s="1" customFormat="1" x14ac:dyDescent="0.25">
      <c r="M414" s="2"/>
      <c r="N414" s="2"/>
      <c r="O414" s="2"/>
      <c r="P414" s="2"/>
    </row>
    <row r="415" spans="13:16" s="1" customFormat="1" x14ac:dyDescent="0.25">
      <c r="M415" s="2"/>
      <c r="N415" s="2"/>
      <c r="O415" s="2"/>
      <c r="P415" s="2"/>
    </row>
    <row r="416" spans="13:16" s="1" customFormat="1" x14ac:dyDescent="0.25">
      <c r="M416" s="2"/>
      <c r="N416" s="2"/>
      <c r="O416" s="2"/>
      <c r="P416" s="2"/>
    </row>
    <row r="417" spans="13:16" s="1" customFormat="1" x14ac:dyDescent="0.25">
      <c r="M417" s="2"/>
      <c r="N417" s="2"/>
      <c r="O417" s="2"/>
      <c r="P417" s="2"/>
    </row>
    <row r="418" spans="13:16" s="1" customFormat="1" x14ac:dyDescent="0.25">
      <c r="M418" s="2"/>
      <c r="N418" s="2"/>
      <c r="O418" s="2"/>
      <c r="P418" s="2"/>
    </row>
    <row r="419" spans="13:16" s="1" customFormat="1" x14ac:dyDescent="0.25">
      <c r="M419" s="2"/>
      <c r="N419" s="2"/>
      <c r="O419" s="2"/>
      <c r="P419" s="2"/>
    </row>
    <row r="420" spans="13:16" s="1" customFormat="1" x14ac:dyDescent="0.25">
      <c r="M420" s="2"/>
      <c r="N420" s="2"/>
      <c r="O420" s="2"/>
      <c r="P420" s="2"/>
    </row>
    <row r="421" spans="13:16" s="1" customFormat="1" x14ac:dyDescent="0.25">
      <c r="M421" s="2"/>
      <c r="N421" s="2"/>
      <c r="O421" s="2"/>
      <c r="P421" s="2"/>
    </row>
    <row r="422" spans="13:16" s="1" customFormat="1" x14ac:dyDescent="0.25">
      <c r="M422" s="2"/>
      <c r="N422" s="2"/>
      <c r="O422" s="2"/>
      <c r="P422" s="2"/>
    </row>
    <row r="423" spans="13:16" s="1" customFormat="1" x14ac:dyDescent="0.25">
      <c r="M423" s="2"/>
      <c r="N423" s="2"/>
      <c r="O423" s="2"/>
      <c r="P423" s="2"/>
    </row>
    <row r="424" spans="13:16" s="1" customFormat="1" x14ac:dyDescent="0.25">
      <c r="M424" s="2"/>
      <c r="N424" s="2"/>
      <c r="O424" s="2"/>
      <c r="P424" s="2"/>
    </row>
    <row r="425" spans="13:16" s="1" customFormat="1" x14ac:dyDescent="0.25">
      <c r="M425" s="2"/>
      <c r="N425" s="2"/>
      <c r="O425" s="2"/>
      <c r="P425" s="2"/>
    </row>
    <row r="426" spans="13:16" s="1" customFormat="1" x14ac:dyDescent="0.25">
      <c r="M426" s="2"/>
      <c r="N426" s="2"/>
      <c r="O426" s="2"/>
      <c r="P426" s="2"/>
    </row>
    <row r="427" spans="13:16" s="1" customFormat="1" x14ac:dyDescent="0.25">
      <c r="M427" s="2"/>
      <c r="N427" s="2"/>
      <c r="O427" s="2"/>
      <c r="P427" s="2"/>
    </row>
    <row r="428" spans="13:16" s="1" customFormat="1" x14ac:dyDescent="0.25">
      <c r="M428" s="2"/>
      <c r="N428" s="2"/>
      <c r="O428" s="2"/>
      <c r="P428" s="2"/>
    </row>
    <row r="429" spans="13:16" s="1" customFormat="1" x14ac:dyDescent="0.25">
      <c r="M429" s="2"/>
      <c r="N429" s="2"/>
      <c r="O429" s="2"/>
      <c r="P429" s="2"/>
    </row>
    <row r="430" spans="13:16" s="1" customFormat="1" x14ac:dyDescent="0.25">
      <c r="M430" s="2"/>
      <c r="N430" s="2"/>
      <c r="O430" s="2"/>
      <c r="P430" s="2"/>
    </row>
    <row r="431" spans="13:16" s="1" customFormat="1" x14ac:dyDescent="0.25">
      <c r="M431" s="2"/>
      <c r="N431" s="2"/>
      <c r="O431" s="2"/>
      <c r="P431" s="2"/>
    </row>
    <row r="432" spans="13:16" s="1" customFormat="1" x14ac:dyDescent="0.25">
      <c r="M432" s="2"/>
      <c r="N432" s="2"/>
      <c r="O432" s="2"/>
      <c r="P432" s="2"/>
    </row>
    <row r="433" spans="13:16" s="1" customFormat="1" x14ac:dyDescent="0.25">
      <c r="M433" s="2"/>
      <c r="N433" s="2"/>
      <c r="O433" s="2"/>
      <c r="P433" s="2"/>
    </row>
    <row r="434" spans="13:16" s="1" customFormat="1" x14ac:dyDescent="0.25">
      <c r="M434" s="2"/>
      <c r="N434" s="2"/>
      <c r="O434" s="2"/>
      <c r="P434" s="2"/>
    </row>
    <row r="435" spans="13:16" s="1" customFormat="1" x14ac:dyDescent="0.25">
      <c r="M435" s="2"/>
      <c r="N435" s="2"/>
      <c r="O435" s="2"/>
      <c r="P435" s="2"/>
    </row>
    <row r="436" spans="13:16" s="1" customFormat="1" x14ac:dyDescent="0.25">
      <c r="M436" s="2"/>
      <c r="N436" s="2"/>
      <c r="O436" s="2"/>
      <c r="P436" s="2"/>
    </row>
    <row r="437" spans="13:16" s="1" customFormat="1" x14ac:dyDescent="0.25">
      <c r="M437" s="2"/>
      <c r="N437" s="2"/>
      <c r="O437" s="2"/>
      <c r="P437" s="2"/>
    </row>
    <row r="438" spans="13:16" s="1" customFormat="1" x14ac:dyDescent="0.25">
      <c r="M438" s="2"/>
      <c r="N438" s="2"/>
      <c r="O438" s="2"/>
      <c r="P438" s="2"/>
    </row>
    <row r="439" spans="13:16" s="1" customFormat="1" x14ac:dyDescent="0.25">
      <c r="M439" s="2"/>
      <c r="N439" s="2"/>
      <c r="O439" s="2"/>
      <c r="P439" s="2"/>
    </row>
    <row r="440" spans="13:16" s="1" customFormat="1" x14ac:dyDescent="0.25">
      <c r="M440" s="2"/>
      <c r="N440" s="2"/>
      <c r="O440" s="2"/>
      <c r="P440" s="2"/>
    </row>
    <row r="441" spans="13:16" s="1" customFormat="1" x14ac:dyDescent="0.25">
      <c r="M441" s="2"/>
      <c r="N441" s="2"/>
      <c r="O441" s="2"/>
      <c r="P441" s="2"/>
    </row>
    <row r="442" spans="13:16" s="1" customFormat="1" x14ac:dyDescent="0.25">
      <c r="M442" s="2"/>
      <c r="N442" s="2"/>
      <c r="O442" s="2"/>
      <c r="P442" s="2"/>
    </row>
    <row r="443" spans="13:16" s="1" customFormat="1" x14ac:dyDescent="0.25">
      <c r="M443" s="2"/>
      <c r="N443" s="2"/>
      <c r="O443" s="2"/>
      <c r="P443" s="2"/>
    </row>
    <row r="444" spans="13:16" s="1" customFormat="1" x14ac:dyDescent="0.25">
      <c r="M444" s="2"/>
      <c r="N444" s="2"/>
      <c r="O444" s="2"/>
      <c r="P444" s="2"/>
    </row>
    <row r="445" spans="13:16" s="1" customFormat="1" x14ac:dyDescent="0.25">
      <c r="M445" s="2"/>
      <c r="N445" s="2"/>
      <c r="O445" s="2"/>
      <c r="P445" s="2"/>
    </row>
    <row r="446" spans="13:16" s="1" customFormat="1" x14ac:dyDescent="0.25">
      <c r="M446" s="2"/>
      <c r="N446" s="2"/>
      <c r="O446" s="2"/>
      <c r="P446" s="2"/>
    </row>
    <row r="447" spans="13:16" s="1" customFormat="1" x14ac:dyDescent="0.25">
      <c r="M447" s="2"/>
      <c r="N447" s="2"/>
      <c r="O447" s="2"/>
      <c r="P447" s="2"/>
    </row>
    <row r="448" spans="13:16" s="1" customFormat="1" x14ac:dyDescent="0.25">
      <c r="M448" s="2"/>
      <c r="N448" s="2"/>
      <c r="O448" s="2"/>
      <c r="P448" s="2"/>
    </row>
    <row r="449" spans="13:16" s="1" customFormat="1" x14ac:dyDescent="0.25">
      <c r="M449" s="2"/>
      <c r="N449" s="2"/>
      <c r="O449" s="2"/>
      <c r="P449" s="2"/>
    </row>
    <row r="450" spans="13:16" s="1" customFormat="1" x14ac:dyDescent="0.25">
      <c r="M450" s="2"/>
      <c r="N450" s="2"/>
      <c r="O450" s="2"/>
      <c r="P450" s="2"/>
    </row>
    <row r="451" spans="13:16" s="1" customFormat="1" x14ac:dyDescent="0.25">
      <c r="M451" s="2"/>
      <c r="N451" s="2"/>
      <c r="O451" s="2"/>
      <c r="P451" s="2"/>
    </row>
    <row r="452" spans="13:16" s="1" customFormat="1" x14ac:dyDescent="0.25">
      <c r="M452" s="2"/>
      <c r="N452" s="2"/>
      <c r="O452" s="2"/>
      <c r="P452" s="2"/>
    </row>
    <row r="453" spans="13:16" s="1" customFormat="1" x14ac:dyDescent="0.25">
      <c r="M453" s="2"/>
      <c r="N453" s="2"/>
      <c r="O453" s="2"/>
      <c r="P453" s="2"/>
    </row>
    <row r="454" spans="13:16" s="1" customFormat="1" x14ac:dyDescent="0.25">
      <c r="M454" s="2"/>
      <c r="N454" s="2"/>
      <c r="O454" s="2"/>
      <c r="P454" s="2"/>
    </row>
    <row r="455" spans="13:16" s="1" customFormat="1" x14ac:dyDescent="0.25">
      <c r="M455" s="2"/>
      <c r="N455" s="2"/>
      <c r="O455" s="2"/>
      <c r="P455" s="2"/>
    </row>
    <row r="456" spans="13:16" s="1" customFormat="1" x14ac:dyDescent="0.25">
      <c r="M456" s="2"/>
      <c r="N456" s="2"/>
      <c r="O456" s="2"/>
      <c r="P456" s="2"/>
    </row>
    <row r="457" spans="13:16" s="1" customFormat="1" x14ac:dyDescent="0.25">
      <c r="M457" s="2"/>
      <c r="N457" s="2"/>
      <c r="O457" s="2"/>
      <c r="P457" s="2"/>
    </row>
    <row r="458" spans="13:16" s="1" customFormat="1" x14ac:dyDescent="0.25">
      <c r="M458" s="2"/>
      <c r="N458" s="2"/>
      <c r="O458" s="2"/>
      <c r="P458" s="2"/>
    </row>
    <row r="459" spans="13:16" s="1" customFormat="1" x14ac:dyDescent="0.25">
      <c r="M459" s="2"/>
      <c r="N459" s="2"/>
      <c r="O459" s="2"/>
      <c r="P459" s="2"/>
    </row>
    <row r="460" spans="13:16" s="1" customFormat="1" x14ac:dyDescent="0.25">
      <c r="M460" s="2"/>
      <c r="N460" s="2"/>
      <c r="O460" s="2"/>
      <c r="P460" s="2"/>
    </row>
    <row r="461" spans="13:16" s="1" customFormat="1" x14ac:dyDescent="0.25">
      <c r="M461" s="2"/>
      <c r="N461" s="2"/>
      <c r="O461" s="2"/>
      <c r="P461" s="2"/>
    </row>
    <row r="462" spans="13:16" s="1" customFormat="1" x14ac:dyDescent="0.25">
      <c r="M462" s="2"/>
      <c r="N462" s="2"/>
      <c r="O462" s="2"/>
      <c r="P462" s="2"/>
    </row>
    <row r="463" spans="13:16" s="1" customFormat="1" x14ac:dyDescent="0.25">
      <c r="M463" s="2"/>
      <c r="N463" s="2"/>
      <c r="O463" s="2"/>
      <c r="P463" s="2"/>
    </row>
    <row r="464" spans="13:16" s="1" customFormat="1" x14ac:dyDescent="0.25">
      <c r="M464" s="2"/>
      <c r="N464" s="2"/>
      <c r="O464" s="2"/>
      <c r="P464" s="2"/>
    </row>
    <row r="465" spans="13:16" s="1" customFormat="1" x14ac:dyDescent="0.25">
      <c r="M465" s="2"/>
      <c r="N465" s="2"/>
      <c r="O465" s="2"/>
      <c r="P465" s="2"/>
    </row>
    <row r="466" spans="13:16" s="1" customFormat="1" x14ac:dyDescent="0.25">
      <c r="M466" s="2"/>
      <c r="N466" s="2"/>
      <c r="O466" s="2"/>
      <c r="P466" s="2"/>
    </row>
    <row r="467" spans="13:16" s="1" customFormat="1" x14ac:dyDescent="0.25">
      <c r="M467" s="2"/>
      <c r="N467" s="2"/>
      <c r="O467" s="2"/>
      <c r="P467" s="2"/>
    </row>
    <row r="468" spans="13:16" s="1" customFormat="1" x14ac:dyDescent="0.25">
      <c r="M468" s="2"/>
      <c r="N468" s="2"/>
      <c r="O468" s="2"/>
      <c r="P468" s="2"/>
    </row>
    <row r="469" spans="13:16" s="1" customFormat="1" x14ac:dyDescent="0.25">
      <c r="M469" s="2"/>
      <c r="N469" s="2"/>
      <c r="O469" s="2"/>
      <c r="P469" s="2"/>
    </row>
    <row r="470" spans="13:16" s="1" customFormat="1" x14ac:dyDescent="0.25">
      <c r="M470" s="2"/>
      <c r="N470" s="2"/>
      <c r="O470" s="2"/>
      <c r="P470" s="2"/>
    </row>
    <row r="471" spans="13:16" s="1" customFormat="1" x14ac:dyDescent="0.25">
      <c r="M471" s="2"/>
      <c r="N471" s="2"/>
      <c r="O471" s="2"/>
      <c r="P471" s="2"/>
    </row>
    <row r="472" spans="13:16" s="1" customFormat="1" x14ac:dyDescent="0.25">
      <c r="M472" s="2"/>
      <c r="N472" s="2"/>
      <c r="O472" s="2"/>
      <c r="P472" s="2"/>
    </row>
    <row r="473" spans="13:16" s="1" customFormat="1" x14ac:dyDescent="0.25">
      <c r="M473" s="2"/>
      <c r="N473" s="2"/>
      <c r="O473" s="2"/>
      <c r="P473" s="2"/>
    </row>
    <row r="474" spans="13:16" s="1" customFormat="1" x14ac:dyDescent="0.25">
      <c r="M474" s="2"/>
      <c r="N474" s="2"/>
      <c r="O474" s="2"/>
      <c r="P474" s="2"/>
    </row>
    <row r="475" spans="13:16" s="1" customFormat="1" x14ac:dyDescent="0.25">
      <c r="M475" s="2"/>
      <c r="N475" s="2"/>
      <c r="O475" s="2"/>
      <c r="P475" s="2"/>
    </row>
    <row r="476" spans="13:16" s="1" customFormat="1" x14ac:dyDescent="0.25">
      <c r="M476" s="2"/>
      <c r="N476" s="2"/>
      <c r="O476" s="2"/>
      <c r="P476" s="2"/>
    </row>
    <row r="477" spans="13:16" s="1" customFormat="1" x14ac:dyDescent="0.25">
      <c r="M477" s="2"/>
      <c r="N477" s="2"/>
      <c r="O477" s="2"/>
      <c r="P477" s="2"/>
    </row>
    <row r="478" spans="13:16" s="1" customFormat="1" x14ac:dyDescent="0.25">
      <c r="M478" s="2"/>
      <c r="N478" s="2"/>
      <c r="O478" s="2"/>
      <c r="P478" s="2"/>
    </row>
    <row r="479" spans="13:16" s="1" customFormat="1" x14ac:dyDescent="0.25">
      <c r="M479" s="2"/>
      <c r="N479" s="2"/>
      <c r="O479" s="2"/>
      <c r="P479" s="2"/>
    </row>
    <row r="480" spans="13:16" s="1" customFormat="1" x14ac:dyDescent="0.25">
      <c r="M480" s="2"/>
      <c r="N480" s="2"/>
      <c r="O480" s="2"/>
      <c r="P480" s="2"/>
    </row>
    <row r="481" spans="13:16" s="1" customFormat="1" x14ac:dyDescent="0.25">
      <c r="M481" s="2"/>
      <c r="N481" s="2"/>
      <c r="O481" s="2"/>
      <c r="P481" s="2"/>
    </row>
    <row r="482" spans="13:16" s="1" customFormat="1" x14ac:dyDescent="0.25">
      <c r="M482" s="2"/>
      <c r="N482" s="2"/>
      <c r="O482" s="2"/>
      <c r="P482" s="2"/>
    </row>
    <row r="483" spans="13:16" s="1" customFormat="1" x14ac:dyDescent="0.25">
      <c r="M483" s="2"/>
      <c r="N483" s="2"/>
      <c r="O483" s="2"/>
      <c r="P483" s="2"/>
    </row>
    <row r="484" spans="13:16" s="1" customFormat="1" x14ac:dyDescent="0.25">
      <c r="M484" s="2"/>
      <c r="N484" s="2"/>
      <c r="O484" s="2"/>
      <c r="P484" s="2"/>
    </row>
    <row r="485" spans="13:16" s="1" customFormat="1" x14ac:dyDescent="0.25">
      <c r="M485" s="2"/>
      <c r="N485" s="2"/>
      <c r="O485" s="2"/>
      <c r="P485" s="2"/>
    </row>
    <row r="486" spans="13:16" s="1" customFormat="1" x14ac:dyDescent="0.25">
      <c r="M486" s="2"/>
      <c r="N486" s="2"/>
      <c r="O486" s="2"/>
      <c r="P486" s="2"/>
    </row>
    <row r="487" spans="13:16" s="1" customFormat="1" x14ac:dyDescent="0.25">
      <c r="M487" s="2"/>
      <c r="N487" s="2"/>
      <c r="O487" s="2"/>
      <c r="P487" s="2"/>
    </row>
    <row r="488" spans="13:16" s="1" customFormat="1" x14ac:dyDescent="0.25">
      <c r="M488" s="2"/>
      <c r="N488" s="2"/>
      <c r="O488" s="2"/>
      <c r="P488" s="2"/>
    </row>
    <row r="489" spans="13:16" s="1" customFormat="1" x14ac:dyDescent="0.25">
      <c r="M489" s="2"/>
      <c r="N489" s="2"/>
      <c r="O489" s="2"/>
      <c r="P489" s="2"/>
    </row>
    <row r="490" spans="13:16" s="1" customFormat="1" x14ac:dyDescent="0.25">
      <c r="M490" s="2"/>
      <c r="N490" s="2"/>
      <c r="O490" s="2"/>
      <c r="P490" s="2"/>
    </row>
    <row r="491" spans="13:16" s="1" customFormat="1" x14ac:dyDescent="0.25">
      <c r="M491" s="2"/>
      <c r="N491" s="2"/>
      <c r="O491" s="2"/>
      <c r="P491" s="2"/>
    </row>
    <row r="492" spans="13:16" s="1" customFormat="1" x14ac:dyDescent="0.25">
      <c r="M492" s="2"/>
      <c r="N492" s="2"/>
      <c r="O492" s="2"/>
      <c r="P492" s="2"/>
    </row>
    <row r="493" spans="13:16" s="1" customFormat="1" x14ac:dyDescent="0.25">
      <c r="M493" s="2"/>
      <c r="N493" s="2"/>
      <c r="O493" s="2"/>
      <c r="P493" s="2"/>
    </row>
    <row r="494" spans="13:16" s="1" customFormat="1" x14ac:dyDescent="0.25">
      <c r="M494" s="2"/>
      <c r="N494" s="2"/>
      <c r="O494" s="2"/>
      <c r="P494" s="2"/>
    </row>
    <row r="495" spans="13:16" s="1" customFormat="1" x14ac:dyDescent="0.25">
      <c r="M495" s="2"/>
      <c r="N495" s="2"/>
      <c r="O495" s="2"/>
      <c r="P495" s="2"/>
    </row>
    <row r="496" spans="13:16" s="1" customFormat="1" x14ac:dyDescent="0.25">
      <c r="M496" s="2"/>
      <c r="N496" s="2"/>
      <c r="O496" s="2"/>
      <c r="P496" s="2"/>
    </row>
    <row r="497" spans="13:16" s="1" customFormat="1" x14ac:dyDescent="0.25">
      <c r="M497" s="2"/>
      <c r="N497" s="2"/>
      <c r="O497" s="2"/>
      <c r="P497" s="2"/>
    </row>
    <row r="498" spans="13:16" s="1" customFormat="1" x14ac:dyDescent="0.25">
      <c r="M498" s="2"/>
      <c r="N498" s="2"/>
      <c r="O498" s="2"/>
      <c r="P498" s="2"/>
    </row>
    <row r="499" spans="13:16" s="1" customFormat="1" x14ac:dyDescent="0.25">
      <c r="M499" s="2"/>
      <c r="N499" s="2"/>
      <c r="O499" s="2"/>
      <c r="P499" s="2"/>
    </row>
    <row r="500" spans="13:16" s="1" customFormat="1" x14ac:dyDescent="0.25">
      <c r="M500" s="2"/>
      <c r="N500" s="2"/>
      <c r="O500" s="2"/>
      <c r="P500" s="2"/>
    </row>
    <row r="501" spans="13:16" s="1" customFormat="1" x14ac:dyDescent="0.25">
      <c r="M501" s="2"/>
      <c r="N501" s="2"/>
      <c r="O501" s="2"/>
      <c r="P501" s="2"/>
    </row>
    <row r="502" spans="13:16" s="1" customFormat="1" x14ac:dyDescent="0.25">
      <c r="M502" s="2"/>
      <c r="N502" s="2"/>
      <c r="O502" s="2"/>
      <c r="P502" s="2"/>
    </row>
    <row r="503" spans="13:16" s="1" customFormat="1" x14ac:dyDescent="0.25">
      <c r="M503" s="2"/>
      <c r="N503" s="2"/>
      <c r="O503" s="2"/>
      <c r="P503" s="2"/>
    </row>
    <row r="504" spans="13:16" s="1" customFormat="1" x14ac:dyDescent="0.25">
      <c r="M504" s="2"/>
      <c r="N504" s="2"/>
      <c r="O504" s="2"/>
      <c r="P504" s="2"/>
    </row>
    <row r="505" spans="13:16" s="1" customFormat="1" x14ac:dyDescent="0.25">
      <c r="M505" s="2"/>
      <c r="N505" s="2"/>
      <c r="O505" s="2"/>
      <c r="P505" s="2"/>
    </row>
    <row r="506" spans="13:16" s="1" customFormat="1" x14ac:dyDescent="0.25">
      <c r="M506" s="2"/>
      <c r="N506" s="2"/>
      <c r="O506" s="2"/>
      <c r="P506" s="2"/>
    </row>
    <row r="507" spans="13:16" s="1" customFormat="1" x14ac:dyDescent="0.25">
      <c r="M507" s="2"/>
      <c r="N507" s="2"/>
      <c r="O507" s="2"/>
      <c r="P507" s="2"/>
    </row>
    <row r="508" spans="13:16" s="1" customFormat="1" x14ac:dyDescent="0.25">
      <c r="M508" s="2"/>
      <c r="N508" s="2"/>
      <c r="O508" s="2"/>
      <c r="P508" s="2"/>
    </row>
    <row r="509" spans="13:16" s="1" customFormat="1" x14ac:dyDescent="0.25">
      <c r="M509" s="2"/>
      <c r="N509" s="2"/>
      <c r="O509" s="2"/>
      <c r="P509" s="2"/>
    </row>
    <row r="510" spans="13:16" s="1" customFormat="1" x14ac:dyDescent="0.25">
      <c r="M510" s="2"/>
      <c r="N510" s="2"/>
      <c r="O510" s="2"/>
      <c r="P510" s="2"/>
    </row>
    <row r="511" spans="13:16" s="1" customFormat="1" x14ac:dyDescent="0.25">
      <c r="M511" s="2"/>
      <c r="N511" s="2"/>
      <c r="O511" s="2"/>
      <c r="P511" s="2"/>
    </row>
    <row r="512" spans="13:16" s="1" customFormat="1" x14ac:dyDescent="0.25">
      <c r="M512" s="2"/>
      <c r="N512" s="2"/>
      <c r="O512" s="2"/>
      <c r="P512" s="2"/>
    </row>
    <row r="513" spans="13:16" s="1" customFormat="1" x14ac:dyDescent="0.25">
      <c r="M513" s="2"/>
      <c r="N513" s="2"/>
      <c r="O513" s="2"/>
      <c r="P513" s="2"/>
    </row>
    <row r="514" spans="13:16" s="1" customFormat="1" x14ac:dyDescent="0.25">
      <c r="M514" s="2"/>
      <c r="N514" s="2"/>
      <c r="O514" s="2"/>
      <c r="P514" s="2"/>
    </row>
    <row r="515" spans="13:16" s="1" customFormat="1" x14ac:dyDescent="0.25">
      <c r="M515" s="2"/>
      <c r="N515" s="2"/>
      <c r="O515" s="2"/>
      <c r="P515" s="2"/>
    </row>
    <row r="516" spans="13:16" s="1" customFormat="1" x14ac:dyDescent="0.25">
      <c r="M516" s="2"/>
      <c r="N516" s="2"/>
      <c r="O516" s="2"/>
      <c r="P516" s="2"/>
    </row>
    <row r="517" spans="13:16" s="1" customFormat="1" x14ac:dyDescent="0.25">
      <c r="M517" s="2"/>
      <c r="N517" s="2"/>
      <c r="O517" s="2"/>
      <c r="P517" s="2"/>
    </row>
    <row r="518" spans="13:16" s="1" customFormat="1" x14ac:dyDescent="0.25">
      <c r="M518" s="2"/>
      <c r="N518" s="2"/>
      <c r="O518" s="2"/>
      <c r="P518" s="2"/>
    </row>
    <row r="519" spans="13:16" s="1" customFormat="1" x14ac:dyDescent="0.25">
      <c r="M519" s="2"/>
      <c r="N519" s="2"/>
      <c r="O519" s="2"/>
      <c r="P519" s="2"/>
    </row>
    <row r="520" spans="13:16" s="1" customFormat="1" x14ac:dyDescent="0.25">
      <c r="M520" s="2"/>
      <c r="N520" s="2"/>
      <c r="O520" s="2"/>
      <c r="P520" s="2"/>
    </row>
    <row r="521" spans="13:16" s="1" customFormat="1" x14ac:dyDescent="0.25">
      <c r="M521" s="2"/>
      <c r="N521" s="2"/>
      <c r="O521" s="2"/>
      <c r="P521" s="2"/>
    </row>
    <row r="522" spans="13:16" s="1" customFormat="1" x14ac:dyDescent="0.25">
      <c r="M522" s="2"/>
      <c r="N522" s="2"/>
      <c r="O522" s="2"/>
      <c r="P522" s="2"/>
    </row>
    <row r="523" spans="13:16" s="1" customFormat="1" x14ac:dyDescent="0.25">
      <c r="M523" s="2"/>
      <c r="N523" s="2"/>
      <c r="O523" s="2"/>
      <c r="P523" s="2"/>
    </row>
    <row r="524" spans="13:16" s="1" customFormat="1" x14ac:dyDescent="0.25">
      <c r="M524" s="2"/>
      <c r="N524" s="2"/>
      <c r="O524" s="2"/>
      <c r="P524" s="2"/>
    </row>
    <row r="525" spans="13:16" s="1" customFormat="1" x14ac:dyDescent="0.25">
      <c r="M525" s="2"/>
      <c r="N525" s="2"/>
      <c r="O525" s="2"/>
      <c r="P525" s="2"/>
    </row>
    <row r="526" spans="13:16" s="1" customFormat="1" x14ac:dyDescent="0.25">
      <c r="M526" s="2"/>
      <c r="N526" s="2"/>
      <c r="O526" s="2"/>
      <c r="P526" s="2"/>
    </row>
    <row r="527" spans="13:16" s="1" customFormat="1" x14ac:dyDescent="0.25">
      <c r="M527" s="2"/>
      <c r="N527" s="2"/>
      <c r="O527" s="2"/>
      <c r="P527" s="2"/>
    </row>
    <row r="528" spans="13:16" s="1" customFormat="1" x14ac:dyDescent="0.25">
      <c r="M528" s="2"/>
      <c r="N528" s="2"/>
      <c r="O528" s="2"/>
      <c r="P528" s="2"/>
    </row>
    <row r="529" spans="13:16" s="1" customFormat="1" x14ac:dyDescent="0.25">
      <c r="M529" s="2"/>
      <c r="N529" s="2"/>
      <c r="O529" s="2"/>
      <c r="P529" s="2"/>
    </row>
    <row r="530" spans="13:16" s="1" customFormat="1" x14ac:dyDescent="0.25">
      <c r="M530" s="2"/>
      <c r="N530" s="2"/>
      <c r="O530" s="2"/>
      <c r="P530" s="2"/>
    </row>
    <row r="531" spans="13:16" s="1" customFormat="1" x14ac:dyDescent="0.25">
      <c r="M531" s="2"/>
      <c r="N531" s="2"/>
      <c r="O531" s="2"/>
      <c r="P531" s="2"/>
    </row>
    <row r="532" spans="13:16" s="1" customFormat="1" x14ac:dyDescent="0.25">
      <c r="M532" s="2"/>
      <c r="N532" s="2"/>
      <c r="O532" s="2"/>
      <c r="P532" s="2"/>
    </row>
    <row r="533" spans="13:16" s="1" customFormat="1" x14ac:dyDescent="0.25">
      <c r="M533" s="2"/>
      <c r="N533" s="2"/>
      <c r="O533" s="2"/>
      <c r="P533" s="2"/>
    </row>
    <row r="534" spans="13:16" s="1" customFormat="1" x14ac:dyDescent="0.25">
      <c r="M534" s="2"/>
      <c r="N534" s="2"/>
      <c r="O534" s="2"/>
      <c r="P534" s="2"/>
    </row>
    <row r="535" spans="13:16" s="1" customFormat="1" x14ac:dyDescent="0.25">
      <c r="M535" s="2"/>
      <c r="N535" s="2"/>
      <c r="O535" s="2"/>
      <c r="P535" s="2"/>
    </row>
    <row r="536" spans="13:16" s="1" customFormat="1" x14ac:dyDescent="0.25">
      <c r="M536" s="2"/>
      <c r="N536" s="2"/>
      <c r="O536" s="2"/>
      <c r="P536" s="2"/>
    </row>
    <row r="537" spans="13:16" s="1" customFormat="1" x14ac:dyDescent="0.25">
      <c r="M537" s="2"/>
      <c r="N537" s="2"/>
      <c r="O537" s="2"/>
      <c r="P537" s="2"/>
    </row>
    <row r="538" spans="13:16" s="1" customFormat="1" x14ac:dyDescent="0.25">
      <c r="M538" s="2"/>
      <c r="N538" s="2"/>
      <c r="O538" s="2"/>
      <c r="P538" s="2"/>
    </row>
    <row r="539" spans="13:16" s="1" customFormat="1" x14ac:dyDescent="0.25">
      <c r="M539" s="2"/>
      <c r="N539" s="2"/>
      <c r="O539" s="2"/>
      <c r="P539" s="2"/>
    </row>
    <row r="540" spans="13:16" s="1" customFormat="1" x14ac:dyDescent="0.25">
      <c r="M540" s="2"/>
      <c r="N540" s="2"/>
      <c r="O540" s="2"/>
      <c r="P540" s="2"/>
    </row>
    <row r="541" spans="13:16" s="1" customFormat="1" x14ac:dyDescent="0.25">
      <c r="M541" s="2"/>
      <c r="N541" s="2"/>
      <c r="O541" s="2"/>
      <c r="P541" s="2"/>
    </row>
    <row r="542" spans="13:16" s="1" customFormat="1" x14ac:dyDescent="0.25">
      <c r="M542" s="2"/>
      <c r="N542" s="2"/>
      <c r="O542" s="2"/>
      <c r="P542" s="2"/>
    </row>
    <row r="543" spans="13:16" s="1" customFormat="1" x14ac:dyDescent="0.25">
      <c r="M543" s="2"/>
      <c r="N543" s="2"/>
      <c r="O543" s="2"/>
      <c r="P543" s="2"/>
    </row>
    <row r="544" spans="13:16" s="1" customFormat="1" x14ac:dyDescent="0.25">
      <c r="M544" s="2"/>
      <c r="N544" s="2"/>
      <c r="O544" s="2"/>
      <c r="P544" s="2"/>
    </row>
    <row r="545" spans="13:16" s="1" customFormat="1" x14ac:dyDescent="0.25">
      <c r="M545" s="2"/>
      <c r="N545" s="2"/>
      <c r="O545" s="2"/>
      <c r="P545" s="2"/>
    </row>
    <row r="546" spans="13:16" s="1" customFormat="1" x14ac:dyDescent="0.25">
      <c r="M546" s="2"/>
      <c r="N546" s="2"/>
      <c r="O546" s="2"/>
      <c r="P546" s="2"/>
    </row>
    <row r="547" spans="13:16" s="1" customFormat="1" x14ac:dyDescent="0.25">
      <c r="M547" s="2"/>
      <c r="N547" s="2"/>
      <c r="O547" s="2"/>
      <c r="P547" s="2"/>
    </row>
    <row r="548" spans="13:16" s="1" customFormat="1" x14ac:dyDescent="0.25">
      <c r="M548" s="2"/>
      <c r="N548" s="2"/>
      <c r="O548" s="2"/>
      <c r="P548" s="2"/>
    </row>
    <row r="549" spans="13:16" s="1" customFormat="1" x14ac:dyDescent="0.25">
      <c r="M549" s="2"/>
      <c r="N549" s="2"/>
      <c r="O549" s="2"/>
      <c r="P549" s="2"/>
    </row>
    <row r="550" spans="13:16" s="1" customFormat="1" x14ac:dyDescent="0.25">
      <c r="M550" s="2"/>
      <c r="N550" s="2"/>
      <c r="O550" s="2"/>
      <c r="P550" s="2"/>
    </row>
    <row r="551" spans="13:16" s="1" customFormat="1" x14ac:dyDescent="0.25">
      <c r="M551" s="2"/>
      <c r="N551" s="2"/>
      <c r="O551" s="2"/>
      <c r="P551" s="2"/>
    </row>
    <row r="552" spans="13:16" s="1" customFormat="1" x14ac:dyDescent="0.25">
      <c r="M552" s="2"/>
      <c r="N552" s="2"/>
      <c r="O552" s="2"/>
      <c r="P552" s="2"/>
    </row>
    <row r="553" spans="13:16" s="1" customFormat="1" x14ac:dyDescent="0.25">
      <c r="M553" s="2"/>
      <c r="N553" s="2"/>
      <c r="O553" s="2"/>
      <c r="P553" s="2"/>
    </row>
    <row r="554" spans="13:16" s="1" customFormat="1" x14ac:dyDescent="0.25">
      <c r="M554" s="2"/>
      <c r="N554" s="2"/>
      <c r="O554" s="2"/>
      <c r="P554" s="2"/>
    </row>
    <row r="555" spans="13:16" s="1" customFormat="1" x14ac:dyDescent="0.25">
      <c r="M555" s="2"/>
      <c r="N555" s="2"/>
      <c r="O555" s="2"/>
      <c r="P555" s="2"/>
    </row>
    <row r="556" spans="13:16" s="1" customFormat="1" x14ac:dyDescent="0.25">
      <c r="M556" s="2"/>
      <c r="N556" s="2"/>
      <c r="O556" s="2"/>
      <c r="P556" s="2"/>
    </row>
    <row r="557" spans="13:16" s="1" customFormat="1" x14ac:dyDescent="0.25">
      <c r="M557" s="2"/>
      <c r="N557" s="2"/>
      <c r="O557" s="2"/>
      <c r="P557" s="2"/>
    </row>
    <row r="558" spans="13:16" s="1" customFormat="1" x14ac:dyDescent="0.25">
      <c r="M558" s="2"/>
      <c r="N558" s="2"/>
      <c r="O558" s="2"/>
      <c r="P558" s="2"/>
    </row>
    <row r="559" spans="13:16" s="1" customFormat="1" x14ac:dyDescent="0.25">
      <c r="M559" s="2"/>
      <c r="N559" s="2"/>
      <c r="O559" s="2"/>
      <c r="P559" s="2"/>
    </row>
    <row r="560" spans="13:16" s="1" customFormat="1" x14ac:dyDescent="0.25">
      <c r="M560" s="2"/>
      <c r="N560" s="2"/>
      <c r="O560" s="2"/>
      <c r="P560" s="2"/>
    </row>
    <row r="561" spans="13:16" s="1" customFormat="1" x14ac:dyDescent="0.25">
      <c r="M561" s="2"/>
      <c r="N561" s="2"/>
      <c r="O561" s="2"/>
      <c r="P561" s="2"/>
    </row>
    <row r="562" spans="13:16" s="1" customFormat="1" x14ac:dyDescent="0.25">
      <c r="M562" s="2"/>
      <c r="N562" s="2"/>
      <c r="O562" s="2"/>
      <c r="P562" s="2"/>
    </row>
    <row r="563" spans="13:16" s="1" customFormat="1" x14ac:dyDescent="0.25">
      <c r="M563" s="2"/>
      <c r="N563" s="2"/>
      <c r="O563" s="2"/>
      <c r="P563" s="2"/>
    </row>
    <row r="564" spans="13:16" s="1" customFormat="1" x14ac:dyDescent="0.25">
      <c r="M564" s="2"/>
      <c r="N564" s="2"/>
      <c r="O564" s="2"/>
      <c r="P564" s="2"/>
    </row>
    <row r="565" spans="13:16" s="1" customFormat="1" x14ac:dyDescent="0.25">
      <c r="M565" s="2"/>
      <c r="N565" s="2"/>
      <c r="O565" s="2"/>
      <c r="P565" s="2"/>
    </row>
    <row r="566" spans="13:16" s="1" customFormat="1" x14ac:dyDescent="0.25">
      <c r="M566" s="2"/>
      <c r="N566" s="2"/>
      <c r="O566" s="2"/>
      <c r="P566" s="2"/>
    </row>
    <row r="567" spans="13:16" s="1" customFormat="1" x14ac:dyDescent="0.25">
      <c r="M567" s="2"/>
      <c r="N567" s="2"/>
      <c r="O567" s="2"/>
      <c r="P567" s="2"/>
    </row>
    <row r="568" spans="13:16" s="1" customFormat="1" x14ac:dyDescent="0.25">
      <c r="M568" s="2"/>
      <c r="N568" s="2"/>
      <c r="O568" s="2"/>
      <c r="P568" s="2"/>
    </row>
    <row r="569" spans="13:16" s="1" customFormat="1" x14ac:dyDescent="0.25">
      <c r="M569" s="2"/>
      <c r="N569" s="2"/>
      <c r="O569" s="2"/>
      <c r="P569" s="2"/>
    </row>
    <row r="570" spans="13:16" s="1" customFormat="1" x14ac:dyDescent="0.25">
      <c r="M570" s="2"/>
      <c r="N570" s="2"/>
      <c r="O570" s="2"/>
      <c r="P570" s="2"/>
    </row>
    <row r="571" spans="13:16" s="1" customFormat="1" x14ac:dyDescent="0.25">
      <c r="M571" s="2"/>
      <c r="N571" s="2"/>
      <c r="O571" s="2"/>
      <c r="P571" s="2"/>
    </row>
    <row r="572" spans="13:16" s="1" customFormat="1" x14ac:dyDescent="0.25">
      <c r="M572" s="2"/>
      <c r="N572" s="2"/>
      <c r="O572" s="2"/>
      <c r="P572" s="2"/>
    </row>
    <row r="573" spans="13:16" s="1" customFormat="1" x14ac:dyDescent="0.25">
      <c r="M573" s="2"/>
      <c r="N573" s="2"/>
      <c r="O573" s="2"/>
      <c r="P573" s="2"/>
    </row>
    <row r="574" spans="13:16" s="1" customFormat="1" x14ac:dyDescent="0.25">
      <c r="M574" s="2"/>
      <c r="N574" s="2"/>
      <c r="O574" s="2"/>
      <c r="P574" s="2"/>
    </row>
    <row r="575" spans="13:16" s="1" customFormat="1" x14ac:dyDescent="0.25">
      <c r="M575" s="2"/>
      <c r="N575" s="2"/>
      <c r="O575" s="2"/>
      <c r="P575" s="2"/>
    </row>
    <row r="576" spans="13:16" s="1" customFormat="1" x14ac:dyDescent="0.25">
      <c r="M576" s="2"/>
      <c r="N576" s="2"/>
      <c r="O576" s="2"/>
      <c r="P576" s="2"/>
    </row>
    <row r="577" spans="1:142" s="1" customFormat="1" x14ac:dyDescent="0.25">
      <c r="M577" s="2"/>
      <c r="N577" s="2"/>
      <c r="O577" s="2"/>
      <c r="P577" s="2"/>
    </row>
    <row r="578" spans="1:142" s="1" customFormat="1" x14ac:dyDescent="0.25">
      <c r="M578" s="2"/>
      <c r="N578" s="2"/>
      <c r="O578" s="2"/>
      <c r="P578" s="2"/>
    </row>
    <row r="579" spans="1:142" s="1" customFormat="1" x14ac:dyDescent="0.25">
      <c r="M579" s="2"/>
      <c r="N579" s="2"/>
      <c r="O579" s="2"/>
      <c r="P579" s="2"/>
    </row>
    <row r="580" spans="1:142" s="1" customFormat="1" x14ac:dyDescent="0.25">
      <c r="M580" s="2"/>
      <c r="N580" s="2"/>
      <c r="O580" s="2"/>
      <c r="P580" s="2"/>
    </row>
    <row r="581" spans="1:142" s="4" customFormat="1" x14ac:dyDescent="0.25">
      <c r="A581" s="1"/>
      <c r="M581" s="38"/>
      <c r="N581" s="38"/>
      <c r="O581" s="38"/>
      <c r="P581" s="2"/>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row>
    <row r="582" spans="1:142" s="4" customFormat="1" x14ac:dyDescent="0.25">
      <c r="A582" s="1"/>
      <c r="M582" s="38"/>
      <c r="N582" s="38"/>
      <c r="O582" s="38"/>
      <c r="P582" s="2"/>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row>
    <row r="583" spans="1:142" s="4" customFormat="1" x14ac:dyDescent="0.25">
      <c r="A583" s="1"/>
      <c r="M583" s="38"/>
      <c r="N583" s="38"/>
      <c r="O583" s="38"/>
      <c r="P583" s="2"/>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row>
    <row r="584" spans="1:142" s="4" customFormat="1" x14ac:dyDescent="0.25">
      <c r="A584" s="1"/>
      <c r="M584" s="38"/>
      <c r="N584" s="38"/>
      <c r="O584" s="38"/>
      <c r="P584" s="2"/>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row>
    <row r="585" spans="1:142" s="4" customFormat="1" x14ac:dyDescent="0.25">
      <c r="A585" s="1"/>
      <c r="M585" s="38"/>
      <c r="N585" s="38"/>
      <c r="O585" s="38"/>
      <c r="P585" s="2"/>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row>
    <row r="586" spans="1:142" s="4" customFormat="1" x14ac:dyDescent="0.25">
      <c r="A586" s="1"/>
      <c r="M586" s="38"/>
      <c r="N586" s="38"/>
      <c r="O586" s="38"/>
      <c r="P586" s="2"/>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row>
    <row r="587" spans="1:142" s="4" customFormat="1" x14ac:dyDescent="0.25">
      <c r="A587" s="1"/>
      <c r="M587" s="38"/>
      <c r="N587" s="38"/>
      <c r="O587" s="38"/>
      <c r="P587" s="2"/>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row>
    <row r="588" spans="1:142" s="4" customFormat="1" x14ac:dyDescent="0.25">
      <c r="A588" s="1"/>
      <c r="M588" s="38"/>
      <c r="N588" s="38"/>
      <c r="O588" s="38"/>
      <c r="P588" s="2"/>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row>
    <row r="589" spans="1:142" s="4" customFormat="1" x14ac:dyDescent="0.25">
      <c r="A589" s="1"/>
      <c r="M589" s="38"/>
      <c r="N589" s="38"/>
      <c r="O589" s="38"/>
      <c r="P589" s="2"/>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row>
    <row r="590" spans="1:142" s="4" customFormat="1" x14ac:dyDescent="0.25">
      <c r="A590" s="1"/>
      <c r="M590" s="38"/>
      <c r="N590" s="38"/>
      <c r="O590" s="38"/>
      <c r="P590" s="2"/>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row>
    <row r="591" spans="1:142" s="4" customFormat="1" x14ac:dyDescent="0.25">
      <c r="A591" s="1"/>
      <c r="M591" s="38"/>
      <c r="N591" s="38"/>
      <c r="O591" s="38"/>
      <c r="P591" s="2"/>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row>
    <row r="592" spans="1:142" s="4" customFormat="1" x14ac:dyDescent="0.25">
      <c r="A592" s="1"/>
      <c r="M592" s="38"/>
      <c r="N592" s="38"/>
      <c r="O592" s="38"/>
      <c r="P592" s="2"/>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row>
    <row r="593" spans="1:142" s="4" customFormat="1" x14ac:dyDescent="0.25">
      <c r="A593" s="1"/>
      <c r="M593" s="38"/>
      <c r="N593" s="38"/>
      <c r="O593" s="38"/>
      <c r="P593" s="2"/>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row>
    <row r="594" spans="1:142" s="4" customFormat="1" x14ac:dyDescent="0.25">
      <c r="A594" s="1"/>
      <c r="M594" s="38"/>
      <c r="N594" s="38"/>
      <c r="O594" s="38"/>
      <c r="P594" s="2"/>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row>
    <row r="595" spans="1:142" s="4" customFormat="1" x14ac:dyDescent="0.25">
      <c r="A595" s="1"/>
      <c r="M595" s="38"/>
      <c r="N595" s="38"/>
      <c r="O595" s="38"/>
      <c r="P595" s="2"/>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row>
    <row r="596" spans="1:142" s="4" customFormat="1" x14ac:dyDescent="0.25">
      <c r="A596" s="1"/>
      <c r="M596" s="38"/>
      <c r="N596" s="38"/>
      <c r="O596" s="38"/>
      <c r="P596" s="2"/>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row>
    <row r="597" spans="1:142" s="4" customFormat="1" x14ac:dyDescent="0.25">
      <c r="A597" s="1"/>
      <c r="M597" s="38"/>
      <c r="N597" s="38"/>
      <c r="O597" s="38"/>
      <c r="P597" s="2"/>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row>
    <row r="598" spans="1:142" s="4" customFormat="1" x14ac:dyDescent="0.25">
      <c r="A598" s="1"/>
      <c r="M598" s="38"/>
      <c r="N598" s="38"/>
      <c r="O598" s="38"/>
      <c r="P598" s="2"/>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row>
    <row r="599" spans="1:142" s="4" customFormat="1" x14ac:dyDescent="0.25">
      <c r="A599" s="1"/>
      <c r="M599" s="38"/>
      <c r="N599" s="38"/>
      <c r="O599" s="38"/>
      <c r="P599" s="2"/>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row>
    <row r="600" spans="1:142" s="4" customFormat="1" x14ac:dyDescent="0.25">
      <c r="A600" s="1"/>
      <c r="M600" s="38"/>
      <c r="N600" s="38"/>
      <c r="O600" s="38"/>
      <c r="P600" s="2"/>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row>
    <row r="601" spans="1:142" s="4" customFormat="1" x14ac:dyDescent="0.25">
      <c r="A601" s="1"/>
      <c r="M601" s="38"/>
      <c r="N601" s="38"/>
      <c r="O601" s="38"/>
      <c r="P601" s="2"/>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row>
    <row r="602" spans="1:142" s="4" customFormat="1" x14ac:dyDescent="0.25">
      <c r="A602" s="1"/>
      <c r="M602" s="38"/>
      <c r="N602" s="38"/>
      <c r="O602" s="38"/>
      <c r="P602" s="2"/>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row>
    <row r="603" spans="1:142" s="4" customFormat="1" x14ac:dyDescent="0.25">
      <c r="A603" s="1"/>
      <c r="M603" s="38"/>
      <c r="N603" s="38"/>
      <c r="O603" s="38"/>
      <c r="P603" s="2"/>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row>
    <row r="604" spans="1:142" s="4" customFormat="1" x14ac:dyDescent="0.25">
      <c r="A604" s="1"/>
      <c r="M604" s="38"/>
      <c r="N604" s="38"/>
      <c r="O604" s="38"/>
      <c r="P604" s="2"/>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row>
    <row r="605" spans="1:142" s="4" customFormat="1" x14ac:dyDescent="0.25">
      <c r="A605" s="1"/>
      <c r="M605" s="38"/>
      <c r="N605" s="38"/>
      <c r="O605" s="38"/>
      <c r="P605" s="2"/>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row>
    <row r="606" spans="1:142" s="4" customFormat="1" x14ac:dyDescent="0.25">
      <c r="A606" s="1"/>
      <c r="M606" s="38"/>
      <c r="N606" s="38"/>
      <c r="O606" s="38"/>
      <c r="P606" s="2"/>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row>
    <row r="607" spans="1:142" s="4" customFormat="1" x14ac:dyDescent="0.25">
      <c r="A607" s="1"/>
      <c r="M607" s="38"/>
      <c r="N607" s="38"/>
      <c r="O607" s="38"/>
      <c r="P607" s="2"/>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row>
    <row r="608" spans="1:142" s="4" customFormat="1" x14ac:dyDescent="0.25">
      <c r="A608" s="1"/>
      <c r="M608" s="38"/>
      <c r="N608" s="38"/>
      <c r="O608" s="38"/>
      <c r="P608" s="2"/>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row>
    <row r="609" spans="1:142" s="4" customFormat="1" x14ac:dyDescent="0.25">
      <c r="A609" s="1"/>
      <c r="M609" s="38"/>
      <c r="N609" s="38"/>
      <c r="O609" s="38"/>
      <c r="P609" s="2"/>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row>
    <row r="610" spans="1:142" s="4" customFormat="1" x14ac:dyDescent="0.25">
      <c r="A610" s="1"/>
      <c r="M610" s="38"/>
      <c r="N610" s="38"/>
      <c r="O610" s="38"/>
      <c r="P610" s="2"/>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row>
    <row r="611" spans="1:142" s="4" customFormat="1" x14ac:dyDescent="0.25">
      <c r="A611" s="1"/>
      <c r="M611" s="38"/>
      <c r="N611" s="38"/>
      <c r="O611" s="38"/>
      <c r="P611" s="2"/>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row>
    <row r="612" spans="1:142" s="4" customFormat="1" x14ac:dyDescent="0.25">
      <c r="A612" s="1"/>
      <c r="M612" s="38"/>
      <c r="N612" s="38"/>
      <c r="O612" s="38"/>
      <c r="P612" s="2"/>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row>
    <row r="613" spans="1:142" s="4" customFormat="1" x14ac:dyDescent="0.25">
      <c r="A613" s="1"/>
      <c r="M613" s="38"/>
      <c r="N613" s="38"/>
      <c r="O613" s="38"/>
      <c r="P613" s="2"/>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row>
    <row r="614" spans="1:142" s="4" customFormat="1" x14ac:dyDescent="0.25">
      <c r="A614" s="1"/>
      <c r="M614" s="38"/>
      <c r="N614" s="38"/>
      <c r="O614" s="38"/>
      <c r="P614" s="2"/>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row>
    <row r="615" spans="1:142" s="4" customFormat="1" x14ac:dyDescent="0.25">
      <c r="A615" s="1"/>
      <c r="M615" s="38"/>
      <c r="N615" s="38"/>
      <c r="O615" s="38"/>
      <c r="P615" s="2"/>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row>
    <row r="616" spans="1:142" s="4" customFormat="1" x14ac:dyDescent="0.25">
      <c r="A616" s="1"/>
      <c r="M616" s="38"/>
      <c r="N616" s="38"/>
      <c r="O616" s="38"/>
      <c r="P616" s="2"/>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row>
    <row r="617" spans="1:142" s="4" customFormat="1" x14ac:dyDescent="0.25">
      <c r="A617" s="1"/>
      <c r="M617" s="38"/>
      <c r="N617" s="38"/>
      <c r="O617" s="38"/>
      <c r="P617" s="2"/>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row>
    <row r="618" spans="1:142" s="4" customFormat="1" x14ac:dyDescent="0.25">
      <c r="A618" s="1"/>
      <c r="M618" s="38"/>
      <c r="N618" s="38"/>
      <c r="O618" s="38"/>
      <c r="P618" s="2"/>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row>
    <row r="619" spans="1:142" s="4" customFormat="1" x14ac:dyDescent="0.25">
      <c r="A619" s="1"/>
      <c r="M619" s="38"/>
      <c r="N619" s="38"/>
      <c r="O619" s="38"/>
      <c r="P619" s="2"/>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row>
    <row r="620" spans="1:142" s="4" customFormat="1" x14ac:dyDescent="0.25">
      <c r="A620" s="1"/>
      <c r="M620" s="38"/>
      <c r="N620" s="38"/>
      <c r="O620" s="38"/>
      <c r="P620" s="2"/>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row>
    <row r="621" spans="1:142" s="4" customFormat="1" x14ac:dyDescent="0.25">
      <c r="A621" s="1"/>
      <c r="M621" s="38"/>
      <c r="N621" s="38"/>
      <c r="O621" s="38"/>
      <c r="P621" s="2"/>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row>
    <row r="622" spans="1:142" s="4" customFormat="1" x14ac:dyDescent="0.25">
      <c r="A622" s="1"/>
      <c r="M622" s="38"/>
      <c r="N622" s="38"/>
      <c r="O622" s="38"/>
      <c r="P622" s="2"/>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row>
    <row r="623" spans="1:142" s="4" customFormat="1" x14ac:dyDescent="0.25">
      <c r="A623" s="1"/>
      <c r="M623" s="38"/>
      <c r="N623" s="38"/>
      <c r="O623" s="38"/>
      <c r="P623" s="2"/>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row>
    <row r="624" spans="1:142" s="4" customFormat="1" x14ac:dyDescent="0.25">
      <c r="A624" s="1"/>
      <c r="M624" s="38"/>
      <c r="N624" s="38"/>
      <c r="O624" s="38"/>
      <c r="P624" s="2"/>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row>
    <row r="625" spans="1:142" s="4" customFormat="1" x14ac:dyDescent="0.25">
      <c r="A625" s="1"/>
      <c r="M625" s="38"/>
      <c r="N625" s="38"/>
      <c r="O625" s="38"/>
      <c r="P625" s="2"/>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row>
    <row r="626" spans="1:142" s="4" customFormat="1" x14ac:dyDescent="0.25">
      <c r="A626" s="1"/>
      <c r="M626" s="38"/>
      <c r="N626" s="38"/>
      <c r="O626" s="38"/>
      <c r="P626" s="2"/>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row>
    <row r="627" spans="1:142" s="4" customFormat="1" x14ac:dyDescent="0.25">
      <c r="A627" s="1"/>
      <c r="M627" s="38"/>
      <c r="N627" s="38"/>
      <c r="O627" s="38"/>
      <c r="P627" s="2"/>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row>
    <row r="628" spans="1:142" s="4" customFormat="1" x14ac:dyDescent="0.25">
      <c r="A628" s="1"/>
      <c r="M628" s="38"/>
      <c r="N628" s="38"/>
      <c r="O628" s="38"/>
      <c r="P628" s="2"/>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row>
    <row r="629" spans="1:142" s="4" customFormat="1" x14ac:dyDescent="0.25">
      <c r="A629" s="1"/>
      <c r="M629" s="38"/>
      <c r="N629" s="38"/>
      <c r="O629" s="38"/>
      <c r="P629" s="2"/>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row>
    <row r="630" spans="1:142" s="4" customFormat="1" x14ac:dyDescent="0.25">
      <c r="A630" s="1"/>
      <c r="M630" s="38"/>
      <c r="N630" s="38"/>
      <c r="O630" s="38"/>
      <c r="P630" s="2"/>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row>
    <row r="631" spans="1:142" s="4" customFormat="1" x14ac:dyDescent="0.25">
      <c r="A631" s="1"/>
      <c r="M631" s="38"/>
      <c r="N631" s="38"/>
      <c r="O631" s="38"/>
      <c r="P631" s="2"/>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row>
    <row r="632" spans="1:142" s="4" customFormat="1" x14ac:dyDescent="0.25">
      <c r="A632" s="1"/>
      <c r="M632" s="38"/>
      <c r="N632" s="38"/>
      <c r="O632" s="38"/>
      <c r="P632" s="2"/>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row>
    <row r="633" spans="1:142" s="4" customFormat="1" x14ac:dyDescent="0.25">
      <c r="A633" s="1"/>
      <c r="M633" s="38"/>
      <c r="N633" s="38"/>
      <c r="O633" s="38"/>
      <c r="P633" s="2"/>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row>
    <row r="634" spans="1:142" s="4" customFormat="1" x14ac:dyDescent="0.25">
      <c r="A634" s="1"/>
      <c r="M634" s="38"/>
      <c r="N634" s="38"/>
      <c r="O634" s="38"/>
      <c r="P634" s="2"/>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row>
    <row r="635" spans="1:142" s="4" customFormat="1" x14ac:dyDescent="0.25">
      <c r="A635" s="1"/>
      <c r="M635" s="38"/>
      <c r="N635" s="38"/>
      <c r="O635" s="38"/>
      <c r="P635" s="2"/>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row>
    <row r="636" spans="1:142" s="4" customFormat="1" x14ac:dyDescent="0.25">
      <c r="A636" s="1"/>
      <c r="M636" s="38"/>
      <c r="N636" s="38"/>
      <c r="O636" s="38"/>
      <c r="P636" s="2"/>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row>
    <row r="637" spans="1:142" s="4" customFormat="1" x14ac:dyDescent="0.25">
      <c r="A637" s="1"/>
      <c r="M637" s="38"/>
      <c r="N637" s="38"/>
      <c r="O637" s="38"/>
      <c r="P637" s="2"/>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row>
    <row r="638" spans="1:142" s="4" customFormat="1" x14ac:dyDescent="0.25">
      <c r="A638" s="1"/>
      <c r="M638" s="38"/>
      <c r="N638" s="38"/>
      <c r="O638" s="38"/>
      <c r="P638" s="2"/>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row>
    <row r="639" spans="1:142" s="4" customFormat="1" x14ac:dyDescent="0.25">
      <c r="A639" s="1"/>
      <c r="M639" s="38"/>
      <c r="N639" s="38"/>
      <c r="O639" s="38"/>
      <c r="P639" s="2"/>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row>
    <row r="640" spans="1:142" s="4" customFormat="1" x14ac:dyDescent="0.25">
      <c r="A640" s="1"/>
      <c r="M640" s="38"/>
      <c r="N640" s="38"/>
      <c r="O640" s="38"/>
      <c r="P640" s="2"/>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row>
    <row r="641" spans="1:142" s="4" customFormat="1" x14ac:dyDescent="0.25">
      <c r="A641" s="1"/>
      <c r="M641" s="38"/>
      <c r="N641" s="38"/>
      <c r="O641" s="38"/>
      <c r="P641" s="2"/>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row>
    <row r="642" spans="1:142" s="4" customFormat="1" x14ac:dyDescent="0.25">
      <c r="A642" s="1"/>
      <c r="M642" s="38"/>
      <c r="N642" s="38"/>
      <c r="O642" s="38"/>
      <c r="P642" s="2"/>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row>
    <row r="643" spans="1:142" s="4" customFormat="1" x14ac:dyDescent="0.25">
      <c r="A643" s="1"/>
      <c r="M643" s="38"/>
      <c r="N643" s="38"/>
      <c r="O643" s="38"/>
      <c r="P643" s="2"/>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row>
    <row r="644" spans="1:142" s="4" customFormat="1" x14ac:dyDescent="0.25">
      <c r="A644" s="1"/>
      <c r="M644" s="38"/>
      <c r="N644" s="38"/>
      <c r="O644" s="38"/>
      <c r="P644" s="2"/>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row>
    <row r="645" spans="1:142" s="4" customFormat="1" x14ac:dyDescent="0.25">
      <c r="A645" s="1"/>
      <c r="M645" s="38"/>
      <c r="N645" s="38"/>
      <c r="O645" s="38"/>
      <c r="P645" s="2"/>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row>
    <row r="646" spans="1:142" s="4" customFormat="1" x14ac:dyDescent="0.25">
      <c r="A646" s="1"/>
      <c r="M646" s="38"/>
      <c r="N646" s="38"/>
      <c r="O646" s="38"/>
      <c r="P646" s="2"/>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row>
    <row r="647" spans="1:142" s="4" customFormat="1" x14ac:dyDescent="0.25">
      <c r="A647" s="1"/>
      <c r="M647" s="38"/>
      <c r="N647" s="38"/>
      <c r="O647" s="38"/>
      <c r="P647" s="2"/>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row>
    <row r="648" spans="1:142" s="4" customFormat="1" x14ac:dyDescent="0.25">
      <c r="A648" s="1"/>
      <c r="M648" s="38"/>
      <c r="N648" s="38"/>
      <c r="O648" s="38"/>
      <c r="P648" s="2"/>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row>
    <row r="649" spans="1:142" s="4" customFormat="1" x14ac:dyDescent="0.25">
      <c r="A649" s="1"/>
      <c r="M649" s="38"/>
      <c r="N649" s="38"/>
      <c r="O649" s="38"/>
      <c r="P649" s="2"/>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row>
    <row r="650" spans="1:142" s="4" customFormat="1" x14ac:dyDescent="0.25">
      <c r="A650" s="1"/>
      <c r="M650" s="38"/>
      <c r="N650" s="38"/>
      <c r="O650" s="38"/>
      <c r="P650" s="2"/>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row>
    <row r="651" spans="1:142" s="4" customFormat="1" x14ac:dyDescent="0.25">
      <c r="A651" s="1"/>
      <c r="M651" s="38"/>
      <c r="N651" s="38"/>
      <c r="O651" s="38"/>
      <c r="P651" s="2"/>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row>
    <row r="652" spans="1:142" s="4" customFormat="1" x14ac:dyDescent="0.25">
      <c r="A652" s="1"/>
      <c r="M652" s="38"/>
      <c r="N652" s="38"/>
      <c r="O652" s="38"/>
      <c r="P652" s="2"/>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row>
    <row r="653" spans="1:142" s="4" customFormat="1" x14ac:dyDescent="0.25">
      <c r="A653" s="1"/>
      <c r="M653" s="38"/>
      <c r="N653" s="38"/>
      <c r="O653" s="38"/>
      <c r="P653" s="2"/>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row>
    <row r="654" spans="1:142" s="4" customFormat="1" x14ac:dyDescent="0.25">
      <c r="A654" s="1"/>
      <c r="M654" s="38"/>
      <c r="N654" s="38"/>
      <c r="O654" s="38"/>
      <c r="P654" s="2"/>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row>
    <row r="655" spans="1:142" s="4" customFormat="1" x14ac:dyDescent="0.25">
      <c r="A655" s="1"/>
      <c r="M655" s="38"/>
      <c r="N655" s="38"/>
      <c r="O655" s="38"/>
      <c r="P655" s="2"/>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row>
    <row r="656" spans="1:142" s="4" customFormat="1" x14ac:dyDescent="0.25">
      <c r="A656" s="1"/>
      <c r="M656" s="38"/>
      <c r="N656" s="38"/>
      <c r="O656" s="38"/>
      <c r="P656" s="2"/>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row>
    <row r="657" spans="1:142" s="4" customFormat="1" x14ac:dyDescent="0.25">
      <c r="A657" s="1"/>
      <c r="M657" s="38"/>
      <c r="N657" s="38"/>
      <c r="O657" s="38"/>
      <c r="P657" s="2"/>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row>
    <row r="658" spans="1:142" s="4" customFormat="1" x14ac:dyDescent="0.25">
      <c r="A658" s="1"/>
      <c r="M658" s="38"/>
      <c r="N658" s="38"/>
      <c r="O658" s="38"/>
      <c r="P658" s="2"/>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row>
    <row r="659" spans="1:142" s="4" customFormat="1" x14ac:dyDescent="0.25">
      <c r="A659" s="1"/>
      <c r="M659" s="38"/>
      <c r="N659" s="38"/>
      <c r="O659" s="38"/>
      <c r="P659" s="2"/>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row>
    <row r="660" spans="1:142" s="4" customFormat="1" x14ac:dyDescent="0.25">
      <c r="A660" s="1"/>
      <c r="M660" s="38"/>
      <c r="N660" s="38"/>
      <c r="O660" s="38"/>
      <c r="P660" s="2"/>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row>
    <row r="661" spans="1:142" s="4" customFormat="1" x14ac:dyDescent="0.25">
      <c r="A661" s="1"/>
      <c r="M661" s="38"/>
      <c r="N661" s="38"/>
      <c r="O661" s="38"/>
      <c r="P661" s="2"/>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row>
    <row r="662" spans="1:142" s="4" customFormat="1" x14ac:dyDescent="0.25">
      <c r="A662" s="1"/>
      <c r="M662" s="38"/>
      <c r="N662" s="38"/>
      <c r="O662" s="38"/>
      <c r="P662" s="2"/>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row>
    <row r="663" spans="1:142" s="4" customFormat="1" x14ac:dyDescent="0.25">
      <c r="A663" s="1"/>
      <c r="M663" s="38"/>
      <c r="N663" s="38"/>
      <c r="O663" s="38"/>
      <c r="P663" s="2"/>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row>
    <row r="664" spans="1:142" s="4" customFormat="1" x14ac:dyDescent="0.25">
      <c r="A664" s="1"/>
      <c r="M664" s="38"/>
      <c r="N664" s="38"/>
      <c r="O664" s="38"/>
      <c r="P664" s="2"/>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row>
    <row r="665" spans="1:142" s="4" customFormat="1" x14ac:dyDescent="0.25">
      <c r="A665" s="1"/>
      <c r="M665" s="38"/>
      <c r="N665" s="38"/>
      <c r="O665" s="38"/>
      <c r="P665" s="2"/>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row>
    <row r="666" spans="1:142" s="4" customFormat="1" x14ac:dyDescent="0.25">
      <c r="A666" s="1"/>
      <c r="M666" s="38"/>
      <c r="N666" s="38"/>
      <c r="O666" s="38"/>
      <c r="P666" s="2"/>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row>
    <row r="667" spans="1:142" s="4" customFormat="1" x14ac:dyDescent="0.25">
      <c r="A667" s="1"/>
      <c r="M667" s="38"/>
      <c r="N667" s="38"/>
      <c r="O667" s="38"/>
      <c r="P667" s="2"/>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row>
    <row r="668" spans="1:142" s="4" customFormat="1" x14ac:dyDescent="0.25">
      <c r="A668" s="1"/>
      <c r="M668" s="38"/>
      <c r="N668" s="38"/>
      <c r="O668" s="38"/>
      <c r="P668" s="2"/>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row>
    <row r="669" spans="1:142" s="4" customFormat="1" x14ac:dyDescent="0.25">
      <c r="A669" s="1"/>
      <c r="M669" s="38"/>
      <c r="N669" s="38"/>
      <c r="O669" s="38"/>
      <c r="P669" s="2"/>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row>
    <row r="670" spans="1:142" s="4" customFormat="1" x14ac:dyDescent="0.25">
      <c r="A670" s="1"/>
      <c r="M670" s="38"/>
      <c r="N670" s="38"/>
      <c r="O670" s="38"/>
      <c r="P670" s="2"/>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row>
    <row r="671" spans="1:142" s="4" customFormat="1" x14ac:dyDescent="0.25">
      <c r="A671" s="1"/>
      <c r="M671" s="38"/>
      <c r="N671" s="38"/>
      <c r="O671" s="38"/>
      <c r="P671" s="2"/>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row>
    <row r="672" spans="1:142" s="4" customFormat="1" x14ac:dyDescent="0.25">
      <c r="A672" s="1"/>
      <c r="M672" s="38"/>
      <c r="N672" s="38"/>
      <c r="O672" s="38"/>
      <c r="P672" s="2"/>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row>
    <row r="673" spans="1:142" s="4" customFormat="1" x14ac:dyDescent="0.25">
      <c r="A673" s="1"/>
      <c r="M673" s="38"/>
      <c r="N673" s="38"/>
      <c r="O673" s="38"/>
      <c r="P673" s="2"/>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row>
    <row r="674" spans="1:142" s="4" customFormat="1" x14ac:dyDescent="0.25">
      <c r="A674" s="1"/>
      <c r="M674" s="38"/>
      <c r="N674" s="38"/>
      <c r="O674" s="38"/>
      <c r="P674" s="2"/>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row>
    <row r="675" spans="1:142" s="4" customFormat="1" x14ac:dyDescent="0.25">
      <c r="A675" s="1"/>
      <c r="M675" s="38"/>
      <c r="N675" s="38"/>
      <c r="O675" s="38"/>
      <c r="P675" s="2"/>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row>
    <row r="676" spans="1:142" s="4" customFormat="1" x14ac:dyDescent="0.25">
      <c r="A676" s="1"/>
      <c r="M676" s="38"/>
      <c r="N676" s="38"/>
      <c r="O676" s="38"/>
      <c r="P676" s="2"/>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row>
    <row r="677" spans="1:142" s="4" customFormat="1" x14ac:dyDescent="0.25">
      <c r="A677" s="1"/>
      <c r="M677" s="38"/>
      <c r="N677" s="38"/>
      <c r="O677" s="38"/>
      <c r="P677" s="2"/>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row>
    <row r="678" spans="1:142" s="4" customFormat="1" x14ac:dyDescent="0.25">
      <c r="A678" s="1"/>
      <c r="M678" s="38"/>
      <c r="N678" s="38"/>
      <c r="O678" s="38"/>
      <c r="P678" s="2"/>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row>
    <row r="679" spans="1:142" s="4" customFormat="1" x14ac:dyDescent="0.25">
      <c r="A679" s="1"/>
      <c r="M679" s="38"/>
      <c r="N679" s="38"/>
      <c r="O679" s="38"/>
      <c r="P679" s="2"/>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row>
    <row r="680" spans="1:142" s="4" customFormat="1" x14ac:dyDescent="0.25">
      <c r="A680" s="1"/>
      <c r="M680" s="38"/>
      <c r="N680" s="38"/>
      <c r="O680" s="38"/>
      <c r="P680" s="2"/>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row>
    <row r="681" spans="1:142" s="4" customFormat="1" x14ac:dyDescent="0.25">
      <c r="A681" s="1"/>
      <c r="M681" s="38"/>
      <c r="N681" s="38"/>
      <c r="O681" s="38"/>
      <c r="P681" s="2"/>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row>
    <row r="682" spans="1:142" s="4" customFormat="1" x14ac:dyDescent="0.25">
      <c r="A682" s="1"/>
      <c r="M682" s="38"/>
      <c r="N682" s="38"/>
      <c r="O682" s="38"/>
      <c r="P682" s="2"/>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row>
    <row r="683" spans="1:142" s="4" customFormat="1" x14ac:dyDescent="0.25">
      <c r="A683" s="1"/>
      <c r="M683" s="38"/>
      <c r="N683" s="38"/>
      <c r="O683" s="38"/>
      <c r="P683" s="2"/>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row>
    <row r="684" spans="1:142" s="4" customFormat="1" x14ac:dyDescent="0.25">
      <c r="A684" s="1"/>
      <c r="M684" s="38"/>
      <c r="N684" s="38"/>
      <c r="O684" s="38"/>
      <c r="P684" s="2"/>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row>
  </sheetData>
  <mergeCells count="104">
    <mergeCell ref="B42:F42"/>
    <mergeCell ref="C46:D46"/>
    <mergeCell ref="C45:E45"/>
    <mergeCell ref="C43:G43"/>
    <mergeCell ref="B49:E49"/>
    <mergeCell ref="B40:G40"/>
    <mergeCell ref="H40:L40"/>
    <mergeCell ref="H39:L39"/>
    <mergeCell ref="B39:G39"/>
    <mergeCell ref="C44:H44"/>
    <mergeCell ref="H38:L38"/>
    <mergeCell ref="H37:L37"/>
    <mergeCell ref="H36:L36"/>
    <mergeCell ref="H35:L35"/>
    <mergeCell ref="H34:L34"/>
    <mergeCell ref="B33:G33"/>
    <mergeCell ref="H33:L33"/>
    <mergeCell ref="B34:G34"/>
    <mergeCell ref="B35:G35"/>
    <mergeCell ref="B36:G36"/>
    <mergeCell ref="B37:G37"/>
    <mergeCell ref="B38:G38"/>
    <mergeCell ref="B29:G29"/>
    <mergeCell ref="B30:G30"/>
    <mergeCell ref="B31:G31"/>
    <mergeCell ref="B32:G32"/>
    <mergeCell ref="H27:L27"/>
    <mergeCell ref="H28:L28"/>
    <mergeCell ref="H29:L29"/>
    <mergeCell ref="H30:L30"/>
    <mergeCell ref="H31:L31"/>
    <mergeCell ref="H32:L32"/>
    <mergeCell ref="M84:O87"/>
    <mergeCell ref="B15:E15"/>
    <mergeCell ref="B8:L8"/>
    <mergeCell ref="B17:E17"/>
    <mergeCell ref="B18:E18"/>
    <mergeCell ref="F18:G18"/>
    <mergeCell ref="G15:K15"/>
    <mergeCell ref="H18:L18"/>
    <mergeCell ref="C3:G3"/>
    <mergeCell ref="C4:G4"/>
    <mergeCell ref="C5:G5"/>
    <mergeCell ref="C6:G6"/>
    <mergeCell ref="B10:E10"/>
    <mergeCell ref="B11:E11"/>
    <mergeCell ref="B12:E12"/>
    <mergeCell ref="B13:E13"/>
    <mergeCell ref="B14:E14"/>
    <mergeCell ref="B23:L25"/>
    <mergeCell ref="B21:F21"/>
    <mergeCell ref="B22:E22"/>
    <mergeCell ref="B26:G26"/>
    <mergeCell ref="H26:L26"/>
    <mergeCell ref="B27:G27"/>
    <mergeCell ref="B28:G28"/>
    <mergeCell ref="M3:O3"/>
    <mergeCell ref="M8:O8"/>
    <mergeCell ref="M10:O10"/>
    <mergeCell ref="M12:O13"/>
    <mergeCell ref="M43:O43"/>
    <mergeCell ref="M44:O46"/>
    <mergeCell ref="M49:O50"/>
    <mergeCell ref="C74:L74"/>
    <mergeCell ref="B76:G76"/>
    <mergeCell ref="B50:L50"/>
    <mergeCell ref="B52:L52"/>
    <mergeCell ref="B53:L53"/>
    <mergeCell ref="B59:L59"/>
    <mergeCell ref="C54:L54"/>
    <mergeCell ref="C55:L55"/>
    <mergeCell ref="C56:L56"/>
    <mergeCell ref="C57:L57"/>
    <mergeCell ref="C58:L58"/>
    <mergeCell ref="B60:L60"/>
    <mergeCell ref="M52:O52"/>
    <mergeCell ref="N53:O54"/>
    <mergeCell ref="N56:O57"/>
    <mergeCell ref="N59:O62"/>
    <mergeCell ref="N64:O66"/>
    <mergeCell ref="B77:F77"/>
    <mergeCell ref="B78:L80"/>
    <mergeCell ref="B82:L82"/>
    <mergeCell ref="B83:L83"/>
    <mergeCell ref="B84:L84"/>
    <mergeCell ref="B85:L86"/>
    <mergeCell ref="B88:F88"/>
    <mergeCell ref="M90:O92"/>
    <mergeCell ref="C61:L61"/>
    <mergeCell ref="C62:L62"/>
    <mergeCell ref="C63:L63"/>
    <mergeCell ref="C64:L64"/>
    <mergeCell ref="C65:L65"/>
    <mergeCell ref="C66:L66"/>
    <mergeCell ref="B67:L67"/>
    <mergeCell ref="B68:L68"/>
    <mergeCell ref="C69:L69"/>
    <mergeCell ref="C70:L70"/>
    <mergeCell ref="C71:L71"/>
    <mergeCell ref="C72:L72"/>
    <mergeCell ref="C73:L73"/>
    <mergeCell ref="N68:O70"/>
    <mergeCell ref="M76:O77"/>
    <mergeCell ref="M78:O78"/>
  </mergeCells>
  <conditionalFormatting sqref="B52">
    <cfRule type="expression" dxfId="10" priority="34">
      <formula>$B$52="DESIGNATED SEISMIC SYTEMS ARE NOT APPLICABLE FOR THIS PROJECT due to the Seismic Design Category being less than C and/or the Risk Category being less than III."</formula>
    </cfRule>
  </conditionalFormatting>
  <conditionalFormatting sqref="B82:B85">
    <cfRule type="expression" dxfId="9" priority="19">
      <formula>$B$78="Final Walk Down Inspection of non-structural Designated Seismic Systems does not apply to this project (no Designated Seismic Systems)"</formula>
    </cfRule>
  </conditionalFormatting>
  <conditionalFormatting sqref="C54:C58">
    <cfRule type="expression" dxfId="8" priority="36">
      <formula>$B$54="N/A"</formula>
    </cfRule>
  </conditionalFormatting>
  <conditionalFormatting sqref="C61:C66">
    <cfRule type="expression" dxfId="7" priority="1">
      <formula>$B$54="N/A"</formula>
    </cfRule>
  </conditionalFormatting>
  <conditionalFormatting sqref="C69:C74">
    <cfRule type="expression" dxfId="6" priority="27">
      <formula>$B$54="N/A"</formula>
    </cfRule>
  </conditionalFormatting>
  <conditionalFormatting sqref="M84 M88:O88">
    <cfRule type="expression" dxfId="5" priority="16">
      <formula>$B$74="N/A"</formula>
    </cfRule>
  </conditionalFormatting>
  <conditionalFormatting sqref="N52:N53">
    <cfRule type="expression" dxfId="4" priority="9">
      <formula>$B$54="N/A"</formula>
    </cfRule>
  </conditionalFormatting>
  <conditionalFormatting sqref="N53 N55:O55 N56 N58:O58 N59 N63:O63 N64 N67:O67 N68">
    <cfRule type="expression" dxfId="3" priority="11">
      <formula>$B$54="N/A"</formula>
    </cfRule>
  </conditionalFormatting>
  <conditionalFormatting sqref="N64">
    <cfRule type="expression" dxfId="2" priority="12">
      <formula>AND(OR(F11="I",F11="II",F11="III"),$F$15="No")</formula>
    </cfRule>
  </conditionalFormatting>
  <conditionalFormatting sqref="N68">
    <cfRule type="expression" dxfId="1" priority="10">
      <formula>$F$15="No"</formula>
    </cfRule>
  </conditionalFormatting>
  <conditionalFormatting sqref="N53:O54">
    <cfRule type="expression" dxfId="0" priority="6">
      <formula>$B$54="N/A"</formula>
    </cfRule>
  </conditionalFormatting>
  <dataValidations count="3">
    <dataValidation type="list" allowBlank="1" showInputMessage="1" showErrorMessage="1" error="Must select from drop down menu" promptTitle="Input Seismic Design Category" sqref="F10" xr:uid="{00000000-0002-0000-0000-000000000000}">
      <formula1>$Q$10:$Q$15</formula1>
    </dataValidation>
    <dataValidation type="list" allowBlank="1" showInputMessage="1" showErrorMessage="1" error="Must select from drop down menu" promptTitle="Input Risk Category" sqref="F11" xr:uid="{00000000-0002-0000-0000-000001000000}">
      <formula1>$R$10:$R$14</formula1>
    </dataValidation>
    <dataValidation type="list" allowBlank="1" showInputMessage="1" showErrorMessage="1" error="Must select from drop down menu" sqref="F15:F16" xr:uid="{00000000-0002-0000-0000-000002000000}">
      <formula1>$S$10:$S$11</formula1>
    </dataValidation>
  </dataValidations>
  <pageMargins left="0.7" right="0.7" top="0.75" bottom="0.75" header="0.8" footer="0.55000000000000004"/>
  <pageSetup orientation="portrait" r:id="rId1"/>
  <rowBreaks count="1" manualBreakCount="1">
    <brk id="42" min="1" max="11"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NMCI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Craven, Curtis L CIV NAVFAC LANT, CI</dc:creator>
  <cp:lastModifiedBy>Lynne Langley</cp:lastModifiedBy>
  <cp:lastPrinted>2024-11-01T18:07:29Z</cp:lastPrinted>
  <dcterms:created xsi:type="dcterms:W3CDTF">2017-02-22T11:45:07Z</dcterms:created>
  <dcterms:modified xsi:type="dcterms:W3CDTF">2025-07-15T14:51:22Z</dcterms:modified>
</cp:coreProperties>
</file>