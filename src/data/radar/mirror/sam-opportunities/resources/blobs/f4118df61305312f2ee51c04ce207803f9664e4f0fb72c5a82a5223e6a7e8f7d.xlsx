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rmyeitaas-my.sharepoint-mil.us/personal/ambre_d_wallitsch_civ_army_mil/Documents/Documents/AD Duties/APBI/FY2026/1 - Requirements Listing/0 - Listing for Sam.gov posting ONLY/"/>
    </mc:Choice>
  </mc:AlternateContent>
  <xr:revisionPtr revIDLastSave="0" documentId="8_{513A64AE-0FAE-4FB0-9BBC-958ECD726EA4}" xr6:coauthVersionLast="47" xr6:coauthVersionMax="47" xr10:uidLastSave="{00000000-0000-0000-0000-000000000000}"/>
  <bookViews>
    <workbookView xWindow="-28920" yWindow="150" windowWidth="29040" windowHeight="15450" activeTab="1" xr2:uid="{0DD47558-F7FC-4727-8BD2-87B78669DBEF}"/>
  </bookViews>
  <sheets>
    <sheet name="Disclaimer" sheetId="1" r:id="rId1"/>
    <sheet name="Requirements" sheetId="2" r:id="rId2"/>
  </sheets>
  <externalReferences>
    <externalReference r:id="rId3"/>
  </externalReferences>
  <definedNames>
    <definedName name="_xlnm._FilterDatabase" localSheetId="0" hidden="1">Disclaimer!$E$1:$Z$179</definedName>
    <definedName name="Slicer_Awarding_Contracting_Office_Name">#N/A</definedName>
    <definedName name="Slicer_Current_Contracting_Office_Name">#N/A</definedName>
    <definedName name="Slicer_Facility_Clearance_Required__Y_N">#N/A</definedName>
    <definedName name="Slicer_NAICS_Code">#N/A</definedName>
    <definedName name="Slicer_Principal_Place_of_Performance___State">#N/A</definedName>
    <definedName name="Slicer_Security_Clearance_Required__Y_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2" l="1"/>
  <c r="X4" i="2"/>
  <c r="X5" i="2"/>
  <c r="X6" i="2"/>
  <c r="X7" i="2"/>
  <c r="X8" i="2"/>
  <c r="X10" i="2"/>
  <c r="X11" i="2"/>
  <c r="X12" i="2"/>
  <c r="X13" i="2"/>
  <c r="X14" i="2"/>
  <c r="X15" i="2"/>
  <c r="X16" i="2"/>
  <c r="X17" i="2"/>
  <c r="X18" i="2"/>
  <c r="X19" i="2"/>
  <c r="X22" i="2"/>
  <c r="X23" i="2"/>
  <c r="X25" i="2"/>
  <c r="X26" i="2"/>
  <c r="X27" i="2"/>
  <c r="X28" i="2"/>
  <c r="X29" i="2"/>
  <c r="X30" i="2"/>
  <c r="X31" i="2"/>
  <c r="X32" i="2"/>
  <c r="X33" i="2"/>
  <c r="X34" i="2"/>
  <c r="X35" i="2"/>
  <c r="X36" i="2"/>
  <c r="X37" i="2"/>
  <c r="X38" i="2"/>
  <c r="X41" i="2"/>
  <c r="X44" i="2"/>
  <c r="X45" i="2"/>
  <c r="X46" i="2"/>
  <c r="X47" i="2"/>
  <c r="X49" i="2"/>
  <c r="X51" i="2"/>
  <c r="X52" i="2"/>
  <c r="X55" i="2"/>
  <c r="X56" i="2"/>
  <c r="X57" i="2"/>
  <c r="X58" i="2"/>
  <c r="X59" i="2"/>
  <c r="X61" i="2"/>
  <c r="X62" i="2"/>
  <c r="X63" i="2"/>
  <c r="X64" i="2"/>
  <c r="X65" i="2"/>
  <c r="X66" i="2"/>
  <c r="X67" i="2"/>
  <c r="X69" i="2"/>
  <c r="X72" i="2"/>
  <c r="X73" i="2"/>
  <c r="X74" i="2"/>
  <c r="X75" i="2"/>
  <c r="X76" i="2"/>
  <c r="X78" i="2"/>
  <c r="X79" i="2"/>
  <c r="X81" i="2"/>
  <c r="X82" i="2"/>
  <c r="X83" i="2"/>
  <c r="X84" i="2"/>
  <c r="X85" i="2"/>
  <c r="X87" i="2"/>
  <c r="X88" i="2"/>
  <c r="X89" i="2"/>
  <c r="X90" i="2"/>
  <c r="X91" i="2"/>
  <c r="X93" i="2"/>
  <c r="X95" i="2"/>
  <c r="X96" i="2"/>
  <c r="X97" i="2"/>
  <c r="X98" i="2"/>
  <c r="X99" i="2"/>
  <c r="X101" i="2"/>
  <c r="X102" i="2"/>
  <c r="X103" i="2"/>
  <c r="X104" i="2"/>
  <c r="X105" i="2"/>
  <c r="X106" i="2"/>
  <c r="X107" i="2"/>
  <c r="X108" i="2"/>
  <c r="X109" i="2"/>
  <c r="X110" i="2"/>
  <c r="X111" i="2"/>
  <c r="X112" i="2"/>
  <c r="X114" i="2"/>
  <c r="X115" i="2"/>
  <c r="X116" i="2"/>
  <c r="X117" i="2"/>
  <c r="X118" i="2"/>
  <c r="X119" i="2"/>
  <c r="X120" i="2"/>
  <c r="X121" i="2"/>
  <c r="X122" i="2"/>
  <c r="X123" i="2"/>
  <c r="X124" i="2"/>
  <c r="X125" i="2"/>
  <c r="X126" i="2"/>
  <c r="X128" i="2"/>
  <c r="X129" i="2"/>
  <c r="X130" i="2"/>
  <c r="X132" i="2"/>
  <c r="X133" i="2"/>
  <c r="X134" i="2"/>
  <c r="X135" i="2"/>
  <c r="X136" i="2"/>
  <c r="X137" i="2"/>
  <c r="X140" i="2"/>
  <c r="X141"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1" i="2"/>
  <c r="X172" i="2"/>
  <c r="X173" i="2"/>
  <c r="X175" i="2"/>
  <c r="X176" i="2"/>
  <c r="X177" i="2"/>
  <c r="X178" i="2"/>
  <c r="X179" i="2"/>
  <c r="X180" i="2"/>
  <c r="X2" i="2"/>
</calcChain>
</file>

<file path=xl/sharedStrings.xml><?xml version="1.0" encoding="utf-8"?>
<sst xmlns="http://schemas.openxmlformats.org/spreadsheetml/2006/main" count="3100" uniqueCount="840">
  <si>
    <t>Awarding Contracting Office Name</t>
  </si>
  <si>
    <t>Current Contracting Office Name</t>
  </si>
  <si>
    <t>Principal Place of Performance - City</t>
  </si>
  <si>
    <t>Principal Place of Performance - State</t>
  </si>
  <si>
    <t>PEO/Command</t>
  </si>
  <si>
    <t>Description of Requirement</t>
  </si>
  <si>
    <t>Contract Type</t>
  </si>
  <si>
    <t>Service/Supply/Construction</t>
  </si>
  <si>
    <t>NAICS Description</t>
  </si>
  <si>
    <t>Period of Performance Start Date</t>
  </si>
  <si>
    <t>Ultimate Completion Date</t>
  </si>
  <si>
    <t>Ultimate Completion Date Fiscal Year</t>
  </si>
  <si>
    <t>Facility Clearance Required (Y/N)</t>
  </si>
  <si>
    <t>Security Clearance Required (Y/N)</t>
  </si>
  <si>
    <t>418TH CSB: DUGWAY PROVING GROUND</t>
  </si>
  <si>
    <t>FULL AND OPEN COMPETITION AFTER EXCLUSION OF SOURCES</t>
  </si>
  <si>
    <t>8(A) COMPETED</t>
  </si>
  <si>
    <t>47QTCB21D0320</t>
  </si>
  <si>
    <t>W911S624F0043</t>
  </si>
  <si>
    <t>ADVANCED TECHNOLOGY LEADERS, INC.</t>
  </si>
  <si>
    <t>DUGWAY</t>
  </si>
  <si>
    <t>UT</t>
  </si>
  <si>
    <t>USATEC</t>
  </si>
  <si>
    <t>DATA SCIENCE IT SUPPORT SERVICES</t>
  </si>
  <si>
    <t>FFP, T&amp;M</t>
  </si>
  <si>
    <t>SERV</t>
  </si>
  <si>
    <t>COMPUTER SYSTEMS DESIGN SERVICES</t>
  </si>
  <si>
    <t>N</t>
  </si>
  <si>
    <t>Y</t>
  </si>
  <si>
    <t>COMPETED UNDER SAT</t>
  </si>
  <si>
    <t>WOMEN OWNED SMALL BUSINESS</t>
  </si>
  <si>
    <t>W911S621C0003</t>
  </si>
  <si>
    <t>MELLOR ENGINEERING, INC.</t>
  </si>
  <si>
    <t>AMC: IMCOM</t>
  </si>
  <si>
    <t>ENVIRONMENTAL SUPPORT SERVICES</t>
  </si>
  <si>
    <t>FFP</t>
  </si>
  <si>
    <t>HAZARDOUS WASTE COLLECTION</t>
  </si>
  <si>
    <t>NO SET ASIDE USED</t>
  </si>
  <si>
    <t>W911S621P0015</t>
  </si>
  <si>
    <t>SPECTRAL DYNAMICS, INC.</t>
  </si>
  <si>
    <t>VIBRATION SYSTEM MAINTENANCE</t>
  </si>
  <si>
    <t>COMMERCIAL AND INDUSTRIAL MACHINERY AND EQUIPMENT (EXCEPT AUTOMOTIVE AND ELECTRONIC) REPAIR AND MAINTENANCE</t>
  </si>
  <si>
    <t>W911S622P0019</t>
  </si>
  <si>
    <t>FULL SPECTRUM GROUP LLC</t>
  </si>
  <si>
    <t>TOOELE</t>
  </si>
  <si>
    <t>AGILENT INSTRUMENT SERVICES</t>
  </si>
  <si>
    <t>OTHER ELECTRONIC AND PRECISION EQUIPMENT REPAIR AND MAINTENANCE</t>
  </si>
  <si>
    <t>8A COMPETED</t>
  </si>
  <si>
    <t>W911S623P0005</t>
  </si>
  <si>
    <t>INNOVATIVE CONSULTING &amp; MANAGEMENT SERVICES, LLC</t>
  </si>
  <si>
    <t>CUSTODIAL SERVICE</t>
  </si>
  <si>
    <t>JANITORIAL SERVICES</t>
  </si>
  <si>
    <t>418TH CSB: FORT CARSON</t>
  </si>
  <si>
    <t>SMALL BUSINESS SET ASIDE - TOTAL</t>
  </si>
  <si>
    <t>W911RZ23P0021</t>
  </si>
  <si>
    <t>EXCEL DRIVER SERVICES, LLC</t>
  </si>
  <si>
    <t>COLORADO SPRINGS</t>
  </si>
  <si>
    <t>CO</t>
  </si>
  <si>
    <t>USASOC</t>
  </si>
  <si>
    <t>CDL CLASS A TRAINING</t>
  </si>
  <si>
    <t>AUTOMOBILE DRIVING SCHOOLS</t>
  </si>
  <si>
    <t>NOT COMPETED UNDER SAT</t>
  </si>
  <si>
    <t>W911RZ25P0007</t>
  </si>
  <si>
    <t>FIRELAKE CONSTRUCTION INC</t>
  </si>
  <si>
    <t>INTEGRATED COMMERCIAL INTRUSION DETECTION SYSTEM (ICIDS) MONITORING &amp; MAINTENANCE AT FORT CARSON, CO</t>
  </si>
  <si>
    <t>SECURITY SYSTEMS SERVICES (EXCEPT LOCKSMITHS)</t>
  </si>
  <si>
    <t>418TH CSB: FORT HOOD</t>
  </si>
  <si>
    <t>W9115121C0025</t>
  </si>
  <si>
    <t>GEMINI TECH SERVICES LLC</t>
  </si>
  <si>
    <t>FORT HOOD</t>
  </si>
  <si>
    <t>TX</t>
  </si>
  <si>
    <t>TRAINING AIDES, DEVICES, SIMULATORS, SIMULATIONS SERVICES AT FORT HOOD, TEXAS</t>
  </si>
  <si>
    <t>FACILITIES SUPPORT SERVICES</t>
  </si>
  <si>
    <t>NOT AVAILABLE FOR COMPETITION</t>
  </si>
  <si>
    <t>W9115122C0018</t>
  </si>
  <si>
    <t>PROFESSIONAL CONTRACT SERVICES, INC.</t>
  </si>
  <si>
    <t>ADMINISTRATIVE SERVICES</t>
  </si>
  <si>
    <t>OFFICE ADMINISTRATIVE SERVICES</t>
  </si>
  <si>
    <t>GS06Q17BQDS205</t>
  </si>
  <si>
    <t>W9115123F0079</t>
  </si>
  <si>
    <t>BROWN POINT FACILITY MANAGEMENT SOLUTIONS, LLC</t>
  </si>
  <si>
    <t>PEST MGMT SERVICES</t>
  </si>
  <si>
    <t>W9115122C0007</t>
  </si>
  <si>
    <t>KATMAI TECHNICAL SERVICES, LLC</t>
  </si>
  <si>
    <t>RANGE OPERATIONS FOR DIRECTORATE OF PLANS, TRAINING, MOBILIZATION AND SECURITY AT FORT HOOD, TEXAS</t>
  </si>
  <si>
    <t>FFP, COST</t>
  </si>
  <si>
    <t>W9115123P0060</t>
  </si>
  <si>
    <t>EVERGREEN FIRE ALARMS, LLC</t>
  </si>
  <si>
    <t>KILLEEN</t>
  </si>
  <si>
    <t>FORSCOM</t>
  </si>
  <si>
    <t>UPDATING ENTRY CONTROL SYSTEM TO 1ST CAV DIVISION HEADQUARTERS.</t>
  </si>
  <si>
    <t>OTHER COMMUNICATIONS EQUIPMENT MANUFACTURING</t>
  </si>
  <si>
    <t>W9115123P0117</t>
  </si>
  <si>
    <t>FORGE FOUNDATION INC</t>
  </si>
  <si>
    <t>LETHAL MEANS SAFETY TRAINING</t>
  </si>
  <si>
    <t>ALL OTHER MISCELLANEOUS SCHOOLS AND INSTRUCTION</t>
  </si>
  <si>
    <t>FULL AND OPEN AFTER EXCLUSION OF SOURCES</t>
  </si>
  <si>
    <t>W9115123D0008</t>
  </si>
  <si>
    <t>YULISTA GAN TECHNOLOGY SERVICES, LLC</t>
  </si>
  <si>
    <t>OTC</t>
  </si>
  <si>
    <t>TEST TECHNOLOGY SUPPORT SERVICES (TTSS)</t>
  </si>
  <si>
    <t>CPFF</t>
  </si>
  <si>
    <t>ENGINEERING SERVICES</t>
  </si>
  <si>
    <t>418TH CSB: FORT POLK</t>
  </si>
  <si>
    <t>W9124E23P0018</t>
  </si>
  <si>
    <t>DOC DEVELOPMENT, INC.</t>
  </si>
  <si>
    <t>FORT POLK</t>
  </si>
  <si>
    <t>LA</t>
  </si>
  <si>
    <t>DRAYAGE SERVICES</t>
  </si>
  <si>
    <t>USED HOUSEHOLD AND OFFICE GOODS MOVING</t>
  </si>
  <si>
    <t>418TH CSB: FORT RILEY</t>
  </si>
  <si>
    <t>W911RX24D0001</t>
  </si>
  <si>
    <t>BAYER CONSTRUCTION COMPANY, INC.</t>
  </si>
  <si>
    <t>FORT RILEY</t>
  </si>
  <si>
    <t>KS</t>
  </si>
  <si>
    <t>USAG</t>
  </si>
  <si>
    <t>ROAD MAINTENANCE</t>
  </si>
  <si>
    <t>HIGHWAY, STREET, AND BRIDGE CONSTRUCTION</t>
  </si>
  <si>
    <t>418TH CSB: JOINT BASE LEWIS-MCCHORD</t>
  </si>
  <si>
    <t>FULL AND OPEN COMPETITION</t>
  </si>
  <si>
    <t>GS35F369BA</t>
  </si>
  <si>
    <t>W911S822F0103</t>
  </si>
  <si>
    <t>TECHNOLOGIST, INC</t>
  </si>
  <si>
    <t>JOINT BASE LEWIS MCCHORD</t>
  </si>
  <si>
    <t>WA</t>
  </si>
  <si>
    <t>AIR FORCE</t>
  </si>
  <si>
    <t>WORK PLANNING AND EXECUTION SUPPORT SERVICES</t>
  </si>
  <si>
    <t>CUSTOM COMPUTER PROGRAMMING SERVICES</t>
  </si>
  <si>
    <t>W911S823C0016</t>
  </si>
  <si>
    <t>UNITED POOL MAINTENANCE LLC</t>
  </si>
  <si>
    <t>TACOMA</t>
  </si>
  <si>
    <t>POOL MAINTENANCE</t>
  </si>
  <si>
    <t>OTHER SERVICES TO BUILDINGS AND DWELLINGS</t>
  </si>
  <si>
    <t>419TH CSB: FORT BRAGG</t>
  </si>
  <si>
    <t>SERVICE DISABLED VETERAN OWNED SMALL BUSINESS SET-ASIDE</t>
  </si>
  <si>
    <t>GS10F0279Y</t>
  </si>
  <si>
    <t>W9124724F0357</t>
  </si>
  <si>
    <t>LOGMET LLC</t>
  </si>
  <si>
    <t>FORT BRAGG</t>
  </si>
  <si>
    <t>NC</t>
  </si>
  <si>
    <t>AIR ITEM MAINTENANCE SUPPORT SERVICES</t>
  </si>
  <si>
    <t>PROCESS, PHYSICAL DISTRIBUTION, AND LOGISTICS CONSULTING SERVICES</t>
  </si>
  <si>
    <t>W9124721C0063</t>
  </si>
  <si>
    <t>PHILLIPS CORPORATION</t>
  </si>
  <si>
    <t>MACHINE SHOP MAINTENANCE</t>
  </si>
  <si>
    <t>HUBZONE SET-ASIDE</t>
  </si>
  <si>
    <t>W9124721P0010</t>
  </si>
  <si>
    <t>HORIZON SOLUTION COMPANY</t>
  </si>
  <si>
    <t>PRESSURE WASHING SERVICES</t>
  </si>
  <si>
    <t>47QRAD20D8154</t>
  </si>
  <si>
    <t>W9124724F0049</t>
  </si>
  <si>
    <t>DAWSON SOLUTIONS, LLC</t>
  </si>
  <si>
    <t>USARC</t>
  </si>
  <si>
    <t>G35 ANALYST SUPPORT SERVICES</t>
  </si>
  <si>
    <t>W9124722P0077</t>
  </si>
  <si>
    <t>OPERATIONS SERVICES, INC.</t>
  </si>
  <si>
    <t>RANGE SUPPORT SERVICES</t>
  </si>
  <si>
    <t>W9124723C0064</t>
  </si>
  <si>
    <t>VALKOS CORPORATION</t>
  </si>
  <si>
    <t>COMET</t>
  </si>
  <si>
    <t>W9124723C0071</t>
  </si>
  <si>
    <t>LC INDUSTRIES INC</t>
  </si>
  <si>
    <t>MATTRESS REFURBISHMENT</t>
  </si>
  <si>
    <t>REUPHOLSTERY AND FURNITURE REPAIR</t>
  </si>
  <si>
    <t>47QRAA19D002G</t>
  </si>
  <si>
    <t>W9124723F0044</t>
  </si>
  <si>
    <t>UNIVERSAL SOLUTIONS INTERNATIONAL, INCORPORATED</t>
  </si>
  <si>
    <t>MATERIAL MANAGEMENT TEAM (MMT)</t>
  </si>
  <si>
    <t>GS00F002HA</t>
  </si>
  <si>
    <t>W9124725F0003</t>
  </si>
  <si>
    <t>USARCENT</t>
  </si>
  <si>
    <t>FINANCIAL SYSTEMS SUPPORT SERVICES</t>
  </si>
  <si>
    <t>GS00Q14OADS115</t>
  </si>
  <si>
    <t>W9124723F2050</t>
  </si>
  <si>
    <t>ECOMPEX, INC.</t>
  </si>
  <si>
    <t>AVIATION STRATEGIC SUPPORT SERVICES</t>
  </si>
  <si>
    <t>GS10F0190W</t>
  </si>
  <si>
    <t>W9124723F0139</t>
  </si>
  <si>
    <t>INFINITY TECHNOLOGY, LLC</t>
  </si>
  <si>
    <t>MANPOWER SUPPORT SERVICES</t>
  </si>
  <si>
    <t>ADMINISTRATIVE MANAGEMENT AND GENERAL MANAGEMENT CONSULTING SERVICES</t>
  </si>
  <si>
    <t>W9124724F0320</t>
  </si>
  <si>
    <t>FAYETTEVILLE</t>
  </si>
  <si>
    <t>MAINTENANCE SUPPORT SERVICES FOR GROUND SUPPORT EQUIPMENT (GSE), AUTOMOTIVE, AND ARMAMENT SYSTEMS</t>
  </si>
  <si>
    <t>W9124723C0072</t>
  </si>
  <si>
    <t>EXCALIBUR ASSOCIATES INC</t>
  </si>
  <si>
    <t>UNSCHEDULED MAINTENANCE AND REPAIR</t>
  </si>
  <si>
    <t>W9124723C9000</t>
  </si>
  <si>
    <t>AVALON CONTRACTING INC</t>
  </si>
  <si>
    <t>WASHER &amp; DRYER MAINTENANCE, REPAIR, AND REPLACEMENT.</t>
  </si>
  <si>
    <t>APPLIANCE REPAIR AND MAINTENANCE</t>
  </si>
  <si>
    <t>W9124723P0009</t>
  </si>
  <si>
    <t>PREMIER PROFESSIONAL SYSTEMS INC</t>
  </si>
  <si>
    <t>INSTALLATION FURNITURE SERVICES</t>
  </si>
  <si>
    <t>GENERAL WAREHOUSING AND STORAGE</t>
  </si>
  <si>
    <t>W9124724C0003</t>
  </si>
  <si>
    <t>B &amp; H CONTRACTING COMPANY, INC</t>
  </si>
  <si>
    <t>BAY AND HANGAR DOOR MAINTENANCE, REPAIR, AND REPLACEMENT.</t>
  </si>
  <si>
    <t>ALL OTHER SPECIALTY TRADE CONTRACTORS</t>
  </si>
  <si>
    <t>47QTCA19D00FT</t>
  </si>
  <si>
    <t>W9124724F0479</t>
  </si>
  <si>
    <t>KSAPEX LLC</t>
  </si>
  <si>
    <t>FORT KNOX</t>
  </si>
  <si>
    <t>KY</t>
  </si>
  <si>
    <t>PERSONNEL DATA LOCATOR SERVICES</t>
  </si>
  <si>
    <t>419TH CSB: FORT BUCHANAN</t>
  </si>
  <si>
    <t>W912C322C0002</t>
  </si>
  <si>
    <t>ARB, INC.</t>
  </si>
  <si>
    <t>FORT BUCHANAN</t>
  </si>
  <si>
    <t>PR</t>
  </si>
  <si>
    <t>REFUSE COLLECTION</t>
  </si>
  <si>
    <t>SOLID WASTE COLLECTION</t>
  </si>
  <si>
    <t>419TH CSB: FORT CAMPBELL</t>
  </si>
  <si>
    <t>W9124821P0024</t>
  </si>
  <si>
    <t>WEATHERFORD GROUP, INC.</t>
  </si>
  <si>
    <t>FORT CAMPBELL</t>
  </si>
  <si>
    <t>COMBATIVES TRAINING</t>
  </si>
  <si>
    <t>SPORTS AND RECREATION INSTRUCTION</t>
  </si>
  <si>
    <t>47QRAD20D8141</t>
  </si>
  <si>
    <t>W9124823F0070</t>
  </si>
  <si>
    <t>CHEROKEE NATION STRATEGIC PROGRAMS, L.L.C.</t>
  </si>
  <si>
    <t>EMERGENCY CONTROL CENTER (ECC) OPERATION</t>
  </si>
  <si>
    <t>47QTCB21D0081</t>
  </si>
  <si>
    <t>W9124823F2024</t>
  </si>
  <si>
    <t>INTER-OP.NET, INC.</t>
  </si>
  <si>
    <t>C4IM SYSTEM SUPPORT SERVICES</t>
  </si>
  <si>
    <t>W9124824C2001</t>
  </si>
  <si>
    <t>NATIVE SERVICES LLC</t>
  </si>
  <si>
    <t>REFUSE AND RECYCLE COLLECTION SERVICES</t>
  </si>
  <si>
    <t>W9124823D3007</t>
  </si>
  <si>
    <t>INTEC GROUP LLC</t>
  </si>
  <si>
    <t>CONTSTRUCTION MATOC</t>
  </si>
  <si>
    <t>COMMERCIAL AND INSTITUTIONAL BUILDING CONSTRUCTION</t>
  </si>
  <si>
    <t>419TH CSB: FORT JACKSON</t>
  </si>
  <si>
    <t>47QRAD20D1062</t>
  </si>
  <si>
    <t>W9124C22F0072</t>
  </si>
  <si>
    <t>NETWORK RUNNERS INC</t>
  </si>
  <si>
    <t>COLUMBIA</t>
  </si>
  <si>
    <t>SC</t>
  </si>
  <si>
    <t>TRADOC</t>
  </si>
  <si>
    <t>ACCESSIONS ADMINISTRATIVE SUPPORT</t>
  </si>
  <si>
    <t>GS02Q16DCR0109</t>
  </si>
  <si>
    <t>W9124C24F0012</t>
  </si>
  <si>
    <t>MILLENNIUM GROUP INTERNATIONAL, LLC, THE</t>
  </si>
  <si>
    <t>ADJUTANT GENERAL SCHOOL HUMAN RESOURCES TRANSFORMATION</t>
  </si>
  <si>
    <t>HUMAN RESOURCES CONSULTING SERVICES (2007), HUMAN RESOURCES AND EXECUTIVE SEARCH CONSULTING SERVICES (2002)</t>
  </si>
  <si>
    <t>ECONOMICALLY DISADVANTAGED WOMEN OWNED SMALL BUSINESS</t>
  </si>
  <si>
    <t>W9124C23C0005</t>
  </si>
  <si>
    <t>BLUE DOG ENVIRONMENTAL, INC.</t>
  </si>
  <si>
    <t>WASHER AND DRYER MAINTENANCE &amp; REPAIR SERVICES</t>
  </si>
  <si>
    <t>W9124C23P0006</t>
  </si>
  <si>
    <t>E &amp; D ENTERPRISES INC</t>
  </si>
  <si>
    <t>PLACEMENT AND CLEANING PORTABLE CHEMICAL TOILETS</t>
  </si>
  <si>
    <t>SEPTIC TANK AND RELATED SERVICES</t>
  </si>
  <si>
    <t>419TH CSB: FORT MCCOY</t>
  </si>
  <si>
    <t>W911SA22P3003</t>
  </si>
  <si>
    <t>ICD BUILDERS, INCORPORATED</t>
  </si>
  <si>
    <t>AMES</t>
  </si>
  <si>
    <t>IA</t>
  </si>
  <si>
    <t>SNOW REMOVAL SERVICES</t>
  </si>
  <si>
    <t>W911SA22P3015</t>
  </si>
  <si>
    <t>DOGS FOR DEFENSE INC.</t>
  </si>
  <si>
    <t>FORT MCCOY</t>
  </si>
  <si>
    <t>WI</t>
  </si>
  <si>
    <t>CIVILIAN WORKING DOG SERVICES</t>
  </si>
  <si>
    <t>SECURITY GUARDS AND PATROL SERVICES</t>
  </si>
  <si>
    <t>W911SA22P3048</t>
  </si>
  <si>
    <t>WESTLAMB LLC</t>
  </si>
  <si>
    <t>SALT LAKE CITY</t>
  </si>
  <si>
    <t>MONTHLY CUSTODIAL SERVICE</t>
  </si>
  <si>
    <t>W911SA22P3053</t>
  </si>
  <si>
    <t>YUKON MANAGEMENT LLC</t>
  </si>
  <si>
    <t>SPARTA</t>
  </si>
  <si>
    <t xml:space="preserve"> PEST CONTROL</t>
  </si>
  <si>
    <t>EXTERMINATING AND PEST CONTROL SERVICES</t>
  </si>
  <si>
    <t>W911SA22P3062</t>
  </si>
  <si>
    <t>HJ CONTRACTING, LLC</t>
  </si>
  <si>
    <t>DUBUQUE</t>
  </si>
  <si>
    <t>GROUNDS SERVICES</t>
  </si>
  <si>
    <t>LANDSCAPING SERVICES</t>
  </si>
  <si>
    <t>W911SA22P3073</t>
  </si>
  <si>
    <t>BPM SERVICES INC</t>
  </si>
  <si>
    <t>REFUSE</t>
  </si>
  <si>
    <t>47QSWA18D008T</t>
  </si>
  <si>
    <t>W911SA25F3003</t>
  </si>
  <si>
    <t>BEN FITZGERALD REAL ESTATE SERVICES, L.L.C.</t>
  </si>
  <si>
    <t>SAN DIEGO</t>
  </si>
  <si>
    <t>CA</t>
  </si>
  <si>
    <t>FACILITIES MAINTENANCE SERVICES</t>
  </si>
  <si>
    <t>W911SA25F3004</t>
  </si>
  <si>
    <t>BAKERSFIELD</t>
  </si>
  <si>
    <t>W911SA23P3019</t>
  </si>
  <si>
    <t>NASCENCE GROUP, LLC</t>
  </si>
  <si>
    <t>COLUMBUS</t>
  </si>
  <si>
    <t>OH</t>
  </si>
  <si>
    <t>GROUNDS</t>
  </si>
  <si>
    <t>W911SA23P3084</t>
  </si>
  <si>
    <t>CCS KING GEORGE 2 LLC</t>
  </si>
  <si>
    <t>SOLID WASTE MANAGEMENT</t>
  </si>
  <si>
    <t>419TH CSB: FORT STEWART</t>
  </si>
  <si>
    <t>GS35F0081Y</t>
  </si>
  <si>
    <t>W9124M21F0171</t>
  </si>
  <si>
    <t>GORDIAN GROUP, INC. THE</t>
  </si>
  <si>
    <t>FORT STEWART</t>
  </si>
  <si>
    <t>GA</t>
  </si>
  <si>
    <t>EGORDIAN SUBSCRIPTION</t>
  </si>
  <si>
    <t>WIRED TELECOMMUNICATIONS CARRIERS</t>
  </si>
  <si>
    <t>W9124M22C0004</t>
  </si>
  <si>
    <t>TERASENSE, INC.</t>
  </si>
  <si>
    <t>STEWART/HAAF RECYCLING</t>
  </si>
  <si>
    <t>MATERIALS RECOVERY FACILITIES</t>
  </si>
  <si>
    <t>W9124M24P0005</t>
  </si>
  <si>
    <t>HELOAIR, INC</t>
  </si>
  <si>
    <t>AERIAL BURN SUPPORT</t>
  </si>
  <si>
    <t>SUPPORT ACTIVITIES FOR FORESTRY</t>
  </si>
  <si>
    <t>W9124M23C0002</t>
  </si>
  <si>
    <t>SERES ENGINEERING &amp; SERVICES LLC</t>
  </si>
  <si>
    <t>HAZARDOUS WASTE &amp; HAZARDOUS MATERIAL MANAGEMENT SUPPORT SERVICES</t>
  </si>
  <si>
    <t>W9124M23P0001</t>
  </si>
  <si>
    <t>O.M.U.P ENTERPRISES, LLC</t>
  </si>
  <si>
    <t>RANGE HOOD CLEANING AND INSPECTION</t>
  </si>
  <si>
    <t>W9124M23P0010</t>
  </si>
  <si>
    <t>ROYAL ARC WELDING COMPANY</t>
  </si>
  <si>
    <t>SAVANNAH</t>
  </si>
  <si>
    <t>OVERHEAD HOIST MAINTAINANCE &amp; REPAIR</t>
  </si>
  <si>
    <t>FDO EUSTIS: CARLISLE BARRACKS</t>
  </si>
  <si>
    <t>GS00F164GA</t>
  </si>
  <si>
    <t>W91QF021F0011</t>
  </si>
  <si>
    <t>HIGHERECHELON, INC.</t>
  </si>
  <si>
    <t>CARLISLE</t>
  </si>
  <si>
    <t>PA</t>
  </si>
  <si>
    <t>USAWC</t>
  </si>
  <si>
    <t>GENERAL OFFICER CAREER TRANSITION COURSE</t>
  </si>
  <si>
    <t>W91QF021P0018</t>
  </si>
  <si>
    <t>LEADERS ESTABLISHED 1775, LLC</t>
  </si>
  <si>
    <t>SECONED YEAR STUDIES FACILITY INSTRUCTOR</t>
  </si>
  <si>
    <t>COLLEGES, UNIVERSITIES, AND PROFESSIONAL SCHOOLS</t>
  </si>
  <si>
    <t>W91QF021P0019</t>
  </si>
  <si>
    <t>STRATEGIC LEARNING CONSULTANTS, LLC</t>
  </si>
  <si>
    <t>SECOND YEAR STUDIES FACULTY INSTRUCTOR</t>
  </si>
  <si>
    <t>W91QF021P0023</t>
  </si>
  <si>
    <t>FIRST YEAR STUDIES FACULTY INSTRUCTOR</t>
  </si>
  <si>
    <t>W91QF022P0005</t>
  </si>
  <si>
    <t>SALIENT CRGT, INC.</t>
  </si>
  <si>
    <t>SCHOOL OF STRATEGIC LANDPOWER (SSL) EVENTS COORDINATOR</t>
  </si>
  <si>
    <t>W91QF022P0016</t>
  </si>
  <si>
    <t>W91QF022P0028</t>
  </si>
  <si>
    <t>FEDWRITERS, INC.</t>
  </si>
  <si>
    <t>FAIRFAX</t>
  </si>
  <si>
    <t>VA</t>
  </si>
  <si>
    <t>AWC EDITING, PROOFREADING, &amp; MEDIA SUPPORT</t>
  </si>
  <si>
    <t>DOCUMENT PREPARATION SERVICES</t>
  </si>
  <si>
    <t>W91QF024P0015</t>
  </si>
  <si>
    <t>SNYTS TENANT LLC</t>
  </si>
  <si>
    <t>LODGING/MEETING SPACE FOR UNITED STATES ARMY WAR COLLEGE (USAWC) NYC TRIP</t>
  </si>
  <si>
    <t>HOTELS (EXCEPT CASINO HOTELS) AND MOTELS</t>
  </si>
  <si>
    <t>HYATT CORPORATION</t>
  </si>
  <si>
    <t>SLDS CONFERENCE SUPPORT SERVICES</t>
  </si>
  <si>
    <t>W91QF023P0012</t>
  </si>
  <si>
    <t>VILLAGE RESTORATIONS &amp; CONSULTING, INC.</t>
  </si>
  <si>
    <t>LIVING HISTORY EDUCATIONAL PROGRAM</t>
  </si>
  <si>
    <t>INDEPENDENT ARTISTS, WRITERS, AND PERFORMERS</t>
  </si>
  <si>
    <t>W91QF023P0015</t>
  </si>
  <si>
    <t>STRATEGIC PROGRAMS ADMINISTRATOR</t>
  </si>
  <si>
    <t>W91QF023P0030</t>
  </si>
  <si>
    <t>LEADERS ESTABLISHED 1775 LLC</t>
  </si>
  <si>
    <t>W91QF023P0039</t>
  </si>
  <si>
    <t>TERRESTRIS, LLC</t>
  </si>
  <si>
    <t>CSL GRAPHIC DESIGNER</t>
  </si>
  <si>
    <t>GRAPHIC DESIGN SERVICES</t>
  </si>
  <si>
    <t>FDO EUSTIS: FORT BENNING</t>
  </si>
  <si>
    <t>W911SF22C0008</t>
  </si>
  <si>
    <t>ARKS MEDIA LLC</t>
  </si>
  <si>
    <t>FORT BENNING</t>
  </si>
  <si>
    <t>PHOTOGRAPHIC SERVICES</t>
  </si>
  <si>
    <t>COMMERCIAL PHOTOGRAPHY</t>
  </si>
  <si>
    <t>NOT COMPETED</t>
  </si>
  <si>
    <t>W911SF22C0011</t>
  </si>
  <si>
    <t>KARDEX REMSTAR, LLC</t>
  </si>
  <si>
    <t>MAINTENANCE &amp; SERVICES FOR 23 VERTICAL LIFTS SHOP MACHINES</t>
  </si>
  <si>
    <t>COMPUTER STORAGE DEVICE MANUFACTURING</t>
  </si>
  <si>
    <t>W911SF22C0018</t>
  </si>
  <si>
    <t>STRATIVIA LLC</t>
  </si>
  <si>
    <t>MCOE HELP-DESK SUPPORT SERVICES</t>
  </si>
  <si>
    <t>COMPUTER FACILITIES MANAGEMENT SERVICES</t>
  </si>
  <si>
    <t>W911SF23C0010</t>
  </si>
  <si>
    <t>MUSIC MINISTRY INTERNATIONAL INC</t>
  </si>
  <si>
    <t>WORSHIP SERVICES</t>
  </si>
  <si>
    <t>MUSICAL GROUPS AND ARTISTS</t>
  </si>
  <si>
    <t>FDO EUSTIS: FORT EUSTIS</t>
  </si>
  <si>
    <t>FAIR OPPORTUNITY</t>
  </si>
  <si>
    <t>GS00Q14OADU130</t>
  </si>
  <si>
    <t>W911SF24F0009</t>
  </si>
  <si>
    <t>SCIENCE APPLICATIONS INTERNATIONAL CORPORATION</t>
  </si>
  <si>
    <t>AFC: FCC</t>
  </si>
  <si>
    <t>FORT BENNING MANEUVER BATTLE LAB COMPREHENSIVE SUPPORT SERVICES</t>
  </si>
  <si>
    <t>COST, CPFF</t>
  </si>
  <si>
    <t>W911SF23C0009</t>
  </si>
  <si>
    <t>RSI-QUANTITECH JV LLC</t>
  </si>
  <si>
    <t>MAINTENANCE &amp; LOGISTICS SUPPORT SERVICES</t>
  </si>
  <si>
    <t>OTHER SUPPORT ACTIVITIES FOR AIR TRANSPORTATION</t>
  </si>
  <si>
    <t>FDO EUSTIS: FORT SILL</t>
  </si>
  <si>
    <t>GS00F0004X</t>
  </si>
  <si>
    <t>W911S022F0177</t>
  </si>
  <si>
    <t>TEC-MASTERS INC.</t>
  </si>
  <si>
    <t>FORT EUSTIS</t>
  </si>
  <si>
    <t>INSTRUCTORS &amp; IT PERSONNEL TO SUPPORT PROGRAM OF INSTRUCTIONS (POI)</t>
  </si>
  <si>
    <t>RESEARCH AND DEVELOPMENT IN THE PHYSICAL, ENGINEERING, AND LIFE SCIENCES (EXCEPT BIOTECHNOLOGY)</t>
  </si>
  <si>
    <t>W911S023F0083</t>
  </si>
  <si>
    <t>FORT SILL</t>
  </si>
  <si>
    <t>OK</t>
  </si>
  <si>
    <t>ARMY CAPABILITY MANAGER (ACM) CONTRACT SUPPORT SERVICES</t>
  </si>
  <si>
    <t>W911S022C0004</t>
  </si>
  <si>
    <t>AKYTECH CONSULTING LLC</t>
  </si>
  <si>
    <t>ATIS LEGACY SYSYTEMS SUPPORT</t>
  </si>
  <si>
    <t>N/A</t>
  </si>
  <si>
    <t>W9124G17C0005</t>
  </si>
  <si>
    <t>FORT RUCKER</t>
  </si>
  <si>
    <t>AL</t>
  </si>
  <si>
    <t>ROTARY WING FLIGHT TRAINING</t>
  </si>
  <si>
    <t>FFP, COST, CPFF</t>
  </si>
  <si>
    <t>FLIGHT TRAINING</t>
  </si>
  <si>
    <t>W9124G19C0006</t>
  </si>
  <si>
    <t>B3 ENTERPRISES LLC</t>
  </si>
  <si>
    <t>REFUEL DEFUEL SUPPORT SERVICES</t>
  </si>
  <si>
    <t>FDO EUSTIS: FORT GORDON</t>
  </si>
  <si>
    <t>W9124921P0089</t>
  </si>
  <si>
    <t>DORADO SERVICES, INC.</t>
  </si>
  <si>
    <t>FORT GORDON</t>
  </si>
  <si>
    <t>FORT GORDON REFUSE COLLECTION AND DISPOSAL INSTALLATION AND REC AREA</t>
  </si>
  <si>
    <t>W9124922C0015</t>
  </si>
  <si>
    <t>AUGUSTA</t>
  </si>
  <si>
    <t>WASHER/DRYER MAINTENANCE SERVICES</t>
  </si>
  <si>
    <t>W9124923C0009</t>
  </si>
  <si>
    <t>SCDATACOM, LLC</t>
  </si>
  <si>
    <t>CCTVS MAINTENANCE</t>
  </si>
  <si>
    <t>W9124923C0011</t>
  </si>
  <si>
    <t>BIZZELL CORP</t>
  </si>
  <si>
    <t>SECURITY SUPPORT SERVICES</t>
  </si>
  <si>
    <t>W9124923C0020</t>
  </si>
  <si>
    <t>CYNWAVE SOLUTIONS, LLC</t>
  </si>
  <si>
    <t>INSCOM</t>
  </si>
  <si>
    <t>CUSTODIAL SERVICES</t>
  </si>
  <si>
    <t>W9124923P0048</t>
  </si>
  <si>
    <t>DOE LLC</t>
  </si>
  <si>
    <t>DHA</t>
  </si>
  <si>
    <t>DDEAMC UNIFORM RENTAL SERVICE</t>
  </si>
  <si>
    <t>INDUSTRIAL LAUNDERERS</t>
  </si>
  <si>
    <t>W9124924C0005</t>
  </si>
  <si>
    <t>TRANSTECS CORPORATION</t>
  </si>
  <si>
    <t>INFORMATION ADVANTAGE FUNCTIONS SERVICES</t>
  </si>
  <si>
    <t>W9124922D0001, W9124922D0002, W9124922D0003, W9124922D0004, W9124922D0005, W9124922D0006</t>
  </si>
  <si>
    <t>CHITRA PRODUCTIONS, LLC; CHOISYS TECHNOLOGY, INC.; HIGHER ECHELON, INC; MILSUP, LLC; PARAMOUNT SOLUTIONS &amp; GLOBAL; PONO AINA MANAGEMENT, LLC</t>
  </si>
  <si>
    <t>CCOE</t>
  </si>
  <si>
    <t>CCOE INSTRUCTOR SUPPORT SERVICES</t>
  </si>
  <si>
    <t>PROFESSIONAL AND MANAGEMENT DEVELOPMENT TRAINING</t>
  </si>
  <si>
    <t>FDO EUSTIS: FORT LEAVENWORTH</t>
  </si>
  <si>
    <t>W91QF423P0039</t>
  </si>
  <si>
    <t>AVI-SPL LLC</t>
  </si>
  <si>
    <t>FORT LEAVENWORTH</t>
  </si>
  <si>
    <t>MCTP VIDEO WALL MAINTENANCE AND SUPPORT</t>
  </si>
  <si>
    <t>ELECTRICAL CONTRACTORS AND OTHER WIRING INSTALLATION CONTRACTORS</t>
  </si>
  <si>
    <t>W91QF423P0010</t>
  </si>
  <si>
    <t>LIBERTY DISPOSAL INC</t>
  </si>
  <si>
    <t>REFUSE &amp; RECYCLING COLLECTION</t>
  </si>
  <si>
    <t>W91QF423P0021</t>
  </si>
  <si>
    <t>LOW VOLTAGE WIRING LTD</t>
  </si>
  <si>
    <t>MONTEREY</t>
  </si>
  <si>
    <t>SEMI-ANNUAL PREVENTATIVE MAINT</t>
  </si>
  <si>
    <t>FDO EUSTIS: FORT LEE</t>
  </si>
  <si>
    <t>W91QF522C0010</t>
  </si>
  <si>
    <t>SOLIEL L.L.C.</t>
  </si>
  <si>
    <t>FORT LEE</t>
  </si>
  <si>
    <t>DISTANCE LEARNING FACILITATOR</t>
  </si>
  <si>
    <t>47QRAD20D8142</t>
  </si>
  <si>
    <t>W91QF524F0009</t>
  </si>
  <si>
    <t>RIVERTECH, LLC</t>
  </si>
  <si>
    <t>S-CDID SUPPORT SERVICES</t>
  </si>
  <si>
    <t>W91QF522C0004</t>
  </si>
  <si>
    <t>W &amp; H RESOURCES, INC.</t>
  </si>
  <si>
    <t>FORT LEE ELEVATOR MAINTENANCE AND REPAIRS</t>
  </si>
  <si>
    <t>OTHER BUILDING EQUIPMENT CONTRACTORS</t>
  </si>
  <si>
    <t>W91QF522P0006</t>
  </si>
  <si>
    <t>MECHANICAL RESOURCES INCORPORATED</t>
  </si>
  <si>
    <t>TESTING AND DOCUMENTATION</t>
  </si>
  <si>
    <t>PLUMBING, HEATING, AND AIR-CONDITIONING CONTRACTORS</t>
  </si>
  <si>
    <t>W91QF524C0022</t>
  </si>
  <si>
    <t>CB CRITICAL SYSTEMS LLC</t>
  </si>
  <si>
    <t>USARCYBER</t>
  </si>
  <si>
    <t>NEC- UPS AND GENERATOR MAINTENANCE</t>
  </si>
  <si>
    <t xml:space="preserve">8A SOLE SOURCE </t>
  </si>
  <si>
    <t>W91QF524C0025</t>
  </si>
  <si>
    <t>OPTIMUM PERFORMANCE &amp; STRATEGIC CONSULTING LLC</t>
  </si>
  <si>
    <t>TRANSPORTATION TRAINING DEVELOPMENT SUPPORT</t>
  </si>
  <si>
    <t>ALL OTHER PROFESSIONAL, SCIENTIFIC, AND TECHNICAL SERVICES</t>
  </si>
  <si>
    <t>47QTCB22D0061</t>
  </si>
  <si>
    <t>W91QF523F0147</t>
  </si>
  <si>
    <t>CODE PLUS INC</t>
  </si>
  <si>
    <t>OPTIONAL SUPPORT: 3D MODELING SUPPORT</t>
  </si>
  <si>
    <t>W91QF523C0005</t>
  </si>
  <si>
    <t>BLUE CONSTRUCTION SERVICES LLC</t>
  </si>
  <si>
    <t>FIRE PROTECTION MAINTENANCE AND INSPECTION SERVICES</t>
  </si>
  <si>
    <t>W91QF523C0015</t>
  </si>
  <si>
    <t>ENVIRONMENTAL RESEARCH GROUP, L.L.C.</t>
  </si>
  <si>
    <t>ENVIRONMENTAL COMPLIANCE SUPPORT</t>
  </si>
  <si>
    <t>ENVIRONMENTAL CONSULTING SERVICES</t>
  </si>
  <si>
    <t>W91QF523C0016</t>
  </si>
  <si>
    <t>CULTURAL RESOURCES PROGRAM SUPPORT</t>
  </si>
  <si>
    <t>W91QF524C0011</t>
  </si>
  <si>
    <t>THE GEMINI 3 GROUP, INC.</t>
  </si>
  <si>
    <t>QMS TECH WRITER/EDITOR (ADFSD)</t>
  </si>
  <si>
    <t xml:space="preserve">W91QF522D0001, W91QF522D0002, W91QF522D0003, W91QF522D0004, W91QF522D0005   </t>
  </si>
  <si>
    <t>NISGA'A TEK, LLC; FITT-PDS JV, LLC; ADVANCED TECHNOLOGY LEADERS, INC; TOPSARGE BUSINESS SOLUTIONS, INC; FLATTER, INC</t>
  </si>
  <si>
    <t>SCOE</t>
  </si>
  <si>
    <t>INSTRUCTOR, TRAINING SUPPORT AND DEVELOPMENT (ITSD) II</t>
  </si>
  <si>
    <t>FDO EUSTIS: FORT LEONARD WOOD</t>
  </si>
  <si>
    <t>W911S722C0006</t>
  </si>
  <si>
    <t>MONTECH INC.</t>
  </si>
  <si>
    <t>FORT LEONARD WOOD</t>
  </si>
  <si>
    <t>MO</t>
  </si>
  <si>
    <t>MSBL IT/SIM SUPPORT</t>
  </si>
  <si>
    <t>W911S722P0003</t>
  </si>
  <si>
    <t>NEXGEN INTEGRATION LLC</t>
  </si>
  <si>
    <t>INSTALLATION, MAINTENANCE AND SERVICES OF CCTV EQUIPMENT</t>
  </si>
  <si>
    <t>W911S723C0005</t>
  </si>
  <si>
    <t>ENIWETOK GROUP, LLC</t>
  </si>
  <si>
    <t>HAZMAT MAINTENANCE</t>
  </si>
  <si>
    <t>ELECTRONIC AND PRECISION EQUIPMENT REPAIR AND MAINTENANCE</t>
  </si>
  <si>
    <t>W911S723C0011</t>
  </si>
  <si>
    <t>KREATIVE TECHNOLOGIES, LLC</t>
  </si>
  <si>
    <t>RMF ACCREDITATION</t>
  </si>
  <si>
    <t>FDO EUSTIS: FORT RUCKER</t>
  </si>
  <si>
    <t>GS10F154AA</t>
  </si>
  <si>
    <t>W9124G22F0021</t>
  </si>
  <si>
    <t>STRATEGIC RESOLUTION EXPERTS, INC</t>
  </si>
  <si>
    <t>PLANNER/MILITARY ANALYST</t>
  </si>
  <si>
    <t>W9124G22C0005</t>
  </si>
  <si>
    <t>FITT SCIENTIFIC, LLC</t>
  </si>
  <si>
    <t>TRAINING DEVELOPERS</t>
  </si>
  <si>
    <t>47QTCA20D00CM</t>
  </si>
  <si>
    <t>W9124G23F0076</t>
  </si>
  <si>
    <t>VISION INFORMATION TECHNOLOGY CONSULTANTS LLC</t>
  </si>
  <si>
    <t>TRAINING AIDS, DEVICES, SIMULATORS AND SIMULATIONS</t>
  </si>
  <si>
    <t>W9124G23C0006</t>
  </si>
  <si>
    <t>MARK DUNNING INDUSTRIES</t>
  </si>
  <si>
    <t>REFUSE SERVICES, FORT RUCKER, ALABAMA</t>
  </si>
  <si>
    <t>47QRAA21D001X</t>
  </si>
  <si>
    <t>W9124L23F0024</t>
  </si>
  <si>
    <t>NAVIGATOR DEVELOPMENT GROUP, INC.</t>
  </si>
  <si>
    <t>JOINT FIRES OBSERVER COURSE (JFOC) PREVIOUSLY QUALIFIED TERMINAL ATTACK CONTROLLER (PTAC) INSTRUCTOR SERVICES - FORT SILL, OKLAHOMA</t>
  </si>
  <si>
    <t>W9124L24P0001</t>
  </si>
  <si>
    <t>CHEROKEE NATION DEFENSE SOLUTIONS LLC</t>
  </si>
  <si>
    <t>INTEGRATED COMMERICAL INTRUSION DETECTION SYSTEM (ICIDS) ALARM SYSTEM MAINTENANCE</t>
  </si>
  <si>
    <t>FDO EUSTIS: WEST POINT</t>
  </si>
  <si>
    <t>W911SD24P0041</t>
  </si>
  <si>
    <t>RED RIVER RESOURCES LLC</t>
  </si>
  <si>
    <t>WEST POINT</t>
  </si>
  <si>
    <t>NY</t>
  </si>
  <si>
    <t>PROPANE DELIVERY</t>
  </si>
  <si>
    <t>PETROLEUM REFINERIES</t>
  </si>
  <si>
    <t>W911SD22C0005</t>
  </si>
  <si>
    <t>MARCO FEDERAL SERVICES, LLC</t>
  </si>
  <si>
    <t>MEDCOM</t>
  </si>
  <si>
    <t>REFUSE AND RECYCLING COLLECTION</t>
  </si>
  <si>
    <t>W911SD22P0046</t>
  </si>
  <si>
    <t>QUALITY MAT COMPANY</t>
  </si>
  <si>
    <t>TURF PROTECTION - MICHIE STADIUM</t>
  </si>
  <si>
    <t>GENERAL RENTAL CENTERS</t>
  </si>
  <si>
    <t>47QSWA22D007J</t>
  </si>
  <si>
    <t>W911SD23F0059</t>
  </si>
  <si>
    <t>ALLEYMOR INC</t>
  </si>
  <si>
    <t>PEST MANAGEMENT SERVICES</t>
  </si>
  <si>
    <t>PESTICIDE AND OTHER AGRICULTURAL CHEMICAL MANUFACTURING</t>
  </si>
  <si>
    <t>W911SD23P0027</t>
  </si>
  <si>
    <t>AVARTARA LLC</t>
  </si>
  <si>
    <t>USMA</t>
  </si>
  <si>
    <t>CEMETERY OPERATION &amp; MAINTENANCE</t>
  </si>
  <si>
    <t>CEMETERIES AND CREMATORIES</t>
  </si>
  <si>
    <t>W911SD23P0047</t>
  </si>
  <si>
    <t>MERRILLS DETECTOR DOG SERVICES LLC</t>
  </si>
  <si>
    <t>K-9 EXPLOSIVE DETECTION</t>
  </si>
  <si>
    <t>W911SD23P0116</t>
  </si>
  <si>
    <t>NEW YORK CITY LITES INC</t>
  </si>
  <si>
    <t>LIGHTING EQUIPMENT</t>
  </si>
  <si>
    <t>OTHER SPECIALIZED DESIGN SERVICES</t>
  </si>
  <si>
    <t>W911SD24P0074</t>
  </si>
  <si>
    <t>SLADE INDUSTRIES, INC.</t>
  </si>
  <si>
    <t>ELEVATOR MAINT/INSPECT/TEST</t>
  </si>
  <si>
    <t>FDO FSH: FORT BELVOIR</t>
  </si>
  <si>
    <t>W91QV122C0056</t>
  </si>
  <si>
    <t>DE MOULIN BROTHERS &amp; CO</t>
  </si>
  <si>
    <t>FORT BELVOIR</t>
  </si>
  <si>
    <t>USAFB</t>
  </si>
  <si>
    <t>DISTINCTIVE UNIFORM COAT, MENS</t>
  </si>
  <si>
    <t>SUPP</t>
  </si>
  <si>
    <t>CUT AND SEW APPAREL CONTRACTORS</t>
  </si>
  <si>
    <t>W91QV122C0030</t>
  </si>
  <si>
    <t>CAL VET INTEGRATED CONSULTING SERVICES INC.</t>
  </si>
  <si>
    <t>FORT MYER</t>
  </si>
  <si>
    <t>ANC</t>
  </si>
  <si>
    <t>HEADSTONE INITIAL SETTING</t>
  </si>
  <si>
    <t>W91QV122C0041</t>
  </si>
  <si>
    <t>JEROME L TAYLOR TRUCKING, INC</t>
  </si>
  <si>
    <t>REFUSE &amp; SOLID WASTE</t>
  </si>
  <si>
    <t>W91QV123C0022</t>
  </si>
  <si>
    <t>EASTERN HAY CORP.</t>
  </si>
  <si>
    <t>MDW</t>
  </si>
  <si>
    <t>HAY DELIVERY</t>
  </si>
  <si>
    <t>HAY FARMING</t>
  </si>
  <si>
    <t>W91QV123C0041</t>
  </si>
  <si>
    <t>RESOURCE INDUSTRIES, LLC</t>
  </si>
  <si>
    <t>TRANSPORT AND DELIVERY OF SOIL</t>
  </si>
  <si>
    <t>REMEDIATION SERVICES</t>
  </si>
  <si>
    <t>W91QV122D0001</t>
  </si>
  <si>
    <t>F-CONCEPTS, INC.</t>
  </si>
  <si>
    <t>LANDSCAPE AND GARDENING SERVICES</t>
  </si>
  <si>
    <t>W9124D23C0019</t>
  </si>
  <si>
    <t>ARBOR CORPORATION INC</t>
  </si>
  <si>
    <t>GROUNDS MAINTENANCE AND SNOW REMOVEAL SERVICES</t>
  </si>
  <si>
    <t>FDO FSH: FORT KNOX</t>
  </si>
  <si>
    <t xml:space="preserve">8(A) SOLE SOURCE </t>
  </si>
  <si>
    <t>W9124D21C0014</t>
  </si>
  <si>
    <t>LINKITALL LLC</t>
  </si>
  <si>
    <t>ARLINGTON</t>
  </si>
  <si>
    <t>HQ, DA</t>
  </si>
  <si>
    <t>PERFORMANCE BASED SERVICES TO SUPPORT INFORMATION ASSURANCE SUPPORT SERVICES</t>
  </si>
  <si>
    <t>GS07F052BA</t>
  </si>
  <si>
    <t>W9124D25F0016</t>
  </si>
  <si>
    <t>SAMYAK SOLUTIONS, INC.</t>
  </si>
  <si>
    <t>MILITARY ENTRACE PROCESSING STATION (MEPS) ADMINISTRATIVE SUPPORT SERVICES</t>
  </si>
  <si>
    <t>ANALYTICAL LABORATORY INSTRUMENT MANUFACTURING</t>
  </si>
  <si>
    <t>W9124D22C0014</t>
  </si>
  <si>
    <t>IBEX IT BUSINESS EXPERTS LLC</t>
  </si>
  <si>
    <t>EDUCATION SUPPORT SERVICES</t>
  </si>
  <si>
    <t>EDUCATIONAL SUPPORT SERVICES</t>
  </si>
  <si>
    <t>W9124D22C0025</t>
  </si>
  <si>
    <t>COLLEGE OPTIONS FOUNDATION, INC.</t>
  </si>
  <si>
    <t>PEACHTREE CITY</t>
  </si>
  <si>
    <t>MONTHLY SUPPORT SERVICES FOR LEVEL 1 AND LEVEL 2 AND NATIONAL COMPETITION IN WASHINGTON D.C.</t>
  </si>
  <si>
    <t>PROMOTERS OF PERFORMING ARTS, SPORTS, AND SIMILAR EVENTS WITH FACILITIES</t>
  </si>
  <si>
    <t>W9124D22P0046</t>
  </si>
  <si>
    <t>ECOLOGY MIR GROUP LLC</t>
  </si>
  <si>
    <t>WASTE REMOVAL</t>
  </si>
  <si>
    <t>ALL OTHER MISCELLANEOUS WASTE MANAGEMENT SERVICES</t>
  </si>
  <si>
    <t>W9124D22P0154</t>
  </si>
  <si>
    <t>BRAVURA INFORMATION TECHNOLOGY SYSTEMS INC.</t>
  </si>
  <si>
    <t>MULTIMEDIA SPECIALIST SERVICES</t>
  </si>
  <si>
    <t>OTHER COMPUTER RELATED SERVICES</t>
  </si>
  <si>
    <t>47QRAD20D1201</t>
  </si>
  <si>
    <t>W9124D23F0046</t>
  </si>
  <si>
    <t>HEARTLAND ENERGY PARTNERS LLC</t>
  </si>
  <si>
    <t>WASHINGTON</t>
  </si>
  <si>
    <t>DC</t>
  </si>
  <si>
    <t>AUGMENTATION OPERATIONAL SUPPORT SERVICES (OSS)</t>
  </si>
  <si>
    <t>47QTCB22D0420</t>
  </si>
  <si>
    <t>W9124D23F0365</t>
  </si>
  <si>
    <t>NEW GENERATION SOLUTION, LLC</t>
  </si>
  <si>
    <t>INFORMATION TECHNOLOGY SUPPORT SERVICES</t>
  </si>
  <si>
    <t>GS35F153GA</t>
  </si>
  <si>
    <t>W9124D24F0418</t>
  </si>
  <si>
    <t>STONS INC</t>
  </si>
  <si>
    <t>KMO VIDEO HOSTING</t>
  </si>
  <si>
    <t>W9124D23C0043</t>
  </si>
  <si>
    <t>UD CONTRACTING INC</t>
  </si>
  <si>
    <t>LEITCHFIELD</t>
  </si>
  <si>
    <t>INSPECT RISERS, TEST PIPE, REPAIR</t>
  </si>
  <si>
    <t>OIL AND GAS PIPELINE AND RELATED STRUCTURES CONSTRUCTION</t>
  </si>
  <si>
    <t>W9124D25C0007</t>
  </si>
  <si>
    <t>YVONNE CHATMAN</t>
  </si>
  <si>
    <t>DENVER</t>
  </si>
  <si>
    <t>BOXED NOON MEALS - DENVER</t>
  </si>
  <si>
    <t>PERISHABLE PREPARED FOOD MANUFACTURING</t>
  </si>
  <si>
    <t>W9124D19D0001</t>
  </si>
  <si>
    <t>DDB CHICAGO, INC.</t>
  </si>
  <si>
    <t>AEMO</t>
  </si>
  <si>
    <t>ARMY ADVERTISING &amp; MARKETING</t>
  </si>
  <si>
    <t>ADVERTISING AGENCIES</t>
  </si>
  <si>
    <t>FDO FSH: FORT SAM HOUSTON</t>
  </si>
  <si>
    <t>W9124J21C0019</t>
  </si>
  <si>
    <t>INDTAI, INC.</t>
  </si>
  <si>
    <t>SAN ANTONIO</t>
  </si>
  <si>
    <t>ARMY CONTINUING EDUCATION SYSTEM (ACES) SERVICES</t>
  </si>
  <si>
    <t>W9124J22C0027</t>
  </si>
  <si>
    <t>TRAILBLAZER INNOVATIONS INC</t>
  </si>
  <si>
    <t>USARNORTH</t>
  </si>
  <si>
    <t>MAINTENANCE SUPPORT</t>
  </si>
  <si>
    <t>FFP, COST, T&amp;M</t>
  </si>
  <si>
    <t>W9124J22C0035</t>
  </si>
  <si>
    <t>BRECK INC</t>
  </si>
  <si>
    <t>STRATEGIC COMMUNICATIONS SERVICES</t>
  </si>
  <si>
    <t>MARKETING CONSULTING SERVICES</t>
  </si>
  <si>
    <t>47QRAA20D0060</t>
  </si>
  <si>
    <t>W9124J23F0114</t>
  </si>
  <si>
    <t>GLOBAL SYSTEMS ENGINEERING, LLC</t>
  </si>
  <si>
    <t>UMCS SR CONTROL PROGRAMMER/CEM</t>
  </si>
  <si>
    <t>47QRAD20D1186</t>
  </si>
  <si>
    <t>W9124J23F0106</t>
  </si>
  <si>
    <t>ARCHETYPE I LLC</t>
  </si>
  <si>
    <t>MILITARY HOUSING PRIVATIZATION INITIATIVE (MHPI) ACT SUPPORT SERVICES</t>
  </si>
  <si>
    <t>47QSMA20D08QV</t>
  </si>
  <si>
    <t>W9124J24F0062</t>
  </si>
  <si>
    <t>QUADIENT, INC.</t>
  </si>
  <si>
    <t>CENTRALIZED POSTAGE METER CONTRACT</t>
  </si>
  <si>
    <t>ALL OTHER BUSINESS SUPPORT SERVICES</t>
  </si>
  <si>
    <t>W9124J22D0005</t>
  </si>
  <si>
    <t>CALIBRE SYSTEMS, INC.</t>
  </si>
  <si>
    <t>OACSIM</t>
  </si>
  <si>
    <t>BASE RE-ALIGNMENT AND CLOSURE PROGRAMS MANAGEMENT SUPPORT</t>
  </si>
  <si>
    <t>OTHER MANAGEMENT CONSULTING SERVICES</t>
  </si>
  <si>
    <t>FDO FSH: INSTALLATION READINESS CENTER</t>
  </si>
  <si>
    <t>W9124J19D0016
W911SA26DA015</t>
  </si>
  <si>
    <t>CALIFORNIA DEPARTMENT OF REHABILITATION</t>
  </si>
  <si>
    <t>PRESIDIO OF MONTEREY</t>
  </si>
  <si>
    <t>ASC</t>
  </si>
  <si>
    <t>FULL FOOD SERVICES</t>
  </si>
  <si>
    <t>FOOD SERVICE CONTRACTORS</t>
  </si>
  <si>
    <t>W9124J20D0003</t>
  </si>
  <si>
    <t>GEORGIA VOCATIONAL REHABILITATION AGENCY</t>
  </si>
  <si>
    <t>FORT  GORDON</t>
  </si>
  <si>
    <t>W9124726DA003</t>
  </si>
  <si>
    <t>HEALTH &amp; HUMAN SERVCIES, NORTH CAROLINA</t>
  </si>
  <si>
    <t>FT BRAGG</t>
  </si>
  <si>
    <t>NOT COMPETTED UNDER SAP</t>
  </si>
  <si>
    <t>W9124826DA006</t>
  </si>
  <si>
    <t>DEPARTMENT OF VOCATIONAL REHABILITATION</t>
  </si>
  <si>
    <t>FT CAMPBELL</t>
  </si>
  <si>
    <t>W5168W23D0011</t>
  </si>
  <si>
    <t>DINING FACILTY ATTENDENTS</t>
  </si>
  <si>
    <t>W5168W25CA001</t>
  </si>
  <si>
    <t>SOUTHERN FOODSERVICE MANAGEMENT INC</t>
  </si>
  <si>
    <t>W9124J21D0001</t>
  </si>
  <si>
    <t xml:space="preserve">FORT STEWART </t>
  </si>
  <si>
    <t>W911S025PA012</t>
  </si>
  <si>
    <t>ALABAMA DEPARTMENT OF REHABILITATION SERVICES</t>
  </si>
  <si>
    <t>W9124C25DA003</t>
  </si>
  <si>
    <t>SOUTH CAROLINA COMMISSION FOR BLIND</t>
  </si>
  <si>
    <t xml:space="preserve">COLUMBIA </t>
  </si>
  <si>
    <t>SOLE SOURCE</t>
  </si>
  <si>
    <t>W5168W26CA002</t>
  </si>
  <si>
    <t>SOUTHERN FOOD SERVICE MANAGEMENT INC</t>
  </si>
  <si>
    <t>DINING FACILTY ATTENDENTS/COOK SUPPORT</t>
  </si>
  <si>
    <t>418TH CSB: FORT BLISS</t>
  </si>
  <si>
    <t>W9124J20D0012</t>
  </si>
  <si>
    <t>TEXAS WORKFORCE COMMISION</t>
  </si>
  <si>
    <t>FORT BLISS</t>
  </si>
  <si>
    <t>FULL FOOD SERVICES AT FT BLISS</t>
  </si>
  <si>
    <t>W911RX25DA005</t>
  </si>
  <si>
    <t>KS DEPT FOR CHILDREN AND FAMILIES</t>
  </si>
  <si>
    <t>DINING FACILTY ATTENDENTDS</t>
  </si>
  <si>
    <t>W911RX26DA002</t>
  </si>
  <si>
    <t>COOK SUPPORT</t>
  </si>
  <si>
    <t>W5168W24D0002</t>
  </si>
  <si>
    <t>W9124J21D0002</t>
  </si>
  <si>
    <t>MISSOURI DEPARTMENT OF SOCIAL SERVICES</t>
  </si>
  <si>
    <t>W9124M20D0001</t>
  </si>
  <si>
    <t>PEGASUS SUPPORT SERVICES, LLC</t>
  </si>
  <si>
    <t>IMCOM</t>
  </si>
  <si>
    <t>FT STEWART BASOPS</t>
  </si>
  <si>
    <t>W911S726CA003</t>
  </si>
  <si>
    <t>TSAY PROFESSIONAL SERVICES, INC.</t>
  </si>
  <si>
    <t>FT LEONARD WOOD BASOPS</t>
  </si>
  <si>
    <t>W911SF25CA004</t>
  </si>
  <si>
    <t>TIYA SERCIES, L.L.C.</t>
  </si>
  <si>
    <t>FT BENNING BASOPS</t>
  </si>
  <si>
    <t>CON</t>
  </si>
  <si>
    <t>W9124C21D0006</t>
  </si>
  <si>
    <t>REAMS ENTERPRISE, INC.</t>
  </si>
  <si>
    <t>FT JACKSON MATOC</t>
  </si>
  <si>
    <t>W911SG22D0004</t>
  </si>
  <si>
    <t>MIRADOR ENTERPIRSES, INC</t>
  </si>
  <si>
    <t>FT BLISS JOC</t>
  </si>
  <si>
    <t>W911RX22D0001</t>
  </si>
  <si>
    <t>NATIONAL NATIVE AMERICAN CONSTRUCTION INC</t>
  </si>
  <si>
    <t>FT POLK JOC</t>
  </si>
  <si>
    <t>W9124922C0010</t>
  </si>
  <si>
    <t>KGJJ ENGINEERING SOLUTIONS, LLC</t>
  </si>
  <si>
    <t>FT GORDON BASOPS</t>
  </si>
  <si>
    <t>W911S723D0001</t>
  </si>
  <si>
    <t>SDJV</t>
  </si>
  <si>
    <t>FT LEONARD WOOD JOC</t>
  </si>
  <si>
    <t>W911S823D0003</t>
  </si>
  <si>
    <t>MIDNIGHT SUN-CENTENNIAL KIRRACTCHIAQ, JV</t>
  </si>
  <si>
    <t>JBLM</t>
  </si>
  <si>
    <t>JBLM JOC</t>
  </si>
  <si>
    <t>MIKOCORP LLC; SDJV; POWER WASHING EXTREME, INC DBA PWE, I VENT-A-HOOD CLEANING; THUNDER RIVER FIRELAKE JV LLC</t>
  </si>
  <si>
    <t xml:space="preserve">FORT SILL </t>
  </si>
  <si>
    <t>FT SILL MAIDIQ</t>
  </si>
  <si>
    <t>SBA</t>
  </si>
  <si>
    <t xml:space="preserve">APEX MECHANICAL LLC; VET FIRST CONSTRUCTORS, LLC; HOLMES MECHANICAL, INC.; AVALON CONTRACTING, INC.; BLUE MOUNTAIN MECHANICAL, INC. </t>
  </si>
  <si>
    <t>JBLM MAIDIQ</t>
  </si>
  <si>
    <t>Contracting Officer's Determination of Business Size</t>
  </si>
  <si>
    <t>Extent Competed Description</t>
  </si>
  <si>
    <t>Contract Number</t>
  </si>
  <si>
    <t>Order Number</t>
  </si>
  <si>
    <t xml:space="preserve">Type Set Aside </t>
  </si>
  <si>
    <t>Base and All Options Value (Total Contract Value)</t>
  </si>
  <si>
    <t xml:space="preserve">Legal Business Name </t>
  </si>
  <si>
    <t>Small Business Professional Contact Email</t>
  </si>
  <si>
    <t>usarmy.jbsa.acc-micc.list.hq-sbs-dpg@army.mil</t>
  </si>
  <si>
    <t>usarmy.jbsa.acc-micc.list.hq-sbs-hood@army.mil</t>
  </si>
  <si>
    <t>usarmy.jbsa.acc-micc.list.hq-sbs-jblm@army.mil</t>
  </si>
  <si>
    <t>usarmy.jbsa.acc-micc.list.hq-sbs-bragg@army.mil</t>
  </si>
  <si>
    <t xml:space="preserve">usarmy.jbsa.acc-micc.list.hq-sbs-buchanan@army.mil </t>
  </si>
  <si>
    <t>usarmy.jbsa.acc-micc.list.hq-sbs-jackson@army.mil</t>
  </si>
  <si>
    <t xml:space="preserve">usarmy.jbsa.acc-micc.list.hq-sbs-mccoy@army.mil </t>
  </si>
  <si>
    <t xml:space="preserve">usarmy.jbsa.acc-micc.list.hq-sbs-stewart@army.mil </t>
  </si>
  <si>
    <t>usarmy.jbsa.acc-micc.list.hq-sbs-carlisle@army.mil</t>
  </si>
  <si>
    <t>usarmy.jbsa.acc-micc.list.hq-sbs-benning@army.mil</t>
  </si>
  <si>
    <t>usarmy.jbsa.acc-micc.list.hq-sbs-eustis@army.mil</t>
  </si>
  <si>
    <t>usarmy.jbsa.acc-micc.list.hq-sbs-gordon@army.mil</t>
  </si>
  <si>
    <t xml:space="preserve">usarmy.jbsa.acc-micc.list.hq-sbs-lee@army.mil </t>
  </si>
  <si>
    <t xml:space="preserve">usarmy.jbsa.acc-micc.list.hq-sbs-leonardwood@army.mil </t>
  </si>
  <si>
    <t xml:space="preserve">usarmy.jbsa.acc-micc.list.hq-sbs-rucker@army.mil </t>
  </si>
  <si>
    <t xml:space="preserve">usarmy.jbsa.acc-micc.list.hq-sbs-westpoint@army.mil </t>
  </si>
  <si>
    <t>usarmy.jbsa.acc-micc.list.hq-sbs-belvoir@army.mil</t>
  </si>
  <si>
    <t>usarmy.jbsa.acc-micc.list.hq-sbs-knox@army.mil</t>
  </si>
  <si>
    <t>usarmy.jbsa.acc-micc.list.hq-sbs-fsh@army.mil</t>
  </si>
  <si>
    <t>usarmy.jbsa.acc-micc.list.hq-sbs-irc@army.mil</t>
  </si>
  <si>
    <t>usarmy.jbsa.acc-micc.list.hq-sbs-carson@army.mil</t>
  </si>
  <si>
    <t>usarmy.jbsa.acc-micc.list.hq-sbs-polk@army.mil</t>
  </si>
  <si>
    <t>usarmy.jbsa.acc-micc.list.hq-sbs-riley@army.mil</t>
  </si>
  <si>
    <t>usarmy.jbsa.acc-micc.list.hq-sbs-campbell@army.mil</t>
  </si>
  <si>
    <t>usarmy.jbsa.acc-micc.list.hq-sbs-leavenworth@army.mil</t>
  </si>
  <si>
    <t>usarmy.jbsa.acc-micc.list.hq-sbs-sill@army.mil</t>
  </si>
  <si>
    <t>NAICS Code</t>
  </si>
  <si>
    <t>W91QF022P0026</t>
  </si>
  <si>
    <t>Other than Small Business</t>
  </si>
  <si>
    <t xml:space="preserve">Other than Small Business  </t>
  </si>
  <si>
    <t>Small Business</t>
  </si>
  <si>
    <t xml:space="preserve"> FY26 APBI: MICC Forecasted Actions with 
Follow-on Potential</t>
  </si>
  <si>
    <t xml:space="preserve">Disclaimer Reminder for Requirement Actions </t>
  </si>
  <si>
    <t xml:space="preserve">The information contained in the requirement slides posted to SAM.gov is for informational purposes only.  The Army is not seeking proposals and will not accept any unsolicited proposals based on information discussed during the APBI. </t>
  </si>
  <si>
    <t>The information contained in the requirement slides posted to SAM.gov does not commit the Government to contract for any supply or service whatsoever.  MICC does not guarantee that it will issue a solicitation for the requirement and even if it does, it does not guarantee it will reflect the same requirement or even the same contract value as indicated on these slides.</t>
  </si>
  <si>
    <t>When and if a solicitation is released, it will be synopsized on SAM.gov. It is the responsibility of the potential offerors to monitor the site for additional information pertaining to this requirement.</t>
  </si>
  <si>
    <t xml:space="preserve">The information relayed during our one-on-one sessions will not contain sensitive source selection materials nor is intended to provide any potential offeror/bidder with any type of competitive advantage. All information is for informational purposes only.  </t>
  </si>
  <si>
    <t>URS FEDERAL SERVICES, INC.</t>
  </si>
  <si>
    <t>W9124L23D0003,
W9124L23D0004,
W9124L23D0005,
W9124L23D0006</t>
  </si>
  <si>
    <t>W911S823D0008,
W911S823D0009,
W911S823D0010,
W911S823D0011,
W911S823D0012</t>
  </si>
  <si>
    <t>Anticipated Solicitation Date</t>
  </si>
  <si>
    <t>No Date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</si>
</sst>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0;[Red]&quot;$-&quot;#,##0"/>
    <numFmt numFmtId="165" formatCode="mmm\ d&quot;, &quot;yyyy"/>
    <numFmt numFmtId="166" formatCode="&quot;$&quot;#,##0.00"/>
  </numFmts>
  <fonts count="15" x14ac:knownFonts="1">
    <font>
      <sz val="10"/>
      <color rgb="FF000000"/>
      <name val="Arial"/>
    </font>
    <font>
      <sz val="9"/>
      <color rgb="FF333333"/>
      <name val="Arial"/>
      <family val="2"/>
    </font>
    <font>
      <b/>
      <sz val="9"/>
      <color rgb="FFFFFFFF"/>
      <name val="Arial"/>
      <family val="2"/>
    </font>
    <font>
      <sz val="20"/>
      <color theme="0"/>
      <name val="Arial"/>
      <family val="2"/>
    </font>
    <font>
      <b/>
      <sz val="14"/>
      <color rgb="FF333333"/>
      <name val="Arial"/>
      <family val="2"/>
    </font>
    <font>
      <b/>
      <sz val="9"/>
      <color rgb="FF333333"/>
      <name val="Arial"/>
      <family val="2"/>
    </font>
    <font>
      <sz val="9"/>
      <color rgb="FF000000"/>
      <name val="Arial"/>
      <family val="2"/>
    </font>
    <font>
      <sz val="10"/>
      <color rgb="FF000000"/>
      <name val="Arial"/>
      <family val="2"/>
    </font>
    <font>
      <sz val="10"/>
      <color theme="1"/>
      <name val="Arial"/>
      <family val="2"/>
    </font>
    <font>
      <sz val="10"/>
      <color theme="0"/>
      <name val="Arial"/>
      <family val="2"/>
    </font>
    <font>
      <sz val="12"/>
      <color rgb="FFFFC000"/>
      <name val="Arial"/>
      <family val="2"/>
    </font>
    <font>
      <b/>
      <sz val="18"/>
      <color theme="0"/>
      <name val="G.I. 750"/>
    </font>
    <font>
      <b/>
      <sz val="18"/>
      <color theme="1"/>
      <name val="Arial"/>
      <family val="2"/>
    </font>
    <font>
      <sz val="9"/>
      <color rgb="FFFFC000"/>
      <name val="Arial"/>
      <family val="2"/>
    </font>
    <font>
      <b/>
      <sz val="24"/>
      <color rgb="FFFFC000"/>
      <name val="Arial"/>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2">
    <xf numFmtId="0" fontId="0" fillId="0" borderId="0"/>
    <xf numFmtId="44" fontId="7" fillId="0" borderId="0" applyFont="0" applyFill="0" applyBorder="0" applyAlignment="0" applyProtection="0"/>
  </cellStyleXfs>
  <cellXfs count="52">
    <xf numFmtId="0" fontId="0" fillId="0" borderId="0" xfId="0"/>
    <xf numFmtId="0" fontId="0" fillId="3" borderId="0" xfId="0" applyFill="1"/>
    <xf numFmtId="0" fontId="9" fillId="3" borderId="0" xfId="0" applyFont="1" applyFill="1" applyAlignment="1">
      <alignment vertical="center" wrapText="1"/>
    </xf>
    <xf numFmtId="14" fontId="8" fillId="3" borderId="0" xfId="0" applyNumberFormat="1" applyFont="1" applyFill="1" applyAlignment="1">
      <alignment horizontal="center" vertical="center" wrapText="1"/>
    </xf>
    <xf numFmtId="0" fontId="8" fillId="3" borderId="0" xfId="0" applyFont="1" applyFill="1" applyAlignment="1">
      <alignment horizontal="center" vertical="center" wrapText="1"/>
    </xf>
    <xf numFmtId="166" fontId="8" fillId="3" borderId="0" xfId="0" applyNumberFormat="1" applyFont="1" applyFill="1" applyAlignment="1">
      <alignment horizontal="center" vertical="center" wrapText="1"/>
    </xf>
    <xf numFmtId="49" fontId="2" fillId="0" borderId="0" xfId="0" applyNumberFormat="1" applyFont="1" applyFill="1" applyBorder="1" applyAlignment="1">
      <alignment horizontal="center" vertical="center" wrapText="1"/>
    </xf>
    <xf numFmtId="0" fontId="3" fillId="0" borderId="0" xfId="0" applyFont="1" applyFill="1" applyBorder="1" applyAlignment="1">
      <alignment vertical="center" wrapText="1"/>
    </xf>
    <xf numFmtId="0" fontId="1" fillId="0" borderId="0" xfId="0" applyFont="1" applyFill="1" applyBorder="1" applyAlignment="1">
      <alignment horizontal="left"/>
    </xf>
    <xf numFmtId="49" fontId="1" fillId="0" borderId="0"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xf>
    <xf numFmtId="0" fontId="1" fillId="0" borderId="0" xfId="0" applyFont="1" applyFill="1" applyBorder="1" applyAlignment="1">
      <alignment horizontal="center" vertical="center"/>
    </xf>
    <xf numFmtId="164" fontId="1" fillId="0" borderId="0" xfId="0" applyNumberFormat="1" applyFont="1" applyFill="1" applyBorder="1" applyAlignment="1">
      <alignment horizontal="center" vertical="center"/>
    </xf>
    <xf numFmtId="165" fontId="1" fillId="0" borderId="0" xfId="0" applyNumberFormat="1" applyFont="1" applyFill="1" applyBorder="1" applyAlignment="1">
      <alignment horizontal="center" vertical="center"/>
    </xf>
    <xf numFmtId="0" fontId="6" fillId="0" borderId="0" xfId="0" applyFont="1" applyFill="1" applyBorder="1" applyAlignment="1">
      <alignment horizontal="center" vertical="center" wrapText="1"/>
    </xf>
    <xf numFmtId="44" fontId="6" fillId="0" borderId="0" xfId="1" applyFont="1" applyFill="1" applyBorder="1" applyAlignment="1">
      <alignment horizontal="center" vertical="center" wrapText="1"/>
    </xf>
    <xf numFmtId="165" fontId="6" fillId="0" borderId="0" xfId="0" applyNumberFormat="1" applyFont="1" applyFill="1" applyBorder="1" applyAlignment="1">
      <alignment horizontal="center" vertical="center" wrapText="1"/>
    </xf>
    <xf numFmtId="0" fontId="7" fillId="0" borderId="0" xfId="0" applyFont="1" applyFill="1" applyBorder="1" applyAlignment="1">
      <alignment horizontal="center" vertical="center" wrapText="1"/>
    </xf>
    <xf numFmtId="49" fontId="6" fillId="0" borderId="0" xfId="0" applyNumberFormat="1" applyFont="1" applyFill="1" applyBorder="1" applyAlignment="1">
      <alignment horizontal="center" vertical="center" wrapText="1"/>
    </xf>
    <xf numFmtId="49" fontId="5" fillId="0" borderId="0" xfId="0" applyNumberFormat="1" applyFont="1" applyFill="1" applyBorder="1" applyAlignment="1">
      <alignment horizontal="center" vertical="center"/>
    </xf>
    <xf numFmtId="0" fontId="1"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xf numFmtId="0" fontId="13" fillId="2" borderId="0" xfId="0" applyFont="1" applyFill="1" applyBorder="1" applyAlignment="1">
      <alignment horizontal="left"/>
    </xf>
    <xf numFmtId="0" fontId="10" fillId="2" borderId="0" xfId="0" applyFont="1" applyFill="1" applyBorder="1" applyAlignment="1">
      <alignment horizontal="left" wrapText="1"/>
    </xf>
    <xf numFmtId="0" fontId="1" fillId="0" borderId="0" xfId="0" applyFont="1" applyFill="1" applyBorder="1" applyAlignment="1">
      <alignment horizontal="left" vertical="center"/>
    </xf>
    <xf numFmtId="0" fontId="10" fillId="2" borderId="0" xfId="0" applyFont="1" applyFill="1" applyBorder="1" applyAlignment="1">
      <alignment horizontal="left" vertical="top" wrapText="1"/>
    </xf>
    <xf numFmtId="0" fontId="14" fillId="2" borderId="0" xfId="0" applyFont="1" applyFill="1" applyBorder="1" applyAlignment="1">
      <alignment horizontal="center" vertical="center"/>
    </xf>
    <xf numFmtId="0" fontId="0" fillId="3" borderId="0" xfId="0" applyFill="1"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7" fillId="0" borderId="0" xfId="0" applyFont="1" applyFill="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xf>
    <xf numFmtId="166" fontId="0" fillId="0" borderId="0" xfId="0" applyNumberFormat="1" applyAlignment="1">
      <alignment horizontal="center" vertical="center"/>
    </xf>
    <xf numFmtId="0" fontId="0" fillId="0" borderId="0" xfId="0" applyFill="1" applyAlignment="1">
      <alignment horizontal="center" vertical="center" wrapText="1"/>
    </xf>
    <xf numFmtId="166" fontId="0" fillId="0" borderId="0" xfId="0" applyNumberFormat="1" applyFill="1" applyAlignment="1">
      <alignment horizontal="center" vertical="center"/>
    </xf>
    <xf numFmtId="0" fontId="0" fillId="3" borderId="0" xfId="0" applyFill="1" applyAlignment="1">
      <alignment horizontal="center" vertical="center"/>
    </xf>
    <xf numFmtId="0" fontId="0" fillId="0" borderId="0" xfId="0" applyNumberFormat="1" applyAlignment="1">
      <alignment horizontal="center" vertical="center"/>
    </xf>
    <xf numFmtId="0" fontId="7" fillId="0" borderId="0" xfId="0" applyFont="1" applyAlignment="1">
      <alignment horizontal="center" vertical="center" wrapText="1"/>
    </xf>
    <xf numFmtId="14" fontId="7" fillId="0" borderId="0" xfId="0" applyNumberFormat="1" applyFont="1" applyAlignment="1">
      <alignment horizontal="center" vertical="center"/>
    </xf>
    <xf numFmtId="6" fontId="7" fillId="0" borderId="0" xfId="0" applyNumberFormat="1" applyFont="1" applyAlignment="1">
      <alignment horizontal="center" vertical="center"/>
    </xf>
    <xf numFmtId="14" fontId="0" fillId="0" borderId="0" xfId="0" applyNumberFormat="1" applyFill="1" applyAlignment="1">
      <alignment horizontal="center" vertical="center"/>
    </xf>
    <xf numFmtId="0" fontId="0" fillId="0" borderId="0" xfId="0" applyNumberFormat="1" applyFill="1" applyAlignment="1">
      <alignment horizontal="center" vertical="center"/>
    </xf>
    <xf numFmtId="0" fontId="0" fillId="3" borderId="0" xfId="0" applyFill="1" applyAlignment="1">
      <alignment horizontal="center" vertical="center" wrapText="1"/>
    </xf>
    <xf numFmtId="166" fontId="0" fillId="3" borderId="0" xfId="0" applyNumberFormat="1" applyFill="1" applyAlignment="1">
      <alignment horizontal="center" vertical="center"/>
    </xf>
    <xf numFmtId="14" fontId="0" fillId="3" borderId="0" xfId="0" applyNumberFormat="1" applyFill="1" applyAlignment="1">
      <alignment horizontal="center" vertical="center"/>
    </xf>
    <xf numFmtId="15" fontId="0" fillId="0" borderId="0" xfId="0" applyNumberFormat="1" applyAlignment="1">
      <alignment horizontal="center" vertical="center"/>
    </xf>
    <xf numFmtId="0" fontId="11" fillId="3" borderId="0" xfId="0" applyFont="1" applyFill="1" applyAlignment="1">
      <alignment horizontal="center" vertical="center" wrapText="1"/>
    </xf>
    <xf numFmtId="0" fontId="12" fillId="3" borderId="0" xfId="0" applyFont="1" applyFill="1" applyAlignment="1">
      <alignment horizontal="center" vertical="center" wrapText="1"/>
    </xf>
  </cellXfs>
  <cellStyles count="2">
    <cellStyle name="Currency" xfId="1" builtinId="4"/>
    <cellStyle name="Normal" xfId="0" builtinId="0"/>
  </cellStyles>
  <dxfs count="26">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9" formatCode="m/d/yyyy"/>
      <alignment horizontal="center" vertical="center" textRotation="0" indent="0" justifyLastLine="0" shrinkToFit="0" readingOrder="0"/>
    </dxf>
    <dxf>
      <alignment horizontal="center" vertical="center" textRotation="0" indent="0" justifyLastLine="0" shrinkToFit="0" readingOrder="0"/>
    </dxf>
    <dxf>
      <numFmt numFmtId="19" formatCode="m/d/yyyy"/>
      <alignment horizontal="center" vertical="center" textRotation="0" indent="0" justifyLastLine="0" shrinkToFit="0" readingOrder="0"/>
    </dxf>
    <dxf>
      <numFmt numFmtId="19" formatCode="m/d/yyyy"/>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numFmt numFmtId="166" formatCode="&quot;$&quot;#,##0.00"/>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drawings/drawing1.xml><?xml version="1.0" encoding="utf-8"?>
<xdr:wsDr xmlns:xdr="http://schemas.openxmlformats.org/drawingml/2006/spreadsheetDrawing" xmlns:a="http://schemas.openxmlformats.org/drawingml/2006/main">
  <xdr:twoCellAnchor editAs="absolute">
    <xdr:from>
      <xdr:col>0</xdr:col>
      <xdr:colOff>132688</xdr:colOff>
      <xdr:row>2</xdr:row>
      <xdr:rowOff>436411</xdr:rowOff>
    </xdr:from>
    <xdr:to>
      <xdr:col>1</xdr:col>
      <xdr:colOff>1122708</xdr:colOff>
      <xdr:row>2</xdr:row>
      <xdr:rowOff>436411</xdr:rowOff>
    </xdr:to>
    <mc:AlternateContent xmlns:mc="http://schemas.openxmlformats.org/markup-compatibility/2006" xmlns:sle15="http://schemas.microsoft.com/office/drawing/2012/slicer">
      <mc:Choice Requires="sle15">
        <xdr:graphicFrame macro="">
          <xdr:nvGraphicFramePr>
            <xdr:cNvPr id="13" name="Current Contracting Office Name">
              <a:extLst>
                <a:ext uri="{FF2B5EF4-FFF2-40B4-BE49-F238E27FC236}">
                  <a16:creationId xmlns:a16="http://schemas.microsoft.com/office/drawing/2014/main" id="{AFC658F8-E8D4-1647-AB8B-E190FADBCDA3}"/>
                </a:ext>
              </a:extLst>
            </xdr:cNvPr>
            <xdr:cNvGraphicFramePr/>
          </xdr:nvGraphicFramePr>
          <xdr:xfrm>
            <a:off x="0" y="0"/>
            <a:ext cx="0" cy="0"/>
          </xdr:xfrm>
          <a:graphic>
            <a:graphicData uri="http://schemas.microsoft.com/office/drawing/2010/slicer">
              <sle:slicer xmlns:sle="http://schemas.microsoft.com/office/drawing/2010/slicer" name="Current Contracting Office Name"/>
            </a:graphicData>
          </a:graphic>
        </xdr:graphicFrame>
      </mc:Choice>
      <mc:Fallback xmlns="">
        <xdr:sp macro="" textlink="">
          <xdr:nvSpPr>
            <xdr:cNvPr id="0" name=""/>
            <xdr:cNvSpPr>
              <a:spLocks noTextEdit="1"/>
            </xdr:cNvSpPr>
          </xdr:nvSpPr>
          <xdr:spPr>
            <a:xfrm>
              <a:off x="132688" y="1383859"/>
              <a:ext cx="2911585"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absoluteAnchor>
    <xdr:pos x="136498" y="725805"/>
    <xdr:ext cx="2911585" cy="0"/>
    <mc:AlternateContent xmlns:mc="http://schemas.openxmlformats.org/markup-compatibility/2006" xmlns:sle15="http://schemas.microsoft.com/office/drawing/2012/slicer">
      <mc:Choice Requires="sle15">
        <xdr:graphicFrame macro="">
          <xdr:nvGraphicFramePr>
            <xdr:cNvPr id="50" name="Current Contracting Office Name 1">
              <a:extLst>
                <a:ext uri="{FF2B5EF4-FFF2-40B4-BE49-F238E27FC236}">
                  <a16:creationId xmlns:a16="http://schemas.microsoft.com/office/drawing/2014/main" id="{A048E8E0-21C7-4FAC-9833-1DF4BA9C4FBE}"/>
                </a:ext>
              </a:extLst>
            </xdr:cNvPr>
            <xdr:cNvGraphicFramePr/>
          </xdr:nvGraphicFramePr>
          <xdr:xfrm>
            <a:off x="0" y="0"/>
            <a:ext cx="0" cy="0"/>
          </xdr:xfrm>
          <a:graphic>
            <a:graphicData uri="http://schemas.microsoft.com/office/drawing/2010/slicer">
              <sle:slicer xmlns:sle="http://schemas.microsoft.com/office/drawing/2010/slicer" name="Current Contracting Office Name 1"/>
            </a:graphicData>
          </a:graphic>
        </xdr:graphicFrame>
      </mc:Choice>
      <mc:Fallback xmlns="">
        <xdr:sp macro="" textlink="">
          <xdr:nvSpPr>
            <xdr:cNvPr id="0" name=""/>
            <xdr:cNvSpPr>
              <a:spLocks noTextEdit="1"/>
            </xdr:cNvSpPr>
          </xdr:nvSpPr>
          <xdr:spPr>
            <a:xfrm>
              <a:off x="136498" y="725805"/>
              <a:ext cx="2911585"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absolute">
    <xdr:from>
      <xdr:col>0</xdr:col>
      <xdr:colOff>134675</xdr:colOff>
      <xdr:row>1</xdr:row>
      <xdr:rowOff>0</xdr:rowOff>
    </xdr:from>
    <xdr:to>
      <xdr:col>1</xdr:col>
      <xdr:colOff>931462</xdr:colOff>
      <xdr:row>4</xdr:row>
      <xdr:rowOff>57564</xdr:rowOff>
    </xdr:to>
    <mc:AlternateContent xmlns:mc="http://schemas.openxmlformats.org/markup-compatibility/2006" xmlns:sle15="http://schemas.microsoft.com/office/drawing/2012/slicer">
      <mc:Choice Requires="sle15">
        <xdr:graphicFrame macro="">
          <xdr:nvGraphicFramePr>
            <xdr:cNvPr id="59" name="Awarding Contracting Office Name">
              <a:extLst>
                <a:ext uri="{FF2B5EF4-FFF2-40B4-BE49-F238E27FC236}">
                  <a16:creationId xmlns:a16="http://schemas.microsoft.com/office/drawing/2014/main" id="{EADFE4FE-A583-36D8-C415-404ABA4FD0DC}"/>
                </a:ext>
              </a:extLst>
            </xdr:cNvPr>
            <xdr:cNvGraphicFramePr/>
          </xdr:nvGraphicFramePr>
          <xdr:xfrm>
            <a:off x="0" y="0"/>
            <a:ext cx="0" cy="0"/>
          </xdr:xfrm>
          <a:graphic>
            <a:graphicData uri="http://schemas.microsoft.com/office/drawing/2010/slicer">
              <sle:slicer xmlns:sle="http://schemas.microsoft.com/office/drawing/2010/slicer" name="Awarding Contracting Office Name"/>
            </a:graphicData>
          </a:graphic>
        </xdr:graphicFrame>
      </mc:Choice>
      <mc:Fallback xmlns="">
        <xdr:sp macro="" textlink="">
          <xdr:nvSpPr>
            <xdr:cNvPr id="0" name=""/>
            <xdr:cNvSpPr>
              <a:spLocks noTextEdit="1"/>
            </xdr:cNvSpPr>
          </xdr:nvSpPr>
          <xdr:spPr>
            <a:xfrm>
              <a:off x="134675" y="629478"/>
              <a:ext cx="2718352" cy="22311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1045017</xdr:colOff>
      <xdr:row>1</xdr:row>
      <xdr:rowOff>0</xdr:rowOff>
    </xdr:from>
    <xdr:to>
      <xdr:col>2</xdr:col>
      <xdr:colOff>2173853</xdr:colOff>
      <xdr:row>4</xdr:row>
      <xdr:rowOff>59635</xdr:rowOff>
    </xdr:to>
    <mc:AlternateContent xmlns:mc="http://schemas.openxmlformats.org/markup-compatibility/2006" xmlns:sle15="http://schemas.microsoft.com/office/drawing/2012/slicer">
      <mc:Choice Requires="sle15">
        <xdr:graphicFrame macro="">
          <xdr:nvGraphicFramePr>
            <xdr:cNvPr id="60" name="Current Contracting Office Name 2">
              <a:extLst>
                <a:ext uri="{FF2B5EF4-FFF2-40B4-BE49-F238E27FC236}">
                  <a16:creationId xmlns:a16="http://schemas.microsoft.com/office/drawing/2014/main" id="{397D759C-C71F-FB1D-2720-16A1DCCC1D40}"/>
                </a:ext>
              </a:extLst>
            </xdr:cNvPr>
            <xdr:cNvGraphicFramePr/>
          </xdr:nvGraphicFramePr>
          <xdr:xfrm>
            <a:off x="0" y="0"/>
            <a:ext cx="0" cy="0"/>
          </xdr:xfrm>
          <a:graphic>
            <a:graphicData uri="http://schemas.microsoft.com/office/drawing/2010/slicer">
              <sle:slicer xmlns:sle="http://schemas.microsoft.com/office/drawing/2010/slicer" name="Current Contracting Office Name 2"/>
            </a:graphicData>
          </a:graphic>
        </xdr:graphicFrame>
      </mc:Choice>
      <mc:Fallback xmlns="">
        <xdr:sp macro="" textlink="">
          <xdr:nvSpPr>
            <xdr:cNvPr id="0" name=""/>
            <xdr:cNvSpPr>
              <a:spLocks noTextEdit="1"/>
            </xdr:cNvSpPr>
          </xdr:nvSpPr>
          <xdr:spPr>
            <a:xfrm>
              <a:off x="2966582" y="629478"/>
              <a:ext cx="2702532" cy="22222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135835</xdr:colOff>
      <xdr:row>4</xdr:row>
      <xdr:rowOff>96989</xdr:rowOff>
    </xdr:from>
    <xdr:to>
      <xdr:col>1</xdr:col>
      <xdr:colOff>935273</xdr:colOff>
      <xdr:row>10</xdr:row>
      <xdr:rowOff>60215</xdr:rowOff>
    </xdr:to>
    <mc:AlternateContent xmlns:mc="http://schemas.openxmlformats.org/markup-compatibility/2006" xmlns:sle15="http://schemas.microsoft.com/office/drawing/2012/slicer">
      <mc:Choice Requires="sle15">
        <xdr:graphicFrame macro="">
          <xdr:nvGraphicFramePr>
            <xdr:cNvPr id="61" name="Principal Place of Performance - State">
              <a:extLst>
                <a:ext uri="{FF2B5EF4-FFF2-40B4-BE49-F238E27FC236}">
                  <a16:creationId xmlns:a16="http://schemas.microsoft.com/office/drawing/2014/main" id="{B00D976E-34C7-87FE-56E2-69279D489BD8}"/>
                </a:ext>
              </a:extLst>
            </xdr:cNvPr>
            <xdr:cNvGraphicFramePr/>
          </xdr:nvGraphicFramePr>
          <xdr:xfrm>
            <a:off x="0" y="0"/>
            <a:ext cx="0" cy="0"/>
          </xdr:xfrm>
          <a:graphic>
            <a:graphicData uri="http://schemas.microsoft.com/office/drawing/2010/slicer">
              <sle:slicer xmlns:sle="http://schemas.microsoft.com/office/drawing/2010/slicer" name="Principal Place of Performance - State"/>
            </a:graphicData>
          </a:graphic>
        </xdr:graphicFrame>
      </mc:Choice>
      <mc:Fallback xmlns="">
        <xdr:sp macro="" textlink="">
          <xdr:nvSpPr>
            <xdr:cNvPr id="0" name=""/>
            <xdr:cNvSpPr>
              <a:spLocks noTextEdit="1"/>
            </xdr:cNvSpPr>
          </xdr:nvSpPr>
          <xdr:spPr>
            <a:xfrm>
              <a:off x="132025" y="2503418"/>
              <a:ext cx="2721003" cy="174531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1048080</xdr:colOff>
      <xdr:row>4</xdr:row>
      <xdr:rowOff>96328</xdr:rowOff>
    </xdr:from>
    <xdr:to>
      <xdr:col>2</xdr:col>
      <xdr:colOff>2187188</xdr:colOff>
      <xdr:row>10</xdr:row>
      <xdr:rowOff>72887</xdr:rowOff>
    </xdr:to>
    <mc:AlternateContent xmlns:mc="http://schemas.openxmlformats.org/markup-compatibility/2006" xmlns:sle15="http://schemas.microsoft.com/office/drawing/2012/slicer">
      <mc:Choice Requires="sle15">
        <xdr:graphicFrame macro="">
          <xdr:nvGraphicFramePr>
            <xdr:cNvPr id="62" name="NAICS Code">
              <a:extLst>
                <a:ext uri="{FF2B5EF4-FFF2-40B4-BE49-F238E27FC236}">
                  <a16:creationId xmlns:a16="http://schemas.microsoft.com/office/drawing/2014/main" id="{CC2543D5-F5E9-54A1-B0FA-DD2D2E63C401}"/>
                </a:ext>
              </a:extLst>
            </xdr:cNvPr>
            <xdr:cNvGraphicFramePr/>
          </xdr:nvGraphicFramePr>
          <xdr:xfrm>
            <a:off x="0" y="0"/>
            <a:ext cx="0" cy="0"/>
          </xdr:xfrm>
          <a:graphic>
            <a:graphicData uri="http://schemas.microsoft.com/office/drawing/2010/slicer">
              <sle:slicer xmlns:sle="http://schemas.microsoft.com/office/drawing/2010/slicer" name="NAICS Code"/>
            </a:graphicData>
          </a:graphic>
        </xdr:graphicFrame>
      </mc:Choice>
      <mc:Fallback xmlns="">
        <xdr:sp macro="" textlink="">
          <xdr:nvSpPr>
            <xdr:cNvPr id="0" name=""/>
            <xdr:cNvSpPr>
              <a:spLocks noTextEdit="1"/>
            </xdr:cNvSpPr>
          </xdr:nvSpPr>
          <xdr:spPr>
            <a:xfrm>
              <a:off x="2965835" y="2502757"/>
              <a:ext cx="2720424" cy="17588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135587</xdr:colOff>
      <xdr:row>10</xdr:row>
      <xdr:rowOff>118609</xdr:rowOff>
    </xdr:from>
    <xdr:to>
      <xdr:col>1</xdr:col>
      <xdr:colOff>940906</xdr:colOff>
      <xdr:row>14</xdr:row>
      <xdr:rowOff>72887</xdr:rowOff>
    </xdr:to>
    <mc:AlternateContent xmlns:mc="http://schemas.openxmlformats.org/markup-compatibility/2006" xmlns:sle15="http://schemas.microsoft.com/office/drawing/2012/slicer">
      <mc:Choice Requires="sle15">
        <xdr:graphicFrame macro="">
          <xdr:nvGraphicFramePr>
            <xdr:cNvPr id="63" name="Facility Clearance Required (Y/N)">
              <a:extLst>
                <a:ext uri="{FF2B5EF4-FFF2-40B4-BE49-F238E27FC236}">
                  <a16:creationId xmlns:a16="http://schemas.microsoft.com/office/drawing/2014/main" id="{8E92B72F-3690-940D-DCFA-F18737E34CB0}"/>
                </a:ext>
              </a:extLst>
            </xdr:cNvPr>
            <xdr:cNvGraphicFramePr/>
          </xdr:nvGraphicFramePr>
          <xdr:xfrm>
            <a:off x="0" y="0"/>
            <a:ext cx="0" cy="0"/>
          </xdr:xfrm>
          <a:graphic>
            <a:graphicData uri="http://schemas.microsoft.com/office/drawing/2010/slicer">
              <sle:slicer xmlns:sle="http://schemas.microsoft.com/office/drawing/2010/slicer" name="Facility Clearance Required (Y/N)"/>
            </a:graphicData>
          </a:graphic>
        </xdr:graphicFrame>
      </mc:Choice>
      <mc:Fallback xmlns="">
        <xdr:sp macro="" textlink="">
          <xdr:nvSpPr>
            <xdr:cNvPr id="0" name=""/>
            <xdr:cNvSpPr>
              <a:spLocks noTextEdit="1"/>
            </xdr:cNvSpPr>
          </xdr:nvSpPr>
          <xdr:spPr>
            <a:xfrm>
              <a:off x="135587" y="4352679"/>
              <a:ext cx="2726884" cy="113372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1041040</xdr:colOff>
      <xdr:row>10</xdr:row>
      <xdr:rowOff>125149</xdr:rowOff>
    </xdr:from>
    <xdr:to>
      <xdr:col>2</xdr:col>
      <xdr:colOff>2193235</xdr:colOff>
      <xdr:row>14</xdr:row>
      <xdr:rowOff>85061</xdr:rowOff>
    </xdr:to>
    <mc:AlternateContent xmlns:mc="http://schemas.openxmlformats.org/markup-compatibility/2006" xmlns:sle15="http://schemas.microsoft.com/office/drawing/2012/slicer">
      <mc:Choice Requires="sle15">
        <xdr:graphicFrame macro="">
          <xdr:nvGraphicFramePr>
            <xdr:cNvPr id="64" name="Security Clearance Required (Y/N)">
              <a:extLst>
                <a:ext uri="{FF2B5EF4-FFF2-40B4-BE49-F238E27FC236}">
                  <a16:creationId xmlns:a16="http://schemas.microsoft.com/office/drawing/2014/main" id="{B55168EA-79A4-FFED-6891-B6399536CCC8}"/>
                </a:ext>
              </a:extLst>
            </xdr:cNvPr>
            <xdr:cNvGraphicFramePr/>
          </xdr:nvGraphicFramePr>
          <xdr:xfrm>
            <a:off x="0" y="0"/>
            <a:ext cx="0" cy="0"/>
          </xdr:xfrm>
          <a:graphic>
            <a:graphicData uri="http://schemas.microsoft.com/office/drawing/2010/slicer">
              <sle:slicer xmlns:sle="http://schemas.microsoft.com/office/drawing/2010/slicer" name="Security Clearance Required (Y/N)"/>
            </a:graphicData>
          </a:graphic>
        </xdr:graphicFrame>
      </mc:Choice>
      <mc:Fallback xmlns="">
        <xdr:sp macro="" textlink="">
          <xdr:nvSpPr>
            <xdr:cNvPr id="0" name=""/>
            <xdr:cNvSpPr>
              <a:spLocks noTextEdit="1"/>
            </xdr:cNvSpPr>
          </xdr:nvSpPr>
          <xdr:spPr>
            <a:xfrm>
              <a:off x="2962605" y="4359219"/>
              <a:ext cx="2722578" cy="11393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079160365.CIV\Downloads\Export.xlsx" TargetMode="External"/><Relationship Id="rId1" Type="http://schemas.openxmlformats.org/officeDocument/2006/relationships/externalLinkPath" Target="Ex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award_OSBP"/>
    </sheetNames>
    <sheetDataSet>
      <sheetData sheetId="0" refreshError="1">
        <row r="1">
          <cell r="A1" t="str">
            <v>Contract or Order Number</v>
          </cell>
          <cell r="F1" t="str">
            <v>FOLLOWON CONTRACT</v>
          </cell>
          <cell r="T1" t="str">
            <v>Anticipated Solicitation Date</v>
          </cell>
        </row>
        <row r="3">
          <cell r="T3">
            <v>46197</v>
          </cell>
        </row>
        <row r="4">
          <cell r="F4" t="str">
            <v>W91QF025PA027</v>
          </cell>
        </row>
        <row r="6">
          <cell r="T6">
            <v>46076</v>
          </cell>
        </row>
        <row r="7">
          <cell r="F7" t="str">
            <v>W911SF25CA004</v>
          </cell>
          <cell r="T7">
            <v>46104</v>
          </cell>
        </row>
        <row r="8">
          <cell r="F8" t="str">
            <v>W9124721P9064</v>
          </cell>
          <cell r="T8">
            <v>46090</v>
          </cell>
        </row>
        <row r="9">
          <cell r="T9">
            <v>46150</v>
          </cell>
        </row>
        <row r="10">
          <cell r="T10">
            <v>46140</v>
          </cell>
        </row>
        <row r="11">
          <cell r="F11" t="str">
            <v>W91QV121P0085</v>
          </cell>
          <cell r="T11">
            <v>46161</v>
          </cell>
        </row>
        <row r="13">
          <cell r="F13" t="str">
            <v>W9124D24D0008</v>
          </cell>
          <cell r="T13">
            <v>46134</v>
          </cell>
        </row>
        <row r="14">
          <cell r="F14" t="str">
            <v>HQ051624D0002</v>
          </cell>
        </row>
        <row r="15">
          <cell r="T15">
            <v>46129</v>
          </cell>
        </row>
        <row r="16">
          <cell r="T16">
            <v>46085</v>
          </cell>
        </row>
        <row r="17">
          <cell r="T17">
            <v>46091</v>
          </cell>
        </row>
        <row r="18">
          <cell r="T18">
            <v>46127</v>
          </cell>
        </row>
        <row r="19">
          <cell r="T19">
            <v>46090</v>
          </cell>
        </row>
        <row r="20">
          <cell r="T20">
            <v>46087</v>
          </cell>
        </row>
        <row r="21">
          <cell r="T21">
            <v>46143</v>
          </cell>
        </row>
        <row r="22">
          <cell r="T22">
            <v>46114</v>
          </cell>
        </row>
        <row r="24">
          <cell r="T24">
            <v>46295</v>
          </cell>
        </row>
        <row r="25">
          <cell r="T25">
            <v>46101</v>
          </cell>
        </row>
        <row r="26">
          <cell r="T26">
            <v>46079</v>
          </cell>
        </row>
        <row r="27">
          <cell r="T27">
            <v>46094</v>
          </cell>
        </row>
        <row r="28">
          <cell r="T28">
            <v>46176</v>
          </cell>
        </row>
        <row r="29">
          <cell r="F29" t="str">
            <v>W911S6D220001</v>
          </cell>
        </row>
        <row r="30">
          <cell r="T30">
            <v>46066</v>
          </cell>
        </row>
        <row r="31">
          <cell r="T31">
            <v>46139</v>
          </cell>
        </row>
        <row r="32">
          <cell r="F32" t="str">
            <v>W91QF421C0003</v>
          </cell>
          <cell r="T32">
            <v>46202</v>
          </cell>
        </row>
        <row r="33">
          <cell r="F33" t="str">
            <v>W911RX20D0002</v>
          </cell>
          <cell r="T33">
            <v>46204</v>
          </cell>
        </row>
        <row r="34">
          <cell r="T34">
            <v>46093</v>
          </cell>
        </row>
        <row r="35">
          <cell r="F35" t="str">
            <v>W91QF422C0002</v>
          </cell>
          <cell r="T35">
            <v>46087</v>
          </cell>
        </row>
        <row r="38">
          <cell r="F38" t="str">
            <v>W9124D25PA097</v>
          </cell>
          <cell r="T38">
            <v>46106</v>
          </cell>
        </row>
        <row r="39">
          <cell r="T39">
            <v>46118</v>
          </cell>
        </row>
        <row r="40">
          <cell r="T40">
            <v>46295</v>
          </cell>
        </row>
        <row r="41">
          <cell r="F41" t="str">
            <v>W9124G20P0019</v>
          </cell>
          <cell r="T41">
            <v>46097</v>
          </cell>
        </row>
        <row r="42">
          <cell r="T42">
            <v>46097</v>
          </cell>
        </row>
        <row r="43">
          <cell r="T43">
            <v>46115</v>
          </cell>
        </row>
        <row r="44">
          <cell r="T44">
            <v>46129</v>
          </cell>
        </row>
        <row r="45">
          <cell r="T45">
            <v>46080</v>
          </cell>
        </row>
        <row r="46">
          <cell r="F46" t="str">
            <v>W9115123P0117</v>
          </cell>
          <cell r="T46">
            <v>46084</v>
          </cell>
        </row>
        <row r="47">
          <cell r="T47">
            <v>46112</v>
          </cell>
        </row>
        <row r="49">
          <cell r="F49" t="str">
            <v>W9124D24D0005</v>
          </cell>
          <cell r="T49">
            <v>46086</v>
          </cell>
        </row>
        <row r="51">
          <cell r="T51">
            <v>46163</v>
          </cell>
        </row>
        <row r="52">
          <cell r="F52" t="str">
            <v>W9124922C0008</v>
          </cell>
          <cell r="T52">
            <v>46412</v>
          </cell>
        </row>
        <row r="53">
          <cell r="T53">
            <v>46148</v>
          </cell>
        </row>
        <row r="54">
          <cell r="F54" t="str">
            <v>W91QV121C0018</v>
          </cell>
          <cell r="T54">
            <v>46106</v>
          </cell>
        </row>
        <row r="55">
          <cell r="T55">
            <v>46406</v>
          </cell>
        </row>
        <row r="58">
          <cell r="T58">
            <v>46295</v>
          </cell>
        </row>
        <row r="61">
          <cell r="T61">
            <v>46123</v>
          </cell>
        </row>
        <row r="62">
          <cell r="T62">
            <v>46094</v>
          </cell>
        </row>
        <row r="63">
          <cell r="T63">
            <v>46150</v>
          </cell>
        </row>
        <row r="64">
          <cell r="F64" t="str">
            <v>W91QV123C0038</v>
          </cell>
          <cell r="T64">
            <v>46113</v>
          </cell>
        </row>
        <row r="65">
          <cell r="T65">
            <v>46086</v>
          </cell>
        </row>
        <row r="66">
          <cell r="T66">
            <v>46295</v>
          </cell>
        </row>
        <row r="68">
          <cell r="T68">
            <v>46090</v>
          </cell>
        </row>
        <row r="69">
          <cell r="T69">
            <v>46101</v>
          </cell>
        </row>
        <row r="70">
          <cell r="T70">
            <v>46090</v>
          </cell>
        </row>
        <row r="71">
          <cell r="F71" t="str">
            <v>W9124E21P0015</v>
          </cell>
          <cell r="T71">
            <v>46190</v>
          </cell>
        </row>
        <row r="73">
          <cell r="T73">
            <v>46147</v>
          </cell>
        </row>
        <row r="74">
          <cell r="F74" t="str">
            <v>W911SF21F0115</v>
          </cell>
          <cell r="T74">
            <v>46097</v>
          </cell>
        </row>
        <row r="75">
          <cell r="F75" t="str">
            <v>W9124J18D0003</v>
          </cell>
        </row>
        <row r="76">
          <cell r="T76">
            <v>46205</v>
          </cell>
        </row>
        <row r="77">
          <cell r="T77">
            <v>46126</v>
          </cell>
        </row>
        <row r="78">
          <cell r="T78">
            <v>46174</v>
          </cell>
        </row>
        <row r="79">
          <cell r="T79">
            <v>46078</v>
          </cell>
        </row>
        <row r="81">
          <cell r="T81">
            <v>46065</v>
          </cell>
        </row>
        <row r="82">
          <cell r="T82">
            <v>46156</v>
          </cell>
        </row>
        <row r="83">
          <cell r="T83">
            <v>46072</v>
          </cell>
        </row>
        <row r="84">
          <cell r="T84">
            <v>46132</v>
          </cell>
        </row>
        <row r="85">
          <cell r="T85">
            <v>46146</v>
          </cell>
        </row>
        <row r="86">
          <cell r="F86" t="str">
            <v>W9124M20D0001</v>
          </cell>
          <cell r="T86">
            <v>46104</v>
          </cell>
        </row>
        <row r="87">
          <cell r="T87">
            <v>46090</v>
          </cell>
        </row>
        <row r="88">
          <cell r="T88">
            <v>46097</v>
          </cell>
        </row>
        <row r="89">
          <cell r="T89">
            <v>46150</v>
          </cell>
        </row>
        <row r="90">
          <cell r="F90" t="str">
            <v>W9124923C0002</v>
          </cell>
          <cell r="T90">
            <v>46439</v>
          </cell>
        </row>
        <row r="91">
          <cell r="T91">
            <v>46101</v>
          </cell>
        </row>
        <row r="92">
          <cell r="T92">
            <v>46134</v>
          </cell>
        </row>
        <row r="93">
          <cell r="T93">
            <v>46059</v>
          </cell>
        </row>
        <row r="94">
          <cell r="T94">
            <v>46162</v>
          </cell>
        </row>
        <row r="95">
          <cell r="F95" t="str">
            <v>W91QEX21C0005</v>
          </cell>
          <cell r="T95">
            <v>46202</v>
          </cell>
        </row>
        <row r="96">
          <cell r="T96">
            <v>46098</v>
          </cell>
        </row>
        <row r="97">
          <cell r="T97">
            <v>46091</v>
          </cell>
        </row>
        <row r="98">
          <cell r="F98" t="str">
            <v>W911SG20D0002</v>
          </cell>
          <cell r="T98">
            <v>46374</v>
          </cell>
        </row>
        <row r="100">
          <cell r="T100">
            <v>46083</v>
          </cell>
        </row>
        <row r="101">
          <cell r="T101">
            <v>46042</v>
          </cell>
        </row>
        <row r="102">
          <cell r="T102">
            <v>46130</v>
          </cell>
        </row>
        <row r="103">
          <cell r="T103">
            <v>46120</v>
          </cell>
        </row>
        <row r="105">
          <cell r="F105" t="str">
            <v>W9124921P0076</v>
          </cell>
          <cell r="T105">
            <v>46059</v>
          </cell>
        </row>
        <row r="107">
          <cell r="T107">
            <v>46094</v>
          </cell>
        </row>
        <row r="108">
          <cell r="T108">
            <v>46073</v>
          </cell>
        </row>
        <row r="109">
          <cell r="T109">
            <v>46083</v>
          </cell>
        </row>
        <row r="112">
          <cell r="F112" t="str">
            <v>W9124922C0010</v>
          </cell>
          <cell r="T112">
            <v>46171</v>
          </cell>
        </row>
        <row r="113">
          <cell r="T113">
            <v>46092</v>
          </cell>
        </row>
        <row r="114">
          <cell r="F114" t="str">
            <v>W9124D25PA114</v>
          </cell>
          <cell r="T114">
            <v>46134</v>
          </cell>
        </row>
        <row r="115">
          <cell r="T115">
            <v>46090</v>
          </cell>
        </row>
        <row r="118">
          <cell r="T118">
            <v>46070</v>
          </cell>
        </row>
        <row r="119">
          <cell r="F119" t="str">
            <v>W91S1A21P3030</v>
          </cell>
          <cell r="T119">
            <v>46079</v>
          </cell>
        </row>
        <row r="120">
          <cell r="F120" t="str">
            <v>W9124725CA036</v>
          </cell>
          <cell r="T120">
            <v>46072</v>
          </cell>
        </row>
        <row r="121">
          <cell r="T121">
            <v>46080</v>
          </cell>
        </row>
        <row r="122">
          <cell r="T122">
            <v>46123</v>
          </cell>
        </row>
        <row r="123">
          <cell r="T123">
            <v>46106</v>
          </cell>
        </row>
        <row r="125">
          <cell r="T125">
            <v>46111</v>
          </cell>
        </row>
        <row r="126">
          <cell r="T126">
            <v>46295</v>
          </cell>
        </row>
        <row r="127">
          <cell r="T127">
            <v>46231</v>
          </cell>
        </row>
        <row r="128">
          <cell r="T128">
            <v>46086</v>
          </cell>
        </row>
        <row r="129">
          <cell r="F129" t="str">
            <v>W9124925PA014</v>
          </cell>
          <cell r="T129">
            <v>46086</v>
          </cell>
        </row>
        <row r="130">
          <cell r="T130">
            <v>46080</v>
          </cell>
        </row>
        <row r="131">
          <cell r="F131" t="str">
            <v>47QRAA20D001U</v>
          </cell>
          <cell r="T131">
            <v>46093</v>
          </cell>
        </row>
        <row r="132">
          <cell r="T132">
            <v>46129</v>
          </cell>
        </row>
        <row r="133">
          <cell r="T133">
            <v>46112</v>
          </cell>
        </row>
        <row r="134">
          <cell r="T134">
            <v>46087</v>
          </cell>
        </row>
        <row r="135">
          <cell r="F135" t="str">
            <v>W9124D24D0007</v>
          </cell>
          <cell r="T135">
            <v>46063</v>
          </cell>
        </row>
        <row r="136">
          <cell r="T136">
            <v>46234</v>
          </cell>
        </row>
        <row r="138">
          <cell r="T138">
            <v>46090</v>
          </cell>
        </row>
        <row r="139">
          <cell r="F139" t="str">
            <v>W91QF422C0002</v>
          </cell>
          <cell r="T139">
            <v>46087</v>
          </cell>
        </row>
        <row r="140">
          <cell r="T140">
            <v>46176</v>
          </cell>
        </row>
        <row r="141">
          <cell r="F141" t="str">
            <v>W9124J20C0023</v>
          </cell>
        </row>
        <row r="142">
          <cell r="T142">
            <v>46086</v>
          </cell>
        </row>
        <row r="143">
          <cell r="T143">
            <v>46188</v>
          </cell>
        </row>
        <row r="145">
          <cell r="T145">
            <v>46087</v>
          </cell>
        </row>
        <row r="147">
          <cell r="F147" t="str">
            <v>W91QF021P0008</v>
          </cell>
        </row>
        <row r="148">
          <cell r="T148">
            <v>46090</v>
          </cell>
        </row>
        <row r="149">
          <cell r="F149" t="str">
            <v>W9124D24D0005</v>
          </cell>
          <cell r="T149">
            <v>46072</v>
          </cell>
        </row>
        <row r="151">
          <cell r="T151">
            <v>46095</v>
          </cell>
        </row>
        <row r="152">
          <cell r="F152" t="str">
            <v>W9124C21C0018</v>
          </cell>
          <cell r="T152">
            <v>46094</v>
          </cell>
        </row>
        <row r="153">
          <cell r="T153">
            <v>46295</v>
          </cell>
        </row>
        <row r="154">
          <cell r="T154">
            <v>46205</v>
          </cell>
        </row>
        <row r="155">
          <cell r="T155">
            <v>46205</v>
          </cell>
        </row>
        <row r="156">
          <cell r="T156">
            <v>46092</v>
          </cell>
        </row>
        <row r="157">
          <cell r="T157">
            <v>46100</v>
          </cell>
        </row>
        <row r="158">
          <cell r="T158">
            <v>46108</v>
          </cell>
        </row>
        <row r="159">
          <cell r="F159" t="str">
            <v>W9124J24P0011</v>
          </cell>
        </row>
        <row r="160">
          <cell r="T160">
            <v>46101</v>
          </cell>
        </row>
        <row r="162">
          <cell r="F162" t="str">
            <v>W912C321C0002</v>
          </cell>
          <cell r="T162">
            <v>46118</v>
          </cell>
        </row>
        <row r="163">
          <cell r="T163">
            <v>46106</v>
          </cell>
        </row>
        <row r="164">
          <cell r="T164">
            <v>46132</v>
          </cell>
        </row>
        <row r="165">
          <cell r="T165">
            <v>46237</v>
          </cell>
        </row>
        <row r="166">
          <cell r="F166" t="str">
            <v>W52P1J20D0039</v>
          </cell>
          <cell r="T166">
            <v>46161</v>
          </cell>
        </row>
        <row r="167">
          <cell r="T167">
            <v>46120</v>
          </cell>
        </row>
        <row r="168">
          <cell r="T168">
            <v>46295</v>
          </cell>
        </row>
        <row r="170">
          <cell r="F170" t="str">
            <v>W9124M21D0001</v>
          </cell>
          <cell r="T170">
            <v>46098</v>
          </cell>
        </row>
        <row r="171">
          <cell r="F171" t="str">
            <v>W9124D23C0034</v>
          </cell>
        </row>
        <row r="172">
          <cell r="T172">
            <v>46112</v>
          </cell>
        </row>
        <row r="173">
          <cell r="F173" t="str">
            <v>W9124J19D0008</v>
          </cell>
          <cell r="T173">
            <v>46261</v>
          </cell>
        </row>
        <row r="174">
          <cell r="T174">
            <v>46112</v>
          </cell>
        </row>
        <row r="176">
          <cell r="T176">
            <v>46104</v>
          </cell>
        </row>
        <row r="177">
          <cell r="T177">
            <v>46171</v>
          </cell>
        </row>
        <row r="178">
          <cell r="F178" t="str">
            <v>W91QF022C0001</v>
          </cell>
          <cell r="T178">
            <v>46098</v>
          </cell>
        </row>
        <row r="179">
          <cell r="F179" t="str">
            <v>W91QF422C0003</v>
          </cell>
          <cell r="T179">
            <v>46080</v>
          </cell>
        </row>
        <row r="180">
          <cell r="T180">
            <v>46091</v>
          </cell>
        </row>
        <row r="181">
          <cell r="F181" t="str">
            <v>W91QV121P0075</v>
          </cell>
          <cell r="T181">
            <v>46143</v>
          </cell>
        </row>
        <row r="182">
          <cell r="T182">
            <v>46126</v>
          </cell>
        </row>
        <row r="184">
          <cell r="F184" t="str">
            <v>N0024424D0009</v>
          </cell>
          <cell r="T184">
            <v>46087</v>
          </cell>
        </row>
        <row r="185">
          <cell r="T185">
            <v>46101</v>
          </cell>
        </row>
        <row r="186">
          <cell r="T186">
            <v>46106</v>
          </cell>
        </row>
        <row r="187">
          <cell r="T187">
            <v>46118</v>
          </cell>
        </row>
        <row r="188">
          <cell r="T188">
            <v>46118</v>
          </cell>
        </row>
        <row r="189">
          <cell r="T189">
            <v>46090</v>
          </cell>
        </row>
        <row r="190">
          <cell r="T190">
            <v>46079</v>
          </cell>
        </row>
        <row r="191">
          <cell r="T191">
            <v>46097</v>
          </cell>
        </row>
        <row r="193">
          <cell r="T193">
            <v>46100</v>
          </cell>
        </row>
        <row r="194">
          <cell r="T194">
            <v>46107</v>
          </cell>
        </row>
        <row r="195">
          <cell r="F195" t="str">
            <v>W91QV123C0052</v>
          </cell>
          <cell r="T195">
            <v>46122</v>
          </cell>
        </row>
        <row r="196">
          <cell r="F196" t="str">
            <v>W911SA23P3003</v>
          </cell>
          <cell r="T196">
            <v>46087</v>
          </cell>
        </row>
        <row r="197">
          <cell r="T197">
            <v>46106</v>
          </cell>
        </row>
        <row r="198">
          <cell r="T198">
            <v>46090</v>
          </cell>
        </row>
        <row r="199">
          <cell r="T199">
            <v>46409</v>
          </cell>
        </row>
        <row r="200">
          <cell r="F200" t="str">
            <v>W911SF21D0004</v>
          </cell>
          <cell r="T200">
            <v>46103</v>
          </cell>
        </row>
        <row r="201">
          <cell r="T201">
            <v>46093</v>
          </cell>
        </row>
        <row r="202">
          <cell r="T202">
            <v>46295</v>
          </cell>
        </row>
        <row r="203">
          <cell r="T203">
            <v>46097</v>
          </cell>
        </row>
        <row r="204">
          <cell r="T204">
            <v>46097</v>
          </cell>
        </row>
        <row r="205">
          <cell r="T205">
            <v>46111</v>
          </cell>
        </row>
        <row r="206">
          <cell r="T206">
            <v>46071</v>
          </cell>
        </row>
        <row r="207">
          <cell r="T207">
            <v>46090</v>
          </cell>
        </row>
        <row r="208">
          <cell r="T208">
            <v>46085</v>
          </cell>
        </row>
        <row r="209">
          <cell r="T209">
            <v>46094</v>
          </cell>
        </row>
        <row r="210">
          <cell r="T210">
            <v>46098</v>
          </cell>
        </row>
        <row r="211">
          <cell r="F211" t="str">
            <v>W911S720C0004</v>
          </cell>
          <cell r="T211">
            <v>46115</v>
          </cell>
        </row>
        <row r="213">
          <cell r="T213">
            <v>46107</v>
          </cell>
        </row>
        <row r="214">
          <cell r="F214" t="str">
            <v>W9124D23C0036</v>
          </cell>
        </row>
        <row r="215">
          <cell r="T215">
            <v>46106</v>
          </cell>
        </row>
        <row r="216">
          <cell r="T216">
            <v>46140</v>
          </cell>
        </row>
        <row r="217">
          <cell r="F217" t="str">
            <v>W9124D25PA152</v>
          </cell>
          <cell r="T217">
            <v>46100</v>
          </cell>
        </row>
        <row r="218">
          <cell r="F218" t="str">
            <v>W912C321C0003</v>
          </cell>
          <cell r="T218">
            <v>46116</v>
          </cell>
        </row>
        <row r="219">
          <cell r="T219">
            <v>46111</v>
          </cell>
        </row>
        <row r="220">
          <cell r="T220">
            <v>46092</v>
          </cell>
        </row>
        <row r="221">
          <cell r="F221" t="str">
            <v>W52P1J18DA013</v>
          </cell>
          <cell r="T221">
            <v>46290</v>
          </cell>
        </row>
        <row r="222">
          <cell r="T222">
            <v>46113</v>
          </cell>
        </row>
        <row r="223">
          <cell r="F223" t="str">
            <v>W9124D25DA004</v>
          </cell>
          <cell r="T223">
            <v>46078</v>
          </cell>
        </row>
        <row r="225">
          <cell r="F225" t="str">
            <v>W9124D23F0449</v>
          </cell>
          <cell r="T225">
            <v>46105</v>
          </cell>
        </row>
        <row r="226">
          <cell r="T226">
            <v>46295</v>
          </cell>
        </row>
        <row r="227">
          <cell r="T227">
            <v>46101</v>
          </cell>
        </row>
        <row r="228">
          <cell r="T228">
            <v>46087</v>
          </cell>
        </row>
        <row r="229">
          <cell r="F229" t="str">
            <v>W9124G22P0003</v>
          </cell>
          <cell r="T229">
            <v>46115</v>
          </cell>
        </row>
        <row r="230">
          <cell r="T230">
            <v>46108</v>
          </cell>
        </row>
        <row r="231">
          <cell r="T231">
            <v>46090</v>
          </cell>
        </row>
        <row r="232">
          <cell r="F232" t="str">
            <v>W9124D21H0004</v>
          </cell>
        </row>
        <row r="233">
          <cell r="T233">
            <v>46093</v>
          </cell>
        </row>
        <row r="234">
          <cell r="F234" t="str">
            <v>W9124J16C0020</v>
          </cell>
          <cell r="T234">
            <v>46108</v>
          </cell>
        </row>
        <row r="235">
          <cell r="F235" t="str">
            <v>W9124721C0032</v>
          </cell>
          <cell r="T235">
            <v>46113</v>
          </cell>
        </row>
        <row r="237">
          <cell r="F237" t="str">
            <v>W9124D25PA083</v>
          </cell>
          <cell r="T237">
            <v>46122</v>
          </cell>
        </row>
        <row r="238">
          <cell r="T238">
            <v>46078</v>
          </cell>
        </row>
        <row r="239">
          <cell r="F239" t="str">
            <v>W9115122C0017</v>
          </cell>
          <cell r="T239">
            <v>46134</v>
          </cell>
        </row>
        <row r="240">
          <cell r="T240">
            <v>46112</v>
          </cell>
        </row>
        <row r="241">
          <cell r="T241">
            <v>46084</v>
          </cell>
        </row>
        <row r="242">
          <cell r="F242" t="str">
            <v>W9124D25PA046</v>
          </cell>
          <cell r="T242">
            <v>46090</v>
          </cell>
        </row>
        <row r="243">
          <cell r="T243">
            <v>46092</v>
          </cell>
        </row>
        <row r="245">
          <cell r="F245" t="str">
            <v>W911S821D0003</v>
          </cell>
          <cell r="T245">
            <v>46087</v>
          </cell>
        </row>
        <row r="246">
          <cell r="T246">
            <v>46080</v>
          </cell>
        </row>
        <row r="247">
          <cell r="F247" t="str">
            <v>W9124G22F0038</v>
          </cell>
          <cell r="T247">
            <v>46108</v>
          </cell>
        </row>
        <row r="248">
          <cell r="T248">
            <v>46086</v>
          </cell>
        </row>
        <row r="249">
          <cell r="T249">
            <v>46073</v>
          </cell>
        </row>
        <row r="251">
          <cell r="T251">
            <v>46113</v>
          </cell>
        </row>
        <row r="252">
          <cell r="T252">
            <v>46188</v>
          </cell>
        </row>
        <row r="253">
          <cell r="T253">
            <v>46086</v>
          </cell>
        </row>
        <row r="254">
          <cell r="T254">
            <v>46295</v>
          </cell>
        </row>
        <row r="255">
          <cell r="F255" t="str">
            <v>W9124J20D0004</v>
          </cell>
          <cell r="T255">
            <v>46125</v>
          </cell>
        </row>
        <row r="256">
          <cell r="F256" t="str">
            <v>W9124D24D0003</v>
          </cell>
          <cell r="T256">
            <v>46093</v>
          </cell>
        </row>
        <row r="258">
          <cell r="T258">
            <v>46101</v>
          </cell>
        </row>
        <row r="259">
          <cell r="F259" t="str">
            <v>W9124D21C0014</v>
          </cell>
          <cell r="T259">
            <v>46098</v>
          </cell>
        </row>
        <row r="261">
          <cell r="F261" t="str">
            <v>W9124J23D0007</v>
          </cell>
          <cell r="T261">
            <v>46230</v>
          </cell>
        </row>
        <row r="262">
          <cell r="F262" t="str">
            <v>W9124D25F0016</v>
          </cell>
          <cell r="T262">
            <v>46204</v>
          </cell>
        </row>
        <row r="263">
          <cell r="T263">
            <v>46097</v>
          </cell>
        </row>
        <row r="264">
          <cell r="T264">
            <v>46104</v>
          </cell>
        </row>
        <row r="265">
          <cell r="T265">
            <v>46099</v>
          </cell>
        </row>
        <row r="266">
          <cell r="F266" t="str">
            <v>W9115121C0026</v>
          </cell>
          <cell r="T266">
            <v>46129</v>
          </cell>
        </row>
        <row r="267">
          <cell r="T267">
            <v>46086</v>
          </cell>
        </row>
        <row r="268">
          <cell r="T268">
            <v>46099</v>
          </cell>
        </row>
        <row r="270">
          <cell r="T270">
            <v>46094</v>
          </cell>
        </row>
        <row r="272">
          <cell r="T272">
            <v>46085</v>
          </cell>
        </row>
        <row r="273">
          <cell r="T273">
            <v>46181</v>
          </cell>
        </row>
        <row r="274">
          <cell r="F274" t="str">
            <v>W91QF422C0003</v>
          </cell>
          <cell r="T274">
            <v>46080</v>
          </cell>
        </row>
        <row r="275">
          <cell r="T275">
            <v>46292</v>
          </cell>
        </row>
        <row r="276">
          <cell r="T276">
            <v>46090</v>
          </cell>
        </row>
        <row r="277">
          <cell r="F277" t="str">
            <v>W911SA22D3010</v>
          </cell>
          <cell r="T277">
            <v>46391</v>
          </cell>
        </row>
        <row r="278">
          <cell r="F278" t="str">
            <v>W9115122C0002</v>
          </cell>
          <cell r="T278">
            <v>46164</v>
          </cell>
        </row>
        <row r="279">
          <cell r="F279" t="str">
            <v>W9124J23C0012</v>
          </cell>
          <cell r="T279">
            <v>46101</v>
          </cell>
        </row>
        <row r="280">
          <cell r="T280">
            <v>46295</v>
          </cell>
        </row>
        <row r="281">
          <cell r="F281" t="str">
            <v>W9124D21C0022</v>
          </cell>
          <cell r="T281">
            <v>46189</v>
          </cell>
        </row>
        <row r="282">
          <cell r="T282">
            <v>46086</v>
          </cell>
        </row>
        <row r="283">
          <cell r="T283">
            <v>45883</v>
          </cell>
        </row>
        <row r="284">
          <cell r="F284" t="str">
            <v>W9124D24D0007</v>
          </cell>
          <cell r="T284">
            <v>46127</v>
          </cell>
        </row>
        <row r="287">
          <cell r="T287">
            <v>46295</v>
          </cell>
        </row>
        <row r="288">
          <cell r="T288">
            <v>46143</v>
          </cell>
        </row>
        <row r="289">
          <cell r="T289">
            <v>46104</v>
          </cell>
        </row>
        <row r="290">
          <cell r="F290" t="str">
            <v>W9124922D0005</v>
          </cell>
          <cell r="T290">
            <v>46148</v>
          </cell>
        </row>
        <row r="291">
          <cell r="T291">
            <v>46349</v>
          </cell>
        </row>
        <row r="293">
          <cell r="T293">
            <v>46085</v>
          </cell>
        </row>
        <row r="294">
          <cell r="F294" t="str">
            <v>W911SA21D3002</v>
          </cell>
          <cell r="T294">
            <v>46126</v>
          </cell>
        </row>
        <row r="295">
          <cell r="T295">
            <v>46090</v>
          </cell>
        </row>
        <row r="296">
          <cell r="T296">
            <v>46094</v>
          </cell>
        </row>
        <row r="297">
          <cell r="T297">
            <v>46195</v>
          </cell>
        </row>
        <row r="298">
          <cell r="T298">
            <v>46295</v>
          </cell>
        </row>
        <row r="299">
          <cell r="T299">
            <v>46092</v>
          </cell>
        </row>
        <row r="300">
          <cell r="T300">
            <v>46125</v>
          </cell>
        </row>
        <row r="301">
          <cell r="T301">
            <v>46295</v>
          </cell>
        </row>
        <row r="302">
          <cell r="T302">
            <v>46174</v>
          </cell>
        </row>
        <row r="303">
          <cell r="F303" t="str">
            <v>W9124D25PA084</v>
          </cell>
          <cell r="T303">
            <v>46119</v>
          </cell>
        </row>
        <row r="304">
          <cell r="T304">
            <v>46091</v>
          </cell>
        </row>
        <row r="305">
          <cell r="T305">
            <v>46098</v>
          </cell>
        </row>
        <row r="306">
          <cell r="F306" t="str">
            <v>W91QF020P0041</v>
          </cell>
        </row>
        <row r="307">
          <cell r="T307">
            <v>46134</v>
          </cell>
        </row>
        <row r="309">
          <cell r="F309" t="str">
            <v>W9124D24D0003</v>
          </cell>
          <cell r="T309">
            <v>46119</v>
          </cell>
        </row>
        <row r="310">
          <cell r="T310">
            <v>46064</v>
          </cell>
        </row>
        <row r="311">
          <cell r="T311">
            <v>46080</v>
          </cell>
        </row>
        <row r="312">
          <cell r="T312">
            <v>46084</v>
          </cell>
        </row>
        <row r="313">
          <cell r="T313">
            <v>46091</v>
          </cell>
        </row>
        <row r="314">
          <cell r="F314" t="str">
            <v>W91QF021P0018</v>
          </cell>
          <cell r="T314">
            <v>46146</v>
          </cell>
        </row>
        <row r="315">
          <cell r="F315" t="str">
            <v>W9124J20D0036</v>
          </cell>
          <cell r="T315">
            <v>46113</v>
          </cell>
        </row>
        <row r="316">
          <cell r="T316">
            <v>46129</v>
          </cell>
        </row>
        <row r="317">
          <cell r="T317">
            <v>46086</v>
          </cell>
        </row>
        <row r="318">
          <cell r="F318" t="str">
            <v>W9124D25PA107</v>
          </cell>
          <cell r="T318">
            <v>46115</v>
          </cell>
        </row>
        <row r="319">
          <cell r="F319" t="str">
            <v>W911RX20D0002</v>
          </cell>
          <cell r="T319">
            <v>46204</v>
          </cell>
        </row>
        <row r="320">
          <cell r="T320">
            <v>46097</v>
          </cell>
        </row>
        <row r="321">
          <cell r="F321" t="str">
            <v>W9124D21H0003</v>
          </cell>
        </row>
        <row r="324">
          <cell r="T324">
            <v>46055</v>
          </cell>
        </row>
        <row r="326">
          <cell r="T326">
            <v>46066</v>
          </cell>
        </row>
        <row r="327">
          <cell r="F327" t="str">
            <v>W911SF21D0002</v>
          </cell>
        </row>
        <row r="328">
          <cell r="T328">
            <v>46080</v>
          </cell>
        </row>
        <row r="329">
          <cell r="T329">
            <v>46087</v>
          </cell>
        </row>
        <row r="330">
          <cell r="T330">
            <v>46139</v>
          </cell>
        </row>
        <row r="331">
          <cell r="T331">
            <v>46295</v>
          </cell>
        </row>
        <row r="332">
          <cell r="F332" t="str">
            <v>W911SF25PA007</v>
          </cell>
        </row>
        <row r="333">
          <cell r="T333">
            <v>46100</v>
          </cell>
        </row>
        <row r="337">
          <cell r="T337">
            <v>46099</v>
          </cell>
        </row>
        <row r="338">
          <cell r="T338">
            <v>46090</v>
          </cell>
        </row>
        <row r="339">
          <cell r="F339" t="str">
            <v>W912C321C0004</v>
          </cell>
        </row>
        <row r="340">
          <cell r="T340">
            <v>46245</v>
          </cell>
        </row>
        <row r="341">
          <cell r="T341">
            <v>46010</v>
          </cell>
        </row>
        <row r="342">
          <cell r="F342" t="str">
            <v>W91QF417D0005</v>
          </cell>
          <cell r="T342">
            <v>46097</v>
          </cell>
        </row>
        <row r="343">
          <cell r="T343">
            <v>46112</v>
          </cell>
        </row>
        <row r="344">
          <cell r="T344">
            <v>46078</v>
          </cell>
        </row>
        <row r="346">
          <cell r="T346">
            <v>46412</v>
          </cell>
        </row>
        <row r="347">
          <cell r="T347">
            <v>46144</v>
          </cell>
        </row>
        <row r="348">
          <cell r="T348">
            <v>46179</v>
          </cell>
        </row>
        <row r="349">
          <cell r="F349" t="str">
            <v>W9124721P0010</v>
          </cell>
          <cell r="T349">
            <v>46231</v>
          </cell>
        </row>
        <row r="350">
          <cell r="T350">
            <v>46318</v>
          </cell>
        </row>
        <row r="351">
          <cell r="T351">
            <v>46104</v>
          </cell>
        </row>
        <row r="352">
          <cell r="F352" t="str">
            <v>W911SF20D0003</v>
          </cell>
          <cell r="T352">
            <v>46048</v>
          </cell>
        </row>
        <row r="353">
          <cell r="T353">
            <v>46295</v>
          </cell>
        </row>
        <row r="354">
          <cell r="F354" t="str">
            <v>W9124D22P0178</v>
          </cell>
          <cell r="T354">
            <v>46086</v>
          </cell>
        </row>
        <row r="355">
          <cell r="T355">
            <v>46120</v>
          </cell>
        </row>
        <row r="356">
          <cell r="T356">
            <v>46086</v>
          </cell>
        </row>
        <row r="357">
          <cell r="T357">
            <v>46091</v>
          </cell>
        </row>
        <row r="358">
          <cell r="F358" t="str">
            <v>W9124D25PA126</v>
          </cell>
          <cell r="T358">
            <v>46132</v>
          </cell>
        </row>
        <row r="359">
          <cell r="F359" t="str">
            <v>W9124L21C0008</v>
          </cell>
          <cell r="T359">
            <v>46146</v>
          </cell>
        </row>
        <row r="361">
          <cell r="F361" t="str">
            <v>W9124J21C0024</v>
          </cell>
          <cell r="T361">
            <v>46139</v>
          </cell>
        </row>
        <row r="362">
          <cell r="T362">
            <v>46114</v>
          </cell>
        </row>
        <row r="363">
          <cell r="F363" t="str">
            <v>W9124G22P0003</v>
          </cell>
          <cell r="T363">
            <v>46115</v>
          </cell>
        </row>
        <row r="364">
          <cell r="F364" t="str">
            <v>W9124D24D0005</v>
          </cell>
          <cell r="T364">
            <v>46127</v>
          </cell>
        </row>
        <row r="365">
          <cell r="F365" t="str">
            <v>W9124J21C0010</v>
          </cell>
          <cell r="T365">
            <v>46162</v>
          </cell>
        </row>
        <row r="366">
          <cell r="F366" t="str">
            <v>W91QF021D0001</v>
          </cell>
          <cell r="T366">
            <v>46045</v>
          </cell>
        </row>
        <row r="367">
          <cell r="T367">
            <v>46295</v>
          </cell>
        </row>
        <row r="368">
          <cell r="T368">
            <v>46091</v>
          </cell>
        </row>
        <row r="369">
          <cell r="T369">
            <v>46129</v>
          </cell>
        </row>
        <row r="370">
          <cell r="T370">
            <v>46087</v>
          </cell>
        </row>
        <row r="371">
          <cell r="T371">
            <v>46085</v>
          </cell>
        </row>
        <row r="372">
          <cell r="T372">
            <v>46076</v>
          </cell>
        </row>
        <row r="373">
          <cell r="T373">
            <v>46085</v>
          </cell>
        </row>
        <row r="374">
          <cell r="T374">
            <v>46126</v>
          </cell>
        </row>
        <row r="375">
          <cell r="F375" t="str">
            <v>W911SA21P3032</v>
          </cell>
          <cell r="T375">
            <v>46066</v>
          </cell>
        </row>
        <row r="377">
          <cell r="T377">
            <v>46092</v>
          </cell>
        </row>
        <row r="378">
          <cell r="T378">
            <v>46097</v>
          </cell>
        </row>
        <row r="380">
          <cell r="T380">
            <v>46099</v>
          </cell>
        </row>
        <row r="382">
          <cell r="T382">
            <v>46406</v>
          </cell>
        </row>
        <row r="383">
          <cell r="T383">
            <v>46113</v>
          </cell>
        </row>
        <row r="384">
          <cell r="T384">
            <v>46097</v>
          </cell>
        </row>
        <row r="387">
          <cell r="T387">
            <v>46127</v>
          </cell>
        </row>
        <row r="388">
          <cell r="T388">
            <v>46097</v>
          </cell>
        </row>
        <row r="389">
          <cell r="T389">
            <v>46090</v>
          </cell>
        </row>
        <row r="390">
          <cell r="F390" t="str">
            <v>W9124G21F0022</v>
          </cell>
          <cell r="T390">
            <v>46090</v>
          </cell>
        </row>
        <row r="391">
          <cell r="T391">
            <v>46168</v>
          </cell>
        </row>
        <row r="392">
          <cell r="T392">
            <v>46146</v>
          </cell>
        </row>
        <row r="393">
          <cell r="T393">
            <v>46104</v>
          </cell>
        </row>
        <row r="395">
          <cell r="T395">
            <v>46083</v>
          </cell>
        </row>
        <row r="398">
          <cell r="F398" t="str">
            <v>W911S824D0008</v>
          </cell>
          <cell r="T398">
            <v>46133</v>
          </cell>
        </row>
        <row r="400">
          <cell r="T400">
            <v>46097</v>
          </cell>
        </row>
        <row r="401">
          <cell r="F401" t="str">
            <v>W912PX20C0003</v>
          </cell>
          <cell r="T401">
            <v>46076</v>
          </cell>
        </row>
        <row r="402">
          <cell r="T402">
            <v>46080</v>
          </cell>
        </row>
        <row r="403">
          <cell r="F403" t="str">
            <v>W9124R21P0020</v>
          </cell>
          <cell r="T403">
            <v>46128</v>
          </cell>
        </row>
        <row r="404">
          <cell r="T404">
            <v>46104</v>
          </cell>
        </row>
        <row r="405">
          <cell r="F405" t="str">
            <v>W9124D24D0005</v>
          </cell>
          <cell r="T405">
            <v>46146</v>
          </cell>
        </row>
        <row r="406">
          <cell r="T406">
            <v>46076</v>
          </cell>
        </row>
        <row r="407">
          <cell r="T407">
            <v>46099</v>
          </cell>
        </row>
        <row r="408">
          <cell r="T408">
            <v>46106</v>
          </cell>
        </row>
        <row r="410">
          <cell r="T410">
            <v>46160</v>
          </cell>
        </row>
        <row r="411">
          <cell r="F411" t="str">
            <v>W9124D24D0003</v>
          </cell>
          <cell r="T411">
            <v>46100</v>
          </cell>
        </row>
        <row r="412">
          <cell r="F412" t="str">
            <v>W9124G22D0003</v>
          </cell>
        </row>
        <row r="413">
          <cell r="T413">
            <v>46091</v>
          </cell>
        </row>
        <row r="415">
          <cell r="T415">
            <v>46118</v>
          </cell>
        </row>
        <row r="416">
          <cell r="F416" t="str">
            <v>W9124D19D0001</v>
          </cell>
          <cell r="T416">
            <v>46521</v>
          </cell>
        </row>
        <row r="417">
          <cell r="T417">
            <v>46080</v>
          </cell>
        </row>
        <row r="418">
          <cell r="T418">
            <v>46143</v>
          </cell>
        </row>
        <row r="419">
          <cell r="F419" t="str">
            <v>W52P1J20D0049</v>
          </cell>
          <cell r="T419">
            <v>46115</v>
          </cell>
        </row>
        <row r="420">
          <cell r="T420">
            <v>46099</v>
          </cell>
        </row>
        <row r="422">
          <cell r="F422" t="str">
            <v>DADW3501D0014</v>
          </cell>
          <cell r="T422">
            <v>46090</v>
          </cell>
        </row>
        <row r="423">
          <cell r="F423" t="str">
            <v>47QTCA18D008G</v>
          </cell>
          <cell r="T423">
            <v>46119</v>
          </cell>
        </row>
        <row r="424">
          <cell r="F424" t="str">
            <v>W9124D24D0003</v>
          </cell>
          <cell r="T424">
            <v>46077</v>
          </cell>
        </row>
        <row r="426">
          <cell r="T426">
            <v>46092</v>
          </cell>
        </row>
        <row r="427">
          <cell r="F427" t="str">
            <v>W9124D23C0022</v>
          </cell>
          <cell r="T427">
            <v>46091</v>
          </cell>
        </row>
        <row r="428">
          <cell r="T428">
            <v>46104</v>
          </cell>
        </row>
        <row r="429">
          <cell r="T429">
            <v>46125</v>
          </cell>
        </row>
        <row r="430">
          <cell r="T430">
            <v>46119</v>
          </cell>
        </row>
        <row r="431">
          <cell r="T431">
            <v>46104</v>
          </cell>
        </row>
        <row r="432">
          <cell r="F432" t="str">
            <v>W9124D24D0005</v>
          </cell>
          <cell r="T432">
            <v>46086</v>
          </cell>
        </row>
        <row r="433">
          <cell r="F433" t="str">
            <v>W52P1J20D0046</v>
          </cell>
          <cell r="T433">
            <v>46120</v>
          </cell>
        </row>
        <row r="434">
          <cell r="T434">
            <v>46134</v>
          </cell>
        </row>
        <row r="435">
          <cell r="T435">
            <v>45905</v>
          </cell>
        </row>
        <row r="436">
          <cell r="T436">
            <v>46085</v>
          </cell>
        </row>
        <row r="437">
          <cell r="F437" t="str">
            <v>W9124J21C0019</v>
          </cell>
        </row>
        <row r="438">
          <cell r="T438">
            <v>46150</v>
          </cell>
        </row>
        <row r="439">
          <cell r="T439">
            <v>46099</v>
          </cell>
        </row>
        <row r="441">
          <cell r="F441" t="str">
            <v>W911S721A0008</v>
          </cell>
          <cell r="T441">
            <v>46132</v>
          </cell>
        </row>
        <row r="442">
          <cell r="T442">
            <v>46077</v>
          </cell>
        </row>
        <row r="443">
          <cell r="T443">
            <v>46237</v>
          </cell>
        </row>
        <row r="444">
          <cell r="F444" t="str">
            <v>W911SA25P3087</v>
          </cell>
          <cell r="T444">
            <v>46066</v>
          </cell>
        </row>
        <row r="445">
          <cell r="F445" t="str">
            <v>W9124922D0011</v>
          </cell>
          <cell r="T445">
            <v>46283</v>
          </cell>
        </row>
        <row r="446">
          <cell r="T446">
            <v>46043</v>
          </cell>
        </row>
        <row r="447">
          <cell r="F447" t="str">
            <v>W91QF523C0007</v>
          </cell>
          <cell r="T447">
            <v>46091</v>
          </cell>
        </row>
        <row r="448">
          <cell r="T448">
            <v>46090</v>
          </cell>
        </row>
        <row r="449">
          <cell r="T449">
            <v>46239</v>
          </cell>
        </row>
        <row r="450">
          <cell r="T450">
            <v>46198</v>
          </cell>
        </row>
        <row r="451">
          <cell r="T451">
            <v>46164</v>
          </cell>
        </row>
        <row r="452">
          <cell r="T452">
            <v>46097</v>
          </cell>
        </row>
        <row r="453">
          <cell r="T453">
            <v>46136</v>
          </cell>
        </row>
        <row r="455">
          <cell r="T455">
            <v>46153</v>
          </cell>
        </row>
        <row r="456">
          <cell r="T456">
            <v>46087</v>
          </cell>
        </row>
        <row r="457">
          <cell r="F457" t="str">
            <v>W9124J22D0013</v>
          </cell>
          <cell r="T457">
            <v>46271</v>
          </cell>
        </row>
        <row r="458">
          <cell r="T458">
            <v>46080</v>
          </cell>
        </row>
        <row r="459">
          <cell r="F459" t="str">
            <v>W9124921D0001</v>
          </cell>
        </row>
        <row r="460">
          <cell r="F460" t="str">
            <v>W52P1J20D0049</v>
          </cell>
          <cell r="T460">
            <v>46088</v>
          </cell>
        </row>
        <row r="461">
          <cell r="F461" t="str">
            <v>W9124D24D0007</v>
          </cell>
          <cell r="T461">
            <v>46132</v>
          </cell>
        </row>
        <row r="462">
          <cell r="T462">
            <v>46048</v>
          </cell>
        </row>
        <row r="463">
          <cell r="F463" t="str">
            <v>W9124721C0015</v>
          </cell>
        </row>
        <row r="464">
          <cell r="T464">
            <v>46097</v>
          </cell>
        </row>
        <row r="465">
          <cell r="T465">
            <v>46099</v>
          </cell>
        </row>
        <row r="466">
          <cell r="T466">
            <v>46100</v>
          </cell>
        </row>
        <row r="468">
          <cell r="T468">
            <v>46097</v>
          </cell>
        </row>
        <row r="469">
          <cell r="F469" t="str">
            <v>W911SA21P3044</v>
          </cell>
          <cell r="T469">
            <v>46118</v>
          </cell>
        </row>
        <row r="470">
          <cell r="F470" t="str">
            <v>N0024424D0005</v>
          </cell>
          <cell r="T470">
            <v>46178</v>
          </cell>
        </row>
        <row r="471">
          <cell r="T471">
            <v>46104</v>
          </cell>
        </row>
        <row r="472">
          <cell r="T472">
            <v>46079</v>
          </cell>
        </row>
        <row r="473">
          <cell r="T473">
            <v>46295</v>
          </cell>
        </row>
        <row r="474">
          <cell r="T474">
            <v>46092</v>
          </cell>
        </row>
        <row r="475">
          <cell r="F475" t="str">
            <v>W52P1J21A0007</v>
          </cell>
          <cell r="T475">
            <v>46107</v>
          </cell>
        </row>
        <row r="476">
          <cell r="T476">
            <v>46295</v>
          </cell>
        </row>
        <row r="477">
          <cell r="F477" t="str">
            <v>W9124D25PA101</v>
          </cell>
          <cell r="T477">
            <v>46118</v>
          </cell>
        </row>
        <row r="478">
          <cell r="T478">
            <v>46104</v>
          </cell>
        </row>
        <row r="479">
          <cell r="F479" t="str">
            <v>W91QF021P0004</v>
          </cell>
          <cell r="T479">
            <v>46080</v>
          </cell>
        </row>
        <row r="480">
          <cell r="T480">
            <v>46127</v>
          </cell>
        </row>
        <row r="481">
          <cell r="T481">
            <v>46084</v>
          </cell>
        </row>
        <row r="482">
          <cell r="T482">
            <v>46119</v>
          </cell>
        </row>
        <row r="483">
          <cell r="T483">
            <v>46107</v>
          </cell>
        </row>
        <row r="484">
          <cell r="T484">
            <v>46132</v>
          </cell>
        </row>
        <row r="485">
          <cell r="F485" t="str">
            <v>W911SA23F3011</v>
          </cell>
          <cell r="T485">
            <v>46129</v>
          </cell>
        </row>
        <row r="486">
          <cell r="T486">
            <v>46100</v>
          </cell>
        </row>
        <row r="487">
          <cell r="F487" t="str">
            <v>W91QF421P0015</v>
          </cell>
          <cell r="T487">
            <v>46104</v>
          </cell>
        </row>
        <row r="488">
          <cell r="T488">
            <v>46092</v>
          </cell>
        </row>
        <row r="489">
          <cell r="T489">
            <v>46111</v>
          </cell>
        </row>
        <row r="490">
          <cell r="T490">
            <v>46121</v>
          </cell>
        </row>
        <row r="491">
          <cell r="T491">
            <v>46125</v>
          </cell>
        </row>
        <row r="492">
          <cell r="F492" t="str">
            <v>W9124G21P0008</v>
          </cell>
          <cell r="T492">
            <v>46238</v>
          </cell>
        </row>
        <row r="495">
          <cell r="F495" t="str">
            <v>W9124D24D0005</v>
          </cell>
          <cell r="T495">
            <v>46087</v>
          </cell>
        </row>
        <row r="497">
          <cell r="F497" t="str">
            <v>W911SF21D0004</v>
          </cell>
          <cell r="T497">
            <v>46103</v>
          </cell>
        </row>
        <row r="498">
          <cell r="T498">
            <v>46143</v>
          </cell>
        </row>
        <row r="499">
          <cell r="T499">
            <v>46135</v>
          </cell>
        </row>
        <row r="500">
          <cell r="F500" t="str">
            <v>47QRAD20D1187</v>
          </cell>
          <cell r="T500">
            <v>46216</v>
          </cell>
        </row>
        <row r="501">
          <cell r="F501" t="str">
            <v>W91QV121P0077</v>
          </cell>
        </row>
        <row r="502">
          <cell r="T502">
            <v>46080</v>
          </cell>
        </row>
        <row r="503">
          <cell r="T503">
            <v>46132</v>
          </cell>
        </row>
        <row r="504">
          <cell r="F504" t="str">
            <v>NAFPA221C0005</v>
          </cell>
        </row>
        <row r="505">
          <cell r="T505">
            <v>46112</v>
          </cell>
        </row>
        <row r="506">
          <cell r="T506">
            <v>46132</v>
          </cell>
        </row>
        <row r="507">
          <cell r="T507">
            <v>46164</v>
          </cell>
        </row>
        <row r="508">
          <cell r="F508" t="str">
            <v>W9124D22C0002</v>
          </cell>
          <cell r="T508">
            <v>46114</v>
          </cell>
        </row>
        <row r="509">
          <cell r="F509" t="str">
            <v>W9124D22C0014</v>
          </cell>
          <cell r="T509">
            <v>46328</v>
          </cell>
        </row>
        <row r="510">
          <cell r="T510">
            <v>46205</v>
          </cell>
        </row>
        <row r="512">
          <cell r="T512">
            <v>46174</v>
          </cell>
        </row>
        <row r="513">
          <cell r="T513">
            <v>46129</v>
          </cell>
        </row>
        <row r="514">
          <cell r="T514">
            <v>46120</v>
          </cell>
        </row>
        <row r="516">
          <cell r="F516" t="str">
            <v>W9124D24D0005</v>
          </cell>
          <cell r="T516">
            <v>46064</v>
          </cell>
        </row>
        <row r="517">
          <cell r="T517">
            <v>46295</v>
          </cell>
        </row>
        <row r="518">
          <cell r="F518" t="str">
            <v>W9124D24P0140</v>
          </cell>
          <cell r="T518">
            <v>46118</v>
          </cell>
        </row>
        <row r="519">
          <cell r="T519">
            <v>46076</v>
          </cell>
        </row>
        <row r="520">
          <cell r="F520" t="str">
            <v>W9124J20D0028</v>
          </cell>
          <cell r="T520">
            <v>46094</v>
          </cell>
        </row>
        <row r="521">
          <cell r="T521">
            <v>46078</v>
          </cell>
        </row>
        <row r="522">
          <cell r="T522">
            <v>46083</v>
          </cell>
        </row>
        <row r="523">
          <cell r="F523" t="str">
            <v>W911S022P0011</v>
          </cell>
          <cell r="T523">
            <v>46115</v>
          </cell>
        </row>
        <row r="524">
          <cell r="F524" t="str">
            <v>W9124E21D0002</v>
          </cell>
          <cell r="T524">
            <v>46062</v>
          </cell>
        </row>
        <row r="525">
          <cell r="T525">
            <v>46080</v>
          </cell>
        </row>
        <row r="526">
          <cell r="F526" t="str">
            <v>W9124D23P0151</v>
          </cell>
          <cell r="T526">
            <v>46174</v>
          </cell>
        </row>
        <row r="527">
          <cell r="T527">
            <v>46076</v>
          </cell>
        </row>
        <row r="528">
          <cell r="T528">
            <v>46065</v>
          </cell>
        </row>
        <row r="529">
          <cell r="T529">
            <v>46111</v>
          </cell>
        </row>
        <row r="530">
          <cell r="T530">
            <v>46105</v>
          </cell>
        </row>
        <row r="531">
          <cell r="T531">
            <v>46094</v>
          </cell>
        </row>
        <row r="532">
          <cell r="T532">
            <v>46092</v>
          </cell>
        </row>
        <row r="535">
          <cell r="T535">
            <v>46098</v>
          </cell>
        </row>
        <row r="536">
          <cell r="T536">
            <v>46120</v>
          </cell>
        </row>
        <row r="537">
          <cell r="F537" t="str">
            <v>W9124D23P0189</v>
          </cell>
          <cell r="T537">
            <v>46099</v>
          </cell>
        </row>
        <row r="538">
          <cell r="F538" t="str">
            <v>W52P1J16D0019</v>
          </cell>
          <cell r="T538">
            <v>46090</v>
          </cell>
        </row>
        <row r="539">
          <cell r="F539" t="str">
            <v>W9124D24D0005</v>
          </cell>
          <cell r="T539">
            <v>46091</v>
          </cell>
        </row>
        <row r="540">
          <cell r="T540">
            <v>46118</v>
          </cell>
        </row>
        <row r="541">
          <cell r="T541">
            <v>46087</v>
          </cell>
        </row>
        <row r="542">
          <cell r="F542" t="str">
            <v>W911S621C0003</v>
          </cell>
          <cell r="T542">
            <v>46160</v>
          </cell>
        </row>
        <row r="543">
          <cell r="T543">
            <v>46066</v>
          </cell>
        </row>
        <row r="544">
          <cell r="F544" t="str">
            <v>WP1YTZ20P0196</v>
          </cell>
          <cell r="T544">
            <v>46090</v>
          </cell>
        </row>
        <row r="545">
          <cell r="T545">
            <v>46098</v>
          </cell>
        </row>
        <row r="547">
          <cell r="T547">
            <v>46125</v>
          </cell>
        </row>
        <row r="548">
          <cell r="T548">
            <v>46113</v>
          </cell>
        </row>
        <row r="549">
          <cell r="T549">
            <v>46232</v>
          </cell>
        </row>
        <row r="550">
          <cell r="T550">
            <v>46071</v>
          </cell>
        </row>
        <row r="551">
          <cell r="F551" t="str">
            <v>W9124D25PA089</v>
          </cell>
          <cell r="T551">
            <v>46107</v>
          </cell>
        </row>
        <row r="552">
          <cell r="F552" t="str">
            <v>W9124722C0004</v>
          </cell>
          <cell r="T552">
            <v>46188</v>
          </cell>
        </row>
        <row r="553">
          <cell r="T553">
            <v>46131</v>
          </cell>
        </row>
        <row r="555">
          <cell r="T555">
            <v>46112</v>
          </cell>
        </row>
        <row r="556">
          <cell r="F556" t="str">
            <v>W9124J21C0022</v>
          </cell>
          <cell r="T556">
            <v>46226</v>
          </cell>
        </row>
        <row r="557">
          <cell r="T557">
            <v>46092</v>
          </cell>
        </row>
        <row r="558">
          <cell r="T558">
            <v>46114</v>
          </cell>
        </row>
        <row r="560">
          <cell r="T560">
            <v>46090</v>
          </cell>
        </row>
        <row r="561">
          <cell r="F561" t="str">
            <v>W900KK23D0013</v>
          </cell>
          <cell r="T561">
            <v>46133</v>
          </cell>
        </row>
        <row r="562">
          <cell r="T562">
            <v>46126</v>
          </cell>
        </row>
        <row r="563">
          <cell r="T563">
            <v>46233</v>
          </cell>
        </row>
        <row r="564">
          <cell r="F564" t="str">
            <v>W911S721D0008</v>
          </cell>
          <cell r="T564">
            <v>46112</v>
          </cell>
        </row>
        <row r="565">
          <cell r="T565">
            <v>46104</v>
          </cell>
        </row>
        <row r="566">
          <cell r="T566">
            <v>46101</v>
          </cell>
        </row>
        <row r="567">
          <cell r="T567">
            <v>46078</v>
          </cell>
        </row>
        <row r="568">
          <cell r="T568">
            <v>46101</v>
          </cell>
        </row>
        <row r="569">
          <cell r="T569">
            <v>46129</v>
          </cell>
        </row>
        <row r="570">
          <cell r="F570" t="str">
            <v>W911SF21C0018</v>
          </cell>
        </row>
        <row r="571">
          <cell r="T571">
            <v>46252</v>
          </cell>
        </row>
        <row r="572">
          <cell r="T572">
            <v>46086</v>
          </cell>
        </row>
        <row r="573">
          <cell r="F573" t="str">
            <v>W91QF021P0023</v>
          </cell>
          <cell r="T573">
            <v>46146</v>
          </cell>
        </row>
        <row r="574">
          <cell r="F574" t="str">
            <v>W91QV120C0101</v>
          </cell>
          <cell r="T574">
            <v>46090</v>
          </cell>
        </row>
        <row r="575">
          <cell r="F575" t="str">
            <v>W9124D25P0004</v>
          </cell>
          <cell r="T575">
            <v>46094</v>
          </cell>
        </row>
        <row r="576">
          <cell r="F576" t="str">
            <v>W91QF523C0007</v>
          </cell>
          <cell r="T576">
            <v>46091</v>
          </cell>
        </row>
        <row r="577">
          <cell r="F577" t="str">
            <v>W911SA22P3049</v>
          </cell>
          <cell r="T577">
            <v>46125</v>
          </cell>
        </row>
        <row r="578">
          <cell r="F578" t="str">
            <v>W9124G23P0004</v>
          </cell>
          <cell r="T578">
            <v>46168</v>
          </cell>
        </row>
        <row r="579">
          <cell r="T579">
            <v>46205</v>
          </cell>
        </row>
        <row r="580">
          <cell r="F580" t="str">
            <v>W9124J16F0030</v>
          </cell>
        </row>
        <row r="581">
          <cell r="T581">
            <v>46085</v>
          </cell>
        </row>
        <row r="583">
          <cell r="T583">
            <v>46091</v>
          </cell>
        </row>
        <row r="584">
          <cell r="T584">
            <v>46190</v>
          </cell>
        </row>
        <row r="585">
          <cell r="T585">
            <v>46106</v>
          </cell>
        </row>
        <row r="586">
          <cell r="T586">
            <v>46131</v>
          </cell>
        </row>
        <row r="587">
          <cell r="T587">
            <v>46099</v>
          </cell>
        </row>
        <row r="588">
          <cell r="F588" t="str">
            <v>W91QF025PA012</v>
          </cell>
          <cell r="T588">
            <v>46237</v>
          </cell>
        </row>
        <row r="589">
          <cell r="F589" t="str">
            <v>W91QV121C0003</v>
          </cell>
          <cell r="T589">
            <v>46120</v>
          </cell>
        </row>
        <row r="590">
          <cell r="T590">
            <v>46087</v>
          </cell>
        </row>
        <row r="592">
          <cell r="T592">
            <v>46118</v>
          </cell>
        </row>
        <row r="593">
          <cell r="F593" t="str">
            <v>W9124C21D0006</v>
          </cell>
          <cell r="T593">
            <v>46104</v>
          </cell>
        </row>
        <row r="594">
          <cell r="T594">
            <v>46091</v>
          </cell>
        </row>
        <row r="595">
          <cell r="F595" t="str">
            <v>W9124D24D0005</v>
          </cell>
          <cell r="T595">
            <v>46070</v>
          </cell>
        </row>
        <row r="596">
          <cell r="T596">
            <v>46199</v>
          </cell>
        </row>
        <row r="598">
          <cell r="T598">
            <v>46090</v>
          </cell>
        </row>
        <row r="599">
          <cell r="T599">
            <v>46234</v>
          </cell>
        </row>
        <row r="600">
          <cell r="F600" t="str">
            <v>W911SG21D0002</v>
          </cell>
          <cell r="T600">
            <v>46218</v>
          </cell>
        </row>
        <row r="601">
          <cell r="T601">
            <v>46125</v>
          </cell>
        </row>
        <row r="602">
          <cell r="F602" t="str">
            <v>W911SA21P3041</v>
          </cell>
          <cell r="T602">
            <v>46073</v>
          </cell>
        </row>
        <row r="603">
          <cell r="T603">
            <v>46134</v>
          </cell>
        </row>
        <row r="604">
          <cell r="T604">
            <v>46097</v>
          </cell>
        </row>
        <row r="605">
          <cell r="T605">
            <v>46059</v>
          </cell>
        </row>
        <row r="606">
          <cell r="T606">
            <v>46071</v>
          </cell>
        </row>
        <row r="607">
          <cell r="T607">
            <v>46122</v>
          </cell>
        </row>
        <row r="608">
          <cell r="T608">
            <v>46071</v>
          </cell>
        </row>
        <row r="609">
          <cell r="F609" t="str">
            <v>W9124R23P0003</v>
          </cell>
          <cell r="T609">
            <v>46093</v>
          </cell>
        </row>
        <row r="610">
          <cell r="F610" t="str">
            <v>W9124720P0153</v>
          </cell>
          <cell r="T610">
            <v>46091</v>
          </cell>
        </row>
        <row r="611">
          <cell r="T611">
            <v>46080</v>
          </cell>
        </row>
        <row r="612">
          <cell r="F612" t="str">
            <v>W911S021D0006</v>
          </cell>
          <cell r="T612">
            <v>46240</v>
          </cell>
        </row>
        <row r="613">
          <cell r="T613">
            <v>46092</v>
          </cell>
        </row>
        <row r="615">
          <cell r="T615">
            <v>46127</v>
          </cell>
        </row>
        <row r="616">
          <cell r="T616">
            <v>46071</v>
          </cell>
        </row>
        <row r="617">
          <cell r="T617">
            <v>46106</v>
          </cell>
        </row>
        <row r="618">
          <cell r="T618">
            <v>46092</v>
          </cell>
        </row>
        <row r="619">
          <cell r="T619">
            <v>46101</v>
          </cell>
        </row>
        <row r="620">
          <cell r="T620">
            <v>46240</v>
          </cell>
        </row>
        <row r="621">
          <cell r="T621">
            <v>46105</v>
          </cell>
        </row>
        <row r="622">
          <cell r="T622">
            <v>46080</v>
          </cell>
        </row>
        <row r="623">
          <cell r="T623">
            <v>46094</v>
          </cell>
        </row>
        <row r="624">
          <cell r="T624">
            <v>46219</v>
          </cell>
        </row>
        <row r="625">
          <cell r="F625" t="str">
            <v>W9124J20D0011</v>
          </cell>
          <cell r="T625">
            <v>46108</v>
          </cell>
        </row>
        <row r="626">
          <cell r="T626">
            <v>46104</v>
          </cell>
        </row>
        <row r="627">
          <cell r="T627">
            <v>46091</v>
          </cell>
        </row>
        <row r="628">
          <cell r="F628" t="str">
            <v>W52P1J16D0015</v>
          </cell>
          <cell r="T628">
            <v>46125</v>
          </cell>
        </row>
        <row r="629">
          <cell r="T629">
            <v>46087</v>
          </cell>
        </row>
        <row r="631">
          <cell r="T631">
            <v>46526</v>
          </cell>
        </row>
        <row r="632">
          <cell r="F632" t="str">
            <v>W911SA22P3023</v>
          </cell>
          <cell r="T632">
            <v>46084</v>
          </cell>
        </row>
        <row r="633">
          <cell r="T633">
            <v>46130</v>
          </cell>
        </row>
        <row r="634">
          <cell r="T634">
            <v>46105</v>
          </cell>
        </row>
        <row r="635">
          <cell r="F635" t="str">
            <v>W9124D24D0005</v>
          </cell>
          <cell r="T635">
            <v>46101</v>
          </cell>
        </row>
        <row r="637">
          <cell r="T637">
            <v>46262</v>
          </cell>
        </row>
        <row r="638">
          <cell r="T638">
            <v>46078</v>
          </cell>
        </row>
        <row r="639">
          <cell r="T639">
            <v>46094</v>
          </cell>
        </row>
        <row r="640">
          <cell r="F640" t="str">
            <v>W9124M22C0004</v>
          </cell>
          <cell r="T640">
            <v>46225</v>
          </cell>
        </row>
        <row r="641">
          <cell r="T641">
            <v>46097</v>
          </cell>
        </row>
        <row r="642">
          <cell r="T642">
            <v>46160</v>
          </cell>
        </row>
        <row r="644">
          <cell r="T644">
            <v>46093</v>
          </cell>
        </row>
        <row r="645">
          <cell r="T645">
            <v>46110</v>
          </cell>
        </row>
        <row r="646">
          <cell r="T646">
            <v>46205</v>
          </cell>
        </row>
        <row r="647">
          <cell r="T647">
            <v>46122</v>
          </cell>
        </row>
        <row r="648">
          <cell r="F648" t="str">
            <v>W9124J19C0031</v>
          </cell>
          <cell r="T648">
            <v>46108</v>
          </cell>
        </row>
        <row r="649">
          <cell r="F649" t="str">
            <v>W9124D25PA075</v>
          </cell>
          <cell r="T649">
            <v>46100</v>
          </cell>
        </row>
        <row r="651">
          <cell r="T651">
            <v>46295</v>
          </cell>
        </row>
        <row r="652">
          <cell r="T652">
            <v>46085</v>
          </cell>
        </row>
        <row r="653">
          <cell r="F653" t="str">
            <v>W9124725CA017</v>
          </cell>
          <cell r="T653">
            <v>46111</v>
          </cell>
        </row>
        <row r="654">
          <cell r="F654" t="str">
            <v>W912QM21A0007</v>
          </cell>
          <cell r="T654">
            <v>46111</v>
          </cell>
        </row>
        <row r="655">
          <cell r="T655">
            <v>46092</v>
          </cell>
        </row>
        <row r="656">
          <cell r="T656">
            <v>46325</v>
          </cell>
        </row>
        <row r="658">
          <cell r="F658" t="str">
            <v>W9124D24D0003</v>
          </cell>
          <cell r="T658">
            <v>46098</v>
          </cell>
        </row>
        <row r="659">
          <cell r="T659">
            <v>46085</v>
          </cell>
        </row>
        <row r="660">
          <cell r="T660">
            <v>46094</v>
          </cell>
        </row>
        <row r="661">
          <cell r="F661" t="str">
            <v>W911SA22D3000</v>
          </cell>
          <cell r="T661">
            <v>45929</v>
          </cell>
        </row>
        <row r="662">
          <cell r="T662">
            <v>46168</v>
          </cell>
        </row>
        <row r="663">
          <cell r="T663">
            <v>46129</v>
          </cell>
        </row>
        <row r="665">
          <cell r="T665">
            <v>46220</v>
          </cell>
        </row>
        <row r="667">
          <cell r="T667">
            <v>46127</v>
          </cell>
        </row>
        <row r="668">
          <cell r="T668">
            <v>46118</v>
          </cell>
        </row>
        <row r="669">
          <cell r="F669" t="str">
            <v>W9124D25PA182</v>
          </cell>
          <cell r="T669">
            <v>46143</v>
          </cell>
        </row>
        <row r="670">
          <cell r="T670">
            <v>46087</v>
          </cell>
        </row>
        <row r="671">
          <cell r="F671" t="str">
            <v>W911S223D8500</v>
          </cell>
          <cell r="T671">
            <v>46274</v>
          </cell>
        </row>
        <row r="674">
          <cell r="T674">
            <v>46062</v>
          </cell>
        </row>
        <row r="675">
          <cell r="F675" t="str">
            <v>W911S223D8500</v>
          </cell>
          <cell r="T675">
            <v>46274</v>
          </cell>
        </row>
        <row r="676">
          <cell r="F676" t="str">
            <v>W15QKN19D0048</v>
          </cell>
          <cell r="T676">
            <v>46125</v>
          </cell>
        </row>
        <row r="677">
          <cell r="F677" t="str">
            <v>W9115121D0006</v>
          </cell>
          <cell r="T677">
            <v>46111</v>
          </cell>
        </row>
        <row r="678">
          <cell r="T678">
            <v>46292</v>
          </cell>
        </row>
        <row r="679">
          <cell r="T679">
            <v>46092</v>
          </cell>
        </row>
        <row r="680">
          <cell r="F680" t="str">
            <v>W9124922D0001</v>
          </cell>
          <cell r="T680">
            <v>46093</v>
          </cell>
        </row>
        <row r="681">
          <cell r="T681">
            <v>46091</v>
          </cell>
        </row>
        <row r="682">
          <cell r="T682">
            <v>46079</v>
          </cell>
        </row>
        <row r="684">
          <cell r="F684" t="str">
            <v>W9124925PA024</v>
          </cell>
          <cell r="T684">
            <v>46100</v>
          </cell>
        </row>
        <row r="685">
          <cell r="F685" t="str">
            <v>W9124D23P0125</v>
          </cell>
          <cell r="T685">
            <v>46149</v>
          </cell>
        </row>
        <row r="686">
          <cell r="F686" t="str">
            <v>W52P1J16D0005</v>
          </cell>
          <cell r="T686">
            <v>46085</v>
          </cell>
        </row>
        <row r="687">
          <cell r="T687">
            <v>46090</v>
          </cell>
        </row>
        <row r="688">
          <cell r="T688">
            <v>46127</v>
          </cell>
        </row>
        <row r="689">
          <cell r="F689" t="str">
            <v>W9124D21D0020</v>
          </cell>
        </row>
        <row r="690">
          <cell r="T690">
            <v>46171</v>
          </cell>
        </row>
        <row r="691">
          <cell r="T691">
            <v>46100</v>
          </cell>
        </row>
        <row r="692">
          <cell r="T692">
            <v>46111</v>
          </cell>
        </row>
        <row r="693">
          <cell r="T693">
            <v>46120</v>
          </cell>
        </row>
        <row r="694">
          <cell r="T694">
            <v>46311</v>
          </cell>
        </row>
        <row r="695">
          <cell r="F695" t="str">
            <v>W911SD21P0014</v>
          </cell>
          <cell r="T695">
            <v>46086</v>
          </cell>
        </row>
        <row r="696">
          <cell r="T696">
            <v>46259</v>
          </cell>
        </row>
        <row r="697">
          <cell r="T697">
            <v>46086</v>
          </cell>
        </row>
        <row r="698">
          <cell r="T698">
            <v>46092</v>
          </cell>
        </row>
        <row r="699">
          <cell r="T699">
            <v>46078</v>
          </cell>
        </row>
        <row r="700">
          <cell r="F700" t="str">
            <v>W9124D22P0012</v>
          </cell>
          <cell r="T700">
            <v>46315</v>
          </cell>
        </row>
        <row r="701">
          <cell r="F701" t="str">
            <v>W9124M23P0090</v>
          </cell>
        </row>
        <row r="702">
          <cell r="T702">
            <v>46097</v>
          </cell>
        </row>
        <row r="703">
          <cell r="T703">
            <v>46079</v>
          </cell>
        </row>
        <row r="704">
          <cell r="F704" t="str">
            <v>W9124D21D0019</v>
          </cell>
          <cell r="T704">
            <v>46084</v>
          </cell>
        </row>
        <row r="706">
          <cell r="T706">
            <v>46113</v>
          </cell>
        </row>
        <row r="707">
          <cell r="F707" t="str">
            <v>W9124723C9000</v>
          </cell>
          <cell r="T707">
            <v>46104</v>
          </cell>
        </row>
        <row r="708">
          <cell r="T708">
            <v>46239</v>
          </cell>
        </row>
        <row r="709">
          <cell r="F709" t="str">
            <v>W9124D21P0040</v>
          </cell>
          <cell r="T709">
            <v>46126</v>
          </cell>
        </row>
        <row r="710">
          <cell r="T710">
            <v>46092</v>
          </cell>
        </row>
        <row r="711">
          <cell r="T711">
            <v>46101</v>
          </cell>
        </row>
        <row r="712">
          <cell r="T712">
            <v>46114</v>
          </cell>
        </row>
        <row r="713">
          <cell r="T713">
            <v>46105</v>
          </cell>
        </row>
        <row r="714">
          <cell r="F714" t="str">
            <v>W9124D19D0001</v>
          </cell>
          <cell r="T714">
            <v>46084</v>
          </cell>
        </row>
        <row r="716">
          <cell r="F716" t="str">
            <v>W9124D21D0018</v>
          </cell>
          <cell r="T716">
            <v>46085</v>
          </cell>
        </row>
        <row r="717">
          <cell r="T717">
            <v>46112</v>
          </cell>
        </row>
        <row r="718">
          <cell r="F718" t="str">
            <v>W91S1A25PA077</v>
          </cell>
          <cell r="T718">
            <v>46071</v>
          </cell>
        </row>
        <row r="719">
          <cell r="F719" t="str">
            <v>W912CL21C0001</v>
          </cell>
          <cell r="T719">
            <v>46131</v>
          </cell>
        </row>
        <row r="720">
          <cell r="T720">
            <v>46078</v>
          </cell>
        </row>
        <row r="721">
          <cell r="F721" t="str">
            <v>W9115121D0003</v>
          </cell>
          <cell r="T721">
            <v>46085</v>
          </cell>
        </row>
        <row r="722">
          <cell r="T722">
            <v>46136</v>
          </cell>
        </row>
        <row r="723">
          <cell r="T723">
            <v>46114</v>
          </cell>
        </row>
        <row r="724">
          <cell r="T724">
            <v>46104</v>
          </cell>
        </row>
        <row r="726">
          <cell r="T726">
            <v>46134</v>
          </cell>
        </row>
        <row r="727">
          <cell r="T727">
            <v>46295</v>
          </cell>
        </row>
        <row r="728">
          <cell r="T728">
            <v>46094</v>
          </cell>
        </row>
        <row r="729">
          <cell r="T729">
            <v>46122</v>
          </cell>
        </row>
        <row r="730">
          <cell r="F730" t="str">
            <v>47QRAD20D1187</v>
          </cell>
          <cell r="T730">
            <v>46111</v>
          </cell>
        </row>
        <row r="731">
          <cell r="F731" t="str">
            <v>W911S625CA011</v>
          </cell>
          <cell r="T731">
            <v>46058</v>
          </cell>
        </row>
        <row r="732">
          <cell r="F732" t="str">
            <v>W9124D24D0003</v>
          </cell>
          <cell r="T732">
            <v>46086</v>
          </cell>
        </row>
        <row r="733">
          <cell r="T733">
            <v>46101</v>
          </cell>
        </row>
        <row r="734">
          <cell r="T734">
            <v>46078</v>
          </cell>
        </row>
        <row r="735">
          <cell r="T735">
            <v>46093</v>
          </cell>
        </row>
        <row r="737">
          <cell r="T737">
            <v>46139</v>
          </cell>
        </row>
        <row r="738">
          <cell r="T738">
            <v>46071</v>
          </cell>
        </row>
        <row r="739">
          <cell r="T739">
            <v>46100</v>
          </cell>
        </row>
        <row r="740">
          <cell r="T740">
            <v>46080</v>
          </cell>
        </row>
        <row r="742">
          <cell r="T742">
            <v>46132</v>
          </cell>
        </row>
        <row r="743">
          <cell r="T743">
            <v>46094</v>
          </cell>
        </row>
        <row r="744">
          <cell r="T744">
            <v>46101</v>
          </cell>
        </row>
        <row r="745">
          <cell r="T745">
            <v>46111</v>
          </cell>
        </row>
        <row r="746">
          <cell r="T746">
            <v>46092</v>
          </cell>
        </row>
        <row r="749">
          <cell r="F749" t="str">
            <v>W9115121D0003</v>
          </cell>
          <cell r="T749">
            <v>46085</v>
          </cell>
        </row>
        <row r="750">
          <cell r="T750">
            <v>46440</v>
          </cell>
        </row>
        <row r="751">
          <cell r="T751">
            <v>46125</v>
          </cell>
        </row>
        <row r="752">
          <cell r="F752" t="str">
            <v>W9124D24D0003</v>
          </cell>
          <cell r="T752">
            <v>46070</v>
          </cell>
        </row>
        <row r="753">
          <cell r="T753">
            <v>46094</v>
          </cell>
        </row>
        <row r="754">
          <cell r="F754" t="str">
            <v>W9124721C9001</v>
          </cell>
          <cell r="T754">
            <v>46125</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Contracting_Office_Name" xr10:uid="{0934E6EB-071D-47E2-A1FA-707493E4B674}" sourceName="Current Contracting Office Name">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ing_Contracting_Office_Name" xr10:uid="{0A410D51-330D-4629-BB2B-CE06A2DE8885}" sourceName="Awarding Contracting Office Name">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ncipal_Place_of_Performance___State" xr10:uid="{472394B2-F60E-4F4E-8A65-B15E0A440861}" sourceName="Principal Place of Performance - State">
  <extLst>
    <x:ext xmlns:x15="http://schemas.microsoft.com/office/spreadsheetml/2010/11/main" uri="{2F2917AC-EB37-4324-AD4E-5DD8C200BD13}">
      <x15:tableSlicerCache tableId="1" column="1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ICS_Code" xr10:uid="{780B10CB-6983-43C3-BAE8-FDA0E53D7564}" sourceName="NAICS Code">
  <extLst>
    <x:ext xmlns:x15="http://schemas.microsoft.com/office/spreadsheetml/2010/11/main" uri="{2F2917AC-EB37-4324-AD4E-5DD8C200BD13}">
      <x15:tableSlicerCache tableId="1" column="1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_Clearance_Required__Y_N" xr10:uid="{DE7C2EA1-FC91-40A5-AAA7-5FBF10BF0402}" sourceName="Facility Clearance Required (Y/N)">
  <extLst>
    <x:ext xmlns:x15="http://schemas.microsoft.com/office/spreadsheetml/2010/11/main" uri="{2F2917AC-EB37-4324-AD4E-5DD8C200BD13}">
      <x15:tableSlicerCache tableId="1" column="2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urity_Clearance_Required__Y_N" xr10:uid="{96ABA153-6FF1-4D10-8650-3A855E5B6365}" sourceName="Security Clearance Required (Y/N)">
  <extLst>
    <x:ext xmlns:x15="http://schemas.microsoft.com/office/spreadsheetml/2010/11/main" uri="{2F2917AC-EB37-4324-AD4E-5DD8C200BD13}">
      <x15:tableSlicerCache tableId="1"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Contracting Office Name" xr10:uid="{C889BC40-06E5-45D9-9723-C19D2F37A883}" cache="Slicer_Current_Contracting_Office_Name" caption="Current Contracting Office Name" style="SlicerStyleOther1" rowHeight="209550"/>
  <slicer name="Current Contracting Office Name 1" xr10:uid="{EDA79A84-F74B-4F18-8D44-5A927CD33B99}" cache="Slicer_Current_Contracting_Office_Name" caption="Current Contracting Office Name" style="SlicerStyleOther1" rowHeight="209550"/>
  <slicer name="Current Contracting Office Name 2" xr10:uid="{7E004DFA-500B-4849-B005-A366C09FD2A5}" cache="Slicer_Current_Contracting_Office_Name" caption="Current Contracting Office Name" style="SlicerStyleOther1" rowHeight="209550"/>
  <slicer name="Awarding Contracting Office Name" xr10:uid="{F9902CC3-B85B-4F71-A199-12F06E65E322}" cache="Slicer_Awarding_Contracting_Office_Name" caption="Awarding Contracting Office Name" style="SlicerStyleOther1" rowHeight="209550"/>
  <slicer name="Principal Place of Performance - State" xr10:uid="{1E8F6905-DC3D-4649-B2A8-46F113DD18F9}" cache="Slicer_Principal_Place_of_Performance___State" caption="Place of Performance - State" style="SlicerStyleOther1" rowHeight="209550"/>
  <slicer name="NAICS Code" xr10:uid="{9F255904-8FCC-4383-82F2-5ECB0945C128}" cache="Slicer_NAICS_Code" caption="NAICS Code" style="SlicerStyleOther1" rowHeight="209550"/>
  <slicer name="Facility Clearance Required (Y/N)" xr10:uid="{3AA3F166-4614-4830-A1A6-7157D8FD3CE6}" cache="Slicer_Facility_Clearance_Required__Y_N" caption="Facility Clearance Required (Y/N)" style="SlicerStyleOther1" rowHeight="209550"/>
  <slicer name="Security Clearance Required (Y/N)" xr10:uid="{E036A03B-DED7-41DC-9783-31A22B0F6810}" cache="Slicer_Security_Clearance_Required__Y_N" caption="Security Clearance Required (Y/N)" style="SlicerStyleOther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CBF243-97D1-4051-AB11-44209B1E4F6B}" name="apbi" displayName="apbi" ref="D1:AA180" totalsRowShown="0" headerRowDxfId="25" dataDxfId="24">
  <autoFilter ref="D1:AA180" xr:uid="{24CBF243-97D1-4051-AB11-44209B1E4F6B}"/>
  <sortState xmlns:xlrd2="http://schemas.microsoft.com/office/spreadsheetml/2017/richdata2" ref="D2:AA180">
    <sortCondition descending="1" ref="K1:K180"/>
  </sortState>
  <tableColumns count="24">
    <tableColumn id="1" xr3:uid="{8D00CF68-7FF2-4FB3-8A67-23CD7712EA15}" name="Awarding Contracting Office Name" dataDxfId="23"/>
    <tableColumn id="2" xr3:uid="{C7D39401-809D-4789-B478-C8B881750118}" name="Extent Competed Description" dataDxfId="22"/>
    <tableColumn id="3" xr3:uid="{7ABBDE24-755D-449E-B257-81D50F88AF4D}" name="Type Set Aside " dataDxfId="21"/>
    <tableColumn id="4" xr3:uid="{EEF95E94-9CED-4994-9782-2356824D5337}" name="Contracting Officer's Determination of Business Size" dataDxfId="20"/>
    <tableColumn id="5" xr3:uid="{8B45809F-062C-4AE4-96CF-4F2B84E20831}" name="Current Contracting Office Name" dataDxfId="19"/>
    <tableColumn id="6" xr3:uid="{EA3E1F49-5540-4922-BDA4-C8642F0CC26C}" name="Contract Number" dataDxfId="18"/>
    <tableColumn id="7" xr3:uid="{02D98CA0-0F6D-452B-83CF-65C972FAB2C3}" name="Order Number" dataDxfId="17"/>
    <tableColumn id="8" xr3:uid="{654BDD03-F250-4609-9700-7197FFDA758B}" name="Base and All Options Value (Total Contract Value)" dataDxfId="16"/>
    <tableColumn id="9" xr3:uid="{8D1B8224-85E5-436C-92A9-58002BA503C6}" name="Legal Business Name " dataDxfId="15"/>
    <tableColumn id="10" xr3:uid="{1862A038-6BA7-4081-A687-7B23CA2D6A92}" name="Principal Place of Performance - City" dataDxfId="14"/>
    <tableColumn id="11" xr3:uid="{816624C8-BFCF-43DA-A530-665EBA82F89E}" name="Principal Place of Performance - State" dataDxfId="13"/>
    <tableColumn id="12" xr3:uid="{7D332BFC-26FA-43F4-8B71-D23805815588}" name="PEO/Command" dataDxfId="12"/>
    <tableColumn id="13" xr3:uid="{B738752A-414F-40C8-8BCF-BF662C8BF193}" name="Description of Requirement" dataDxfId="11"/>
    <tableColumn id="14" xr3:uid="{FAAEE8B2-D978-4179-BA74-E8EEEBCD8FB1}" name="Contract Type" dataDxfId="10"/>
    <tableColumn id="15" xr3:uid="{1D08C572-247D-4E51-86AC-D27DC9E2F67D}" name="Service/Supply/Construction" dataDxfId="9"/>
    <tableColumn id="16" xr3:uid="{DD23D47E-CDB6-471F-B25D-9627E73928C2}" name="NAICS Code" dataDxfId="8"/>
    <tableColumn id="17" xr3:uid="{ABDF95F0-5741-4631-BA5F-438ED5375D3E}" name="NAICS Description" dataDxfId="7"/>
    <tableColumn id="18" xr3:uid="{B7573EDA-D55B-4708-9CC3-220206239708}" name="Period of Performance Start Date" dataDxfId="6"/>
    <tableColumn id="19" xr3:uid="{44BD3EEE-6A3A-4F3C-927D-99FB9163F3AC}" name="Ultimate Completion Date" dataDxfId="5"/>
    <tableColumn id="20" xr3:uid="{B6EF29E6-BED0-404A-8B9A-E0E44C788B9C}" name="Ultimate Completion Date Fiscal Year" dataDxfId="4"/>
    <tableColumn id="25" xr3:uid="{B4DB4BFC-11CD-45D9-9454-7EE511B9C4E8}" name="Anticipated Solicitation Date" dataDxfId="3">
      <calculatedColumnFormula>_xlfn.XLOOKUP(apbi[[#This Row],[Contract Number]],[1]Preaward_OSBP!$F:$F,[1]Preaward_OSBP!$T:$T,"No Date Listed")</calculatedColumnFormula>
    </tableColumn>
    <tableColumn id="21" xr3:uid="{61CDA074-D5F7-4B76-A1AB-D6F822CD8271}" name="Facility Clearance Required (Y/N)" dataDxfId="2"/>
    <tableColumn id="22" xr3:uid="{079DD1BC-486D-4E4F-9FD5-068F9FB1C982}" name="Security Clearance Required (Y/N)" dataDxfId="1"/>
    <tableColumn id="23" xr3:uid="{997EB7C2-BE3F-47B0-97FA-A250A1088BC2}" name="Small Business Professional Contact Email"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4B24-7C24-4690-A9EB-4D1E8F5268B7}">
  <dimension ref="A1:AB180"/>
  <sheetViews>
    <sheetView workbookViewId="0"/>
  </sheetViews>
  <sheetFormatPr defaultColWidth="0" defaultRowHeight="13.2" zeroHeight="1" x14ac:dyDescent="0.25"/>
  <cols>
    <col min="1" max="1" width="122.77734375" style="23" customWidth="1"/>
    <col min="2" max="4" width="8.88671875" style="23" hidden="1" customWidth="1"/>
    <col min="5" max="5" width="28.5546875" style="22" hidden="1" customWidth="1"/>
    <col min="6" max="6" width="28" style="22" hidden="1" customWidth="1"/>
    <col min="7" max="7" width="30.44140625" style="22" hidden="1" customWidth="1"/>
    <col min="8" max="8" width="14.44140625" style="22" hidden="1" customWidth="1"/>
    <col min="9" max="9" width="39.5546875" style="22" hidden="1" customWidth="1"/>
    <col min="10" max="10" width="19.109375" style="22" hidden="1" customWidth="1"/>
    <col min="11" max="12" width="16.77734375" style="22" hidden="1" customWidth="1"/>
    <col min="13" max="13" width="32" style="22" hidden="1" customWidth="1"/>
    <col min="14" max="14" width="29.33203125" style="22" hidden="1" customWidth="1"/>
    <col min="15" max="16" width="13.33203125" style="22" hidden="1" customWidth="1"/>
    <col min="17" max="17" width="56.6640625" style="22" hidden="1" customWidth="1"/>
    <col min="18" max="18" width="14.77734375" style="22" hidden="1" customWidth="1"/>
    <col min="19" max="19" width="13.33203125" style="22" hidden="1" customWidth="1"/>
    <col min="20" max="20" width="8.88671875" style="22" hidden="1" customWidth="1"/>
    <col min="21" max="21" width="40.109375" style="22" hidden="1" customWidth="1"/>
    <col min="22" max="23" width="13.33203125" style="22" hidden="1" customWidth="1"/>
    <col min="24" max="26" width="12.21875" style="22" hidden="1" customWidth="1"/>
    <col min="27" max="16384" width="8.88671875" style="23" hidden="1"/>
  </cols>
  <sheetData>
    <row r="1" spans="1:28" s="8" customFormat="1" ht="77.849999999999994" customHeight="1" x14ac:dyDescent="0.2">
      <c r="A1" s="28" t="s">
        <v>830</v>
      </c>
      <c r="E1" s="6"/>
      <c r="F1" s="6"/>
      <c r="G1" s="6"/>
      <c r="H1" s="6"/>
      <c r="I1" s="6"/>
      <c r="J1" s="6"/>
      <c r="K1" s="6"/>
      <c r="L1" s="6"/>
      <c r="M1" s="6"/>
      <c r="N1" s="6"/>
      <c r="O1" s="6"/>
      <c r="P1" s="6"/>
      <c r="Q1" s="6"/>
      <c r="R1" s="6"/>
      <c r="S1" s="6"/>
      <c r="T1" s="6"/>
      <c r="U1" s="6"/>
      <c r="V1" s="6"/>
      <c r="W1" s="6"/>
      <c r="X1" s="6"/>
      <c r="Y1" s="6"/>
      <c r="Z1" s="6"/>
      <c r="AA1" s="7"/>
      <c r="AB1" s="7"/>
    </row>
    <row r="2" spans="1:28" s="8" customFormat="1" x14ac:dyDescent="0.2">
      <c r="A2" s="24"/>
      <c r="E2" s="9"/>
      <c r="F2" s="14"/>
      <c r="G2" s="14"/>
      <c r="H2" s="14"/>
      <c r="I2" s="10"/>
      <c r="J2" s="14"/>
      <c r="K2" s="14"/>
      <c r="L2" s="15"/>
      <c r="M2" s="14"/>
      <c r="N2" s="14"/>
      <c r="O2" s="14"/>
      <c r="P2" s="14"/>
      <c r="Q2" s="14"/>
      <c r="R2" s="14"/>
      <c r="S2" s="14"/>
      <c r="T2" s="14"/>
      <c r="U2" s="14"/>
      <c r="V2" s="16"/>
      <c r="W2" s="16"/>
      <c r="X2" s="14"/>
      <c r="Y2" s="17"/>
      <c r="Z2" s="17"/>
    </row>
    <row r="3" spans="1:28" s="8" customFormat="1" ht="30" x14ac:dyDescent="0.25">
      <c r="A3" s="25" t="s">
        <v>831</v>
      </c>
      <c r="E3" s="9"/>
      <c r="F3" s="14"/>
      <c r="G3" s="14"/>
      <c r="H3" s="14"/>
      <c r="I3" s="9"/>
      <c r="J3" s="14"/>
      <c r="K3" s="14"/>
      <c r="L3" s="15"/>
      <c r="M3" s="14"/>
      <c r="N3" s="14"/>
      <c r="O3" s="14"/>
      <c r="P3" s="14"/>
      <c r="Q3" s="14"/>
      <c r="R3" s="14"/>
      <c r="S3" s="14"/>
      <c r="T3" s="14"/>
      <c r="U3" s="14"/>
      <c r="V3" s="16"/>
      <c r="W3" s="16"/>
      <c r="X3" s="14"/>
      <c r="Y3" s="17"/>
      <c r="Z3" s="17"/>
    </row>
    <row r="4" spans="1:28" s="8" customFormat="1" ht="10.95" customHeight="1" x14ac:dyDescent="0.2">
      <c r="A4" s="24"/>
      <c r="E4" s="9"/>
      <c r="F4" s="9"/>
      <c r="G4" s="9"/>
      <c r="H4" s="10"/>
      <c r="I4" s="10"/>
      <c r="J4" s="10"/>
      <c r="K4" s="11"/>
      <c r="L4" s="12"/>
      <c r="M4" s="9"/>
      <c r="N4" s="10"/>
      <c r="O4" s="10"/>
      <c r="P4" s="9"/>
      <c r="Q4" s="9"/>
      <c r="R4" s="10"/>
      <c r="S4" s="10"/>
      <c r="T4" s="11"/>
      <c r="U4" s="9"/>
      <c r="V4" s="13"/>
      <c r="W4" s="13"/>
      <c r="X4" s="10"/>
      <c r="Y4" s="10"/>
      <c r="Z4" s="10"/>
    </row>
    <row r="5" spans="1:28" s="8" customFormat="1" ht="55.2" customHeight="1" x14ac:dyDescent="0.2">
      <c r="A5" s="27" t="s">
        <v>832</v>
      </c>
      <c r="E5" s="9"/>
      <c r="F5" s="9"/>
      <c r="G5" s="9"/>
      <c r="H5" s="10"/>
      <c r="I5" s="10"/>
      <c r="J5" s="9"/>
      <c r="K5" s="11"/>
      <c r="L5" s="12"/>
      <c r="M5" s="9"/>
      <c r="N5" s="10"/>
      <c r="O5" s="10"/>
      <c r="P5" s="9"/>
      <c r="Q5" s="9"/>
      <c r="R5" s="10"/>
      <c r="S5" s="10"/>
      <c r="T5" s="11"/>
      <c r="U5" s="9"/>
      <c r="V5" s="13"/>
      <c r="W5" s="13"/>
      <c r="X5" s="10"/>
      <c r="Y5" s="10"/>
      <c r="Z5" s="10"/>
    </row>
    <row r="6" spans="1:28" s="8" customFormat="1" ht="30" x14ac:dyDescent="0.2">
      <c r="A6" s="27" t="s">
        <v>833</v>
      </c>
      <c r="E6" s="9"/>
      <c r="F6" s="14"/>
      <c r="G6" s="14"/>
      <c r="H6" s="14"/>
      <c r="I6" s="10"/>
      <c r="J6" s="14"/>
      <c r="K6" s="14"/>
      <c r="L6" s="15"/>
      <c r="M6" s="14"/>
      <c r="N6" s="14"/>
      <c r="O6" s="14"/>
      <c r="P6" s="14"/>
      <c r="Q6" s="14"/>
      <c r="R6" s="14"/>
      <c r="S6" s="14"/>
      <c r="T6" s="14"/>
      <c r="U6" s="14"/>
      <c r="V6" s="16"/>
      <c r="W6" s="16"/>
      <c r="X6" s="14"/>
      <c r="Y6" s="17"/>
      <c r="Z6" s="17"/>
    </row>
    <row r="7" spans="1:28" s="8" customFormat="1" ht="10.95" customHeight="1" x14ac:dyDescent="0.2">
      <c r="A7" s="24"/>
      <c r="E7" s="9"/>
      <c r="F7" s="9"/>
      <c r="G7" s="9"/>
      <c r="H7" s="10"/>
      <c r="I7" s="10"/>
      <c r="J7" s="10"/>
      <c r="K7" s="11"/>
      <c r="L7" s="12"/>
      <c r="M7" s="9"/>
      <c r="N7" s="10"/>
      <c r="O7" s="10"/>
      <c r="P7" s="9"/>
      <c r="Q7" s="9"/>
      <c r="R7" s="10"/>
      <c r="S7" s="10"/>
      <c r="T7" s="11"/>
      <c r="U7" s="9"/>
      <c r="V7" s="13"/>
      <c r="W7" s="13"/>
      <c r="X7" s="10"/>
      <c r="Y7" s="10"/>
      <c r="Z7" s="10"/>
    </row>
    <row r="8" spans="1:28" s="26" customFormat="1" ht="45" x14ac:dyDescent="0.25">
      <c r="A8" s="27" t="s">
        <v>834</v>
      </c>
      <c r="E8" s="9"/>
      <c r="F8" s="14"/>
      <c r="G8" s="14"/>
      <c r="H8" s="14"/>
      <c r="I8" s="10"/>
      <c r="J8" s="14"/>
      <c r="K8" s="14"/>
      <c r="L8" s="15"/>
      <c r="M8" s="14"/>
      <c r="N8" s="14"/>
      <c r="O8" s="14"/>
      <c r="P8" s="14"/>
      <c r="Q8" s="14"/>
      <c r="R8" s="14"/>
      <c r="S8" s="14"/>
      <c r="T8" s="14"/>
      <c r="U8" s="14"/>
      <c r="V8" s="16"/>
      <c r="W8" s="16"/>
      <c r="X8" s="14"/>
      <c r="Y8" s="17"/>
      <c r="Z8" s="17"/>
    </row>
    <row r="9" spans="1:28" s="8" customFormat="1" hidden="1" x14ac:dyDescent="0.2">
      <c r="A9" s="24"/>
      <c r="E9" s="9"/>
      <c r="F9" s="14"/>
      <c r="G9" s="14"/>
      <c r="H9" s="14"/>
      <c r="I9" s="9"/>
      <c r="J9" s="14"/>
      <c r="K9" s="14"/>
      <c r="L9" s="15"/>
      <c r="M9" s="14"/>
      <c r="N9" s="14"/>
      <c r="O9" s="14"/>
      <c r="P9" s="14"/>
      <c r="Q9" s="14"/>
      <c r="R9" s="14"/>
      <c r="S9" s="14"/>
      <c r="T9" s="14"/>
      <c r="U9" s="14"/>
      <c r="V9" s="16"/>
      <c r="W9" s="16"/>
      <c r="X9" s="14"/>
      <c r="Y9" s="17"/>
      <c r="Z9" s="17"/>
    </row>
    <row r="10" spans="1:28" s="8" customFormat="1" ht="11.4" hidden="1" x14ac:dyDescent="0.2">
      <c r="A10" s="24"/>
      <c r="E10" s="9"/>
      <c r="F10" s="9"/>
      <c r="G10" s="9"/>
      <c r="H10" s="10"/>
      <c r="I10" s="10"/>
      <c r="J10" s="9"/>
      <c r="K10" s="11"/>
      <c r="L10" s="12"/>
      <c r="M10" s="9"/>
      <c r="N10" s="10"/>
      <c r="O10" s="10"/>
      <c r="P10" s="9"/>
      <c r="Q10" s="9"/>
      <c r="R10" s="10"/>
      <c r="S10" s="10"/>
      <c r="T10" s="11"/>
      <c r="U10" s="9"/>
      <c r="V10" s="13"/>
      <c r="W10" s="13"/>
      <c r="X10" s="10"/>
      <c r="Y10" s="10"/>
      <c r="Z10" s="10"/>
    </row>
    <row r="11" spans="1:28" s="8" customFormat="1" ht="11.4" hidden="1" x14ac:dyDescent="0.2">
      <c r="A11" s="24"/>
      <c r="E11" s="9"/>
      <c r="F11" s="9"/>
      <c r="G11" s="9"/>
      <c r="H11" s="10"/>
      <c r="I11" s="10"/>
      <c r="J11" s="9"/>
      <c r="K11" s="11"/>
      <c r="L11" s="12"/>
      <c r="M11" s="9"/>
      <c r="N11" s="10"/>
      <c r="O11" s="10"/>
      <c r="P11" s="9"/>
      <c r="Q11" s="9"/>
      <c r="R11" s="10"/>
      <c r="S11" s="10"/>
      <c r="T11" s="11"/>
      <c r="U11" s="9"/>
      <c r="V11" s="13"/>
      <c r="W11" s="13"/>
      <c r="X11" s="10"/>
      <c r="Y11" s="10"/>
      <c r="Z11" s="10"/>
    </row>
    <row r="12" spans="1:28" s="8" customFormat="1" ht="11.4" hidden="1" x14ac:dyDescent="0.2">
      <c r="A12" s="24"/>
      <c r="E12" s="9"/>
      <c r="F12" s="9"/>
      <c r="G12" s="9"/>
      <c r="H12" s="10"/>
      <c r="I12" s="10"/>
      <c r="J12" s="9"/>
      <c r="K12" s="11"/>
      <c r="L12" s="12"/>
      <c r="M12" s="9"/>
      <c r="N12" s="10"/>
      <c r="O12" s="10"/>
      <c r="P12" s="9"/>
      <c r="Q12" s="9"/>
      <c r="R12" s="10"/>
      <c r="S12" s="10"/>
      <c r="T12" s="11"/>
      <c r="U12" s="9"/>
      <c r="V12" s="13"/>
      <c r="W12" s="13"/>
      <c r="X12" s="10"/>
      <c r="Y12" s="10"/>
      <c r="Z12" s="10"/>
    </row>
    <row r="13" spans="1:28" s="8" customFormat="1" ht="11.4" hidden="1" x14ac:dyDescent="0.2">
      <c r="A13" s="24"/>
      <c r="E13" s="9"/>
      <c r="F13" s="9"/>
      <c r="G13" s="9"/>
      <c r="H13" s="10"/>
      <c r="I13" s="10"/>
      <c r="J13" s="9"/>
      <c r="K13" s="11"/>
      <c r="L13" s="12"/>
      <c r="M13" s="9"/>
      <c r="N13" s="10"/>
      <c r="O13" s="10"/>
      <c r="P13" s="9"/>
      <c r="Q13" s="9"/>
      <c r="R13" s="10"/>
      <c r="S13" s="10"/>
      <c r="T13" s="11"/>
      <c r="U13" s="9"/>
      <c r="V13" s="13"/>
      <c r="W13" s="13"/>
      <c r="X13" s="10"/>
      <c r="Y13" s="10"/>
      <c r="Z13" s="10"/>
    </row>
    <row r="14" spans="1:28" s="8" customFormat="1" ht="11.4" hidden="1" x14ac:dyDescent="0.2">
      <c r="A14" s="24"/>
      <c r="E14" s="9"/>
      <c r="F14" s="9"/>
      <c r="G14" s="9"/>
      <c r="H14" s="10"/>
      <c r="I14" s="10"/>
      <c r="J14" s="10"/>
      <c r="K14" s="11"/>
      <c r="L14" s="12"/>
      <c r="M14" s="9"/>
      <c r="N14" s="10"/>
      <c r="O14" s="10"/>
      <c r="P14" s="9"/>
      <c r="Q14" s="9"/>
      <c r="R14" s="10"/>
      <c r="S14" s="10"/>
      <c r="T14" s="11"/>
      <c r="U14" s="9"/>
      <c r="V14" s="13"/>
      <c r="W14" s="13"/>
      <c r="X14" s="10"/>
      <c r="Y14" s="10"/>
      <c r="Z14" s="10"/>
    </row>
    <row r="15" spans="1:28" s="8" customFormat="1" hidden="1" x14ac:dyDescent="0.2">
      <c r="A15" s="24"/>
      <c r="E15" s="9"/>
      <c r="F15" s="14"/>
      <c r="G15" s="14"/>
      <c r="H15" s="14"/>
      <c r="I15" s="10"/>
      <c r="J15" s="14"/>
      <c r="K15" s="14"/>
      <c r="L15" s="15"/>
      <c r="M15" s="14"/>
      <c r="N15" s="14"/>
      <c r="O15" s="14"/>
      <c r="P15" s="14"/>
      <c r="Q15" s="14"/>
      <c r="R15" s="14"/>
      <c r="S15" s="14"/>
      <c r="T15" s="14"/>
      <c r="U15" s="14"/>
      <c r="V15" s="16"/>
      <c r="W15" s="16"/>
      <c r="X15" s="14"/>
      <c r="Y15" s="17"/>
      <c r="Z15" s="17"/>
    </row>
    <row r="16" spans="1:28" s="8" customFormat="1" ht="11.4" hidden="1" x14ac:dyDescent="0.2">
      <c r="A16" s="24"/>
      <c r="E16" s="9"/>
      <c r="F16" s="9"/>
      <c r="G16" s="9"/>
      <c r="H16" s="10"/>
      <c r="I16" s="10"/>
      <c r="J16" s="10"/>
      <c r="K16" s="10"/>
      <c r="L16" s="12"/>
      <c r="M16" s="9"/>
      <c r="N16" s="10"/>
      <c r="O16" s="10"/>
      <c r="P16" s="9"/>
      <c r="Q16" s="9"/>
      <c r="R16" s="10"/>
      <c r="S16" s="10"/>
      <c r="T16" s="11"/>
      <c r="U16" s="9"/>
      <c r="V16" s="13"/>
      <c r="W16" s="13"/>
      <c r="X16" s="10"/>
      <c r="Y16" s="10"/>
      <c r="Z16" s="10"/>
    </row>
    <row r="17" spans="1:26" s="8" customFormat="1" ht="11.4" hidden="1" x14ac:dyDescent="0.2">
      <c r="A17" s="24"/>
      <c r="E17" s="9"/>
      <c r="F17" s="9"/>
      <c r="G17" s="9"/>
      <c r="H17" s="10"/>
      <c r="I17" s="10"/>
      <c r="J17" s="9"/>
      <c r="K17" s="11"/>
      <c r="L17" s="12"/>
      <c r="M17" s="9"/>
      <c r="N17" s="10"/>
      <c r="O17" s="10"/>
      <c r="P17" s="9"/>
      <c r="Q17" s="9"/>
      <c r="R17" s="10"/>
      <c r="S17" s="10"/>
      <c r="T17" s="11"/>
      <c r="U17" s="9"/>
      <c r="V17" s="13"/>
      <c r="W17" s="13"/>
      <c r="X17" s="10"/>
      <c r="Y17" s="10"/>
      <c r="Z17" s="10"/>
    </row>
    <row r="18" spans="1:26" s="8" customFormat="1" hidden="1" x14ac:dyDescent="0.2">
      <c r="A18" s="24"/>
      <c r="E18" s="9"/>
      <c r="F18" s="14"/>
      <c r="G18" s="14"/>
      <c r="H18" s="14"/>
      <c r="I18" s="9"/>
      <c r="J18" s="14"/>
      <c r="K18" s="14"/>
      <c r="L18" s="15"/>
      <c r="M18" s="14"/>
      <c r="N18" s="14"/>
      <c r="O18" s="14"/>
      <c r="P18" s="14"/>
      <c r="Q18" s="14"/>
      <c r="R18" s="14"/>
      <c r="S18" s="14"/>
      <c r="T18" s="14"/>
      <c r="U18" s="14"/>
      <c r="V18" s="16"/>
      <c r="W18" s="16"/>
      <c r="X18" s="14"/>
      <c r="Y18" s="17"/>
      <c r="Z18" s="17"/>
    </row>
    <row r="19" spans="1:26" s="8" customFormat="1" ht="11.4" hidden="1" x14ac:dyDescent="0.2">
      <c r="A19" s="24"/>
      <c r="E19" s="9"/>
      <c r="F19" s="9"/>
      <c r="G19" s="9"/>
      <c r="H19" s="10"/>
      <c r="I19" s="10"/>
      <c r="J19" s="9"/>
      <c r="K19" s="11"/>
      <c r="L19" s="12"/>
      <c r="M19" s="9"/>
      <c r="N19" s="10"/>
      <c r="O19" s="10"/>
      <c r="P19" s="9"/>
      <c r="Q19" s="9"/>
      <c r="R19" s="10"/>
      <c r="S19" s="10"/>
      <c r="T19" s="11"/>
      <c r="U19" s="9"/>
      <c r="V19" s="13"/>
      <c r="W19" s="13"/>
      <c r="X19" s="10"/>
      <c r="Y19" s="10"/>
      <c r="Z19" s="10"/>
    </row>
    <row r="20" spans="1:26" s="8" customFormat="1" hidden="1" x14ac:dyDescent="0.2">
      <c r="A20" s="24"/>
      <c r="E20" s="9"/>
      <c r="F20" s="14"/>
      <c r="G20" s="14"/>
      <c r="H20" s="14"/>
      <c r="I20" s="10"/>
      <c r="J20" s="14"/>
      <c r="K20" s="18"/>
      <c r="L20" s="15"/>
      <c r="M20" s="14"/>
      <c r="N20" s="14"/>
      <c r="O20" s="14"/>
      <c r="P20" s="14"/>
      <c r="Q20" s="14"/>
      <c r="R20" s="14"/>
      <c r="S20" s="14"/>
      <c r="T20" s="14"/>
      <c r="U20" s="14"/>
      <c r="V20" s="16"/>
      <c r="W20" s="16"/>
      <c r="X20" s="14"/>
      <c r="Y20" s="17"/>
      <c r="Z20" s="17"/>
    </row>
    <row r="21" spans="1:26" s="8" customFormat="1" ht="11.4" hidden="1" x14ac:dyDescent="0.2">
      <c r="A21" s="24"/>
      <c r="E21" s="9"/>
      <c r="F21" s="9"/>
      <c r="G21" s="9"/>
      <c r="H21" s="10"/>
      <c r="I21" s="10"/>
      <c r="J21" s="9"/>
      <c r="K21" s="10"/>
      <c r="L21" s="12"/>
      <c r="M21" s="9"/>
      <c r="N21" s="10"/>
      <c r="O21" s="10"/>
      <c r="P21" s="9"/>
      <c r="Q21" s="9"/>
      <c r="R21" s="10"/>
      <c r="S21" s="10"/>
      <c r="T21" s="11"/>
      <c r="U21" s="9"/>
      <c r="V21" s="13"/>
      <c r="W21" s="13"/>
      <c r="X21" s="10"/>
      <c r="Y21" s="10"/>
      <c r="Z21" s="10"/>
    </row>
    <row r="22" spans="1:26" s="8" customFormat="1" ht="11.4" hidden="1" x14ac:dyDescent="0.2">
      <c r="A22" s="24"/>
      <c r="E22" s="9"/>
      <c r="F22" s="9"/>
      <c r="G22" s="9"/>
      <c r="H22" s="10"/>
      <c r="I22" s="10"/>
      <c r="J22" s="9"/>
      <c r="K22" s="11"/>
      <c r="L22" s="12"/>
      <c r="M22" s="9"/>
      <c r="N22" s="10"/>
      <c r="O22" s="10"/>
      <c r="P22" s="9"/>
      <c r="Q22" s="9"/>
      <c r="R22" s="10"/>
      <c r="S22" s="10"/>
      <c r="T22" s="11"/>
      <c r="U22" s="9"/>
      <c r="V22" s="13"/>
      <c r="W22" s="13"/>
      <c r="X22" s="10"/>
      <c r="Y22" s="10"/>
      <c r="Z22" s="10"/>
    </row>
    <row r="23" spans="1:26" s="8" customFormat="1" hidden="1" x14ac:dyDescent="0.2">
      <c r="A23" s="24"/>
      <c r="E23" s="9"/>
      <c r="F23" s="14"/>
      <c r="G23" s="14"/>
      <c r="H23" s="14"/>
      <c r="I23" s="9"/>
      <c r="J23" s="14"/>
      <c r="K23" s="14"/>
      <c r="L23" s="15"/>
      <c r="M23" s="14"/>
      <c r="N23" s="14"/>
      <c r="O23" s="14"/>
      <c r="P23" s="14"/>
      <c r="Q23" s="14"/>
      <c r="R23" s="14"/>
      <c r="S23" s="14"/>
      <c r="T23" s="14"/>
      <c r="U23" s="14"/>
      <c r="V23" s="16"/>
      <c r="W23" s="16"/>
      <c r="X23" s="14"/>
      <c r="Y23" s="17"/>
      <c r="Z23" s="17"/>
    </row>
    <row r="24" spans="1:26" s="8" customFormat="1" ht="11.4" hidden="1" x14ac:dyDescent="0.2">
      <c r="A24" s="24"/>
      <c r="E24" s="9"/>
      <c r="F24" s="9"/>
      <c r="G24" s="9"/>
      <c r="H24" s="10"/>
      <c r="I24" s="10"/>
      <c r="J24" s="10"/>
      <c r="K24" s="10"/>
      <c r="L24" s="12"/>
      <c r="M24" s="9"/>
      <c r="N24" s="10"/>
      <c r="O24" s="10"/>
      <c r="P24" s="9"/>
      <c r="Q24" s="9"/>
      <c r="R24" s="10"/>
      <c r="S24" s="10"/>
      <c r="T24" s="11"/>
      <c r="U24" s="9"/>
      <c r="V24" s="13"/>
      <c r="W24" s="13"/>
      <c r="X24" s="10"/>
      <c r="Y24" s="10"/>
      <c r="Z24" s="10"/>
    </row>
    <row r="25" spans="1:26" s="8" customFormat="1" ht="11.4" hidden="1" x14ac:dyDescent="0.2">
      <c r="A25" s="24"/>
      <c r="E25" s="9"/>
      <c r="F25" s="9"/>
      <c r="G25" s="9"/>
      <c r="H25" s="10"/>
      <c r="I25" s="10"/>
      <c r="J25" s="9"/>
      <c r="K25" s="11"/>
      <c r="L25" s="12"/>
      <c r="M25" s="9"/>
      <c r="N25" s="10"/>
      <c r="O25" s="10"/>
      <c r="P25" s="9"/>
      <c r="Q25" s="9"/>
      <c r="R25" s="10"/>
      <c r="S25" s="10"/>
      <c r="T25" s="11"/>
      <c r="U25" s="9"/>
      <c r="V25" s="13"/>
      <c r="W25" s="13"/>
      <c r="X25" s="10"/>
      <c r="Y25" s="10"/>
      <c r="Z25" s="10"/>
    </row>
    <row r="26" spans="1:26" s="8" customFormat="1" ht="11.4" hidden="1" x14ac:dyDescent="0.2">
      <c r="A26" s="24"/>
      <c r="E26" s="9"/>
      <c r="F26" s="9"/>
      <c r="G26" s="9"/>
      <c r="H26" s="10"/>
      <c r="I26" s="10"/>
      <c r="J26" s="10"/>
      <c r="K26" s="10"/>
      <c r="L26" s="12"/>
      <c r="M26" s="9"/>
      <c r="N26" s="10"/>
      <c r="O26" s="10"/>
      <c r="P26" s="9"/>
      <c r="Q26" s="9"/>
      <c r="R26" s="10"/>
      <c r="S26" s="10"/>
      <c r="T26" s="11"/>
      <c r="U26" s="9"/>
      <c r="V26" s="13"/>
      <c r="W26" s="13"/>
      <c r="X26" s="10"/>
      <c r="Y26" s="10"/>
      <c r="Z26" s="10"/>
    </row>
    <row r="27" spans="1:26" s="8" customFormat="1" ht="11.4" hidden="1" x14ac:dyDescent="0.2">
      <c r="A27" s="24"/>
      <c r="E27" s="9"/>
      <c r="F27" s="9"/>
      <c r="G27" s="9"/>
      <c r="H27" s="10"/>
      <c r="I27" s="10"/>
      <c r="J27" s="10"/>
      <c r="K27" s="11"/>
      <c r="L27" s="12"/>
      <c r="M27" s="9"/>
      <c r="N27" s="10"/>
      <c r="O27" s="10"/>
      <c r="P27" s="9"/>
      <c r="Q27" s="9"/>
      <c r="R27" s="10"/>
      <c r="S27" s="10"/>
      <c r="T27" s="11"/>
      <c r="U27" s="9"/>
      <c r="V27" s="13"/>
      <c r="W27" s="13"/>
      <c r="X27" s="10"/>
      <c r="Y27" s="10"/>
      <c r="Z27" s="10"/>
    </row>
    <row r="28" spans="1:26" s="8" customFormat="1" ht="11.4" hidden="1" x14ac:dyDescent="0.2">
      <c r="A28" s="24"/>
      <c r="E28" s="9"/>
      <c r="F28" s="9"/>
      <c r="G28" s="9"/>
      <c r="H28" s="10"/>
      <c r="I28" s="10"/>
      <c r="J28" s="10"/>
      <c r="K28" s="11"/>
      <c r="L28" s="12"/>
      <c r="M28" s="9"/>
      <c r="N28" s="10"/>
      <c r="O28" s="10"/>
      <c r="P28" s="9"/>
      <c r="Q28" s="9"/>
      <c r="R28" s="10"/>
      <c r="S28" s="10"/>
      <c r="T28" s="11"/>
      <c r="U28" s="9"/>
      <c r="V28" s="13"/>
      <c r="W28" s="13"/>
      <c r="X28" s="10"/>
      <c r="Y28" s="10"/>
      <c r="Z28" s="10"/>
    </row>
    <row r="29" spans="1:26" s="8" customFormat="1" ht="11.4" hidden="1" x14ac:dyDescent="0.2">
      <c r="A29" s="24"/>
      <c r="E29" s="9"/>
      <c r="F29" s="9"/>
      <c r="G29" s="9"/>
      <c r="H29" s="10"/>
      <c r="I29" s="10"/>
      <c r="J29" s="9"/>
      <c r="K29" s="11"/>
      <c r="L29" s="12"/>
      <c r="M29" s="9"/>
      <c r="N29" s="10"/>
      <c r="O29" s="10"/>
      <c r="P29" s="9"/>
      <c r="Q29" s="9"/>
      <c r="R29" s="10"/>
      <c r="S29" s="10"/>
      <c r="T29" s="11"/>
      <c r="U29" s="9"/>
      <c r="V29" s="13"/>
      <c r="W29" s="13"/>
      <c r="X29" s="10"/>
      <c r="Y29" s="10"/>
      <c r="Z29" s="10"/>
    </row>
    <row r="30" spans="1:26" s="8" customFormat="1" ht="11.4" hidden="1" x14ac:dyDescent="0.2">
      <c r="A30" s="24"/>
      <c r="E30" s="9"/>
      <c r="F30" s="9"/>
      <c r="G30" s="9"/>
      <c r="H30" s="10"/>
      <c r="I30" s="10"/>
      <c r="J30" s="9"/>
      <c r="K30" s="11"/>
      <c r="L30" s="12"/>
      <c r="M30" s="9"/>
      <c r="N30" s="10"/>
      <c r="O30" s="10"/>
      <c r="P30" s="9"/>
      <c r="Q30" s="9"/>
      <c r="R30" s="10"/>
      <c r="S30" s="10"/>
      <c r="T30" s="11"/>
      <c r="U30" s="9"/>
      <c r="V30" s="13"/>
      <c r="W30" s="13"/>
      <c r="X30" s="10"/>
      <c r="Y30" s="10"/>
      <c r="Z30" s="10"/>
    </row>
    <row r="31" spans="1:26" s="8" customFormat="1" ht="11.4" hidden="1" x14ac:dyDescent="0.2">
      <c r="A31" s="24"/>
      <c r="E31" s="9"/>
      <c r="F31" s="9"/>
      <c r="G31" s="9"/>
      <c r="H31" s="10"/>
      <c r="I31" s="10"/>
      <c r="J31" s="9"/>
      <c r="K31" s="11"/>
      <c r="L31" s="12"/>
      <c r="M31" s="9"/>
      <c r="N31" s="10"/>
      <c r="O31" s="10"/>
      <c r="P31" s="9"/>
      <c r="Q31" s="9"/>
      <c r="R31" s="10"/>
      <c r="S31" s="10"/>
      <c r="T31" s="11"/>
      <c r="U31" s="9"/>
      <c r="V31" s="13"/>
      <c r="W31" s="13"/>
      <c r="X31" s="10"/>
      <c r="Y31" s="10"/>
      <c r="Z31" s="10"/>
    </row>
    <row r="32" spans="1:26" s="8" customFormat="1" hidden="1" x14ac:dyDescent="0.2">
      <c r="A32" s="24"/>
      <c r="E32" s="9"/>
      <c r="F32" s="14"/>
      <c r="G32" s="14"/>
      <c r="H32" s="14"/>
      <c r="I32" s="10"/>
      <c r="J32" s="14"/>
      <c r="K32" s="14"/>
      <c r="L32" s="15"/>
      <c r="M32" s="14"/>
      <c r="N32" s="14"/>
      <c r="O32" s="14"/>
      <c r="P32" s="14"/>
      <c r="Q32" s="14"/>
      <c r="R32" s="14"/>
      <c r="S32" s="14"/>
      <c r="T32" s="14"/>
      <c r="U32" s="14"/>
      <c r="V32" s="16"/>
      <c r="W32" s="16"/>
      <c r="X32" s="14"/>
      <c r="Y32" s="17"/>
      <c r="Z32" s="17"/>
    </row>
    <row r="33" spans="1:26" s="8" customFormat="1" ht="11.4" hidden="1" x14ac:dyDescent="0.2">
      <c r="A33" s="24"/>
      <c r="E33" s="9"/>
      <c r="F33" s="9"/>
      <c r="G33" s="9"/>
      <c r="H33" s="10"/>
      <c r="I33" s="10"/>
      <c r="J33" s="9"/>
      <c r="K33" s="11"/>
      <c r="L33" s="12"/>
      <c r="M33" s="9"/>
      <c r="N33" s="10"/>
      <c r="O33" s="10"/>
      <c r="P33" s="9"/>
      <c r="Q33" s="9"/>
      <c r="R33" s="10"/>
      <c r="S33" s="10"/>
      <c r="T33" s="11"/>
      <c r="U33" s="9"/>
      <c r="V33" s="13"/>
      <c r="W33" s="13"/>
      <c r="X33" s="10"/>
      <c r="Y33" s="10"/>
      <c r="Z33" s="10"/>
    </row>
    <row r="34" spans="1:26" s="8" customFormat="1" ht="11.4" hidden="1" x14ac:dyDescent="0.2">
      <c r="A34" s="24"/>
      <c r="E34" s="9"/>
      <c r="F34" s="9"/>
      <c r="G34" s="9"/>
      <c r="H34" s="10"/>
      <c r="I34" s="10"/>
      <c r="J34" s="10"/>
      <c r="K34" s="11"/>
      <c r="L34" s="12"/>
      <c r="M34" s="9"/>
      <c r="N34" s="10"/>
      <c r="O34" s="10"/>
      <c r="P34" s="9"/>
      <c r="Q34" s="9"/>
      <c r="R34" s="10"/>
      <c r="S34" s="10"/>
      <c r="T34" s="11"/>
      <c r="U34" s="9"/>
      <c r="V34" s="13"/>
      <c r="W34" s="13"/>
      <c r="X34" s="10"/>
      <c r="Y34" s="10"/>
      <c r="Z34" s="10"/>
    </row>
    <row r="35" spans="1:26" s="8" customFormat="1" ht="11.4" hidden="1" x14ac:dyDescent="0.2">
      <c r="A35" s="24"/>
      <c r="E35" s="9"/>
      <c r="F35" s="9"/>
      <c r="G35" s="9"/>
      <c r="H35" s="10"/>
      <c r="I35" s="10"/>
      <c r="J35" s="10"/>
      <c r="K35" s="11"/>
      <c r="L35" s="12"/>
      <c r="M35" s="9"/>
      <c r="N35" s="10"/>
      <c r="O35" s="10"/>
      <c r="P35" s="9"/>
      <c r="Q35" s="9"/>
      <c r="R35" s="10"/>
      <c r="S35" s="10"/>
      <c r="T35" s="11"/>
      <c r="U35" s="9"/>
      <c r="V35" s="13"/>
      <c r="W35" s="13"/>
      <c r="X35" s="10"/>
      <c r="Y35" s="10"/>
      <c r="Z35" s="10"/>
    </row>
    <row r="36" spans="1:26" s="8" customFormat="1" ht="11.4" hidden="1" x14ac:dyDescent="0.2">
      <c r="A36" s="24"/>
      <c r="E36" s="9"/>
      <c r="F36" s="9"/>
      <c r="G36" s="9"/>
      <c r="H36" s="10"/>
      <c r="I36" s="10"/>
      <c r="J36" s="10"/>
      <c r="K36" s="11"/>
      <c r="L36" s="12"/>
      <c r="M36" s="9"/>
      <c r="N36" s="10"/>
      <c r="O36" s="10"/>
      <c r="P36" s="9"/>
      <c r="Q36" s="9"/>
      <c r="R36" s="10"/>
      <c r="S36" s="10"/>
      <c r="T36" s="11"/>
      <c r="U36" s="9"/>
      <c r="V36" s="13"/>
      <c r="W36" s="13"/>
      <c r="X36" s="10"/>
      <c r="Y36" s="10"/>
      <c r="Z36" s="10"/>
    </row>
    <row r="37" spans="1:26" s="8" customFormat="1" ht="11.4" hidden="1" x14ac:dyDescent="0.2">
      <c r="A37" s="24"/>
      <c r="E37" s="9"/>
      <c r="F37" s="9"/>
      <c r="G37" s="9"/>
      <c r="H37" s="10"/>
      <c r="I37" s="10"/>
      <c r="J37" s="10"/>
      <c r="K37" s="10"/>
      <c r="L37" s="12"/>
      <c r="M37" s="9"/>
      <c r="N37" s="10"/>
      <c r="O37" s="10"/>
      <c r="P37" s="9"/>
      <c r="Q37" s="9"/>
      <c r="R37" s="10"/>
      <c r="S37" s="10"/>
      <c r="T37" s="11"/>
      <c r="U37" s="9"/>
      <c r="V37" s="13"/>
      <c r="W37" s="13"/>
      <c r="X37" s="10"/>
      <c r="Y37" s="10"/>
      <c r="Z37" s="10"/>
    </row>
    <row r="38" spans="1:26" s="8" customFormat="1" ht="11.4" hidden="1" x14ac:dyDescent="0.2">
      <c r="A38" s="24"/>
      <c r="E38" s="9"/>
      <c r="F38" s="9"/>
      <c r="G38" s="9"/>
      <c r="H38" s="10"/>
      <c r="I38" s="10"/>
      <c r="J38" s="9"/>
      <c r="K38" s="10"/>
      <c r="L38" s="12"/>
      <c r="M38" s="9"/>
      <c r="N38" s="10"/>
      <c r="O38" s="10"/>
      <c r="P38" s="9"/>
      <c r="Q38" s="9"/>
      <c r="R38" s="10"/>
      <c r="S38" s="10"/>
      <c r="T38" s="11"/>
      <c r="U38" s="9"/>
      <c r="V38" s="13"/>
      <c r="W38" s="13"/>
      <c r="X38" s="10"/>
      <c r="Y38" s="10"/>
      <c r="Z38" s="10"/>
    </row>
    <row r="39" spans="1:26" s="8" customFormat="1" ht="11.4" hidden="1" x14ac:dyDescent="0.2">
      <c r="A39" s="24"/>
      <c r="E39" s="9"/>
      <c r="F39" s="9"/>
      <c r="G39" s="9"/>
      <c r="H39" s="10"/>
      <c r="I39" s="10"/>
      <c r="J39" s="9"/>
      <c r="K39" s="11"/>
      <c r="L39" s="12"/>
      <c r="M39" s="9"/>
      <c r="N39" s="10"/>
      <c r="O39" s="10"/>
      <c r="P39" s="9"/>
      <c r="Q39" s="9"/>
      <c r="R39" s="10"/>
      <c r="S39" s="10"/>
      <c r="T39" s="11"/>
      <c r="U39" s="9"/>
      <c r="V39" s="13"/>
      <c r="W39" s="13"/>
      <c r="X39" s="10"/>
      <c r="Y39" s="10"/>
      <c r="Z39" s="10"/>
    </row>
    <row r="40" spans="1:26" s="8" customFormat="1" ht="11.4" hidden="1" x14ac:dyDescent="0.2">
      <c r="A40" s="24"/>
      <c r="E40" s="9"/>
      <c r="F40" s="9"/>
      <c r="G40" s="9"/>
      <c r="H40" s="10"/>
      <c r="I40" s="10"/>
      <c r="J40" s="10"/>
      <c r="K40" s="11"/>
      <c r="L40" s="12"/>
      <c r="M40" s="9"/>
      <c r="N40" s="10"/>
      <c r="O40" s="10"/>
      <c r="P40" s="9"/>
      <c r="Q40" s="9"/>
      <c r="R40" s="10"/>
      <c r="S40" s="10"/>
      <c r="T40" s="11"/>
      <c r="U40" s="9"/>
      <c r="V40" s="13"/>
      <c r="W40" s="13"/>
      <c r="X40" s="10"/>
      <c r="Y40" s="10"/>
      <c r="Z40" s="10"/>
    </row>
    <row r="41" spans="1:26" s="8" customFormat="1" hidden="1" x14ac:dyDescent="0.2">
      <c r="A41" s="24"/>
      <c r="E41" s="9"/>
      <c r="F41" s="14"/>
      <c r="G41" s="14"/>
      <c r="H41" s="14"/>
      <c r="I41" s="9"/>
      <c r="J41" s="14"/>
      <c r="K41" s="14"/>
      <c r="L41" s="15"/>
      <c r="M41" s="14"/>
      <c r="N41" s="14"/>
      <c r="O41" s="14"/>
      <c r="P41" s="14"/>
      <c r="Q41" s="14"/>
      <c r="R41" s="14"/>
      <c r="S41" s="14"/>
      <c r="T41" s="14"/>
      <c r="U41" s="14"/>
      <c r="V41" s="16"/>
      <c r="W41" s="16"/>
      <c r="X41" s="14"/>
      <c r="Y41" s="17"/>
      <c r="Z41" s="17"/>
    </row>
    <row r="42" spans="1:26" s="8" customFormat="1" ht="11.4" hidden="1" x14ac:dyDescent="0.2">
      <c r="A42" s="24"/>
      <c r="E42" s="9"/>
      <c r="F42" s="9"/>
      <c r="G42" s="9"/>
      <c r="H42" s="10"/>
      <c r="I42" s="10"/>
      <c r="J42" s="9"/>
      <c r="K42" s="11"/>
      <c r="L42" s="12"/>
      <c r="M42" s="9"/>
      <c r="N42" s="10"/>
      <c r="O42" s="10"/>
      <c r="P42" s="9"/>
      <c r="Q42" s="9"/>
      <c r="R42" s="10"/>
      <c r="S42" s="10"/>
      <c r="T42" s="11"/>
      <c r="U42" s="9"/>
      <c r="V42" s="13"/>
      <c r="W42" s="13"/>
      <c r="X42" s="10"/>
      <c r="Y42" s="10"/>
      <c r="Z42" s="10"/>
    </row>
    <row r="43" spans="1:26" s="8" customFormat="1" hidden="1" x14ac:dyDescent="0.2">
      <c r="A43" s="24"/>
      <c r="E43" s="9"/>
      <c r="F43" s="14"/>
      <c r="G43" s="14"/>
      <c r="H43" s="14"/>
      <c r="I43" s="9"/>
      <c r="J43" s="14"/>
      <c r="K43" s="14"/>
      <c r="L43" s="15"/>
      <c r="M43" s="14"/>
      <c r="N43" s="14"/>
      <c r="O43" s="14"/>
      <c r="P43" s="14"/>
      <c r="Q43" s="14"/>
      <c r="R43" s="14"/>
      <c r="S43" s="14"/>
      <c r="T43" s="14"/>
      <c r="U43" s="14"/>
      <c r="V43" s="16"/>
      <c r="W43" s="16"/>
      <c r="X43" s="14"/>
      <c r="Y43" s="17"/>
      <c r="Z43" s="17"/>
    </row>
    <row r="44" spans="1:26" s="8" customFormat="1" ht="11.4" hidden="1" x14ac:dyDescent="0.2">
      <c r="A44" s="24"/>
      <c r="E44" s="9"/>
      <c r="F44" s="9"/>
      <c r="G44" s="9"/>
      <c r="H44" s="10"/>
      <c r="I44" s="10"/>
      <c r="J44" s="10"/>
      <c r="K44" s="11"/>
      <c r="L44" s="12"/>
      <c r="M44" s="9"/>
      <c r="N44" s="10"/>
      <c r="O44" s="10"/>
      <c r="P44" s="9"/>
      <c r="Q44" s="9"/>
      <c r="R44" s="10"/>
      <c r="S44" s="10"/>
      <c r="T44" s="11"/>
      <c r="U44" s="9"/>
      <c r="V44" s="13"/>
      <c r="W44" s="13"/>
      <c r="X44" s="10"/>
      <c r="Y44" s="10"/>
      <c r="Z44" s="10"/>
    </row>
    <row r="45" spans="1:26" s="8" customFormat="1" hidden="1" x14ac:dyDescent="0.2">
      <c r="A45" s="24"/>
      <c r="E45" s="9"/>
      <c r="F45" s="14"/>
      <c r="G45" s="14"/>
      <c r="H45" s="14"/>
      <c r="I45" s="10"/>
      <c r="J45" s="14"/>
      <c r="K45" s="14"/>
      <c r="L45" s="15"/>
      <c r="M45" s="14"/>
      <c r="N45" s="14"/>
      <c r="O45" s="14"/>
      <c r="P45" s="14"/>
      <c r="Q45" s="14"/>
      <c r="R45" s="14"/>
      <c r="S45" s="14"/>
      <c r="T45" s="14"/>
      <c r="U45" s="14"/>
      <c r="V45" s="16"/>
      <c r="W45" s="16"/>
      <c r="X45" s="14"/>
      <c r="Y45" s="17"/>
      <c r="Z45" s="17"/>
    </row>
    <row r="46" spans="1:26" s="8" customFormat="1" ht="11.4" hidden="1" x14ac:dyDescent="0.2">
      <c r="A46" s="24"/>
      <c r="E46" s="9"/>
      <c r="F46" s="9"/>
      <c r="G46" s="9"/>
      <c r="H46" s="10"/>
      <c r="I46" s="10"/>
      <c r="J46" s="10"/>
      <c r="K46" s="10"/>
      <c r="L46" s="12"/>
      <c r="M46" s="9"/>
      <c r="N46" s="10"/>
      <c r="O46" s="10"/>
      <c r="P46" s="9"/>
      <c r="Q46" s="9"/>
      <c r="R46" s="10"/>
      <c r="S46" s="10"/>
      <c r="T46" s="11"/>
      <c r="U46" s="9"/>
      <c r="V46" s="13"/>
      <c r="W46" s="13"/>
      <c r="X46" s="10"/>
      <c r="Y46" s="10"/>
      <c r="Z46" s="10"/>
    </row>
    <row r="47" spans="1:26" s="8" customFormat="1" ht="11.4" hidden="1" x14ac:dyDescent="0.2">
      <c r="A47" s="24"/>
      <c r="E47" s="9"/>
      <c r="F47" s="9"/>
      <c r="G47" s="9"/>
      <c r="H47" s="10"/>
      <c r="I47" s="10"/>
      <c r="J47" s="9"/>
      <c r="K47" s="11"/>
      <c r="L47" s="12"/>
      <c r="M47" s="9"/>
      <c r="N47" s="10"/>
      <c r="O47" s="10"/>
      <c r="P47" s="9"/>
      <c r="Q47" s="9"/>
      <c r="R47" s="10"/>
      <c r="S47" s="10"/>
      <c r="T47" s="11"/>
      <c r="U47" s="9"/>
      <c r="V47" s="13"/>
      <c r="W47" s="13"/>
      <c r="X47" s="10"/>
      <c r="Y47" s="10"/>
      <c r="Z47" s="10"/>
    </row>
    <row r="48" spans="1:26" s="8" customFormat="1" ht="11.4" hidden="1" x14ac:dyDescent="0.2">
      <c r="A48" s="24"/>
      <c r="E48" s="9"/>
      <c r="F48" s="9"/>
      <c r="G48" s="9"/>
      <c r="H48" s="10"/>
      <c r="I48" s="10"/>
      <c r="J48" s="9"/>
      <c r="K48" s="11"/>
      <c r="L48" s="12"/>
      <c r="M48" s="9"/>
      <c r="N48" s="10"/>
      <c r="O48" s="10"/>
      <c r="P48" s="9"/>
      <c r="Q48" s="9"/>
      <c r="R48" s="10"/>
      <c r="S48" s="10"/>
      <c r="T48" s="11"/>
      <c r="U48" s="9"/>
      <c r="V48" s="13"/>
      <c r="W48" s="13"/>
      <c r="X48" s="10"/>
      <c r="Y48" s="10"/>
      <c r="Z48" s="10"/>
    </row>
    <row r="49" spans="1:28" s="8" customFormat="1" ht="11.4" hidden="1" x14ac:dyDescent="0.2">
      <c r="A49" s="24"/>
      <c r="E49" s="9"/>
      <c r="F49" s="9"/>
      <c r="G49" s="9"/>
      <c r="H49" s="10"/>
      <c r="I49" s="10"/>
      <c r="J49" s="9"/>
      <c r="K49" s="10"/>
      <c r="L49" s="12"/>
      <c r="M49" s="9"/>
      <c r="N49" s="10"/>
      <c r="O49" s="10"/>
      <c r="P49" s="9"/>
      <c r="Q49" s="9"/>
      <c r="R49" s="10"/>
      <c r="S49" s="10"/>
      <c r="T49" s="11"/>
      <c r="U49" s="9"/>
      <c r="V49" s="13"/>
      <c r="W49" s="13"/>
      <c r="X49" s="10"/>
      <c r="Y49" s="10"/>
      <c r="Z49" s="10"/>
    </row>
    <row r="50" spans="1:28" s="8" customFormat="1" ht="11.4" hidden="1" x14ac:dyDescent="0.2">
      <c r="A50" s="24"/>
      <c r="E50" s="9"/>
      <c r="F50" s="9"/>
      <c r="G50" s="9"/>
      <c r="H50" s="10"/>
      <c r="I50" s="10"/>
      <c r="J50" s="10"/>
      <c r="K50" s="10"/>
      <c r="L50" s="12"/>
      <c r="M50" s="9"/>
      <c r="N50" s="10"/>
      <c r="O50" s="10"/>
      <c r="P50" s="9"/>
      <c r="Q50" s="9"/>
      <c r="R50" s="10"/>
      <c r="S50" s="10"/>
      <c r="T50" s="11"/>
      <c r="U50" s="9"/>
      <c r="V50" s="13"/>
      <c r="W50" s="13"/>
      <c r="X50" s="10"/>
      <c r="Y50" s="10"/>
      <c r="Z50" s="10"/>
    </row>
    <row r="51" spans="1:28" s="8" customFormat="1" ht="11.4" hidden="1" x14ac:dyDescent="0.2">
      <c r="A51" s="24"/>
      <c r="E51" s="9"/>
      <c r="F51" s="9"/>
      <c r="G51" s="9"/>
      <c r="H51" s="10"/>
      <c r="I51" s="10"/>
      <c r="J51" s="10"/>
      <c r="K51" s="11"/>
      <c r="L51" s="12"/>
      <c r="M51" s="9"/>
      <c r="N51" s="10"/>
      <c r="O51" s="10"/>
      <c r="P51" s="9"/>
      <c r="Q51" s="9"/>
      <c r="R51" s="10"/>
      <c r="S51" s="10"/>
      <c r="T51" s="11"/>
      <c r="U51" s="9"/>
      <c r="V51" s="13"/>
      <c r="W51" s="13"/>
      <c r="X51" s="10"/>
      <c r="Y51" s="10"/>
      <c r="Z51" s="10"/>
    </row>
    <row r="52" spans="1:28" s="8" customFormat="1" hidden="1" x14ac:dyDescent="0.2">
      <c r="A52" s="24"/>
      <c r="E52" s="9"/>
      <c r="F52" s="14"/>
      <c r="G52" s="14"/>
      <c r="H52" s="14"/>
      <c r="I52" s="9"/>
      <c r="J52" s="14"/>
      <c r="K52" s="18"/>
      <c r="L52" s="15"/>
      <c r="M52" s="14"/>
      <c r="N52" s="14"/>
      <c r="O52" s="14"/>
      <c r="P52" s="14"/>
      <c r="Q52" s="14"/>
      <c r="R52" s="14"/>
      <c r="S52" s="14"/>
      <c r="T52" s="14"/>
      <c r="U52" s="14"/>
      <c r="V52" s="16"/>
      <c r="W52" s="16"/>
      <c r="X52" s="14"/>
      <c r="Y52" s="17"/>
      <c r="Z52" s="17"/>
    </row>
    <row r="53" spans="1:28" s="8" customFormat="1" hidden="1" x14ac:dyDescent="0.2">
      <c r="A53" s="24"/>
      <c r="E53" s="9"/>
      <c r="F53" s="14"/>
      <c r="G53" s="14"/>
      <c r="H53" s="14"/>
      <c r="I53" s="10"/>
      <c r="J53" s="14"/>
      <c r="K53" s="14"/>
      <c r="L53" s="15"/>
      <c r="M53" s="14"/>
      <c r="N53" s="14"/>
      <c r="O53" s="14"/>
      <c r="P53" s="14"/>
      <c r="Q53" s="14"/>
      <c r="R53" s="14"/>
      <c r="S53" s="14"/>
      <c r="T53" s="14"/>
      <c r="U53" s="14"/>
      <c r="V53" s="16"/>
      <c r="W53" s="16"/>
      <c r="X53" s="14"/>
      <c r="Y53" s="17"/>
      <c r="Z53" s="17"/>
    </row>
    <row r="54" spans="1:28" s="8" customFormat="1" ht="11.4" hidden="1" x14ac:dyDescent="0.2">
      <c r="A54" s="24"/>
      <c r="E54" s="9"/>
      <c r="F54" s="9"/>
      <c r="G54" s="9"/>
      <c r="H54" s="10"/>
      <c r="I54" s="10"/>
      <c r="J54" s="9"/>
      <c r="K54" s="11"/>
      <c r="L54" s="12"/>
      <c r="M54" s="9"/>
      <c r="N54" s="10"/>
      <c r="O54" s="10"/>
      <c r="P54" s="9"/>
      <c r="Q54" s="9"/>
      <c r="R54" s="10"/>
      <c r="S54" s="10"/>
      <c r="T54" s="11"/>
      <c r="U54" s="9"/>
      <c r="V54" s="13"/>
      <c r="W54" s="13"/>
      <c r="X54" s="10"/>
      <c r="Y54" s="10"/>
      <c r="Z54" s="10"/>
    </row>
    <row r="55" spans="1:28" s="8" customFormat="1" ht="12" hidden="1" x14ac:dyDescent="0.2">
      <c r="A55" s="24"/>
      <c r="E55" s="9"/>
      <c r="F55" s="9"/>
      <c r="G55" s="9"/>
      <c r="H55" s="10"/>
      <c r="I55" s="10"/>
      <c r="J55" s="9"/>
      <c r="K55" s="10"/>
      <c r="L55" s="12"/>
      <c r="M55" s="9"/>
      <c r="N55" s="10"/>
      <c r="O55" s="10"/>
      <c r="P55" s="9"/>
      <c r="Q55" s="9"/>
      <c r="R55" s="10"/>
      <c r="S55" s="10"/>
      <c r="T55" s="11"/>
      <c r="U55" s="9"/>
      <c r="V55" s="13"/>
      <c r="W55" s="13"/>
      <c r="X55" s="10"/>
      <c r="Y55" s="19"/>
      <c r="Z55" s="10"/>
      <c r="AA55" s="10"/>
      <c r="AB55" s="10"/>
    </row>
    <row r="56" spans="1:28" s="8" customFormat="1" ht="11.4" hidden="1" x14ac:dyDescent="0.2">
      <c r="A56" s="24"/>
      <c r="E56" s="9"/>
      <c r="F56" s="9"/>
      <c r="G56" s="9"/>
      <c r="H56" s="10"/>
      <c r="I56" s="10"/>
      <c r="J56" s="9"/>
      <c r="K56" s="11"/>
      <c r="L56" s="12"/>
      <c r="M56" s="9"/>
      <c r="N56" s="10"/>
      <c r="O56" s="10"/>
      <c r="P56" s="9"/>
      <c r="Q56" s="9"/>
      <c r="R56" s="10"/>
      <c r="S56" s="10"/>
      <c r="T56" s="11"/>
      <c r="U56" s="9"/>
      <c r="V56" s="13"/>
      <c r="W56" s="13"/>
      <c r="X56" s="10"/>
      <c r="Y56" s="10"/>
      <c r="Z56" s="10"/>
    </row>
    <row r="57" spans="1:28" s="8" customFormat="1" hidden="1" x14ac:dyDescent="0.2">
      <c r="A57" s="24"/>
      <c r="E57" s="9"/>
      <c r="F57" s="14"/>
      <c r="G57" s="14"/>
      <c r="H57" s="14"/>
      <c r="I57" s="10"/>
      <c r="J57" s="14"/>
      <c r="K57" s="14"/>
      <c r="L57" s="15"/>
      <c r="M57" s="14"/>
      <c r="N57" s="14"/>
      <c r="O57" s="14"/>
      <c r="P57" s="14"/>
      <c r="Q57" s="14"/>
      <c r="R57" s="14"/>
      <c r="S57" s="14"/>
      <c r="T57" s="14"/>
      <c r="U57" s="14"/>
      <c r="V57" s="16"/>
      <c r="W57" s="16"/>
      <c r="X57" s="14"/>
      <c r="Y57" s="17"/>
      <c r="Z57" s="17"/>
    </row>
    <row r="58" spans="1:28" s="8" customFormat="1" ht="11.4" hidden="1" x14ac:dyDescent="0.2">
      <c r="A58" s="24"/>
      <c r="E58" s="9"/>
      <c r="F58" s="9"/>
      <c r="G58" s="9"/>
      <c r="H58" s="10"/>
      <c r="I58" s="10"/>
      <c r="J58" s="9"/>
      <c r="K58" s="11"/>
      <c r="L58" s="12"/>
      <c r="M58" s="9"/>
      <c r="N58" s="10"/>
      <c r="O58" s="10"/>
      <c r="P58" s="9"/>
      <c r="Q58" s="9"/>
      <c r="R58" s="10"/>
      <c r="S58" s="10"/>
      <c r="T58" s="11"/>
      <c r="U58" s="9"/>
      <c r="V58" s="13"/>
      <c r="W58" s="13"/>
      <c r="X58" s="10"/>
      <c r="Y58" s="10"/>
      <c r="Z58" s="10"/>
    </row>
    <row r="59" spans="1:28" s="8" customFormat="1" ht="11.4" hidden="1" x14ac:dyDescent="0.2">
      <c r="A59" s="24"/>
      <c r="E59" s="9"/>
      <c r="F59" s="9"/>
      <c r="G59" s="9"/>
      <c r="H59" s="10"/>
      <c r="I59" s="10"/>
      <c r="J59" s="9"/>
      <c r="K59" s="11"/>
      <c r="L59" s="12"/>
      <c r="M59" s="9"/>
      <c r="N59" s="10"/>
      <c r="O59" s="10"/>
      <c r="P59" s="9"/>
      <c r="Q59" s="9"/>
      <c r="R59" s="10"/>
      <c r="S59" s="10"/>
      <c r="T59" s="11"/>
      <c r="U59" s="9"/>
      <c r="V59" s="13"/>
      <c r="W59" s="13"/>
      <c r="X59" s="10"/>
      <c r="Y59" s="10"/>
      <c r="Z59" s="10"/>
    </row>
    <row r="60" spans="1:28" s="8" customFormat="1" ht="11.4" hidden="1" x14ac:dyDescent="0.2">
      <c r="A60" s="24"/>
      <c r="E60" s="9"/>
      <c r="F60" s="9"/>
      <c r="G60" s="9"/>
      <c r="H60" s="10"/>
      <c r="I60" s="10"/>
      <c r="J60" s="10"/>
      <c r="K60" s="11"/>
      <c r="L60" s="12"/>
      <c r="M60" s="9"/>
      <c r="N60" s="10"/>
      <c r="O60" s="10"/>
      <c r="P60" s="9"/>
      <c r="Q60" s="9"/>
      <c r="R60" s="10"/>
      <c r="S60" s="10"/>
      <c r="T60" s="11"/>
      <c r="U60" s="9"/>
      <c r="V60" s="13"/>
      <c r="W60" s="13"/>
      <c r="X60" s="10"/>
      <c r="Y60" s="10"/>
      <c r="Z60" s="10"/>
    </row>
    <row r="61" spans="1:28" s="8" customFormat="1" ht="11.4" hidden="1" x14ac:dyDescent="0.2">
      <c r="E61" s="9"/>
      <c r="F61" s="9"/>
      <c r="G61" s="9"/>
      <c r="H61" s="10"/>
      <c r="I61" s="10"/>
      <c r="J61" s="9"/>
      <c r="K61" s="11"/>
      <c r="L61" s="12"/>
      <c r="M61" s="9"/>
      <c r="N61" s="10"/>
      <c r="O61" s="10"/>
      <c r="P61" s="9"/>
      <c r="Q61" s="9"/>
      <c r="R61" s="10"/>
      <c r="S61" s="10"/>
      <c r="T61" s="11"/>
      <c r="U61" s="9"/>
      <c r="V61" s="13"/>
      <c r="W61" s="13"/>
      <c r="X61" s="10"/>
      <c r="Y61" s="10"/>
      <c r="Z61" s="10"/>
    </row>
    <row r="62" spans="1:28" s="8" customFormat="1" ht="11.4" hidden="1" x14ac:dyDescent="0.2">
      <c r="E62" s="9"/>
      <c r="F62" s="9"/>
      <c r="G62" s="9"/>
      <c r="H62" s="10"/>
      <c r="I62" s="10"/>
      <c r="J62" s="9"/>
      <c r="K62" s="11"/>
      <c r="L62" s="12"/>
      <c r="M62" s="9"/>
      <c r="N62" s="10"/>
      <c r="O62" s="10"/>
      <c r="P62" s="9"/>
      <c r="Q62" s="9"/>
      <c r="R62" s="10"/>
      <c r="S62" s="10"/>
      <c r="T62" s="11"/>
      <c r="U62" s="9"/>
      <c r="V62" s="13"/>
      <c r="W62" s="13"/>
      <c r="X62" s="10"/>
      <c r="Y62" s="10"/>
      <c r="Z62" s="10"/>
    </row>
    <row r="63" spans="1:28" s="8" customFormat="1" ht="11.4" hidden="1" x14ac:dyDescent="0.2">
      <c r="E63" s="9"/>
      <c r="F63" s="9"/>
      <c r="G63" s="9"/>
      <c r="H63" s="10"/>
      <c r="I63" s="10"/>
      <c r="J63" s="9"/>
      <c r="K63" s="11"/>
      <c r="L63" s="12"/>
      <c r="M63" s="9"/>
      <c r="N63" s="10"/>
      <c r="O63" s="10"/>
      <c r="P63" s="9"/>
      <c r="Q63" s="9"/>
      <c r="R63" s="10"/>
      <c r="S63" s="10"/>
      <c r="T63" s="11"/>
      <c r="U63" s="9"/>
      <c r="V63" s="13"/>
      <c r="W63" s="13"/>
      <c r="X63" s="10"/>
      <c r="Y63" s="10"/>
      <c r="Z63" s="10"/>
    </row>
    <row r="64" spans="1:28" s="8" customFormat="1" hidden="1" x14ac:dyDescent="0.2">
      <c r="E64" s="9"/>
      <c r="F64" s="14"/>
      <c r="G64" s="14"/>
      <c r="H64" s="14"/>
      <c r="I64" s="10"/>
      <c r="J64" s="14"/>
      <c r="K64" s="18"/>
      <c r="L64" s="15"/>
      <c r="M64" s="14"/>
      <c r="N64" s="14"/>
      <c r="O64" s="14"/>
      <c r="P64" s="14"/>
      <c r="Q64" s="14"/>
      <c r="R64" s="14"/>
      <c r="S64" s="14"/>
      <c r="T64" s="14"/>
      <c r="U64" s="14"/>
      <c r="V64" s="16"/>
      <c r="W64" s="16"/>
      <c r="X64" s="14"/>
      <c r="Y64" s="17"/>
      <c r="Z64" s="17"/>
    </row>
    <row r="65" spans="5:26" s="8" customFormat="1" ht="11.4" hidden="1" x14ac:dyDescent="0.2">
      <c r="E65" s="9"/>
      <c r="F65" s="9"/>
      <c r="G65" s="9"/>
      <c r="H65" s="10"/>
      <c r="I65" s="10"/>
      <c r="J65" s="10"/>
      <c r="K65" s="11"/>
      <c r="L65" s="12"/>
      <c r="M65" s="9"/>
      <c r="N65" s="10"/>
      <c r="O65" s="10"/>
      <c r="P65" s="9"/>
      <c r="Q65" s="9"/>
      <c r="R65" s="10"/>
      <c r="S65" s="10"/>
      <c r="T65" s="11"/>
      <c r="U65" s="9"/>
      <c r="V65" s="13"/>
      <c r="W65" s="13"/>
      <c r="X65" s="10"/>
      <c r="Y65" s="10"/>
      <c r="Z65" s="10"/>
    </row>
    <row r="66" spans="5:26" s="8" customFormat="1" ht="11.4" hidden="1" x14ac:dyDescent="0.2">
      <c r="E66" s="9"/>
      <c r="F66" s="9"/>
      <c r="G66" s="9"/>
      <c r="H66" s="10"/>
      <c r="I66" s="10"/>
      <c r="J66" s="10"/>
      <c r="K66" s="11"/>
      <c r="L66" s="12"/>
      <c r="M66" s="9"/>
      <c r="N66" s="10"/>
      <c r="O66" s="10"/>
      <c r="P66" s="9"/>
      <c r="Q66" s="9"/>
      <c r="R66" s="10"/>
      <c r="S66" s="10"/>
      <c r="T66" s="11"/>
      <c r="U66" s="9"/>
      <c r="V66" s="13"/>
      <c r="W66" s="13"/>
      <c r="X66" s="10"/>
      <c r="Y66" s="10"/>
      <c r="Z66" s="10"/>
    </row>
    <row r="67" spans="5:26" s="8" customFormat="1" ht="11.4" hidden="1" x14ac:dyDescent="0.2">
      <c r="E67" s="9"/>
      <c r="F67" s="9"/>
      <c r="G67" s="9"/>
      <c r="H67" s="10"/>
      <c r="I67" s="10"/>
      <c r="J67" s="9"/>
      <c r="K67" s="11"/>
      <c r="L67" s="12"/>
      <c r="M67" s="9"/>
      <c r="N67" s="10"/>
      <c r="O67" s="10"/>
      <c r="P67" s="9"/>
      <c r="Q67" s="9"/>
      <c r="R67" s="10"/>
      <c r="S67" s="10"/>
      <c r="T67" s="11"/>
      <c r="U67" s="9"/>
      <c r="V67" s="13"/>
      <c r="W67" s="13"/>
      <c r="X67" s="10"/>
      <c r="Y67" s="10"/>
      <c r="Z67" s="10"/>
    </row>
    <row r="68" spans="5:26" s="8" customFormat="1" ht="11.4" hidden="1" x14ac:dyDescent="0.2">
      <c r="E68" s="9"/>
      <c r="F68" s="9"/>
      <c r="G68" s="9"/>
      <c r="H68" s="10"/>
      <c r="I68" s="10"/>
      <c r="J68" s="9"/>
      <c r="K68" s="11"/>
      <c r="L68" s="12"/>
      <c r="M68" s="9"/>
      <c r="N68" s="10"/>
      <c r="O68" s="10"/>
      <c r="P68" s="9"/>
      <c r="Q68" s="9"/>
      <c r="R68" s="10"/>
      <c r="S68" s="10"/>
      <c r="T68" s="11"/>
      <c r="U68" s="9"/>
      <c r="V68" s="13"/>
      <c r="W68" s="13"/>
      <c r="X68" s="10"/>
      <c r="Y68" s="10"/>
      <c r="Z68" s="10"/>
    </row>
    <row r="69" spans="5:26" s="8" customFormat="1" ht="11.4" hidden="1" x14ac:dyDescent="0.2">
      <c r="E69" s="9"/>
      <c r="F69" s="9"/>
      <c r="G69" s="9"/>
      <c r="H69" s="10"/>
      <c r="I69" s="10"/>
      <c r="J69" s="9"/>
      <c r="K69" s="10"/>
      <c r="L69" s="12"/>
      <c r="M69" s="9"/>
      <c r="N69" s="10"/>
      <c r="O69" s="10"/>
      <c r="P69" s="9"/>
      <c r="Q69" s="9"/>
      <c r="R69" s="10"/>
      <c r="S69" s="10"/>
      <c r="T69" s="11"/>
      <c r="U69" s="9"/>
      <c r="V69" s="13"/>
      <c r="W69" s="13"/>
      <c r="X69" s="10"/>
      <c r="Y69" s="10"/>
      <c r="Z69" s="10"/>
    </row>
    <row r="70" spans="5:26" s="8" customFormat="1" hidden="1" x14ac:dyDescent="0.2">
      <c r="E70" s="9"/>
      <c r="F70" s="14"/>
      <c r="G70" s="14"/>
      <c r="H70" s="14"/>
      <c r="I70" s="10"/>
      <c r="J70" s="14"/>
      <c r="K70" s="18"/>
      <c r="L70" s="15"/>
      <c r="M70" s="14"/>
      <c r="N70" s="14"/>
      <c r="O70" s="14"/>
      <c r="P70" s="14"/>
      <c r="Q70" s="14"/>
      <c r="R70" s="14"/>
      <c r="S70" s="14"/>
      <c r="T70" s="14"/>
      <c r="U70" s="14"/>
      <c r="V70" s="16"/>
      <c r="W70" s="16"/>
      <c r="X70" s="14"/>
      <c r="Y70" s="17"/>
      <c r="Z70" s="17"/>
    </row>
    <row r="71" spans="5:26" s="8" customFormat="1" ht="11.4" hidden="1" x14ac:dyDescent="0.2">
      <c r="E71" s="9"/>
      <c r="F71" s="9"/>
      <c r="G71" s="9"/>
      <c r="H71" s="10"/>
      <c r="I71" s="10"/>
      <c r="J71" s="9"/>
      <c r="K71" s="11"/>
      <c r="L71" s="12"/>
      <c r="M71" s="9"/>
      <c r="N71" s="10"/>
      <c r="O71" s="10"/>
      <c r="P71" s="9"/>
      <c r="Q71" s="9"/>
      <c r="R71" s="10"/>
      <c r="S71" s="10"/>
      <c r="T71" s="11"/>
      <c r="U71" s="9"/>
      <c r="V71" s="13"/>
      <c r="W71" s="13"/>
      <c r="X71" s="10"/>
      <c r="Y71" s="10"/>
      <c r="Z71" s="10"/>
    </row>
    <row r="72" spans="5:26" s="8" customFormat="1" ht="11.4" hidden="1" x14ac:dyDescent="0.2">
      <c r="E72" s="9"/>
      <c r="F72" s="9"/>
      <c r="G72" s="9"/>
      <c r="H72" s="10"/>
      <c r="I72" s="10"/>
      <c r="J72" s="9"/>
      <c r="K72" s="11"/>
      <c r="L72" s="12"/>
      <c r="M72" s="9"/>
      <c r="N72" s="10"/>
      <c r="O72" s="10"/>
      <c r="P72" s="9"/>
      <c r="Q72" s="9"/>
      <c r="R72" s="10"/>
      <c r="S72" s="10"/>
      <c r="T72" s="11"/>
      <c r="U72" s="9"/>
      <c r="V72" s="13"/>
      <c r="W72" s="13"/>
      <c r="X72" s="10"/>
      <c r="Y72" s="10"/>
      <c r="Z72" s="10"/>
    </row>
    <row r="73" spans="5:26" s="8" customFormat="1" ht="11.4" hidden="1" x14ac:dyDescent="0.2">
      <c r="E73" s="9"/>
      <c r="F73" s="9"/>
      <c r="G73" s="9"/>
      <c r="H73" s="10"/>
      <c r="I73" s="10"/>
      <c r="J73" s="9"/>
      <c r="K73" s="11"/>
      <c r="L73" s="12"/>
      <c r="M73" s="9"/>
      <c r="N73" s="10"/>
      <c r="O73" s="10"/>
      <c r="P73" s="9"/>
      <c r="Q73" s="9"/>
      <c r="R73" s="10"/>
      <c r="S73" s="10"/>
      <c r="T73" s="11"/>
      <c r="U73" s="9"/>
      <c r="V73" s="13"/>
      <c r="W73" s="13"/>
      <c r="X73" s="10"/>
      <c r="Y73" s="10"/>
      <c r="Z73" s="10"/>
    </row>
    <row r="74" spans="5:26" s="8" customFormat="1" ht="11.4" hidden="1" x14ac:dyDescent="0.2">
      <c r="E74" s="9"/>
      <c r="F74" s="9"/>
      <c r="G74" s="9"/>
      <c r="H74" s="10"/>
      <c r="I74" s="10"/>
      <c r="J74" s="9"/>
      <c r="K74" s="10"/>
      <c r="L74" s="12"/>
      <c r="M74" s="9"/>
      <c r="N74" s="10"/>
      <c r="O74" s="10"/>
      <c r="P74" s="9"/>
      <c r="Q74" s="9"/>
      <c r="R74" s="10"/>
      <c r="S74" s="10"/>
      <c r="T74" s="11"/>
      <c r="U74" s="9"/>
      <c r="V74" s="13"/>
      <c r="W74" s="13"/>
      <c r="X74" s="10"/>
      <c r="Y74" s="10"/>
      <c r="Z74" s="10"/>
    </row>
    <row r="75" spans="5:26" s="8" customFormat="1" ht="11.4" hidden="1" x14ac:dyDescent="0.2">
      <c r="E75" s="9"/>
      <c r="F75" s="9"/>
      <c r="G75" s="9"/>
      <c r="H75" s="10"/>
      <c r="I75" s="10"/>
      <c r="J75" s="10"/>
      <c r="K75" s="11"/>
      <c r="L75" s="12"/>
      <c r="M75" s="9"/>
      <c r="N75" s="10"/>
      <c r="O75" s="10"/>
      <c r="P75" s="9"/>
      <c r="Q75" s="9"/>
      <c r="R75" s="10"/>
      <c r="S75" s="10"/>
      <c r="T75" s="11"/>
      <c r="U75" s="9"/>
      <c r="V75" s="13"/>
      <c r="W75" s="13"/>
      <c r="X75" s="10"/>
      <c r="Y75" s="10"/>
      <c r="Z75" s="10"/>
    </row>
    <row r="76" spans="5:26" s="8" customFormat="1" hidden="1" x14ac:dyDescent="0.2">
      <c r="E76" s="9"/>
      <c r="F76" s="14"/>
      <c r="G76" s="14"/>
      <c r="H76" s="14"/>
      <c r="I76" s="14"/>
      <c r="J76" s="14"/>
      <c r="K76" s="14"/>
      <c r="L76" s="15"/>
      <c r="M76" s="14"/>
      <c r="N76" s="14"/>
      <c r="O76" s="14"/>
      <c r="P76" s="14"/>
      <c r="Q76" s="14"/>
      <c r="R76" s="14"/>
      <c r="S76" s="14"/>
      <c r="T76" s="14"/>
      <c r="U76" s="14"/>
      <c r="V76" s="16"/>
      <c r="W76" s="16"/>
      <c r="X76" s="14"/>
      <c r="Y76" s="17"/>
      <c r="Z76" s="17"/>
    </row>
    <row r="77" spans="5:26" s="8" customFormat="1" ht="11.4" hidden="1" x14ac:dyDescent="0.2">
      <c r="E77" s="9"/>
      <c r="F77" s="9"/>
      <c r="G77" s="9"/>
      <c r="H77" s="10"/>
      <c r="I77" s="10"/>
      <c r="J77" s="10"/>
      <c r="K77" s="11"/>
      <c r="L77" s="12"/>
      <c r="M77" s="9"/>
      <c r="N77" s="10"/>
      <c r="O77" s="10"/>
      <c r="P77" s="9"/>
      <c r="Q77" s="9"/>
      <c r="R77" s="10"/>
      <c r="S77" s="10"/>
      <c r="T77" s="11"/>
      <c r="U77" s="9"/>
      <c r="V77" s="13"/>
      <c r="W77" s="13"/>
      <c r="X77" s="10"/>
      <c r="Y77" s="10"/>
      <c r="Z77" s="10"/>
    </row>
    <row r="78" spans="5:26" s="8" customFormat="1" ht="11.4" hidden="1" x14ac:dyDescent="0.2">
      <c r="E78" s="9"/>
      <c r="F78" s="9"/>
      <c r="G78" s="9"/>
      <c r="H78" s="10"/>
      <c r="I78" s="10"/>
      <c r="J78" s="9"/>
      <c r="K78" s="11"/>
      <c r="L78" s="12"/>
      <c r="M78" s="9"/>
      <c r="N78" s="10"/>
      <c r="O78" s="10"/>
      <c r="P78" s="9"/>
      <c r="Q78" s="9"/>
      <c r="R78" s="10"/>
      <c r="S78" s="10"/>
      <c r="T78" s="11"/>
      <c r="U78" s="9"/>
      <c r="V78" s="13"/>
      <c r="W78" s="13"/>
      <c r="X78" s="10"/>
      <c r="Y78" s="10"/>
      <c r="Z78" s="10"/>
    </row>
    <row r="79" spans="5:26" s="8" customFormat="1" ht="11.4" hidden="1" x14ac:dyDescent="0.2">
      <c r="E79" s="9"/>
      <c r="F79" s="9"/>
      <c r="G79" s="9"/>
      <c r="H79" s="10"/>
      <c r="I79" s="10"/>
      <c r="J79" s="9"/>
      <c r="K79" s="11"/>
      <c r="L79" s="12"/>
      <c r="M79" s="9"/>
      <c r="N79" s="10"/>
      <c r="O79" s="10"/>
      <c r="P79" s="9"/>
      <c r="Q79" s="9"/>
      <c r="R79" s="10"/>
      <c r="S79" s="10"/>
      <c r="T79" s="11"/>
      <c r="U79" s="9"/>
      <c r="V79" s="13"/>
      <c r="W79" s="13"/>
      <c r="X79" s="10"/>
      <c r="Y79" s="10"/>
      <c r="Z79" s="10"/>
    </row>
    <row r="80" spans="5:26" s="8" customFormat="1" ht="11.4" hidden="1" x14ac:dyDescent="0.2">
      <c r="E80" s="9"/>
      <c r="F80" s="9"/>
      <c r="G80" s="9"/>
      <c r="H80" s="10"/>
      <c r="I80" s="10"/>
      <c r="J80" s="9"/>
      <c r="K80" s="11"/>
      <c r="L80" s="12"/>
      <c r="M80" s="9"/>
      <c r="N80" s="10"/>
      <c r="O80" s="10"/>
      <c r="P80" s="9"/>
      <c r="Q80" s="9"/>
      <c r="R80" s="10"/>
      <c r="S80" s="10"/>
      <c r="T80" s="11"/>
      <c r="U80" s="9"/>
      <c r="V80" s="13"/>
      <c r="W80" s="13"/>
      <c r="X80" s="10"/>
      <c r="Y80" s="10"/>
      <c r="Z80" s="10"/>
    </row>
    <row r="81" spans="5:26" s="8" customFormat="1" ht="11.4" hidden="1" x14ac:dyDescent="0.2">
      <c r="E81" s="9"/>
      <c r="F81" s="9"/>
      <c r="G81" s="9"/>
      <c r="H81" s="10"/>
      <c r="I81" s="10"/>
      <c r="J81" s="9"/>
      <c r="K81" s="11"/>
      <c r="L81" s="12"/>
      <c r="M81" s="9"/>
      <c r="N81" s="10"/>
      <c r="O81" s="10"/>
      <c r="P81" s="9"/>
      <c r="Q81" s="9"/>
      <c r="R81" s="10"/>
      <c r="S81" s="10"/>
      <c r="T81" s="11"/>
      <c r="U81" s="9"/>
      <c r="V81" s="13"/>
      <c r="W81" s="13"/>
      <c r="X81" s="10"/>
      <c r="Y81" s="10"/>
      <c r="Z81" s="10"/>
    </row>
    <row r="82" spans="5:26" s="8" customFormat="1" ht="11.4" hidden="1" x14ac:dyDescent="0.2">
      <c r="E82" s="9"/>
      <c r="F82" s="9"/>
      <c r="G82" s="9"/>
      <c r="H82" s="10"/>
      <c r="I82" s="10"/>
      <c r="J82" s="9"/>
      <c r="K82" s="11"/>
      <c r="L82" s="12"/>
      <c r="M82" s="9"/>
      <c r="N82" s="10"/>
      <c r="O82" s="10"/>
      <c r="P82" s="9"/>
      <c r="Q82" s="9"/>
      <c r="R82" s="10"/>
      <c r="S82" s="10"/>
      <c r="T82" s="11"/>
      <c r="U82" s="9"/>
      <c r="V82" s="13"/>
      <c r="W82" s="13"/>
      <c r="X82" s="10"/>
      <c r="Y82" s="10"/>
      <c r="Z82" s="10"/>
    </row>
    <row r="83" spans="5:26" s="8" customFormat="1" ht="11.4" hidden="1" x14ac:dyDescent="0.2">
      <c r="E83" s="9"/>
      <c r="F83" s="9"/>
      <c r="G83" s="9"/>
      <c r="H83" s="10"/>
      <c r="I83" s="10"/>
      <c r="J83" s="10"/>
      <c r="K83" s="11"/>
      <c r="L83" s="12"/>
      <c r="M83" s="9"/>
      <c r="N83" s="10"/>
      <c r="O83" s="10"/>
      <c r="P83" s="9"/>
      <c r="Q83" s="9"/>
      <c r="R83" s="10"/>
      <c r="S83" s="10"/>
      <c r="T83" s="11"/>
      <c r="U83" s="9"/>
      <c r="V83" s="13"/>
      <c r="W83" s="13"/>
      <c r="X83" s="10"/>
      <c r="Y83" s="10"/>
      <c r="Z83" s="10"/>
    </row>
    <row r="84" spans="5:26" s="8" customFormat="1" ht="11.4" hidden="1" x14ac:dyDescent="0.2">
      <c r="E84" s="9"/>
      <c r="F84" s="9"/>
      <c r="G84" s="9"/>
      <c r="H84" s="10"/>
      <c r="I84" s="10"/>
      <c r="J84" s="10"/>
      <c r="K84" s="11"/>
      <c r="L84" s="12"/>
      <c r="M84" s="9"/>
      <c r="N84" s="10"/>
      <c r="O84" s="10"/>
      <c r="P84" s="9"/>
      <c r="Q84" s="9"/>
      <c r="R84" s="10"/>
      <c r="S84" s="10"/>
      <c r="T84" s="11"/>
      <c r="U84" s="9"/>
      <c r="V84" s="13"/>
      <c r="W84" s="13"/>
      <c r="X84" s="10"/>
      <c r="Y84" s="10"/>
      <c r="Z84" s="10"/>
    </row>
    <row r="85" spans="5:26" s="8" customFormat="1" ht="11.4" hidden="1" x14ac:dyDescent="0.2">
      <c r="E85" s="9"/>
      <c r="F85" s="9"/>
      <c r="G85" s="9"/>
      <c r="H85" s="10"/>
      <c r="I85" s="10"/>
      <c r="J85" s="9"/>
      <c r="K85" s="11"/>
      <c r="L85" s="12"/>
      <c r="M85" s="9"/>
      <c r="N85" s="10"/>
      <c r="O85" s="10"/>
      <c r="P85" s="9"/>
      <c r="Q85" s="9"/>
      <c r="R85" s="10"/>
      <c r="S85" s="10"/>
      <c r="T85" s="11"/>
      <c r="U85" s="9"/>
      <c r="V85" s="13"/>
      <c r="W85" s="13"/>
      <c r="X85" s="10"/>
      <c r="Y85" s="10"/>
      <c r="Z85" s="10"/>
    </row>
    <row r="86" spans="5:26" s="8" customFormat="1" ht="11.4" hidden="1" x14ac:dyDescent="0.2">
      <c r="E86" s="9"/>
      <c r="F86" s="9"/>
      <c r="G86" s="9"/>
      <c r="H86" s="10"/>
      <c r="I86" s="10"/>
      <c r="J86" s="10"/>
      <c r="K86" s="11"/>
      <c r="L86" s="12"/>
      <c r="M86" s="9"/>
      <c r="N86" s="10"/>
      <c r="O86" s="10"/>
      <c r="P86" s="9"/>
      <c r="Q86" s="9"/>
      <c r="R86" s="10"/>
      <c r="S86" s="10"/>
      <c r="T86" s="11"/>
      <c r="U86" s="9"/>
      <c r="V86" s="13"/>
      <c r="W86" s="13"/>
      <c r="X86" s="10"/>
      <c r="Y86" s="10"/>
      <c r="Z86" s="10"/>
    </row>
    <row r="87" spans="5:26" s="8" customFormat="1" ht="11.4" hidden="1" x14ac:dyDescent="0.2">
      <c r="E87" s="9"/>
      <c r="F87" s="9"/>
      <c r="G87" s="9"/>
      <c r="H87" s="10"/>
      <c r="I87" s="10"/>
      <c r="J87" s="9"/>
      <c r="K87" s="11"/>
      <c r="L87" s="12"/>
      <c r="M87" s="9"/>
      <c r="N87" s="10"/>
      <c r="O87" s="10"/>
      <c r="P87" s="9"/>
      <c r="Q87" s="9"/>
      <c r="R87" s="10"/>
      <c r="S87" s="10"/>
      <c r="T87" s="11"/>
      <c r="U87" s="9"/>
      <c r="V87" s="13"/>
      <c r="W87" s="13"/>
      <c r="X87" s="10"/>
      <c r="Y87" s="10"/>
      <c r="Z87" s="10"/>
    </row>
    <row r="88" spans="5:26" s="8" customFormat="1" ht="11.4" hidden="1" x14ac:dyDescent="0.2">
      <c r="E88" s="9"/>
      <c r="F88" s="9"/>
      <c r="G88" s="9"/>
      <c r="H88" s="10"/>
      <c r="I88" s="10"/>
      <c r="J88" s="9"/>
      <c r="K88" s="11"/>
      <c r="L88" s="12"/>
      <c r="M88" s="9"/>
      <c r="N88" s="10"/>
      <c r="O88" s="10"/>
      <c r="P88" s="9"/>
      <c r="Q88" s="9"/>
      <c r="R88" s="10"/>
      <c r="S88" s="10"/>
      <c r="T88" s="11"/>
      <c r="U88" s="9"/>
      <c r="V88" s="13"/>
      <c r="W88" s="13"/>
      <c r="X88" s="10"/>
      <c r="Y88" s="10"/>
      <c r="Z88" s="10"/>
    </row>
    <row r="89" spans="5:26" s="8" customFormat="1" ht="11.4" hidden="1" x14ac:dyDescent="0.2">
      <c r="E89" s="9"/>
      <c r="F89" s="9"/>
      <c r="G89" s="9"/>
      <c r="H89" s="10"/>
      <c r="I89" s="10"/>
      <c r="J89" s="10"/>
      <c r="K89" s="11"/>
      <c r="L89" s="12"/>
      <c r="M89" s="9"/>
      <c r="N89" s="10"/>
      <c r="O89" s="10"/>
      <c r="P89" s="9"/>
      <c r="Q89" s="9"/>
      <c r="R89" s="10"/>
      <c r="S89" s="10"/>
      <c r="T89" s="11"/>
      <c r="U89" s="9"/>
      <c r="V89" s="13"/>
      <c r="W89" s="13"/>
      <c r="X89" s="10"/>
      <c r="Y89" s="10"/>
      <c r="Z89" s="10"/>
    </row>
    <row r="90" spans="5:26" s="8" customFormat="1" ht="11.4" hidden="1" x14ac:dyDescent="0.2">
      <c r="E90" s="9"/>
      <c r="F90" s="9"/>
      <c r="G90" s="9"/>
      <c r="H90" s="10"/>
      <c r="I90" s="10"/>
      <c r="J90" s="9"/>
      <c r="K90" s="11"/>
      <c r="L90" s="12"/>
      <c r="M90" s="9"/>
      <c r="N90" s="10"/>
      <c r="O90" s="10"/>
      <c r="P90" s="9"/>
      <c r="Q90" s="9"/>
      <c r="R90" s="10"/>
      <c r="S90" s="10"/>
      <c r="T90" s="11"/>
      <c r="U90" s="9"/>
      <c r="V90" s="13"/>
      <c r="W90" s="13"/>
      <c r="X90" s="10"/>
      <c r="Y90" s="10"/>
      <c r="Z90" s="10"/>
    </row>
    <row r="91" spans="5:26" s="8" customFormat="1" ht="11.4" hidden="1" x14ac:dyDescent="0.2">
      <c r="E91" s="9"/>
      <c r="F91" s="9"/>
      <c r="G91" s="9"/>
      <c r="H91" s="10"/>
      <c r="I91" s="10"/>
      <c r="J91" s="9"/>
      <c r="K91" s="11"/>
      <c r="L91" s="12"/>
      <c r="M91" s="9"/>
      <c r="N91" s="10"/>
      <c r="O91" s="10"/>
      <c r="P91" s="9"/>
      <c r="Q91" s="20"/>
      <c r="R91" s="10"/>
      <c r="S91" s="10"/>
      <c r="T91" s="11"/>
      <c r="U91" s="9"/>
      <c r="V91" s="13"/>
      <c r="W91" s="13"/>
      <c r="X91" s="10"/>
      <c r="Y91" s="10"/>
      <c r="Z91" s="10"/>
    </row>
    <row r="92" spans="5:26" s="8" customFormat="1" ht="11.4" hidden="1" x14ac:dyDescent="0.2">
      <c r="E92" s="9"/>
      <c r="F92" s="9"/>
      <c r="G92" s="9"/>
      <c r="H92" s="10"/>
      <c r="I92" s="10"/>
      <c r="J92" s="10"/>
      <c r="K92" s="10"/>
      <c r="L92" s="12"/>
      <c r="M92" s="9"/>
      <c r="N92" s="10"/>
      <c r="O92" s="10"/>
      <c r="P92" s="9"/>
      <c r="Q92" s="9"/>
      <c r="R92" s="10"/>
      <c r="S92" s="10"/>
      <c r="T92" s="11"/>
      <c r="U92" s="9"/>
      <c r="V92" s="13"/>
      <c r="W92" s="13"/>
      <c r="X92" s="10"/>
      <c r="Y92" s="10"/>
      <c r="Z92" s="10"/>
    </row>
    <row r="93" spans="5:26" s="8" customFormat="1" ht="11.4" hidden="1" x14ac:dyDescent="0.2">
      <c r="E93" s="9"/>
      <c r="F93" s="9"/>
      <c r="G93" s="9"/>
      <c r="H93" s="10"/>
      <c r="I93" s="10"/>
      <c r="J93" s="9"/>
      <c r="K93" s="11"/>
      <c r="L93" s="12"/>
      <c r="M93" s="9"/>
      <c r="N93" s="10"/>
      <c r="O93" s="10"/>
      <c r="P93" s="9"/>
      <c r="Q93" s="9"/>
      <c r="R93" s="10"/>
      <c r="S93" s="10"/>
      <c r="T93" s="11"/>
      <c r="U93" s="9"/>
      <c r="V93" s="13"/>
      <c r="W93" s="13"/>
      <c r="X93" s="10"/>
      <c r="Y93" s="10"/>
      <c r="Z93" s="10"/>
    </row>
    <row r="94" spans="5:26" s="8" customFormat="1" ht="11.4" hidden="1" x14ac:dyDescent="0.2">
      <c r="E94" s="9"/>
      <c r="F94" s="9"/>
      <c r="G94" s="9"/>
      <c r="H94" s="10"/>
      <c r="I94" s="10"/>
      <c r="J94" s="9"/>
      <c r="K94" s="11"/>
      <c r="L94" s="12"/>
      <c r="M94" s="9"/>
      <c r="N94" s="10"/>
      <c r="O94" s="10"/>
      <c r="P94" s="9"/>
      <c r="Q94" s="9"/>
      <c r="R94" s="10"/>
      <c r="S94" s="10"/>
      <c r="T94" s="11"/>
      <c r="U94" s="9"/>
      <c r="V94" s="13"/>
      <c r="W94" s="13"/>
      <c r="X94" s="10"/>
      <c r="Y94" s="10"/>
      <c r="Z94" s="10"/>
    </row>
    <row r="95" spans="5:26" s="8" customFormat="1" ht="11.4" hidden="1" x14ac:dyDescent="0.2">
      <c r="E95" s="9"/>
      <c r="F95" s="9"/>
      <c r="G95" s="9"/>
      <c r="H95" s="10"/>
      <c r="I95" s="10"/>
      <c r="J95" s="9"/>
      <c r="K95" s="11"/>
      <c r="L95" s="12"/>
      <c r="M95" s="9"/>
      <c r="N95" s="10"/>
      <c r="O95" s="10"/>
      <c r="P95" s="9"/>
      <c r="Q95" s="9"/>
      <c r="R95" s="10"/>
      <c r="S95" s="10"/>
      <c r="T95" s="11"/>
      <c r="U95" s="9"/>
      <c r="V95" s="13"/>
      <c r="W95" s="13"/>
      <c r="X95" s="10"/>
      <c r="Y95" s="10"/>
      <c r="Z95" s="10"/>
    </row>
    <row r="96" spans="5:26" s="8" customFormat="1" ht="11.4" hidden="1" x14ac:dyDescent="0.2">
      <c r="E96" s="9"/>
      <c r="F96" s="9"/>
      <c r="G96" s="9"/>
      <c r="H96" s="10"/>
      <c r="I96" s="10"/>
      <c r="J96" s="10"/>
      <c r="K96" s="10"/>
      <c r="L96" s="12"/>
      <c r="M96" s="9"/>
      <c r="N96" s="10"/>
      <c r="O96" s="10"/>
      <c r="P96" s="9"/>
      <c r="Q96" s="9"/>
      <c r="R96" s="10"/>
      <c r="S96" s="10"/>
      <c r="T96" s="11"/>
      <c r="U96" s="9"/>
      <c r="V96" s="13"/>
      <c r="W96" s="13"/>
      <c r="X96" s="10"/>
      <c r="Y96" s="10"/>
      <c r="Z96" s="10"/>
    </row>
    <row r="97" spans="5:26" s="8" customFormat="1" ht="11.4" hidden="1" x14ac:dyDescent="0.2">
      <c r="E97" s="9"/>
      <c r="F97" s="9"/>
      <c r="G97" s="9"/>
      <c r="H97" s="10"/>
      <c r="I97" s="10"/>
      <c r="J97" s="10"/>
      <c r="K97" s="11"/>
      <c r="L97" s="12"/>
      <c r="M97" s="9"/>
      <c r="N97" s="10"/>
      <c r="O97" s="10"/>
      <c r="P97" s="9"/>
      <c r="Q97" s="9"/>
      <c r="R97" s="10"/>
      <c r="S97" s="10"/>
      <c r="T97" s="11"/>
      <c r="U97" s="9"/>
      <c r="V97" s="13"/>
      <c r="W97" s="13"/>
      <c r="X97" s="10"/>
      <c r="Y97" s="10"/>
      <c r="Z97" s="10"/>
    </row>
    <row r="98" spans="5:26" s="8" customFormat="1" ht="11.4" hidden="1" x14ac:dyDescent="0.2">
      <c r="E98" s="9"/>
      <c r="F98" s="9"/>
      <c r="G98" s="9"/>
      <c r="H98" s="10"/>
      <c r="I98" s="10"/>
      <c r="J98" s="10"/>
      <c r="K98" s="11"/>
      <c r="L98" s="12"/>
      <c r="M98" s="9"/>
      <c r="N98" s="10"/>
      <c r="O98" s="10"/>
      <c r="P98" s="9"/>
      <c r="Q98" s="9"/>
      <c r="R98" s="10"/>
      <c r="S98" s="10"/>
      <c r="T98" s="11"/>
      <c r="U98" s="9"/>
      <c r="V98" s="13"/>
      <c r="W98" s="13"/>
      <c r="X98" s="10"/>
      <c r="Y98" s="10"/>
      <c r="Z98" s="10"/>
    </row>
    <row r="99" spans="5:26" s="8" customFormat="1" ht="11.4" hidden="1" x14ac:dyDescent="0.2">
      <c r="E99" s="9"/>
      <c r="F99" s="9"/>
      <c r="G99" s="9"/>
      <c r="H99" s="10"/>
      <c r="I99" s="10"/>
      <c r="J99" s="10"/>
      <c r="K99" s="11"/>
      <c r="L99" s="12"/>
      <c r="M99" s="9"/>
      <c r="N99" s="10"/>
      <c r="O99" s="10"/>
      <c r="P99" s="9"/>
      <c r="Q99" s="9"/>
      <c r="R99" s="10"/>
      <c r="S99" s="10"/>
      <c r="T99" s="11"/>
      <c r="U99" s="9"/>
      <c r="V99" s="13"/>
      <c r="W99" s="13"/>
      <c r="X99" s="10"/>
      <c r="Y99" s="10"/>
      <c r="Z99" s="10"/>
    </row>
    <row r="100" spans="5:26" s="8" customFormat="1" ht="11.4" hidden="1" x14ac:dyDescent="0.2">
      <c r="E100" s="9"/>
      <c r="F100" s="9"/>
      <c r="G100" s="9"/>
      <c r="H100" s="10"/>
      <c r="I100" s="10"/>
      <c r="J100" s="9"/>
      <c r="K100" s="11"/>
      <c r="L100" s="12"/>
      <c r="M100" s="9"/>
      <c r="N100" s="10"/>
      <c r="O100" s="10"/>
      <c r="P100" s="9"/>
      <c r="Q100" s="9"/>
      <c r="R100" s="10"/>
      <c r="S100" s="10"/>
      <c r="T100" s="11"/>
      <c r="U100" s="9"/>
      <c r="V100" s="13"/>
      <c r="W100" s="13"/>
      <c r="X100" s="10"/>
      <c r="Y100" s="10"/>
      <c r="Z100" s="10"/>
    </row>
    <row r="101" spans="5:26" s="8" customFormat="1" ht="11.4" hidden="1" x14ac:dyDescent="0.2">
      <c r="E101" s="9"/>
      <c r="F101" s="9"/>
      <c r="G101" s="9"/>
      <c r="H101" s="10"/>
      <c r="I101" s="10"/>
      <c r="J101" s="10"/>
      <c r="K101" s="10"/>
      <c r="L101" s="12"/>
      <c r="M101" s="9"/>
      <c r="N101" s="10"/>
      <c r="O101" s="10"/>
      <c r="P101" s="9"/>
      <c r="Q101" s="9"/>
      <c r="R101" s="10"/>
      <c r="S101" s="10"/>
      <c r="T101" s="11"/>
      <c r="U101" s="9"/>
      <c r="V101" s="13"/>
      <c r="W101" s="13"/>
      <c r="X101" s="10"/>
      <c r="Y101" s="10"/>
      <c r="Z101" s="10"/>
    </row>
    <row r="102" spans="5:26" s="8" customFormat="1" ht="11.4" hidden="1" x14ac:dyDescent="0.2">
      <c r="E102" s="9"/>
      <c r="F102" s="9"/>
      <c r="G102" s="9"/>
      <c r="H102" s="10"/>
      <c r="I102" s="10"/>
      <c r="J102" s="10"/>
      <c r="K102" s="10"/>
      <c r="L102" s="12"/>
      <c r="M102" s="9"/>
      <c r="N102" s="10"/>
      <c r="O102" s="10"/>
      <c r="P102" s="9"/>
      <c r="Q102" s="9"/>
      <c r="R102" s="10"/>
      <c r="S102" s="10"/>
      <c r="T102" s="11"/>
      <c r="U102" s="9"/>
      <c r="V102" s="13"/>
      <c r="W102" s="13"/>
      <c r="X102" s="10"/>
      <c r="Y102" s="10"/>
      <c r="Z102" s="10"/>
    </row>
    <row r="103" spans="5:26" s="8" customFormat="1" ht="11.4" hidden="1" x14ac:dyDescent="0.2">
      <c r="E103" s="9"/>
      <c r="F103" s="9"/>
      <c r="G103" s="9"/>
      <c r="H103" s="10"/>
      <c r="I103" s="10"/>
      <c r="J103" s="10"/>
      <c r="K103" s="11"/>
      <c r="L103" s="12"/>
      <c r="M103" s="9"/>
      <c r="N103" s="10"/>
      <c r="O103" s="10"/>
      <c r="P103" s="9"/>
      <c r="Q103" s="9"/>
      <c r="R103" s="10"/>
      <c r="S103" s="10"/>
      <c r="T103" s="11"/>
      <c r="U103" s="9"/>
      <c r="V103" s="13"/>
      <c r="W103" s="13"/>
      <c r="X103" s="10"/>
      <c r="Y103" s="10"/>
      <c r="Z103" s="10"/>
    </row>
    <row r="104" spans="5:26" s="8" customFormat="1" ht="11.4" hidden="1" x14ac:dyDescent="0.2">
      <c r="E104" s="9"/>
      <c r="F104" s="9"/>
      <c r="G104" s="9"/>
      <c r="H104" s="10"/>
      <c r="I104" s="10"/>
      <c r="J104" s="9"/>
      <c r="K104" s="10"/>
      <c r="L104" s="12"/>
      <c r="M104" s="9"/>
      <c r="N104" s="10"/>
      <c r="O104" s="10"/>
      <c r="P104" s="9"/>
      <c r="Q104" s="9"/>
      <c r="R104" s="10"/>
      <c r="S104" s="10"/>
      <c r="T104" s="11"/>
      <c r="U104" s="9"/>
      <c r="V104" s="13"/>
      <c r="W104" s="13"/>
      <c r="X104" s="10"/>
      <c r="Y104" s="10"/>
      <c r="Z104" s="10"/>
    </row>
    <row r="105" spans="5:26" s="8" customFormat="1" hidden="1" x14ac:dyDescent="0.2">
      <c r="E105" s="9"/>
      <c r="F105" s="14"/>
      <c r="G105" s="14"/>
      <c r="H105" s="14"/>
      <c r="I105" s="10"/>
      <c r="J105" s="14"/>
      <c r="K105" s="14"/>
      <c r="L105" s="15"/>
      <c r="M105" s="14"/>
      <c r="N105" s="14"/>
      <c r="O105" s="14"/>
      <c r="P105" s="14"/>
      <c r="Q105" s="14"/>
      <c r="R105" s="14"/>
      <c r="S105" s="14"/>
      <c r="T105" s="14"/>
      <c r="U105" s="14"/>
      <c r="V105" s="16"/>
      <c r="W105" s="16"/>
      <c r="X105" s="14"/>
      <c r="Y105" s="17"/>
      <c r="Z105" s="17"/>
    </row>
    <row r="106" spans="5:26" s="8" customFormat="1" ht="11.4" hidden="1" x14ac:dyDescent="0.2">
      <c r="E106" s="9"/>
      <c r="F106" s="9"/>
      <c r="G106" s="9"/>
      <c r="H106" s="10"/>
      <c r="I106" s="10"/>
      <c r="J106" s="9"/>
      <c r="K106" s="11"/>
      <c r="L106" s="12"/>
      <c r="M106" s="9"/>
      <c r="N106" s="10"/>
      <c r="O106" s="10"/>
      <c r="P106" s="9"/>
      <c r="Q106" s="9"/>
      <c r="R106" s="10"/>
      <c r="S106" s="10"/>
      <c r="T106" s="11"/>
      <c r="U106" s="9"/>
      <c r="V106" s="13"/>
      <c r="W106" s="13"/>
      <c r="X106" s="10"/>
      <c r="Y106" s="10"/>
      <c r="Z106" s="10"/>
    </row>
    <row r="107" spans="5:26" s="8" customFormat="1" ht="11.4" hidden="1" x14ac:dyDescent="0.2">
      <c r="E107" s="9"/>
      <c r="F107" s="9"/>
      <c r="G107" s="9"/>
      <c r="H107" s="10"/>
      <c r="I107" s="10"/>
      <c r="J107" s="10"/>
      <c r="K107" s="11"/>
      <c r="L107" s="12"/>
      <c r="M107" s="9"/>
      <c r="N107" s="10"/>
      <c r="O107" s="10"/>
      <c r="P107" s="9"/>
      <c r="Q107" s="9"/>
      <c r="R107" s="10"/>
      <c r="S107" s="10"/>
      <c r="T107" s="11"/>
      <c r="U107" s="9"/>
      <c r="V107" s="13"/>
      <c r="W107" s="13"/>
      <c r="X107" s="10"/>
      <c r="Y107" s="10"/>
      <c r="Z107" s="10"/>
    </row>
    <row r="108" spans="5:26" s="8" customFormat="1" ht="11.4" hidden="1" x14ac:dyDescent="0.2">
      <c r="E108" s="9"/>
      <c r="F108" s="9"/>
      <c r="G108" s="9"/>
      <c r="H108" s="10"/>
      <c r="I108" s="10"/>
      <c r="J108" s="10"/>
      <c r="K108" s="11"/>
      <c r="L108" s="12"/>
      <c r="M108" s="9"/>
      <c r="N108" s="10"/>
      <c r="O108" s="10"/>
      <c r="P108" s="9"/>
      <c r="Q108" s="9"/>
      <c r="R108" s="10"/>
      <c r="S108" s="10"/>
      <c r="T108" s="11"/>
      <c r="U108" s="9"/>
      <c r="V108" s="13"/>
      <c r="W108" s="13"/>
      <c r="X108" s="10"/>
      <c r="Y108" s="10"/>
      <c r="Z108" s="10"/>
    </row>
    <row r="109" spans="5:26" s="8" customFormat="1" ht="11.4" hidden="1" x14ac:dyDescent="0.2">
      <c r="E109" s="9"/>
      <c r="F109" s="9"/>
      <c r="G109" s="9"/>
      <c r="H109" s="10"/>
      <c r="I109" s="10"/>
      <c r="J109" s="9"/>
      <c r="K109" s="11"/>
      <c r="L109" s="12"/>
      <c r="M109" s="9"/>
      <c r="N109" s="10"/>
      <c r="O109" s="10"/>
      <c r="P109" s="9"/>
      <c r="Q109" s="9"/>
      <c r="R109" s="10"/>
      <c r="S109" s="10"/>
      <c r="T109" s="11"/>
      <c r="U109" s="9"/>
      <c r="V109" s="13"/>
      <c r="W109" s="13"/>
      <c r="X109" s="10"/>
      <c r="Y109" s="10"/>
      <c r="Z109" s="10"/>
    </row>
    <row r="110" spans="5:26" s="8" customFormat="1" ht="11.4" hidden="1" x14ac:dyDescent="0.2">
      <c r="E110" s="9"/>
      <c r="F110" s="9"/>
      <c r="G110" s="9"/>
      <c r="H110" s="10"/>
      <c r="I110" s="10"/>
      <c r="J110" s="10"/>
      <c r="K110" s="10"/>
      <c r="L110" s="12"/>
      <c r="M110" s="9"/>
      <c r="N110" s="10"/>
      <c r="O110" s="10"/>
      <c r="P110" s="9"/>
      <c r="Q110" s="9"/>
      <c r="R110" s="10"/>
      <c r="S110" s="10"/>
      <c r="T110" s="11"/>
      <c r="U110" s="9"/>
      <c r="V110" s="13"/>
      <c r="W110" s="13"/>
      <c r="X110" s="10"/>
      <c r="Y110" s="10"/>
      <c r="Z110" s="10"/>
    </row>
    <row r="111" spans="5:26" s="8" customFormat="1" ht="11.4" hidden="1" x14ac:dyDescent="0.2">
      <c r="E111" s="9"/>
      <c r="F111" s="9"/>
      <c r="G111" s="9"/>
      <c r="H111" s="10"/>
      <c r="I111" s="10"/>
      <c r="J111" s="10"/>
      <c r="K111" s="11"/>
      <c r="L111" s="12"/>
      <c r="M111" s="9"/>
      <c r="N111" s="10"/>
      <c r="O111" s="10"/>
      <c r="P111" s="9"/>
      <c r="Q111" s="9"/>
      <c r="R111" s="10"/>
      <c r="S111" s="10"/>
      <c r="T111" s="11"/>
      <c r="U111" s="9"/>
      <c r="V111" s="13"/>
      <c r="W111" s="13"/>
      <c r="X111" s="10"/>
      <c r="Y111" s="10"/>
      <c r="Z111" s="10"/>
    </row>
    <row r="112" spans="5:26" s="8" customFormat="1" ht="11.4" hidden="1" x14ac:dyDescent="0.2">
      <c r="E112" s="9"/>
      <c r="F112" s="9"/>
      <c r="G112" s="9"/>
      <c r="H112" s="10"/>
      <c r="I112" s="10"/>
      <c r="J112" s="10"/>
      <c r="K112" s="10"/>
      <c r="L112" s="12"/>
      <c r="M112" s="9"/>
      <c r="N112" s="10"/>
      <c r="O112" s="10"/>
      <c r="P112" s="9"/>
      <c r="Q112" s="9"/>
      <c r="R112" s="10"/>
      <c r="S112" s="10"/>
      <c r="T112" s="11"/>
      <c r="U112" s="9"/>
      <c r="V112" s="13"/>
      <c r="W112" s="13"/>
      <c r="X112" s="10"/>
      <c r="Y112" s="10"/>
      <c r="Z112" s="10"/>
    </row>
    <row r="113" spans="5:27" s="8" customFormat="1" ht="11.4" hidden="1" x14ac:dyDescent="0.2">
      <c r="E113" s="9"/>
      <c r="F113" s="9"/>
      <c r="G113" s="9"/>
      <c r="H113" s="10"/>
      <c r="I113" s="10"/>
      <c r="J113" s="10"/>
      <c r="K113" s="11"/>
      <c r="L113" s="12"/>
      <c r="M113" s="9"/>
      <c r="N113" s="10"/>
      <c r="O113" s="10"/>
      <c r="P113" s="9"/>
      <c r="Q113" s="9"/>
      <c r="R113" s="10"/>
      <c r="S113" s="10"/>
      <c r="T113" s="11"/>
      <c r="U113" s="9"/>
      <c r="V113" s="13"/>
      <c r="W113" s="13"/>
      <c r="X113" s="10"/>
      <c r="Y113" s="10"/>
      <c r="Z113" s="10"/>
    </row>
    <row r="114" spans="5:27" s="8" customFormat="1" ht="11.4" hidden="1" x14ac:dyDescent="0.2">
      <c r="E114" s="9"/>
      <c r="F114" s="9"/>
      <c r="G114" s="9"/>
      <c r="H114" s="10"/>
      <c r="I114" s="10"/>
      <c r="J114" s="9"/>
      <c r="K114" s="11"/>
      <c r="L114" s="12"/>
      <c r="M114" s="9"/>
      <c r="N114" s="10"/>
      <c r="O114" s="10"/>
      <c r="P114" s="9"/>
      <c r="Q114" s="9"/>
      <c r="R114" s="10"/>
      <c r="S114" s="10"/>
      <c r="T114" s="11"/>
      <c r="U114" s="9"/>
      <c r="V114" s="13"/>
      <c r="W114" s="13"/>
      <c r="X114" s="10"/>
      <c r="Y114" s="10"/>
      <c r="Z114" s="10"/>
    </row>
    <row r="115" spans="5:27" s="8" customFormat="1" ht="11.4" hidden="1" x14ac:dyDescent="0.2">
      <c r="E115" s="9"/>
      <c r="F115" s="9"/>
      <c r="G115" s="9"/>
      <c r="H115" s="10"/>
      <c r="I115" s="10"/>
      <c r="J115" s="9"/>
      <c r="K115" s="11"/>
      <c r="L115" s="12"/>
      <c r="M115" s="9"/>
      <c r="N115" s="10"/>
      <c r="O115" s="10"/>
      <c r="P115" s="9"/>
      <c r="Q115" s="9"/>
      <c r="R115" s="10"/>
      <c r="S115" s="10"/>
      <c r="T115" s="11"/>
      <c r="U115" s="9"/>
      <c r="V115" s="13"/>
      <c r="W115" s="13"/>
      <c r="X115" s="10"/>
      <c r="Y115" s="10"/>
      <c r="Z115" s="10"/>
    </row>
    <row r="116" spans="5:27" s="8" customFormat="1" ht="11.4" hidden="1" x14ac:dyDescent="0.2">
      <c r="E116" s="9"/>
      <c r="F116" s="9"/>
      <c r="G116" s="9"/>
      <c r="H116" s="10"/>
      <c r="I116" s="10"/>
      <c r="J116" s="10"/>
      <c r="K116" s="10"/>
      <c r="L116" s="12"/>
      <c r="M116" s="9"/>
      <c r="N116" s="10"/>
      <c r="O116" s="10"/>
      <c r="P116" s="9"/>
      <c r="Q116" s="9"/>
      <c r="R116" s="10"/>
      <c r="S116" s="10"/>
      <c r="T116" s="11"/>
      <c r="U116" s="9"/>
      <c r="V116" s="13"/>
      <c r="W116" s="13"/>
      <c r="X116" s="10"/>
      <c r="Y116" s="10"/>
      <c r="Z116" s="10"/>
    </row>
    <row r="117" spans="5:27" s="8" customFormat="1" ht="11.4" hidden="1" x14ac:dyDescent="0.2">
      <c r="E117" s="9"/>
      <c r="F117" s="9"/>
      <c r="G117" s="9"/>
      <c r="H117" s="10"/>
      <c r="I117" s="10"/>
      <c r="J117" s="10"/>
      <c r="K117" s="11"/>
      <c r="L117" s="12"/>
      <c r="M117" s="9"/>
      <c r="N117" s="10"/>
      <c r="O117" s="10"/>
      <c r="P117" s="9"/>
      <c r="Q117" s="9"/>
      <c r="R117" s="10"/>
      <c r="S117" s="10"/>
      <c r="T117" s="11"/>
      <c r="U117" s="9"/>
      <c r="V117" s="13"/>
      <c r="W117" s="13"/>
      <c r="X117" s="10"/>
      <c r="Y117" s="10"/>
      <c r="Z117" s="10"/>
    </row>
    <row r="118" spans="5:27" s="8" customFormat="1" ht="11.4" hidden="1" x14ac:dyDescent="0.2">
      <c r="E118" s="9"/>
      <c r="F118" s="9"/>
      <c r="G118" s="9"/>
      <c r="H118" s="10"/>
      <c r="I118" s="10"/>
      <c r="J118" s="10"/>
      <c r="K118" s="11"/>
      <c r="L118" s="12"/>
      <c r="M118" s="9"/>
      <c r="N118" s="10"/>
      <c r="O118" s="10"/>
      <c r="P118" s="9"/>
      <c r="Q118" s="9"/>
      <c r="R118" s="10"/>
      <c r="S118" s="10"/>
      <c r="T118" s="11"/>
      <c r="U118" s="9"/>
      <c r="V118" s="13"/>
      <c r="W118" s="13"/>
      <c r="X118" s="10"/>
      <c r="Y118" s="10"/>
      <c r="Z118" s="10"/>
    </row>
    <row r="119" spans="5:27" s="8" customFormat="1" ht="12" hidden="1" x14ac:dyDescent="0.2">
      <c r="E119" s="9"/>
      <c r="F119" s="9"/>
      <c r="G119" s="9"/>
      <c r="H119" s="10"/>
      <c r="I119" s="10"/>
      <c r="J119" s="9"/>
      <c r="K119" s="11"/>
      <c r="L119" s="12"/>
      <c r="M119" s="9"/>
      <c r="N119" s="10"/>
      <c r="O119" s="10"/>
      <c r="P119" s="9"/>
      <c r="Q119" s="9"/>
      <c r="R119" s="10"/>
      <c r="S119" s="10"/>
      <c r="T119" s="11"/>
      <c r="U119" s="9"/>
      <c r="V119" s="13"/>
      <c r="W119" s="13"/>
      <c r="X119" s="10"/>
      <c r="Y119" s="19"/>
      <c r="Z119" s="19"/>
    </row>
    <row r="120" spans="5:27" s="8" customFormat="1" ht="11.4" hidden="1" x14ac:dyDescent="0.2">
      <c r="E120" s="9"/>
      <c r="F120" s="9"/>
      <c r="G120" s="9"/>
      <c r="H120" s="10"/>
      <c r="I120" s="10"/>
      <c r="J120" s="9"/>
      <c r="K120" s="11"/>
      <c r="L120" s="12"/>
      <c r="M120" s="9"/>
      <c r="N120" s="10"/>
      <c r="O120" s="10"/>
      <c r="P120" s="9"/>
      <c r="Q120" s="9"/>
      <c r="R120" s="10"/>
      <c r="S120" s="10"/>
      <c r="T120" s="11"/>
      <c r="U120" s="9"/>
      <c r="V120" s="13"/>
      <c r="W120" s="13"/>
      <c r="X120" s="10"/>
      <c r="Y120" s="10"/>
      <c r="Z120" s="10"/>
    </row>
    <row r="121" spans="5:27" s="8" customFormat="1" hidden="1" x14ac:dyDescent="0.2">
      <c r="E121" s="9"/>
      <c r="F121" s="14"/>
      <c r="G121" s="14"/>
      <c r="H121" s="14"/>
      <c r="I121" s="10"/>
      <c r="J121" s="14"/>
      <c r="K121" s="18"/>
      <c r="L121" s="15"/>
      <c r="M121" s="14"/>
      <c r="N121" s="14"/>
      <c r="O121" s="14"/>
      <c r="P121" s="14"/>
      <c r="Q121" s="14"/>
      <c r="R121" s="14"/>
      <c r="S121" s="14"/>
      <c r="T121" s="14"/>
      <c r="U121" s="14"/>
      <c r="V121" s="16"/>
      <c r="W121" s="16"/>
      <c r="X121" s="14"/>
      <c r="Y121" s="17"/>
      <c r="Z121" s="17"/>
    </row>
    <row r="122" spans="5:27" s="8" customFormat="1" ht="11.4" hidden="1" x14ac:dyDescent="0.2">
      <c r="E122" s="9"/>
      <c r="F122" s="9"/>
      <c r="G122" s="9"/>
      <c r="H122" s="10"/>
      <c r="I122" s="10"/>
      <c r="J122" s="9"/>
      <c r="K122" s="11"/>
      <c r="L122" s="12"/>
      <c r="M122" s="9"/>
      <c r="N122" s="10"/>
      <c r="O122" s="10"/>
      <c r="P122" s="9"/>
      <c r="Q122" s="9"/>
      <c r="R122" s="10"/>
      <c r="S122" s="10"/>
      <c r="T122" s="11"/>
      <c r="U122" s="9"/>
      <c r="V122" s="13"/>
      <c r="W122" s="13"/>
      <c r="X122" s="10"/>
      <c r="Y122" s="10"/>
      <c r="Z122" s="10"/>
    </row>
    <row r="123" spans="5:27" s="8" customFormat="1" ht="11.4" hidden="1" x14ac:dyDescent="0.2">
      <c r="E123" s="9"/>
      <c r="F123" s="9"/>
      <c r="G123" s="9"/>
      <c r="H123" s="10"/>
      <c r="I123" s="10"/>
      <c r="J123" s="9"/>
      <c r="K123" s="10"/>
      <c r="L123" s="12"/>
      <c r="M123" s="9"/>
      <c r="N123" s="10"/>
      <c r="O123" s="10"/>
      <c r="P123" s="9"/>
      <c r="Q123" s="9"/>
      <c r="R123" s="10"/>
      <c r="S123" s="10"/>
      <c r="T123" s="11"/>
      <c r="U123" s="9"/>
      <c r="V123" s="13"/>
      <c r="W123" s="13"/>
      <c r="X123" s="10"/>
      <c r="Y123" s="10"/>
      <c r="Z123" s="10"/>
    </row>
    <row r="124" spans="5:27" s="8" customFormat="1" ht="11.4" hidden="1" x14ac:dyDescent="0.2">
      <c r="E124" s="9"/>
      <c r="F124" s="9"/>
      <c r="G124" s="9"/>
      <c r="H124" s="10"/>
      <c r="I124" s="10"/>
      <c r="J124" s="10"/>
      <c r="K124" s="11"/>
      <c r="L124" s="12"/>
      <c r="M124" s="9"/>
      <c r="N124" s="10"/>
      <c r="O124" s="10"/>
      <c r="P124" s="9"/>
      <c r="Q124" s="9"/>
      <c r="R124" s="10"/>
      <c r="S124" s="10"/>
      <c r="T124" s="11"/>
      <c r="U124" s="9"/>
      <c r="V124" s="13"/>
      <c r="W124" s="13"/>
      <c r="X124" s="10"/>
      <c r="Y124" s="10"/>
      <c r="Z124" s="10"/>
    </row>
    <row r="125" spans="5:27" s="8" customFormat="1" ht="11.4" hidden="1" x14ac:dyDescent="0.2">
      <c r="E125" s="9"/>
      <c r="F125" s="9"/>
      <c r="G125" s="9"/>
      <c r="H125" s="10"/>
      <c r="I125" s="10"/>
      <c r="J125" s="10"/>
      <c r="K125" s="10"/>
      <c r="L125" s="12"/>
      <c r="M125" s="9"/>
      <c r="N125" s="10"/>
      <c r="O125" s="10"/>
      <c r="P125" s="9"/>
      <c r="Q125" s="9"/>
      <c r="R125" s="10"/>
      <c r="S125" s="10"/>
      <c r="T125" s="11"/>
      <c r="U125" s="9"/>
      <c r="V125" s="13"/>
      <c r="W125" s="13"/>
      <c r="X125" s="10"/>
      <c r="Y125" s="10"/>
      <c r="Z125" s="10"/>
    </row>
    <row r="126" spans="5:27" s="11" customFormat="1" ht="17.399999999999999" hidden="1" x14ac:dyDescent="0.25">
      <c r="E126" s="9"/>
      <c r="F126" s="9"/>
      <c r="G126" s="9"/>
      <c r="H126" s="10"/>
      <c r="I126" s="10"/>
      <c r="J126" s="10"/>
      <c r="K126" s="10"/>
      <c r="L126" s="12"/>
      <c r="M126" s="9"/>
      <c r="N126" s="10"/>
      <c r="O126" s="10"/>
      <c r="P126" s="9"/>
      <c r="Q126" s="9"/>
      <c r="R126" s="10"/>
      <c r="S126" s="10"/>
      <c r="U126" s="9"/>
      <c r="V126" s="13"/>
      <c r="W126" s="13"/>
      <c r="X126" s="10"/>
      <c r="Y126" s="10"/>
      <c r="Z126" s="10"/>
      <c r="AA126" s="21"/>
    </row>
    <row r="127" spans="5:27" s="11" customFormat="1" ht="11.4" hidden="1" x14ac:dyDescent="0.25">
      <c r="E127" s="9"/>
      <c r="F127" s="9"/>
      <c r="G127" s="9"/>
      <c r="H127" s="10"/>
      <c r="I127" s="10"/>
      <c r="J127" s="9"/>
      <c r="K127" s="10"/>
      <c r="L127" s="12"/>
      <c r="M127" s="9"/>
      <c r="N127" s="10"/>
      <c r="O127" s="10"/>
      <c r="P127" s="9"/>
      <c r="Q127" s="9"/>
      <c r="R127" s="10"/>
      <c r="S127" s="10"/>
      <c r="U127" s="9"/>
      <c r="V127" s="13"/>
      <c r="W127" s="13"/>
      <c r="X127" s="10"/>
      <c r="Y127" s="10"/>
      <c r="Z127" s="10"/>
    </row>
    <row r="128" spans="5:27" s="11" customFormat="1" ht="11.4" hidden="1" x14ac:dyDescent="0.25">
      <c r="E128" s="9"/>
      <c r="F128" s="9"/>
      <c r="G128" s="9"/>
      <c r="H128" s="10"/>
      <c r="I128" s="10"/>
      <c r="J128" s="9"/>
      <c r="L128" s="12"/>
      <c r="M128" s="9"/>
      <c r="N128" s="10"/>
      <c r="O128" s="10"/>
      <c r="P128" s="9"/>
      <c r="Q128" s="9"/>
      <c r="R128" s="10"/>
      <c r="S128" s="10"/>
      <c r="U128" s="9"/>
      <c r="V128" s="13"/>
      <c r="W128" s="13"/>
      <c r="X128" s="10"/>
      <c r="Y128" s="10"/>
      <c r="Z128" s="10"/>
    </row>
    <row r="129" spans="5:27" s="11" customFormat="1" ht="11.4" hidden="1" x14ac:dyDescent="0.25">
      <c r="E129" s="9"/>
      <c r="F129" s="9"/>
      <c r="G129" s="9"/>
      <c r="H129" s="10"/>
      <c r="I129" s="10"/>
      <c r="J129" s="9"/>
      <c r="L129" s="12"/>
      <c r="M129" s="9"/>
      <c r="N129" s="10"/>
      <c r="O129" s="10"/>
      <c r="P129" s="9"/>
      <c r="Q129" s="9"/>
      <c r="R129" s="10"/>
      <c r="S129" s="10"/>
      <c r="U129" s="9"/>
      <c r="V129" s="13"/>
      <c r="W129" s="13"/>
      <c r="X129" s="10"/>
      <c r="Y129" s="10"/>
      <c r="Z129" s="10"/>
    </row>
    <row r="130" spans="5:27" s="11" customFormat="1" ht="11.4" hidden="1" x14ac:dyDescent="0.25">
      <c r="E130" s="9"/>
      <c r="F130" s="9"/>
      <c r="G130" s="9"/>
      <c r="H130" s="10"/>
      <c r="I130" s="10"/>
      <c r="J130" s="9"/>
      <c r="L130" s="12"/>
      <c r="M130" s="9"/>
      <c r="N130" s="10"/>
      <c r="O130" s="10"/>
      <c r="P130" s="9"/>
      <c r="Q130" s="9"/>
      <c r="R130" s="10"/>
      <c r="S130" s="10"/>
      <c r="U130" s="9"/>
      <c r="V130" s="13"/>
      <c r="W130" s="13"/>
      <c r="X130" s="10"/>
      <c r="Y130" s="10"/>
      <c r="Z130" s="10"/>
    </row>
    <row r="131" spans="5:27" s="11" customFormat="1" ht="17.399999999999999" hidden="1" x14ac:dyDescent="0.25">
      <c r="E131" s="9"/>
      <c r="F131" s="9"/>
      <c r="G131" s="9"/>
      <c r="H131" s="10"/>
      <c r="I131" s="10"/>
      <c r="J131" s="10"/>
      <c r="K131" s="10"/>
      <c r="L131" s="12"/>
      <c r="M131" s="9"/>
      <c r="N131" s="10"/>
      <c r="O131" s="10"/>
      <c r="P131" s="9"/>
      <c r="Q131" s="9"/>
      <c r="R131" s="10"/>
      <c r="S131" s="10"/>
      <c r="U131" s="9"/>
      <c r="V131" s="13"/>
      <c r="W131" s="13"/>
      <c r="X131" s="10"/>
      <c r="Y131" s="10"/>
      <c r="Z131" s="10"/>
      <c r="AA131" s="21"/>
    </row>
    <row r="132" spans="5:27" s="11" customFormat="1" ht="11.4" hidden="1" x14ac:dyDescent="0.25">
      <c r="E132" s="9"/>
      <c r="F132" s="9"/>
      <c r="G132" s="9"/>
      <c r="H132" s="10"/>
      <c r="I132" s="10"/>
      <c r="J132" s="9"/>
      <c r="L132" s="12"/>
      <c r="M132" s="9"/>
      <c r="N132" s="10"/>
      <c r="O132" s="10"/>
      <c r="P132" s="9"/>
      <c r="Q132" s="9"/>
      <c r="R132" s="10"/>
      <c r="S132" s="10"/>
      <c r="U132" s="9"/>
      <c r="V132" s="13"/>
      <c r="W132" s="13"/>
      <c r="X132" s="10"/>
      <c r="Y132" s="10"/>
      <c r="Z132" s="10"/>
    </row>
    <row r="133" spans="5:27" s="11" customFormat="1" ht="11.4" hidden="1" x14ac:dyDescent="0.25">
      <c r="E133" s="9"/>
      <c r="F133" s="9"/>
      <c r="G133" s="9"/>
      <c r="H133" s="10"/>
      <c r="I133" s="10"/>
      <c r="J133" s="9"/>
      <c r="L133" s="12"/>
      <c r="M133" s="9"/>
      <c r="N133" s="10"/>
      <c r="O133" s="10"/>
      <c r="P133" s="9"/>
      <c r="Q133" s="9"/>
      <c r="R133" s="10"/>
      <c r="S133" s="10"/>
      <c r="U133" s="9"/>
      <c r="V133" s="13"/>
      <c r="W133" s="13"/>
      <c r="X133" s="10"/>
      <c r="Y133" s="10"/>
      <c r="Z133" s="10"/>
    </row>
    <row r="134" spans="5:27" s="11" customFormat="1" ht="11.4" hidden="1" x14ac:dyDescent="0.25">
      <c r="E134" s="9"/>
      <c r="F134" s="9"/>
      <c r="G134" s="9"/>
      <c r="H134" s="10"/>
      <c r="I134" s="10"/>
      <c r="J134" s="9"/>
      <c r="L134" s="12"/>
      <c r="M134" s="9"/>
      <c r="N134" s="10"/>
      <c r="O134" s="10"/>
      <c r="P134" s="9"/>
      <c r="Q134" s="9"/>
      <c r="R134" s="10"/>
      <c r="S134" s="10"/>
      <c r="U134" s="9"/>
      <c r="V134" s="13"/>
      <c r="W134" s="13"/>
      <c r="X134" s="10"/>
      <c r="Y134" s="10"/>
      <c r="Z134" s="10"/>
    </row>
    <row r="135" spans="5:27" s="11" customFormat="1" ht="11.4" hidden="1" x14ac:dyDescent="0.25">
      <c r="E135" s="9"/>
      <c r="F135" s="9"/>
      <c r="G135" s="9"/>
      <c r="H135" s="10"/>
      <c r="I135" s="10"/>
      <c r="J135" s="10"/>
      <c r="L135" s="12"/>
      <c r="M135" s="9"/>
      <c r="N135" s="10"/>
      <c r="O135" s="10"/>
      <c r="P135" s="9"/>
      <c r="Q135" s="9"/>
      <c r="R135" s="10"/>
      <c r="S135" s="10"/>
      <c r="U135" s="9"/>
      <c r="V135" s="13"/>
      <c r="W135" s="13"/>
      <c r="X135" s="10"/>
      <c r="Y135" s="10"/>
      <c r="Z135" s="10"/>
    </row>
    <row r="136" spans="5:27" s="11" customFormat="1" ht="11.4" hidden="1" x14ac:dyDescent="0.25">
      <c r="E136" s="9"/>
      <c r="F136" s="9"/>
      <c r="G136" s="9"/>
      <c r="H136" s="10"/>
      <c r="I136" s="10"/>
      <c r="J136" s="10"/>
      <c r="L136" s="12"/>
      <c r="M136" s="9"/>
      <c r="N136" s="10"/>
      <c r="O136" s="10"/>
      <c r="P136" s="9"/>
      <c r="Q136" s="9"/>
      <c r="R136" s="10"/>
      <c r="S136" s="10"/>
      <c r="U136" s="9"/>
      <c r="V136" s="13"/>
      <c r="W136" s="13"/>
      <c r="X136" s="10"/>
      <c r="Y136" s="10"/>
      <c r="Z136" s="10"/>
    </row>
    <row r="137" spans="5:27" s="11" customFormat="1" ht="11.4" hidden="1" x14ac:dyDescent="0.25">
      <c r="E137" s="9"/>
      <c r="F137" s="9"/>
      <c r="G137" s="9"/>
      <c r="H137" s="10"/>
      <c r="I137" s="10"/>
      <c r="J137" s="9"/>
      <c r="L137" s="12"/>
      <c r="M137" s="9"/>
      <c r="N137" s="10"/>
      <c r="O137" s="10"/>
      <c r="P137" s="9"/>
      <c r="Q137" s="9"/>
      <c r="R137" s="10"/>
      <c r="S137" s="10"/>
      <c r="U137" s="9"/>
      <c r="V137" s="13"/>
      <c r="W137" s="13"/>
      <c r="X137" s="10"/>
      <c r="Y137" s="10"/>
      <c r="Z137" s="10"/>
    </row>
    <row r="138" spans="5:27" s="11" customFormat="1" hidden="1" x14ac:dyDescent="0.25">
      <c r="E138" s="9"/>
      <c r="F138" s="9"/>
      <c r="G138" s="9"/>
      <c r="H138" s="10"/>
      <c r="I138" s="10"/>
      <c r="J138" s="9"/>
      <c r="L138" s="12"/>
      <c r="M138" s="9"/>
      <c r="N138" s="10"/>
      <c r="O138" s="10"/>
      <c r="P138" s="9"/>
      <c r="Q138" s="9"/>
      <c r="R138" s="10"/>
      <c r="S138" s="10"/>
      <c r="U138" s="9"/>
      <c r="V138" s="13"/>
      <c r="W138" s="13"/>
      <c r="X138" s="10"/>
      <c r="Y138" s="10"/>
      <c r="Z138" s="10"/>
      <c r="AA138" s="22"/>
    </row>
    <row r="139" spans="5:27" s="11" customFormat="1" hidden="1" x14ac:dyDescent="0.25">
      <c r="E139" s="9"/>
      <c r="F139" s="14"/>
      <c r="G139" s="14"/>
      <c r="H139" s="14"/>
      <c r="I139" s="14"/>
      <c r="J139" s="14"/>
      <c r="K139" s="14"/>
      <c r="L139" s="15"/>
      <c r="M139" s="14"/>
      <c r="N139" s="14"/>
      <c r="O139" s="14"/>
      <c r="P139" s="14"/>
      <c r="Q139" s="14"/>
      <c r="R139" s="14"/>
      <c r="S139" s="14"/>
      <c r="T139" s="14"/>
      <c r="U139" s="14"/>
      <c r="V139" s="16"/>
      <c r="W139" s="16"/>
      <c r="X139" s="14"/>
      <c r="Y139" s="17"/>
      <c r="Z139" s="17"/>
      <c r="AA139" s="22"/>
    </row>
    <row r="140" spans="5:27" s="11" customFormat="1" hidden="1" x14ac:dyDescent="0.25">
      <c r="E140" s="9"/>
      <c r="F140" s="9"/>
      <c r="G140" s="9"/>
      <c r="H140" s="10"/>
      <c r="I140" s="10"/>
      <c r="J140" s="9"/>
      <c r="K140" s="10"/>
      <c r="L140" s="12"/>
      <c r="M140" s="9"/>
      <c r="N140" s="10"/>
      <c r="O140" s="10"/>
      <c r="P140" s="9"/>
      <c r="Q140" s="9"/>
      <c r="R140" s="10"/>
      <c r="S140" s="10"/>
      <c r="U140" s="9"/>
      <c r="V140" s="13"/>
      <c r="W140" s="13"/>
      <c r="X140" s="10"/>
      <c r="Y140" s="10"/>
      <c r="Z140" s="10"/>
      <c r="AA140" s="22"/>
    </row>
    <row r="141" spans="5:27" s="11" customFormat="1" hidden="1" x14ac:dyDescent="0.25">
      <c r="E141" s="9"/>
      <c r="F141" s="14"/>
      <c r="G141" s="14"/>
      <c r="H141" s="14"/>
      <c r="I141" s="10"/>
      <c r="J141" s="14"/>
      <c r="K141" s="14"/>
      <c r="L141" s="15"/>
      <c r="M141" s="14"/>
      <c r="N141" s="14"/>
      <c r="O141" s="14"/>
      <c r="P141" s="14"/>
      <c r="Q141" s="14"/>
      <c r="R141" s="14"/>
      <c r="S141" s="14"/>
      <c r="T141" s="14"/>
      <c r="U141" s="14"/>
      <c r="V141" s="16"/>
      <c r="W141" s="16"/>
      <c r="X141" s="14"/>
      <c r="Y141" s="17"/>
      <c r="Z141" s="17"/>
      <c r="AA141" s="22"/>
    </row>
    <row r="142" spans="5:27" s="11" customFormat="1" hidden="1" x14ac:dyDescent="0.25">
      <c r="E142" s="9"/>
      <c r="F142" s="9"/>
      <c r="G142" s="9"/>
      <c r="H142" s="10"/>
      <c r="I142" s="10"/>
      <c r="J142" s="10"/>
      <c r="L142" s="12"/>
      <c r="M142" s="9"/>
      <c r="N142" s="10"/>
      <c r="O142" s="10"/>
      <c r="P142" s="9"/>
      <c r="Q142" s="9"/>
      <c r="R142" s="10"/>
      <c r="S142" s="10"/>
      <c r="U142" s="9"/>
      <c r="V142" s="13"/>
      <c r="W142" s="13"/>
      <c r="X142" s="10"/>
      <c r="Y142" s="10"/>
      <c r="Z142" s="10"/>
      <c r="AA142" s="22"/>
    </row>
    <row r="143" spans="5:27" s="11" customFormat="1" hidden="1" x14ac:dyDescent="0.25">
      <c r="E143" s="9"/>
      <c r="F143" s="9"/>
      <c r="G143" s="9"/>
      <c r="H143" s="10"/>
      <c r="I143" s="10"/>
      <c r="J143" s="9"/>
      <c r="L143" s="12"/>
      <c r="M143" s="9"/>
      <c r="N143" s="10"/>
      <c r="O143" s="10"/>
      <c r="P143" s="9"/>
      <c r="Q143" s="9"/>
      <c r="R143" s="10"/>
      <c r="S143" s="10"/>
      <c r="U143" s="9"/>
      <c r="V143" s="13"/>
      <c r="W143" s="13"/>
      <c r="X143" s="10"/>
      <c r="Y143" s="10"/>
      <c r="Z143" s="10"/>
      <c r="AA143" s="22"/>
    </row>
    <row r="144" spans="5:27" s="11" customFormat="1" ht="11.4" hidden="1" x14ac:dyDescent="0.25">
      <c r="E144" s="9"/>
      <c r="F144" s="9"/>
      <c r="G144" s="9"/>
      <c r="H144" s="10"/>
      <c r="I144" s="10"/>
      <c r="J144" s="9"/>
      <c r="K144" s="10"/>
      <c r="L144" s="12"/>
      <c r="M144" s="9"/>
      <c r="N144" s="10"/>
      <c r="O144" s="10"/>
      <c r="P144" s="9"/>
      <c r="Q144" s="9"/>
      <c r="R144" s="10"/>
      <c r="S144" s="10"/>
      <c r="U144" s="9"/>
      <c r="V144" s="13"/>
      <c r="W144" s="13"/>
      <c r="X144" s="10"/>
      <c r="Y144" s="10"/>
      <c r="Z144" s="10"/>
    </row>
    <row r="145" spans="5:27" s="11" customFormat="1" hidden="1" x14ac:dyDescent="0.25">
      <c r="E145" s="9"/>
      <c r="F145" s="9"/>
      <c r="G145" s="9"/>
      <c r="H145" s="10"/>
      <c r="I145" s="10"/>
      <c r="J145" s="10"/>
      <c r="L145" s="12"/>
      <c r="M145" s="9"/>
      <c r="N145" s="10"/>
      <c r="O145" s="10"/>
      <c r="P145" s="9"/>
      <c r="Q145" s="9"/>
      <c r="R145" s="10"/>
      <c r="S145" s="10"/>
      <c r="U145" s="9"/>
      <c r="V145" s="13"/>
      <c r="W145" s="13"/>
      <c r="X145" s="10"/>
      <c r="Y145" s="10"/>
      <c r="Z145" s="10"/>
      <c r="AA145" s="22"/>
    </row>
    <row r="146" spans="5:27" s="11" customFormat="1" hidden="1" x14ac:dyDescent="0.25">
      <c r="E146" s="9"/>
      <c r="F146" s="9"/>
      <c r="G146" s="9"/>
      <c r="H146" s="10"/>
      <c r="I146" s="10"/>
      <c r="J146" s="9"/>
      <c r="L146" s="12"/>
      <c r="M146" s="9"/>
      <c r="N146" s="10"/>
      <c r="O146" s="10"/>
      <c r="P146" s="9"/>
      <c r="Q146" s="9"/>
      <c r="R146" s="10"/>
      <c r="S146" s="10"/>
      <c r="U146" s="9"/>
      <c r="V146" s="13"/>
      <c r="W146" s="13"/>
      <c r="X146" s="10"/>
      <c r="Y146" s="10"/>
      <c r="Z146" s="10"/>
      <c r="AA146" s="22"/>
    </row>
    <row r="147" spans="5:27" s="11" customFormat="1" hidden="1" x14ac:dyDescent="0.25">
      <c r="E147" s="9"/>
      <c r="F147" s="9"/>
      <c r="G147" s="9"/>
      <c r="H147" s="10"/>
      <c r="I147" s="10"/>
      <c r="J147" s="10"/>
      <c r="L147" s="12"/>
      <c r="M147" s="9"/>
      <c r="N147" s="10"/>
      <c r="O147" s="10"/>
      <c r="P147" s="9"/>
      <c r="Q147" s="9"/>
      <c r="R147" s="10"/>
      <c r="S147" s="10"/>
      <c r="U147" s="9"/>
      <c r="V147" s="13"/>
      <c r="W147" s="13"/>
      <c r="X147" s="10"/>
      <c r="Y147" s="10"/>
      <c r="Z147" s="10"/>
      <c r="AA147" s="22"/>
    </row>
    <row r="148" spans="5:27" s="11" customFormat="1" hidden="1" x14ac:dyDescent="0.25">
      <c r="E148" s="9"/>
      <c r="F148" s="9"/>
      <c r="G148" s="9"/>
      <c r="H148" s="10"/>
      <c r="I148" s="10"/>
      <c r="J148" s="9"/>
      <c r="L148" s="12"/>
      <c r="M148" s="9"/>
      <c r="N148" s="10"/>
      <c r="O148" s="10"/>
      <c r="P148" s="9"/>
      <c r="Q148" s="9"/>
      <c r="R148" s="10"/>
      <c r="S148" s="10"/>
      <c r="U148" s="9"/>
      <c r="V148" s="13"/>
      <c r="W148" s="13"/>
      <c r="X148" s="10"/>
      <c r="Y148" s="10"/>
      <c r="Z148" s="10"/>
      <c r="AA148" s="22"/>
    </row>
    <row r="149" spans="5:27" s="11" customFormat="1" hidden="1" x14ac:dyDescent="0.25">
      <c r="E149" s="9"/>
      <c r="F149" s="9"/>
      <c r="G149" s="9"/>
      <c r="H149" s="10"/>
      <c r="I149" s="10"/>
      <c r="J149" s="9"/>
      <c r="K149" s="10"/>
      <c r="L149" s="12"/>
      <c r="M149" s="9"/>
      <c r="N149" s="10"/>
      <c r="O149" s="10"/>
      <c r="P149" s="9"/>
      <c r="Q149" s="9"/>
      <c r="R149" s="10"/>
      <c r="S149" s="10"/>
      <c r="U149" s="9"/>
      <c r="V149" s="13"/>
      <c r="W149" s="13"/>
      <c r="X149" s="10"/>
      <c r="Y149" s="19"/>
      <c r="Z149" s="10"/>
      <c r="AA149" s="22"/>
    </row>
    <row r="150" spans="5:27" s="11" customFormat="1" hidden="1" x14ac:dyDescent="0.25">
      <c r="E150" s="9"/>
      <c r="F150" s="9"/>
      <c r="G150" s="9"/>
      <c r="H150" s="10"/>
      <c r="I150" s="10"/>
      <c r="J150" s="10"/>
      <c r="L150" s="12"/>
      <c r="M150" s="9"/>
      <c r="N150" s="10"/>
      <c r="O150" s="10"/>
      <c r="P150" s="9"/>
      <c r="Q150" s="9"/>
      <c r="R150" s="10"/>
      <c r="S150" s="10"/>
      <c r="U150" s="9"/>
      <c r="V150" s="13"/>
      <c r="W150" s="13"/>
      <c r="X150" s="10"/>
      <c r="Y150" s="10"/>
      <c r="Z150" s="10"/>
      <c r="AA150" s="22"/>
    </row>
    <row r="151" spans="5:27" s="11" customFormat="1" hidden="1" x14ac:dyDescent="0.25">
      <c r="E151" s="9"/>
      <c r="F151" s="9"/>
      <c r="G151" s="9"/>
      <c r="H151" s="10"/>
      <c r="I151" s="10"/>
      <c r="J151" s="9"/>
      <c r="L151" s="12"/>
      <c r="M151" s="9"/>
      <c r="N151" s="10"/>
      <c r="O151" s="10"/>
      <c r="P151" s="9"/>
      <c r="Q151" s="9"/>
      <c r="R151" s="10"/>
      <c r="S151" s="10"/>
      <c r="U151" s="9"/>
      <c r="V151" s="13"/>
      <c r="W151" s="13"/>
      <c r="X151" s="10"/>
      <c r="Y151" s="10"/>
      <c r="Z151" s="10"/>
      <c r="AA151" s="22"/>
    </row>
    <row r="152" spans="5:27" s="22" customFormat="1" hidden="1" x14ac:dyDescent="0.25">
      <c r="E152" s="9"/>
      <c r="F152" s="9"/>
      <c r="G152" s="9"/>
      <c r="H152" s="10"/>
      <c r="I152" s="10"/>
      <c r="J152" s="10"/>
      <c r="K152" s="11"/>
      <c r="L152" s="12"/>
      <c r="M152" s="9"/>
      <c r="N152" s="10"/>
      <c r="O152" s="10"/>
      <c r="P152" s="9"/>
      <c r="Q152" s="9"/>
      <c r="R152" s="10"/>
      <c r="S152" s="10"/>
      <c r="T152" s="11"/>
      <c r="U152" s="9"/>
      <c r="V152" s="13"/>
      <c r="W152" s="13"/>
      <c r="X152" s="10"/>
      <c r="Y152" s="10"/>
      <c r="Z152" s="10"/>
    </row>
    <row r="153" spans="5:27" s="22" customFormat="1" hidden="1" x14ac:dyDescent="0.25">
      <c r="E153" s="9"/>
      <c r="F153" s="9"/>
      <c r="G153" s="9"/>
      <c r="H153" s="10"/>
      <c r="I153" s="10"/>
      <c r="J153" s="9"/>
      <c r="K153" s="11"/>
      <c r="L153" s="12"/>
      <c r="M153" s="9"/>
      <c r="N153" s="10"/>
      <c r="O153" s="10"/>
      <c r="P153" s="9"/>
      <c r="Q153" s="9"/>
      <c r="R153" s="10"/>
      <c r="S153" s="10"/>
      <c r="T153" s="11"/>
      <c r="U153" s="9"/>
      <c r="V153" s="13"/>
      <c r="W153" s="13"/>
      <c r="X153" s="10"/>
      <c r="Y153" s="10"/>
      <c r="Z153" s="10"/>
    </row>
    <row r="154" spans="5:27" s="22" customFormat="1" hidden="1" x14ac:dyDescent="0.25">
      <c r="E154" s="9"/>
      <c r="F154" s="14"/>
      <c r="G154" s="14"/>
      <c r="H154" s="14"/>
      <c r="I154" s="10"/>
      <c r="J154" s="14"/>
      <c r="K154" s="14"/>
      <c r="L154" s="15"/>
      <c r="M154" s="14"/>
      <c r="N154" s="14"/>
      <c r="O154" s="14"/>
      <c r="P154" s="14"/>
      <c r="Q154" s="14"/>
      <c r="R154" s="14"/>
      <c r="S154" s="14"/>
      <c r="T154" s="14"/>
      <c r="U154" s="14"/>
      <c r="V154" s="16"/>
      <c r="W154" s="16"/>
      <c r="X154" s="14"/>
      <c r="Y154" s="17"/>
      <c r="Z154" s="17"/>
    </row>
    <row r="155" spans="5:27" s="22" customFormat="1" hidden="1" x14ac:dyDescent="0.25">
      <c r="E155" s="9"/>
      <c r="F155" s="9"/>
      <c r="G155" s="9"/>
      <c r="H155" s="10"/>
      <c r="I155" s="10"/>
      <c r="J155" s="10"/>
      <c r="K155" s="11"/>
      <c r="L155" s="12"/>
      <c r="M155" s="9"/>
      <c r="N155" s="10"/>
      <c r="O155" s="10"/>
      <c r="P155" s="9"/>
      <c r="Q155" s="9"/>
      <c r="R155" s="10"/>
      <c r="S155" s="10"/>
      <c r="T155" s="11"/>
      <c r="U155" s="9"/>
      <c r="V155" s="13"/>
      <c r="W155" s="13"/>
      <c r="X155" s="10"/>
      <c r="Y155" s="10"/>
      <c r="Z155" s="10"/>
    </row>
    <row r="156" spans="5:27" s="22" customFormat="1" hidden="1" x14ac:dyDescent="0.25">
      <c r="E156" s="9"/>
      <c r="F156" s="9"/>
      <c r="G156" s="9"/>
      <c r="H156" s="10"/>
      <c r="I156" s="10"/>
      <c r="J156" s="10"/>
      <c r="K156" s="10"/>
      <c r="L156" s="12"/>
      <c r="M156" s="9"/>
      <c r="N156" s="10"/>
      <c r="O156" s="10"/>
      <c r="P156" s="9"/>
      <c r="Q156" s="9"/>
      <c r="R156" s="10"/>
      <c r="S156" s="10"/>
      <c r="T156" s="11"/>
      <c r="U156" s="9"/>
      <c r="V156" s="13"/>
      <c r="W156" s="13"/>
      <c r="X156" s="10"/>
      <c r="Y156" s="10"/>
      <c r="Z156" s="10"/>
    </row>
    <row r="157" spans="5:27" s="22" customFormat="1" hidden="1" x14ac:dyDescent="0.25">
      <c r="E157" s="9"/>
      <c r="F157" s="9"/>
      <c r="G157" s="9"/>
      <c r="H157" s="10"/>
      <c r="I157" s="10"/>
      <c r="J157" s="9"/>
      <c r="K157" s="11"/>
      <c r="L157" s="12"/>
      <c r="M157" s="9"/>
      <c r="N157" s="10"/>
      <c r="O157" s="10"/>
      <c r="P157" s="9"/>
      <c r="Q157" s="9"/>
      <c r="R157" s="10"/>
      <c r="S157" s="10"/>
      <c r="T157" s="11"/>
      <c r="U157" s="9"/>
      <c r="V157" s="13"/>
      <c r="W157" s="13"/>
      <c r="X157" s="10"/>
      <c r="Y157" s="10"/>
      <c r="Z157" s="10"/>
    </row>
    <row r="158" spans="5:27" s="22" customFormat="1" hidden="1" x14ac:dyDescent="0.25">
      <c r="E158" s="9"/>
      <c r="F158" s="9"/>
      <c r="G158" s="9"/>
      <c r="H158" s="10"/>
      <c r="I158" s="10"/>
      <c r="J158" s="9"/>
      <c r="K158" s="10"/>
      <c r="L158" s="12"/>
      <c r="M158" s="9"/>
      <c r="N158" s="10"/>
      <c r="O158" s="10"/>
      <c r="P158" s="9"/>
      <c r="Q158" s="9"/>
      <c r="R158" s="10"/>
      <c r="S158" s="10"/>
      <c r="T158" s="11"/>
      <c r="U158" s="9"/>
      <c r="V158" s="13"/>
      <c r="W158" s="13"/>
      <c r="X158" s="10"/>
      <c r="Y158" s="10"/>
      <c r="Z158" s="10"/>
    </row>
    <row r="159" spans="5:27" s="22" customFormat="1" hidden="1" x14ac:dyDescent="0.25">
      <c r="E159" s="9"/>
      <c r="F159" s="9"/>
      <c r="G159" s="9"/>
      <c r="H159" s="10"/>
      <c r="I159" s="10"/>
      <c r="J159" s="9"/>
      <c r="K159" s="10"/>
      <c r="L159" s="12"/>
      <c r="M159" s="9"/>
      <c r="N159" s="10"/>
      <c r="O159" s="10"/>
      <c r="P159" s="9"/>
      <c r="Q159" s="9"/>
      <c r="R159" s="10"/>
      <c r="S159" s="10"/>
      <c r="T159" s="11"/>
      <c r="U159" s="9"/>
      <c r="V159" s="13"/>
      <c r="W159" s="13"/>
      <c r="X159" s="10"/>
      <c r="Y159" s="10"/>
      <c r="Z159" s="10"/>
    </row>
    <row r="160" spans="5:27" s="22" customFormat="1" hidden="1" x14ac:dyDescent="0.25">
      <c r="E160" s="9"/>
      <c r="F160" s="9"/>
      <c r="G160" s="9"/>
      <c r="H160" s="10"/>
      <c r="I160" s="10"/>
      <c r="J160" s="9"/>
      <c r="K160" s="10"/>
      <c r="L160" s="12"/>
      <c r="M160" s="9"/>
      <c r="N160" s="10"/>
      <c r="O160" s="10"/>
      <c r="P160" s="9"/>
      <c r="Q160" s="9"/>
      <c r="R160" s="10"/>
      <c r="S160" s="10"/>
      <c r="T160" s="11"/>
      <c r="U160" s="9"/>
      <c r="V160" s="13"/>
      <c r="W160" s="13"/>
      <c r="X160" s="10"/>
      <c r="Y160" s="10"/>
      <c r="Z160" s="10"/>
    </row>
    <row r="161" spans="5:26" s="22" customFormat="1" hidden="1" x14ac:dyDescent="0.25">
      <c r="E161" s="9"/>
      <c r="F161" s="9"/>
      <c r="G161" s="9"/>
      <c r="H161" s="10"/>
      <c r="I161" s="10"/>
      <c r="J161" s="10"/>
      <c r="K161" s="10"/>
      <c r="L161" s="12"/>
      <c r="M161" s="9"/>
      <c r="N161" s="10"/>
      <c r="O161" s="10"/>
      <c r="P161" s="9"/>
      <c r="Q161" s="9"/>
      <c r="R161" s="10"/>
      <c r="S161" s="10"/>
      <c r="T161" s="11"/>
      <c r="U161" s="9"/>
      <c r="V161" s="13"/>
      <c r="W161" s="13"/>
      <c r="X161" s="10"/>
      <c r="Y161" s="10"/>
      <c r="Z161" s="10"/>
    </row>
    <row r="162" spans="5:26" s="22" customFormat="1" hidden="1" x14ac:dyDescent="0.25">
      <c r="E162" s="9"/>
      <c r="F162" s="9"/>
      <c r="G162" s="9"/>
      <c r="H162" s="10"/>
      <c r="I162" s="10"/>
      <c r="J162" s="9"/>
      <c r="K162" s="11"/>
      <c r="L162" s="12"/>
      <c r="M162" s="9"/>
      <c r="N162" s="10"/>
      <c r="O162" s="10"/>
      <c r="P162" s="9"/>
      <c r="Q162" s="9"/>
      <c r="R162" s="10"/>
      <c r="S162" s="10"/>
      <c r="T162" s="11"/>
      <c r="U162" s="9"/>
      <c r="V162" s="13"/>
      <c r="W162" s="13"/>
      <c r="X162" s="10"/>
      <c r="Y162" s="10"/>
      <c r="Z162" s="10"/>
    </row>
    <row r="163" spans="5:26" s="22" customFormat="1" hidden="1" x14ac:dyDescent="0.25">
      <c r="E163" s="9"/>
      <c r="F163" s="9"/>
      <c r="G163" s="9"/>
      <c r="H163" s="10"/>
      <c r="I163" s="10"/>
      <c r="J163" s="9"/>
      <c r="K163" s="11"/>
      <c r="L163" s="12"/>
      <c r="M163" s="9"/>
      <c r="N163" s="10"/>
      <c r="O163" s="10"/>
      <c r="P163" s="9"/>
      <c r="Q163" s="9"/>
      <c r="R163" s="10"/>
      <c r="S163" s="10"/>
      <c r="T163" s="11"/>
      <c r="U163" s="9"/>
      <c r="V163" s="13"/>
      <c r="W163" s="13"/>
      <c r="X163" s="10"/>
      <c r="Y163" s="10"/>
      <c r="Z163" s="10"/>
    </row>
    <row r="164" spans="5:26" s="22" customFormat="1" hidden="1" x14ac:dyDescent="0.25">
      <c r="E164" s="9"/>
      <c r="F164" s="9"/>
      <c r="G164" s="9"/>
      <c r="H164" s="10"/>
      <c r="I164" s="10"/>
      <c r="J164" s="9"/>
      <c r="K164" s="10"/>
      <c r="L164" s="12"/>
      <c r="M164" s="9"/>
      <c r="N164" s="10"/>
      <c r="O164" s="10"/>
      <c r="P164" s="9"/>
      <c r="Q164" s="9"/>
      <c r="R164" s="10"/>
      <c r="S164" s="10"/>
      <c r="T164" s="11"/>
      <c r="U164" s="9"/>
      <c r="V164" s="13"/>
      <c r="W164" s="13"/>
      <c r="X164" s="10"/>
      <c r="Y164" s="10"/>
      <c r="Z164" s="10"/>
    </row>
    <row r="165" spans="5:26" s="22" customFormat="1" hidden="1" x14ac:dyDescent="0.25">
      <c r="E165" s="9"/>
      <c r="F165" s="9"/>
      <c r="G165" s="9"/>
      <c r="H165" s="10"/>
      <c r="I165" s="10"/>
      <c r="J165" s="9"/>
      <c r="K165" s="11"/>
      <c r="L165" s="12"/>
      <c r="M165" s="9"/>
      <c r="N165" s="10"/>
      <c r="O165" s="10"/>
      <c r="P165" s="9"/>
      <c r="Q165" s="9"/>
      <c r="R165" s="10"/>
      <c r="S165" s="10"/>
      <c r="T165" s="11"/>
      <c r="U165" s="9"/>
      <c r="V165" s="13"/>
      <c r="W165" s="13"/>
      <c r="X165" s="10"/>
      <c r="Y165" s="10"/>
      <c r="Z165" s="10"/>
    </row>
    <row r="166" spans="5:26" s="22" customFormat="1" hidden="1" x14ac:dyDescent="0.25">
      <c r="E166" s="9"/>
      <c r="F166" s="9"/>
      <c r="G166" s="9"/>
      <c r="H166" s="10"/>
      <c r="I166" s="10"/>
      <c r="J166" s="9"/>
      <c r="K166" s="11"/>
      <c r="L166" s="12"/>
      <c r="M166" s="9"/>
      <c r="N166" s="10"/>
      <c r="O166" s="10"/>
      <c r="P166" s="9"/>
      <c r="Q166" s="9"/>
      <c r="R166" s="10"/>
      <c r="S166" s="10"/>
      <c r="T166" s="11"/>
      <c r="U166" s="9"/>
      <c r="V166" s="13"/>
      <c r="W166" s="13"/>
      <c r="X166" s="10"/>
      <c r="Y166" s="10"/>
      <c r="Z166" s="10"/>
    </row>
    <row r="167" spans="5:26" s="22" customFormat="1" hidden="1" x14ac:dyDescent="0.25">
      <c r="E167" s="9"/>
      <c r="F167" s="9"/>
      <c r="G167" s="9"/>
      <c r="H167" s="10"/>
      <c r="I167" s="10"/>
      <c r="J167" s="10"/>
      <c r="K167" s="11"/>
      <c r="L167" s="12"/>
      <c r="M167" s="9"/>
      <c r="N167" s="10"/>
      <c r="O167" s="10"/>
      <c r="P167" s="9"/>
      <c r="Q167" s="9"/>
      <c r="R167" s="10"/>
      <c r="S167" s="10"/>
      <c r="T167" s="11"/>
      <c r="U167" s="9"/>
      <c r="V167" s="13"/>
      <c r="W167" s="13"/>
      <c r="X167" s="10"/>
      <c r="Y167" s="10"/>
      <c r="Z167" s="10"/>
    </row>
    <row r="168" spans="5:26" s="22" customFormat="1" hidden="1" x14ac:dyDescent="0.25">
      <c r="E168" s="9"/>
      <c r="F168" s="9"/>
      <c r="G168" s="9"/>
      <c r="H168" s="10"/>
      <c r="I168" s="10"/>
      <c r="J168" s="9"/>
      <c r="K168" s="11"/>
      <c r="L168" s="12"/>
      <c r="M168" s="9"/>
      <c r="N168" s="10"/>
      <c r="O168" s="10"/>
      <c r="P168" s="9"/>
      <c r="Q168" s="9"/>
      <c r="R168" s="10"/>
      <c r="S168" s="10"/>
      <c r="T168" s="11"/>
      <c r="U168" s="9"/>
      <c r="V168" s="13"/>
      <c r="W168" s="13"/>
      <c r="X168" s="10"/>
      <c r="Y168" s="10"/>
      <c r="Z168" s="10"/>
    </row>
    <row r="169" spans="5:26" s="22" customFormat="1" hidden="1" x14ac:dyDescent="0.25">
      <c r="E169" s="9"/>
      <c r="F169" s="9"/>
      <c r="G169" s="9"/>
      <c r="H169" s="10"/>
      <c r="I169" s="10"/>
      <c r="J169" s="9"/>
      <c r="K169" s="10"/>
      <c r="L169" s="12"/>
      <c r="M169" s="9"/>
      <c r="N169" s="10"/>
      <c r="O169" s="10"/>
      <c r="P169" s="9"/>
      <c r="Q169" s="9"/>
      <c r="R169" s="10"/>
      <c r="S169" s="10"/>
      <c r="T169" s="11"/>
      <c r="U169" s="9"/>
      <c r="V169" s="13"/>
      <c r="W169" s="13"/>
      <c r="X169" s="10"/>
      <c r="Y169" s="10"/>
      <c r="Z169" s="10"/>
    </row>
    <row r="170" spans="5:26" s="22" customFormat="1" hidden="1" x14ac:dyDescent="0.25">
      <c r="E170" s="9"/>
      <c r="F170" s="9"/>
      <c r="G170" s="9"/>
      <c r="H170" s="10"/>
      <c r="I170" s="10"/>
      <c r="J170" s="9"/>
      <c r="K170" s="11"/>
      <c r="L170" s="12"/>
      <c r="M170" s="9"/>
      <c r="N170" s="10"/>
      <c r="O170" s="10"/>
      <c r="P170" s="9"/>
      <c r="Q170" s="9"/>
      <c r="R170" s="10"/>
      <c r="S170" s="10"/>
      <c r="T170" s="11"/>
      <c r="U170" s="9"/>
      <c r="V170" s="13"/>
      <c r="W170" s="13"/>
      <c r="X170" s="10"/>
      <c r="Y170" s="10"/>
      <c r="Z170" s="10"/>
    </row>
    <row r="171" spans="5:26" s="22" customFormat="1" hidden="1" x14ac:dyDescent="0.25">
      <c r="E171" s="9"/>
      <c r="F171" s="9"/>
      <c r="G171" s="9"/>
      <c r="H171" s="10"/>
      <c r="I171" s="10"/>
      <c r="J171" s="10"/>
      <c r="K171" s="11"/>
      <c r="L171" s="12"/>
      <c r="M171" s="9"/>
      <c r="N171" s="10"/>
      <c r="O171" s="10"/>
      <c r="P171" s="9"/>
      <c r="Q171" s="9"/>
      <c r="R171" s="10"/>
      <c r="S171" s="10"/>
      <c r="T171" s="11"/>
      <c r="U171" s="9"/>
      <c r="V171" s="13"/>
      <c r="W171" s="13"/>
      <c r="X171" s="10"/>
      <c r="Y171" s="10"/>
      <c r="Z171" s="10"/>
    </row>
    <row r="172" spans="5:26" s="22" customFormat="1" hidden="1" x14ac:dyDescent="0.25">
      <c r="E172" s="9"/>
      <c r="F172" s="9"/>
      <c r="G172" s="9"/>
      <c r="H172" s="10"/>
      <c r="I172" s="10"/>
      <c r="J172" s="9"/>
      <c r="K172" s="11"/>
      <c r="L172" s="12"/>
      <c r="M172" s="9"/>
      <c r="N172" s="10"/>
      <c r="O172" s="10"/>
      <c r="P172" s="9"/>
      <c r="Q172" s="9"/>
      <c r="R172" s="10"/>
      <c r="S172" s="10"/>
      <c r="T172" s="11"/>
      <c r="U172" s="9"/>
      <c r="V172" s="13"/>
      <c r="W172" s="13"/>
      <c r="X172" s="10"/>
      <c r="Y172" s="10"/>
      <c r="Z172" s="10"/>
    </row>
    <row r="173" spans="5:26" s="22" customFormat="1" hidden="1" x14ac:dyDescent="0.25">
      <c r="E173" s="9"/>
      <c r="F173" s="9"/>
      <c r="G173" s="9"/>
      <c r="H173" s="10"/>
      <c r="I173" s="10"/>
      <c r="J173" s="9"/>
      <c r="K173" s="11"/>
      <c r="L173" s="12"/>
      <c r="M173" s="9"/>
      <c r="N173" s="10"/>
      <c r="O173" s="10"/>
      <c r="P173" s="9"/>
      <c r="Q173" s="9"/>
      <c r="R173" s="10"/>
      <c r="S173" s="10"/>
      <c r="T173" s="11"/>
      <c r="U173" s="9"/>
      <c r="V173" s="13"/>
      <c r="W173" s="13"/>
      <c r="X173" s="10"/>
      <c r="Y173" s="10"/>
      <c r="Z173" s="10"/>
    </row>
    <row r="174" spans="5:26" s="22" customFormat="1" hidden="1" x14ac:dyDescent="0.25">
      <c r="E174" s="9"/>
      <c r="F174" s="14"/>
      <c r="G174" s="14"/>
      <c r="H174" s="14"/>
      <c r="I174" s="9"/>
      <c r="J174" s="14"/>
      <c r="K174" s="14"/>
      <c r="L174" s="15"/>
      <c r="M174" s="14"/>
      <c r="N174" s="14"/>
      <c r="O174" s="14"/>
      <c r="P174" s="14"/>
      <c r="Q174" s="14"/>
      <c r="R174" s="14"/>
      <c r="S174" s="14"/>
      <c r="T174" s="14"/>
      <c r="U174" s="14"/>
      <c r="V174" s="16"/>
      <c r="W174" s="16"/>
      <c r="X174" s="14"/>
      <c r="Y174" s="17"/>
      <c r="Z174" s="17"/>
    </row>
    <row r="175" spans="5:26" s="22" customFormat="1" hidden="1" x14ac:dyDescent="0.25">
      <c r="E175" s="9"/>
      <c r="F175" s="14"/>
      <c r="G175" s="14"/>
      <c r="H175" s="14"/>
      <c r="I175" s="10"/>
      <c r="J175" s="14"/>
      <c r="K175" s="14"/>
      <c r="L175" s="15"/>
      <c r="M175" s="14"/>
      <c r="N175" s="14"/>
      <c r="O175" s="14"/>
      <c r="P175" s="14"/>
      <c r="Q175" s="14"/>
      <c r="R175" s="14"/>
      <c r="S175" s="14"/>
      <c r="T175" s="14"/>
      <c r="U175" s="14"/>
      <c r="V175" s="16"/>
      <c r="W175" s="16"/>
      <c r="X175" s="14"/>
      <c r="Y175" s="17"/>
      <c r="Z175" s="17"/>
    </row>
    <row r="176" spans="5:26" s="22" customFormat="1" hidden="1" x14ac:dyDescent="0.25">
      <c r="E176" s="9"/>
      <c r="F176" s="9"/>
      <c r="G176" s="9"/>
      <c r="H176" s="10"/>
      <c r="I176" s="10"/>
      <c r="J176" s="9"/>
      <c r="K176" s="11"/>
      <c r="L176" s="12"/>
      <c r="M176" s="9"/>
      <c r="N176" s="10"/>
      <c r="O176" s="10"/>
      <c r="P176" s="9"/>
      <c r="Q176" s="9"/>
      <c r="R176" s="10"/>
      <c r="S176" s="10"/>
      <c r="T176" s="11"/>
      <c r="U176" s="9"/>
      <c r="V176" s="13"/>
      <c r="W176" s="13"/>
      <c r="X176" s="10"/>
      <c r="Y176" s="10"/>
      <c r="Z176" s="10"/>
    </row>
    <row r="177" spans="5:26" s="22" customFormat="1" hidden="1" x14ac:dyDescent="0.25">
      <c r="E177" s="9"/>
      <c r="F177" s="14"/>
      <c r="G177" s="14"/>
      <c r="H177" s="14"/>
      <c r="I177" s="9"/>
      <c r="J177" s="14"/>
      <c r="K177" s="14"/>
      <c r="L177" s="15"/>
      <c r="M177" s="14"/>
      <c r="N177" s="14"/>
      <c r="O177" s="14"/>
      <c r="P177" s="14"/>
      <c r="Q177" s="14"/>
      <c r="R177" s="14"/>
      <c r="S177" s="14"/>
      <c r="T177" s="14"/>
      <c r="U177" s="14"/>
      <c r="V177" s="16"/>
      <c r="W177" s="16"/>
      <c r="X177" s="14"/>
      <c r="Y177" s="17"/>
      <c r="Z177" s="17"/>
    </row>
    <row r="178" spans="5:26" s="22" customFormat="1" hidden="1" x14ac:dyDescent="0.25">
      <c r="E178" s="9"/>
      <c r="F178" s="9"/>
      <c r="G178" s="9"/>
      <c r="H178" s="10"/>
      <c r="I178" s="10"/>
      <c r="J178" s="10"/>
      <c r="K178" s="11"/>
      <c r="L178" s="12"/>
      <c r="M178" s="9"/>
      <c r="N178" s="10"/>
      <c r="O178" s="10"/>
      <c r="P178" s="9"/>
      <c r="Q178" s="9"/>
      <c r="R178" s="10"/>
      <c r="S178" s="10"/>
      <c r="T178" s="11"/>
      <c r="U178" s="9"/>
      <c r="V178" s="13"/>
      <c r="W178" s="13"/>
      <c r="X178" s="10"/>
      <c r="Y178" s="10"/>
      <c r="Z178" s="10"/>
    </row>
    <row r="179" spans="5:26" s="22" customFormat="1" hidden="1" x14ac:dyDescent="0.25">
      <c r="E179" s="9"/>
      <c r="F179" s="14"/>
      <c r="G179" s="14"/>
      <c r="H179" s="14"/>
      <c r="I179" s="9"/>
      <c r="J179" s="14"/>
      <c r="K179" s="14"/>
      <c r="L179" s="15"/>
      <c r="M179" s="14"/>
      <c r="N179" s="14"/>
      <c r="O179" s="14"/>
      <c r="P179" s="14"/>
      <c r="Q179" s="14"/>
      <c r="R179" s="14"/>
      <c r="S179" s="14"/>
      <c r="T179" s="14"/>
      <c r="U179" s="14"/>
      <c r="V179" s="16"/>
      <c r="W179" s="16"/>
      <c r="X179" s="14"/>
      <c r="Y179" s="17"/>
      <c r="Z179" s="17"/>
    </row>
    <row r="180" spans="5:26" x14ac:dyDescent="0.25"/>
  </sheetData>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81933-4453-4726-82F7-7A40F051096A}">
  <dimension ref="A1:AA181"/>
  <sheetViews>
    <sheetView tabSelected="1" zoomScale="115" zoomScaleNormal="115" workbookViewId="0">
      <selection activeCell="D1" sqref="D1"/>
    </sheetView>
  </sheetViews>
  <sheetFormatPr defaultColWidth="24" defaultRowHeight="13.2" x14ac:dyDescent="0.25"/>
  <cols>
    <col min="1" max="1" width="28" style="1" customWidth="1"/>
    <col min="2" max="2" width="22.88671875" style="1" customWidth="1"/>
    <col min="3" max="3" width="33.88671875" style="1" customWidth="1"/>
    <col min="4" max="4" width="42.21875" style="39" bestFit="1" customWidth="1"/>
    <col min="5" max="5" width="31.21875" style="46" customWidth="1"/>
    <col min="6" max="6" width="35.5546875" style="46" customWidth="1"/>
    <col min="7" max="7" width="23.21875" style="39" customWidth="1"/>
    <col min="8" max="8" width="42.21875" style="39" bestFit="1" customWidth="1"/>
    <col min="9" max="9" width="25.5546875" style="46" customWidth="1"/>
    <col min="10" max="10" width="15.88671875" style="39" bestFit="1" customWidth="1"/>
    <col min="11" max="11" width="29" style="47" bestFit="1" customWidth="1"/>
    <col min="12" max="12" width="37.109375" style="46" customWidth="1"/>
    <col min="13" max="13" width="28.21875" style="39" customWidth="1"/>
    <col min="14" max="14" width="21.109375" style="39" customWidth="1"/>
    <col min="15" max="15" width="16.6640625" style="39" customWidth="1"/>
    <col min="16" max="16" width="38.77734375" style="46" customWidth="1"/>
    <col min="17" max="17" width="16.44140625" style="39" customWidth="1"/>
    <col min="18" max="18" width="14.77734375" style="46" customWidth="1"/>
    <col min="19" max="19" width="11" style="39" customWidth="1"/>
    <col min="20" max="20" width="44.44140625" style="46" customWidth="1"/>
    <col min="21" max="21" width="23.5546875" style="48" customWidth="1"/>
    <col min="22" max="22" width="26.21875" style="48" customWidth="1"/>
    <col min="23" max="23" width="18.33203125" style="39" customWidth="1"/>
    <col min="24" max="24" width="18.33203125" style="48" customWidth="1"/>
    <col min="25" max="25" width="19.44140625" style="39" bestFit="1" customWidth="1"/>
    <col min="26" max="26" width="20.21875" style="39" customWidth="1"/>
    <col min="27" max="27" width="48.77734375" style="39" bestFit="1" customWidth="1"/>
    <col min="28" max="16384" width="24" style="1"/>
  </cols>
  <sheetData>
    <row r="1" spans="1:27" s="2" customFormat="1" ht="49.8" customHeight="1" x14ac:dyDescent="0.25">
      <c r="A1" s="51" t="s">
        <v>829</v>
      </c>
      <c r="B1" s="51"/>
      <c r="C1" s="51"/>
      <c r="D1" s="4" t="s">
        <v>0</v>
      </c>
      <c r="E1" s="4" t="s">
        <v>791</v>
      </c>
      <c r="F1" s="4" t="s">
        <v>794</v>
      </c>
      <c r="G1" s="4" t="s">
        <v>790</v>
      </c>
      <c r="H1" s="4" t="s">
        <v>1</v>
      </c>
      <c r="I1" s="4" t="s">
        <v>792</v>
      </c>
      <c r="J1" s="4" t="s">
        <v>793</v>
      </c>
      <c r="K1" s="5" t="s">
        <v>795</v>
      </c>
      <c r="L1" s="4" t="s">
        <v>796</v>
      </c>
      <c r="M1" s="4" t="s">
        <v>2</v>
      </c>
      <c r="N1" s="4" t="s">
        <v>3</v>
      </c>
      <c r="O1" s="4" t="s">
        <v>4</v>
      </c>
      <c r="P1" s="4" t="s">
        <v>5</v>
      </c>
      <c r="Q1" s="4" t="s">
        <v>6</v>
      </c>
      <c r="R1" s="4" t="s">
        <v>7</v>
      </c>
      <c r="S1" s="4" t="s">
        <v>824</v>
      </c>
      <c r="T1" s="4" t="s">
        <v>8</v>
      </c>
      <c r="U1" s="3" t="s">
        <v>9</v>
      </c>
      <c r="V1" s="3" t="s">
        <v>10</v>
      </c>
      <c r="W1" s="4" t="s">
        <v>11</v>
      </c>
      <c r="X1" s="3" t="s">
        <v>838</v>
      </c>
      <c r="Y1" s="4" t="s">
        <v>12</v>
      </c>
      <c r="Z1" s="4" t="s">
        <v>13</v>
      </c>
      <c r="AA1" s="4" t="s">
        <v>797</v>
      </c>
    </row>
    <row r="2" spans="1:27" x14ac:dyDescent="0.25">
      <c r="D2" s="30" t="s">
        <v>389</v>
      </c>
      <c r="E2" s="34" t="s">
        <v>119</v>
      </c>
      <c r="F2" s="34" t="s">
        <v>37</v>
      </c>
      <c r="G2" s="35" t="s">
        <v>826</v>
      </c>
      <c r="H2" s="30" t="s">
        <v>389</v>
      </c>
      <c r="I2" s="34" t="s">
        <v>416</v>
      </c>
      <c r="J2" s="30">
        <v>0</v>
      </c>
      <c r="K2" s="36">
        <v>612964388.13999999</v>
      </c>
      <c r="L2" s="34" t="s">
        <v>835</v>
      </c>
      <c r="M2" s="30" t="s">
        <v>417</v>
      </c>
      <c r="N2" s="30" t="s">
        <v>418</v>
      </c>
      <c r="O2" s="30" t="s">
        <v>239</v>
      </c>
      <c r="P2" s="34" t="s">
        <v>419</v>
      </c>
      <c r="Q2" s="30" t="s">
        <v>420</v>
      </c>
      <c r="R2" s="34" t="s">
        <v>25</v>
      </c>
      <c r="S2" s="30">
        <v>611512</v>
      </c>
      <c r="T2" s="34" t="s">
        <v>421</v>
      </c>
      <c r="U2" s="31">
        <v>42979</v>
      </c>
      <c r="V2" s="31">
        <v>46295</v>
      </c>
      <c r="W2" s="40">
        <v>2026</v>
      </c>
      <c r="X2" s="31" t="str">
        <f>_xlfn.XLOOKUP(apbi[[#This Row],[Contract Number]],[1]Preaward_OSBP!$F:$F,[1]Preaward_OSBP!$T:$T,"No Date Listed")</f>
        <v>No Date Listed</v>
      </c>
      <c r="Y2" s="30" t="s">
        <v>27</v>
      </c>
      <c r="Z2" s="30" t="s">
        <v>27</v>
      </c>
      <c r="AA2" s="30" t="s">
        <v>808</v>
      </c>
    </row>
    <row r="3" spans="1:27" s="29" customFormat="1" ht="87.6" customHeight="1" x14ac:dyDescent="0.25">
      <c r="D3" s="30" t="s">
        <v>212</v>
      </c>
      <c r="E3" s="34" t="s">
        <v>15</v>
      </c>
      <c r="F3" s="34" t="s">
        <v>145</v>
      </c>
      <c r="G3" s="35" t="s">
        <v>828</v>
      </c>
      <c r="H3" s="30" t="s">
        <v>212</v>
      </c>
      <c r="I3" s="34" t="s">
        <v>229</v>
      </c>
      <c r="J3" s="30">
        <v>0</v>
      </c>
      <c r="K3" s="36">
        <v>495000000</v>
      </c>
      <c r="L3" s="34" t="s">
        <v>230</v>
      </c>
      <c r="M3" s="30" t="s">
        <v>215</v>
      </c>
      <c r="N3" s="30" t="s">
        <v>203</v>
      </c>
      <c r="O3" s="30" t="s">
        <v>115</v>
      </c>
      <c r="P3" s="34" t="s">
        <v>231</v>
      </c>
      <c r="Q3" s="30" t="s">
        <v>35</v>
      </c>
      <c r="R3" s="34" t="s">
        <v>25</v>
      </c>
      <c r="S3" s="30">
        <v>236220</v>
      </c>
      <c r="T3" s="34" t="s">
        <v>232</v>
      </c>
      <c r="U3" s="31">
        <v>45107</v>
      </c>
      <c r="V3" s="31">
        <v>46933</v>
      </c>
      <c r="W3" s="40">
        <v>2028</v>
      </c>
      <c r="X3" s="31" t="str">
        <f>_xlfn.XLOOKUP(apbi[[#This Row],[Contract Number]],[1]Preaward_OSBP!$F:$F,[1]Preaward_OSBP!$T:$T,"No Date Listed")</f>
        <v>No Date Listed</v>
      </c>
      <c r="Y3" s="30" t="s">
        <v>27</v>
      </c>
      <c r="Z3" s="30" t="s">
        <v>27</v>
      </c>
      <c r="AA3" s="30" t="s">
        <v>821</v>
      </c>
    </row>
    <row r="4" spans="1:27" ht="79.2" x14ac:dyDescent="0.25">
      <c r="D4" s="30" t="s">
        <v>425</v>
      </c>
      <c r="E4" s="34" t="s">
        <v>15</v>
      </c>
      <c r="F4" s="34" t="s">
        <v>53</v>
      </c>
      <c r="G4" s="35" t="s">
        <v>828</v>
      </c>
      <c r="H4" s="30" t="s">
        <v>425</v>
      </c>
      <c r="I4" s="41" t="s">
        <v>451</v>
      </c>
      <c r="J4" s="30">
        <v>0</v>
      </c>
      <c r="K4" s="36">
        <v>207432050.46000001</v>
      </c>
      <c r="L4" s="34" t="s">
        <v>452</v>
      </c>
      <c r="M4" s="30" t="s">
        <v>428</v>
      </c>
      <c r="N4" s="30" t="s">
        <v>304</v>
      </c>
      <c r="O4" s="30" t="s">
        <v>453</v>
      </c>
      <c r="P4" s="34" t="s">
        <v>454</v>
      </c>
      <c r="Q4" s="30" t="s">
        <v>35</v>
      </c>
      <c r="R4" s="34" t="s">
        <v>25</v>
      </c>
      <c r="S4" s="30">
        <v>611430</v>
      </c>
      <c r="T4" s="34" t="s">
        <v>455</v>
      </c>
      <c r="U4" s="31">
        <v>44498</v>
      </c>
      <c r="V4" s="31">
        <v>46323</v>
      </c>
      <c r="W4" s="40">
        <v>2026</v>
      </c>
      <c r="X4" s="31" t="str">
        <f>_xlfn.XLOOKUP(apbi[[#This Row],[Contract Number]],[1]Preaward_OSBP!$F:$F,[1]Preaward_OSBP!$T:$T,"No Date Listed")</f>
        <v>No Date Listed</v>
      </c>
      <c r="Y4" s="30" t="s">
        <v>28</v>
      </c>
      <c r="Z4" s="30" t="s">
        <v>28</v>
      </c>
      <c r="AA4" s="30" t="s">
        <v>809</v>
      </c>
    </row>
    <row r="5" spans="1:27" ht="26.4" x14ac:dyDescent="0.25">
      <c r="D5" s="30" t="s">
        <v>709</v>
      </c>
      <c r="E5" s="34" t="s">
        <v>96</v>
      </c>
      <c r="F5" s="34" t="s">
        <v>134</v>
      </c>
      <c r="G5" s="35" t="s">
        <v>828</v>
      </c>
      <c r="H5" s="30" t="s">
        <v>299</v>
      </c>
      <c r="I5" s="34" t="s">
        <v>754</v>
      </c>
      <c r="J5" s="30">
        <v>0</v>
      </c>
      <c r="K5" s="36">
        <v>205000000</v>
      </c>
      <c r="L5" s="34" t="s">
        <v>755</v>
      </c>
      <c r="M5" s="30" t="s">
        <v>303</v>
      </c>
      <c r="N5" s="30" t="s">
        <v>304</v>
      </c>
      <c r="O5" s="30" t="s">
        <v>756</v>
      </c>
      <c r="P5" s="34" t="s">
        <v>757</v>
      </c>
      <c r="Q5" s="30" t="s">
        <v>85</v>
      </c>
      <c r="R5" s="34" t="s">
        <v>25</v>
      </c>
      <c r="S5" s="30">
        <v>561210</v>
      </c>
      <c r="T5" s="34" t="s">
        <v>72</v>
      </c>
      <c r="U5" s="31">
        <v>43800</v>
      </c>
      <c r="V5" s="31">
        <v>46446</v>
      </c>
      <c r="W5" s="30">
        <v>2027</v>
      </c>
      <c r="X5" s="31">
        <f>_xlfn.XLOOKUP(apbi[[#This Row],[Contract Number]],[1]Preaward_OSBP!$F:$F,[1]Preaward_OSBP!$T:$T,"No Date Listed")</f>
        <v>46104</v>
      </c>
      <c r="Y5" s="30" t="s">
        <v>27</v>
      </c>
      <c r="Z5" s="30" t="s">
        <v>27</v>
      </c>
      <c r="AA5" s="30" t="s">
        <v>817</v>
      </c>
    </row>
    <row r="6" spans="1:27" ht="23.4" customHeight="1" x14ac:dyDescent="0.25">
      <c r="A6" s="50"/>
      <c r="B6" s="50"/>
      <c r="C6" s="50"/>
      <c r="D6" s="30" t="s">
        <v>709</v>
      </c>
      <c r="E6" s="34" t="s">
        <v>119</v>
      </c>
      <c r="F6" s="34" t="s">
        <v>37</v>
      </c>
      <c r="G6" s="35" t="s">
        <v>826</v>
      </c>
      <c r="H6" s="30" t="s">
        <v>515</v>
      </c>
      <c r="I6" s="34" t="s">
        <v>752</v>
      </c>
      <c r="J6" s="30">
        <v>0</v>
      </c>
      <c r="K6" s="36">
        <v>190206883</v>
      </c>
      <c r="L6" s="34" t="s">
        <v>753</v>
      </c>
      <c r="M6" s="30" t="s">
        <v>518</v>
      </c>
      <c r="N6" s="30" t="s">
        <v>519</v>
      </c>
      <c r="O6" s="30" t="s">
        <v>713</v>
      </c>
      <c r="P6" s="34" t="s">
        <v>714</v>
      </c>
      <c r="Q6" s="30" t="s">
        <v>35</v>
      </c>
      <c r="R6" s="34" t="s">
        <v>25</v>
      </c>
      <c r="S6" s="30">
        <v>722310</v>
      </c>
      <c r="T6" s="34" t="s">
        <v>715</v>
      </c>
      <c r="U6" s="31">
        <v>44287</v>
      </c>
      <c r="V6" s="31">
        <v>46295</v>
      </c>
      <c r="W6" s="30">
        <v>2026</v>
      </c>
      <c r="X6" s="31" t="str">
        <f>_xlfn.XLOOKUP(apbi[[#This Row],[Contract Number]],[1]Preaward_OSBP!$F:$F,[1]Preaward_OSBP!$T:$T,"No Date Listed")</f>
        <v>No Date Listed</v>
      </c>
      <c r="Y6" s="30" t="s">
        <v>27</v>
      </c>
      <c r="Z6" s="30" t="s">
        <v>27</v>
      </c>
      <c r="AA6" s="30" t="s">
        <v>817</v>
      </c>
    </row>
    <row r="7" spans="1:27" ht="26.4" x14ac:dyDescent="0.25">
      <c r="D7" s="30" t="s">
        <v>709</v>
      </c>
      <c r="E7" s="34" t="s">
        <v>96</v>
      </c>
      <c r="F7" s="34" t="s">
        <v>145</v>
      </c>
      <c r="G7" s="35" t="s">
        <v>828</v>
      </c>
      <c r="H7" s="30" t="s">
        <v>299</v>
      </c>
      <c r="I7" s="34" t="s">
        <v>765</v>
      </c>
      <c r="J7" s="30">
        <v>0</v>
      </c>
      <c r="K7" s="36">
        <v>140000000</v>
      </c>
      <c r="L7" s="34" t="s">
        <v>766</v>
      </c>
      <c r="M7" s="30" t="s">
        <v>409</v>
      </c>
      <c r="N7" s="30" t="s">
        <v>410</v>
      </c>
      <c r="O7" s="30" t="s">
        <v>756</v>
      </c>
      <c r="P7" s="34" t="s">
        <v>767</v>
      </c>
      <c r="Q7" s="30" t="s">
        <v>35</v>
      </c>
      <c r="R7" s="34" t="s">
        <v>764</v>
      </c>
      <c r="S7" s="30">
        <v>236220</v>
      </c>
      <c r="T7" s="34" t="s">
        <v>232</v>
      </c>
      <c r="U7" s="31">
        <v>44459</v>
      </c>
      <c r="V7" s="31">
        <v>46284</v>
      </c>
      <c r="W7" s="30">
        <v>2026</v>
      </c>
      <c r="X7" s="31">
        <f>_xlfn.XLOOKUP(apbi[[#This Row],[Contract Number]],[1]Preaward_OSBP!$F:$F,[1]Preaward_OSBP!$T:$T,"No Date Listed")</f>
        <v>46104</v>
      </c>
      <c r="Y7" s="30" t="s">
        <v>27</v>
      </c>
      <c r="Z7" s="30" t="s">
        <v>27</v>
      </c>
      <c r="AA7" s="30" t="s">
        <v>817</v>
      </c>
    </row>
    <row r="8" spans="1:27" x14ac:dyDescent="0.25">
      <c r="D8" s="30" t="s">
        <v>619</v>
      </c>
      <c r="E8" s="34" t="s">
        <v>119</v>
      </c>
      <c r="F8" s="34" t="s">
        <v>37</v>
      </c>
      <c r="G8" s="35" t="s">
        <v>826</v>
      </c>
      <c r="H8" s="30" t="s">
        <v>619</v>
      </c>
      <c r="I8" s="34" t="s">
        <v>672</v>
      </c>
      <c r="J8" s="30">
        <v>0</v>
      </c>
      <c r="K8" s="36">
        <v>127835395.26000001</v>
      </c>
      <c r="L8" s="34" t="s">
        <v>673</v>
      </c>
      <c r="M8" s="30" t="s">
        <v>202</v>
      </c>
      <c r="N8" s="30" t="s">
        <v>107</v>
      </c>
      <c r="O8" s="30" t="s">
        <v>674</v>
      </c>
      <c r="P8" s="34" t="s">
        <v>675</v>
      </c>
      <c r="Q8" s="30" t="s">
        <v>35</v>
      </c>
      <c r="R8" s="34" t="s">
        <v>25</v>
      </c>
      <c r="S8" s="30">
        <v>541810</v>
      </c>
      <c r="T8" s="34" t="s">
        <v>676</v>
      </c>
      <c r="U8" s="31">
        <v>43424</v>
      </c>
      <c r="V8" s="31">
        <v>47076</v>
      </c>
      <c r="W8" s="40">
        <v>2028</v>
      </c>
      <c r="X8" s="31">
        <f>_xlfn.XLOOKUP(apbi[[#This Row],[Contract Number]],[1]Preaward_OSBP!$F:$F,[1]Preaward_OSBP!$T:$T,"No Date Listed")</f>
        <v>46521</v>
      </c>
      <c r="Y8" s="30" t="s">
        <v>27</v>
      </c>
      <c r="Z8" s="30" t="s">
        <v>27</v>
      </c>
      <c r="AA8" s="30" t="s">
        <v>815</v>
      </c>
    </row>
    <row r="9" spans="1:27" ht="26.4" x14ac:dyDescent="0.25">
      <c r="D9" s="30" t="s">
        <v>677</v>
      </c>
      <c r="E9" s="34" t="s">
        <v>15</v>
      </c>
      <c r="F9" s="34" t="s">
        <v>30</v>
      </c>
      <c r="G9" s="35" t="s">
        <v>828</v>
      </c>
      <c r="H9" s="30" t="s">
        <v>677</v>
      </c>
      <c r="I9" s="34" t="s">
        <v>678</v>
      </c>
      <c r="J9" s="30">
        <v>0</v>
      </c>
      <c r="K9" s="36">
        <v>123384725.56</v>
      </c>
      <c r="L9" s="34" t="s">
        <v>679</v>
      </c>
      <c r="M9" s="30" t="s">
        <v>680</v>
      </c>
      <c r="N9" s="30" t="s">
        <v>70</v>
      </c>
      <c r="O9" s="30" t="s">
        <v>33</v>
      </c>
      <c r="P9" s="34" t="s">
        <v>681</v>
      </c>
      <c r="Q9" s="30" t="s">
        <v>85</v>
      </c>
      <c r="R9" s="34" t="s">
        <v>25</v>
      </c>
      <c r="S9" s="30">
        <v>611710</v>
      </c>
      <c r="T9" s="34" t="s">
        <v>634</v>
      </c>
      <c r="U9" s="31">
        <v>44405</v>
      </c>
      <c r="V9" s="31">
        <v>46292</v>
      </c>
      <c r="W9" s="40">
        <v>2026</v>
      </c>
      <c r="X9" s="42" t="s">
        <v>839</v>
      </c>
      <c r="Y9" s="30" t="s">
        <v>27</v>
      </c>
      <c r="Z9" s="30" t="s">
        <v>27</v>
      </c>
      <c r="AA9" s="30" t="s">
        <v>816</v>
      </c>
    </row>
    <row r="10" spans="1:27" ht="26.4" x14ac:dyDescent="0.25">
      <c r="D10" s="30" t="s">
        <v>709</v>
      </c>
      <c r="E10" s="34" t="s">
        <v>96</v>
      </c>
      <c r="F10" s="34" t="s">
        <v>47</v>
      </c>
      <c r="G10" s="35" t="s">
        <v>828</v>
      </c>
      <c r="H10" s="30" t="s">
        <v>425</v>
      </c>
      <c r="I10" s="34" t="s">
        <v>774</v>
      </c>
      <c r="J10" s="30">
        <v>0</v>
      </c>
      <c r="K10" s="36">
        <v>114390241.89</v>
      </c>
      <c r="L10" s="34" t="s">
        <v>775</v>
      </c>
      <c r="M10" s="30" t="s">
        <v>428</v>
      </c>
      <c r="N10" s="30" t="s">
        <v>304</v>
      </c>
      <c r="O10" s="30" t="s">
        <v>756</v>
      </c>
      <c r="P10" s="34" t="s">
        <v>776</v>
      </c>
      <c r="Q10" s="30" t="s">
        <v>35</v>
      </c>
      <c r="R10" s="34" t="s">
        <v>25</v>
      </c>
      <c r="S10" s="30">
        <v>561210</v>
      </c>
      <c r="T10" s="34" t="s">
        <v>72</v>
      </c>
      <c r="U10" s="31">
        <v>44743</v>
      </c>
      <c r="V10" s="31">
        <v>46568</v>
      </c>
      <c r="W10" s="30">
        <v>2027</v>
      </c>
      <c r="X10" s="31">
        <f>_xlfn.XLOOKUP(apbi[[#This Row],[Contract Number]],[1]Preaward_OSBP!$F:$F,[1]Preaward_OSBP!$T:$T,"No Date Listed")</f>
        <v>46171</v>
      </c>
      <c r="Y10" s="30" t="s">
        <v>27</v>
      </c>
      <c r="Z10" s="30" t="s">
        <v>27</v>
      </c>
      <c r="AA10" s="30" t="s">
        <v>817</v>
      </c>
    </row>
    <row r="11" spans="1:27" ht="26.4" x14ac:dyDescent="0.25">
      <c r="D11" s="30" t="s">
        <v>389</v>
      </c>
      <c r="E11" s="34" t="s">
        <v>15</v>
      </c>
      <c r="F11" s="34" t="s">
        <v>53</v>
      </c>
      <c r="G11" s="35" t="s">
        <v>828</v>
      </c>
      <c r="H11" s="30" t="s">
        <v>389</v>
      </c>
      <c r="I11" s="34" t="s">
        <v>422</v>
      </c>
      <c r="J11" s="30">
        <v>0</v>
      </c>
      <c r="K11" s="36">
        <v>114217213.94</v>
      </c>
      <c r="L11" s="34" t="s">
        <v>423</v>
      </c>
      <c r="M11" s="30" t="s">
        <v>417</v>
      </c>
      <c r="N11" s="30" t="s">
        <v>418</v>
      </c>
      <c r="O11" s="30" t="s">
        <v>239</v>
      </c>
      <c r="P11" s="34" t="s">
        <v>424</v>
      </c>
      <c r="Q11" s="30" t="s">
        <v>35</v>
      </c>
      <c r="R11" s="34" t="s">
        <v>25</v>
      </c>
      <c r="S11" s="30">
        <v>488190</v>
      </c>
      <c r="T11" s="34" t="s">
        <v>400</v>
      </c>
      <c r="U11" s="31">
        <v>43724</v>
      </c>
      <c r="V11" s="31">
        <v>46295</v>
      </c>
      <c r="W11" s="40">
        <v>2026</v>
      </c>
      <c r="X11" s="31" t="str">
        <f>_xlfn.XLOOKUP(apbi[[#This Row],[Contract Number]],[1]Preaward_OSBP!$F:$F,[1]Preaward_OSBP!$T:$T,"No Date Listed")</f>
        <v>No Date Listed</v>
      </c>
      <c r="Y11" s="30" t="s">
        <v>27</v>
      </c>
      <c r="Z11" s="30" t="s">
        <v>27</v>
      </c>
      <c r="AA11" s="30" t="s">
        <v>808</v>
      </c>
    </row>
    <row r="12" spans="1:27" ht="26.4" x14ac:dyDescent="0.25">
      <c r="D12" s="30" t="s">
        <v>709</v>
      </c>
      <c r="E12" s="34" t="s">
        <v>96</v>
      </c>
      <c r="F12" s="34" t="s">
        <v>53</v>
      </c>
      <c r="G12" s="35" t="s">
        <v>828</v>
      </c>
      <c r="H12" s="30" t="s">
        <v>741</v>
      </c>
      <c r="I12" s="34" t="s">
        <v>768</v>
      </c>
      <c r="J12" s="30">
        <v>0</v>
      </c>
      <c r="K12" s="36">
        <v>100000000</v>
      </c>
      <c r="L12" s="34" t="s">
        <v>769</v>
      </c>
      <c r="M12" s="30" t="s">
        <v>744</v>
      </c>
      <c r="N12" s="30" t="s">
        <v>70</v>
      </c>
      <c r="O12" s="30" t="s">
        <v>756</v>
      </c>
      <c r="P12" s="34" t="s">
        <v>770</v>
      </c>
      <c r="Q12" s="30" t="s">
        <v>35</v>
      </c>
      <c r="R12" s="34" t="s">
        <v>764</v>
      </c>
      <c r="S12" s="30">
        <v>236220</v>
      </c>
      <c r="T12" s="34" t="s">
        <v>232</v>
      </c>
      <c r="U12" s="31">
        <v>44690</v>
      </c>
      <c r="V12" s="31">
        <v>46515</v>
      </c>
      <c r="W12" s="30">
        <v>2027</v>
      </c>
      <c r="X12" s="31" t="str">
        <f>_xlfn.XLOOKUP(apbi[[#This Row],[Contract Number]],[1]Preaward_OSBP!$F:$F,[1]Preaward_OSBP!$T:$T,"No Date Listed")</f>
        <v>No Date Listed</v>
      </c>
      <c r="Y12" s="30" t="s">
        <v>27</v>
      </c>
      <c r="Z12" s="30" t="s">
        <v>27</v>
      </c>
      <c r="AA12" s="30" t="s">
        <v>817</v>
      </c>
    </row>
    <row r="13" spans="1:27" ht="26.4" x14ac:dyDescent="0.25">
      <c r="D13" s="30" t="s">
        <v>709</v>
      </c>
      <c r="E13" s="34" t="s">
        <v>376</v>
      </c>
      <c r="F13" s="34" t="s">
        <v>37</v>
      </c>
      <c r="G13" s="35" t="s">
        <v>826</v>
      </c>
      <c r="H13" s="30" t="s">
        <v>233</v>
      </c>
      <c r="I13" s="34" t="s">
        <v>734</v>
      </c>
      <c r="J13" s="30">
        <v>0</v>
      </c>
      <c r="K13" s="36">
        <v>95148556.319999993</v>
      </c>
      <c r="L13" s="34" t="s">
        <v>735</v>
      </c>
      <c r="M13" s="30" t="s">
        <v>736</v>
      </c>
      <c r="N13" s="30" t="s">
        <v>238</v>
      </c>
      <c r="O13" s="30" t="s">
        <v>713</v>
      </c>
      <c r="P13" s="34" t="s">
        <v>714</v>
      </c>
      <c r="Q13" s="30" t="s">
        <v>35</v>
      </c>
      <c r="R13" s="34" t="s">
        <v>25</v>
      </c>
      <c r="S13" s="30">
        <v>722310</v>
      </c>
      <c r="T13" s="34" t="s">
        <v>715</v>
      </c>
      <c r="U13" s="31">
        <v>45901</v>
      </c>
      <c r="V13" s="31">
        <v>46265</v>
      </c>
      <c r="W13" s="30">
        <v>2026</v>
      </c>
      <c r="X13" s="31" t="str">
        <f>_xlfn.XLOOKUP(apbi[[#This Row],[Contract Number]],[1]Preaward_OSBP!$F:$F,[1]Preaward_OSBP!$T:$T,"No Date Listed")</f>
        <v>No Date Listed</v>
      </c>
      <c r="Y13" s="30" t="s">
        <v>27</v>
      </c>
      <c r="Z13" s="30" t="s">
        <v>27</v>
      </c>
      <c r="AA13" s="30" t="s">
        <v>817</v>
      </c>
    </row>
    <row r="14" spans="1:27" x14ac:dyDescent="0.25">
      <c r="D14" s="30" t="s">
        <v>709</v>
      </c>
      <c r="E14" s="34" t="s">
        <v>119</v>
      </c>
      <c r="F14" s="34" t="s">
        <v>37</v>
      </c>
      <c r="G14" s="35" t="s">
        <v>826</v>
      </c>
      <c r="H14" s="30" t="s">
        <v>741</v>
      </c>
      <c r="I14" s="34" t="s">
        <v>742</v>
      </c>
      <c r="J14" s="30">
        <v>0</v>
      </c>
      <c r="K14" s="36">
        <v>87620784.969999999</v>
      </c>
      <c r="L14" s="34" t="s">
        <v>743</v>
      </c>
      <c r="M14" s="30" t="s">
        <v>744</v>
      </c>
      <c r="N14" s="30" t="s">
        <v>70</v>
      </c>
      <c r="O14" s="30" t="s">
        <v>713</v>
      </c>
      <c r="P14" s="34" t="s">
        <v>745</v>
      </c>
      <c r="Q14" s="30" t="s">
        <v>35</v>
      </c>
      <c r="R14" s="34" t="s">
        <v>25</v>
      </c>
      <c r="S14" s="30">
        <v>722310</v>
      </c>
      <c r="T14" s="34" t="s">
        <v>715</v>
      </c>
      <c r="U14" s="31">
        <v>46054</v>
      </c>
      <c r="V14" s="31">
        <v>46418</v>
      </c>
      <c r="W14" s="30">
        <v>2027</v>
      </c>
      <c r="X14" s="31" t="str">
        <f>_xlfn.XLOOKUP(apbi[[#This Row],[Contract Number]],[1]Preaward_OSBP!$F:$F,[1]Preaward_OSBP!$T:$T,"No Date Listed")</f>
        <v>No Date Listed</v>
      </c>
      <c r="Y14" s="30" t="s">
        <v>27</v>
      </c>
      <c r="Z14" s="30" t="s">
        <v>27</v>
      </c>
      <c r="AA14" s="30" t="s">
        <v>817</v>
      </c>
    </row>
    <row r="15" spans="1:27" ht="26.4" x14ac:dyDescent="0.25">
      <c r="D15" s="30" t="s">
        <v>709</v>
      </c>
      <c r="E15" s="34" t="s">
        <v>119</v>
      </c>
      <c r="F15" s="34" t="s">
        <v>37</v>
      </c>
      <c r="G15" s="35" t="s">
        <v>826</v>
      </c>
      <c r="H15" s="30" t="s">
        <v>370</v>
      </c>
      <c r="I15" s="34" t="s">
        <v>716</v>
      </c>
      <c r="J15" s="30">
        <v>0</v>
      </c>
      <c r="K15" s="36">
        <v>85649010</v>
      </c>
      <c r="L15" s="34" t="s">
        <v>717</v>
      </c>
      <c r="M15" s="30" t="s">
        <v>718</v>
      </c>
      <c r="N15" s="30" t="s">
        <v>304</v>
      </c>
      <c r="O15" s="30" t="s">
        <v>713</v>
      </c>
      <c r="P15" s="34" t="s">
        <v>714</v>
      </c>
      <c r="Q15" s="30" t="s">
        <v>35</v>
      </c>
      <c r="R15" s="34" t="s">
        <v>25</v>
      </c>
      <c r="S15" s="30">
        <v>722310</v>
      </c>
      <c r="T15" s="34" t="s">
        <v>715</v>
      </c>
      <c r="U15" s="31">
        <v>43854</v>
      </c>
      <c r="V15" s="31">
        <v>45680</v>
      </c>
      <c r="W15" s="30">
        <v>2025</v>
      </c>
      <c r="X15" s="31" t="str">
        <f>_xlfn.XLOOKUP(apbi[[#This Row],[Contract Number]],[1]Preaward_OSBP!$F:$F,[1]Preaward_OSBP!$T:$T,"No Date Listed")</f>
        <v>No Date Listed</v>
      </c>
      <c r="Y15" s="30" t="s">
        <v>27</v>
      </c>
      <c r="Z15" s="30" t="s">
        <v>27</v>
      </c>
      <c r="AA15" s="30" t="s">
        <v>817</v>
      </c>
    </row>
    <row r="16" spans="1:27" s="29" customFormat="1" ht="70.2" customHeight="1" x14ac:dyDescent="0.25">
      <c r="D16" s="30" t="s">
        <v>709</v>
      </c>
      <c r="E16" s="34" t="s">
        <v>119</v>
      </c>
      <c r="F16" s="34" t="s">
        <v>37</v>
      </c>
      <c r="G16" s="35" t="s">
        <v>826</v>
      </c>
      <c r="H16" s="30" t="s">
        <v>370</v>
      </c>
      <c r="I16" s="34" t="s">
        <v>716</v>
      </c>
      <c r="J16" s="30">
        <v>0</v>
      </c>
      <c r="K16" s="36">
        <v>85649010</v>
      </c>
      <c r="L16" s="34" t="s">
        <v>717</v>
      </c>
      <c r="M16" s="30" t="s">
        <v>718</v>
      </c>
      <c r="N16" s="30" t="s">
        <v>304</v>
      </c>
      <c r="O16" s="30" t="s">
        <v>713</v>
      </c>
      <c r="P16" s="34" t="s">
        <v>714</v>
      </c>
      <c r="Q16" s="30" t="s">
        <v>35</v>
      </c>
      <c r="R16" s="34" t="s">
        <v>25</v>
      </c>
      <c r="S16" s="30">
        <v>722310</v>
      </c>
      <c r="T16" s="34" t="s">
        <v>715</v>
      </c>
      <c r="U16" s="31">
        <v>44743</v>
      </c>
      <c r="V16" s="31">
        <v>46477</v>
      </c>
      <c r="W16" s="30">
        <v>2027</v>
      </c>
      <c r="X16" s="31" t="str">
        <f>_xlfn.XLOOKUP(apbi[[#This Row],[Contract Number]],[1]Preaward_OSBP!$F:$F,[1]Preaward_OSBP!$T:$T,"No Date Listed")</f>
        <v>No Date Listed</v>
      </c>
      <c r="Y16" s="30" t="s">
        <v>27</v>
      </c>
      <c r="Z16" s="30" t="s">
        <v>27</v>
      </c>
      <c r="AA16" s="30" t="s">
        <v>817</v>
      </c>
    </row>
    <row r="17" spans="4:27" ht="66" x14ac:dyDescent="0.25">
      <c r="D17" s="30" t="s">
        <v>469</v>
      </c>
      <c r="E17" s="34" t="s">
        <v>15</v>
      </c>
      <c r="F17" s="34" t="s">
        <v>47</v>
      </c>
      <c r="G17" s="35" t="s">
        <v>828</v>
      </c>
      <c r="H17" s="30" t="s">
        <v>469</v>
      </c>
      <c r="I17" s="34" t="s">
        <v>511</v>
      </c>
      <c r="J17" s="30">
        <v>0</v>
      </c>
      <c r="K17" s="36">
        <v>80160000</v>
      </c>
      <c r="L17" s="34" t="s">
        <v>512</v>
      </c>
      <c r="M17" s="30" t="s">
        <v>472</v>
      </c>
      <c r="N17" s="30" t="s">
        <v>349</v>
      </c>
      <c r="O17" s="30" t="s">
        <v>513</v>
      </c>
      <c r="P17" s="34" t="s">
        <v>514</v>
      </c>
      <c r="Q17" s="30" t="s">
        <v>35</v>
      </c>
      <c r="R17" s="34" t="s">
        <v>25</v>
      </c>
      <c r="S17" s="30">
        <v>541990</v>
      </c>
      <c r="T17" s="34" t="s">
        <v>494</v>
      </c>
      <c r="U17" s="31">
        <v>44616</v>
      </c>
      <c r="V17" s="31">
        <v>46441</v>
      </c>
      <c r="W17" s="40">
        <v>2027</v>
      </c>
      <c r="X17" s="31" t="str">
        <f>_xlfn.XLOOKUP(apbi[[#This Row],[Contract Number]],[1]Preaward_OSBP!$F:$F,[1]Preaward_OSBP!$T:$T,"No Date Listed")</f>
        <v>No Date Listed</v>
      </c>
      <c r="Y17" s="30" t="s">
        <v>28</v>
      </c>
      <c r="Z17" s="30" t="s">
        <v>28</v>
      </c>
      <c r="AA17" s="30" t="s">
        <v>810</v>
      </c>
    </row>
    <row r="18" spans="4:27" ht="39.6" x14ac:dyDescent="0.25">
      <c r="D18" s="30" t="s">
        <v>677</v>
      </c>
      <c r="E18" s="34" t="s">
        <v>15</v>
      </c>
      <c r="F18" s="34"/>
      <c r="G18" s="35" t="s">
        <v>828</v>
      </c>
      <c r="H18" s="30" t="s">
        <v>677</v>
      </c>
      <c r="I18" s="34" t="s">
        <v>695</v>
      </c>
      <c r="J18" s="30" t="s">
        <v>696</v>
      </c>
      <c r="K18" s="36">
        <v>68055834.170000002</v>
      </c>
      <c r="L18" s="34" t="s">
        <v>697</v>
      </c>
      <c r="M18" s="30" t="s">
        <v>651</v>
      </c>
      <c r="N18" s="30" t="s">
        <v>652</v>
      </c>
      <c r="O18" s="30" t="s">
        <v>624</v>
      </c>
      <c r="P18" s="34" t="s">
        <v>698</v>
      </c>
      <c r="Q18" s="30" t="s">
        <v>85</v>
      </c>
      <c r="R18" s="34" t="s">
        <v>25</v>
      </c>
      <c r="S18" s="30">
        <v>541330</v>
      </c>
      <c r="T18" s="34" t="s">
        <v>102</v>
      </c>
      <c r="U18" s="31">
        <v>45188</v>
      </c>
      <c r="V18" s="31">
        <v>47014</v>
      </c>
      <c r="W18" s="40">
        <v>2028</v>
      </c>
      <c r="X18" s="31" t="str">
        <f>_xlfn.XLOOKUP(apbi[[#This Row],[Contract Number]],[1]Preaward_OSBP!$F:$F,[1]Preaward_OSBP!$T:$T,"No Date Listed")</f>
        <v>No Date Listed</v>
      </c>
      <c r="Y18" s="30" t="s">
        <v>28</v>
      </c>
      <c r="Z18" s="30" t="s">
        <v>28</v>
      </c>
      <c r="AA18" s="30" t="s">
        <v>816</v>
      </c>
    </row>
    <row r="19" spans="4:27" ht="26.4" x14ac:dyDescent="0.25">
      <c r="D19" s="30" t="s">
        <v>709</v>
      </c>
      <c r="E19" s="34" t="s">
        <v>96</v>
      </c>
      <c r="F19" s="34" t="s">
        <v>37</v>
      </c>
      <c r="G19" s="35" t="s">
        <v>828</v>
      </c>
      <c r="H19" s="30" t="s">
        <v>370</v>
      </c>
      <c r="I19" s="34" t="s">
        <v>761</v>
      </c>
      <c r="J19" s="30">
        <v>0</v>
      </c>
      <c r="K19" s="36">
        <v>66736049.93</v>
      </c>
      <c r="L19" s="34" t="s">
        <v>762</v>
      </c>
      <c r="M19" s="30" t="s">
        <v>373</v>
      </c>
      <c r="N19" s="30" t="s">
        <v>304</v>
      </c>
      <c r="O19" s="30" t="s">
        <v>756</v>
      </c>
      <c r="P19" s="34" t="s">
        <v>763</v>
      </c>
      <c r="Q19" s="30" t="s">
        <v>35</v>
      </c>
      <c r="R19" s="34" t="s">
        <v>25</v>
      </c>
      <c r="S19" s="30">
        <v>561210</v>
      </c>
      <c r="T19" s="34" t="s">
        <v>72</v>
      </c>
      <c r="U19" s="31">
        <v>45717</v>
      </c>
      <c r="V19" s="31">
        <v>46260</v>
      </c>
      <c r="W19" s="30">
        <v>2026</v>
      </c>
      <c r="X19" s="31">
        <f>_xlfn.XLOOKUP(apbi[[#This Row],[Contract Number]],[1]Preaward_OSBP!$F:$F,[1]Preaward_OSBP!$T:$T,"No Date Listed")</f>
        <v>46104</v>
      </c>
      <c r="Y19" s="30" t="s">
        <v>27</v>
      </c>
      <c r="Z19" s="30" t="s">
        <v>27</v>
      </c>
      <c r="AA19" s="30" t="s">
        <v>817</v>
      </c>
    </row>
    <row r="20" spans="4:27" ht="26.4" x14ac:dyDescent="0.25">
      <c r="D20" s="30" t="s">
        <v>110</v>
      </c>
      <c r="E20" s="34" t="s">
        <v>96</v>
      </c>
      <c r="F20" s="34" t="s">
        <v>53</v>
      </c>
      <c r="G20" s="35" t="s">
        <v>828</v>
      </c>
      <c r="H20" s="30" t="s">
        <v>110</v>
      </c>
      <c r="I20" s="34" t="s">
        <v>111</v>
      </c>
      <c r="J20" s="30">
        <v>0</v>
      </c>
      <c r="K20" s="43">
        <v>61533876</v>
      </c>
      <c r="L20" s="34" t="s">
        <v>112</v>
      </c>
      <c r="M20" s="30" t="s">
        <v>113</v>
      </c>
      <c r="N20" s="30" t="s">
        <v>114</v>
      </c>
      <c r="O20" s="30" t="s">
        <v>115</v>
      </c>
      <c r="P20" s="34" t="s">
        <v>116</v>
      </c>
      <c r="Q20" s="30" t="s">
        <v>35</v>
      </c>
      <c r="R20" s="34" t="s">
        <v>25</v>
      </c>
      <c r="S20" s="30">
        <v>237310</v>
      </c>
      <c r="T20" s="34" t="s">
        <v>117</v>
      </c>
      <c r="U20" s="31">
        <v>45292</v>
      </c>
      <c r="V20" s="31">
        <v>47118</v>
      </c>
      <c r="W20" s="40">
        <v>2028</v>
      </c>
      <c r="X20" s="31">
        <v>46661</v>
      </c>
      <c r="Y20" s="30" t="s">
        <v>27</v>
      </c>
      <c r="Z20" s="30" t="s">
        <v>27</v>
      </c>
      <c r="AA20" s="30" t="s">
        <v>820</v>
      </c>
    </row>
    <row r="21" spans="4:27" ht="26.4" x14ac:dyDescent="0.25">
      <c r="D21" s="30" t="s">
        <v>133</v>
      </c>
      <c r="E21" s="34" t="s">
        <v>119</v>
      </c>
      <c r="F21" s="34" t="s">
        <v>134</v>
      </c>
      <c r="G21" s="35" t="s">
        <v>828</v>
      </c>
      <c r="H21" s="30" t="s">
        <v>133</v>
      </c>
      <c r="I21" s="34" t="s">
        <v>164</v>
      </c>
      <c r="J21" s="30" t="s">
        <v>165</v>
      </c>
      <c r="K21" s="36">
        <v>60751206.399999999</v>
      </c>
      <c r="L21" s="34" t="s">
        <v>166</v>
      </c>
      <c r="M21" s="30" t="s">
        <v>138</v>
      </c>
      <c r="N21" s="30" t="s">
        <v>139</v>
      </c>
      <c r="O21" s="30" t="s">
        <v>152</v>
      </c>
      <c r="P21" s="34" t="s">
        <v>167</v>
      </c>
      <c r="Q21" s="30" t="s">
        <v>85</v>
      </c>
      <c r="R21" s="34" t="s">
        <v>25</v>
      </c>
      <c r="S21" s="30">
        <v>541330</v>
      </c>
      <c r="T21" s="34" t="s">
        <v>102</v>
      </c>
      <c r="U21" s="31">
        <v>44986</v>
      </c>
      <c r="V21" s="31">
        <v>46812</v>
      </c>
      <c r="W21" s="40">
        <v>2028</v>
      </c>
      <c r="X21" s="31">
        <v>46364</v>
      </c>
      <c r="Y21" s="30" t="s">
        <v>27</v>
      </c>
      <c r="Z21" s="30" t="s">
        <v>28</v>
      </c>
      <c r="AA21" s="30" t="s">
        <v>801</v>
      </c>
    </row>
    <row r="22" spans="4:27" ht="26.4" x14ac:dyDescent="0.25">
      <c r="D22" s="30" t="s">
        <v>389</v>
      </c>
      <c r="E22" s="34" t="s">
        <v>119</v>
      </c>
      <c r="F22" s="34" t="s">
        <v>390</v>
      </c>
      <c r="G22" s="35" t="s">
        <v>826</v>
      </c>
      <c r="H22" s="30" t="s">
        <v>370</v>
      </c>
      <c r="I22" s="34" t="s">
        <v>391</v>
      </c>
      <c r="J22" s="30" t="s">
        <v>392</v>
      </c>
      <c r="K22" s="36">
        <v>58818969.509999998</v>
      </c>
      <c r="L22" s="34" t="s">
        <v>393</v>
      </c>
      <c r="M22" s="30" t="s">
        <v>373</v>
      </c>
      <c r="N22" s="30" t="s">
        <v>304</v>
      </c>
      <c r="O22" s="30" t="s">
        <v>394</v>
      </c>
      <c r="P22" s="34" t="s">
        <v>395</v>
      </c>
      <c r="Q22" s="30" t="s">
        <v>396</v>
      </c>
      <c r="R22" s="34" t="s">
        <v>25</v>
      </c>
      <c r="S22" s="30">
        <v>541330</v>
      </c>
      <c r="T22" s="34" t="s">
        <v>102</v>
      </c>
      <c r="U22" s="31">
        <v>45323</v>
      </c>
      <c r="V22" s="31">
        <v>46965</v>
      </c>
      <c r="W22" s="40">
        <v>2028</v>
      </c>
      <c r="X22" s="31" t="str">
        <f>_xlfn.XLOOKUP(apbi[[#This Row],[Contract Number]],[1]Preaward_OSBP!$F:$F,[1]Preaward_OSBP!$T:$T,"No Date Listed")</f>
        <v>No Date Listed</v>
      </c>
      <c r="Y22" s="30" t="s">
        <v>28</v>
      </c>
      <c r="Z22" s="30" t="s">
        <v>28</v>
      </c>
      <c r="AA22" s="30" t="s">
        <v>808</v>
      </c>
    </row>
    <row r="23" spans="4:27" ht="26.4" x14ac:dyDescent="0.25">
      <c r="D23" s="30" t="s">
        <v>709</v>
      </c>
      <c r="E23" s="34" t="s">
        <v>119</v>
      </c>
      <c r="F23" s="34" t="s">
        <v>37</v>
      </c>
      <c r="G23" s="35" t="s">
        <v>826</v>
      </c>
      <c r="H23" s="30" t="s">
        <v>254</v>
      </c>
      <c r="I23" s="41" t="s">
        <v>710</v>
      </c>
      <c r="J23" s="30">
        <v>0</v>
      </c>
      <c r="K23" s="36">
        <v>51305733</v>
      </c>
      <c r="L23" s="34" t="s">
        <v>711</v>
      </c>
      <c r="M23" s="30" t="s">
        <v>712</v>
      </c>
      <c r="N23" s="30" t="s">
        <v>287</v>
      </c>
      <c r="O23" s="30" t="s">
        <v>713</v>
      </c>
      <c r="P23" s="34" t="s">
        <v>714</v>
      </c>
      <c r="Q23" s="30" t="s">
        <v>35</v>
      </c>
      <c r="R23" s="34" t="s">
        <v>25</v>
      </c>
      <c r="S23" s="30">
        <v>722310</v>
      </c>
      <c r="T23" s="34" t="s">
        <v>715</v>
      </c>
      <c r="U23" s="31">
        <v>43707</v>
      </c>
      <c r="V23" s="31">
        <v>45716</v>
      </c>
      <c r="W23" s="30">
        <v>2025</v>
      </c>
      <c r="X23" s="31" t="str">
        <f>_xlfn.XLOOKUP(apbi[[#This Row],[Contract Number]],[1]Preaward_OSBP!$F:$F,[1]Preaward_OSBP!$T:$T,"No Date Listed")</f>
        <v>No Date Listed</v>
      </c>
      <c r="Y23" s="30" t="s">
        <v>27</v>
      </c>
      <c r="Z23" s="30" t="s">
        <v>27</v>
      </c>
      <c r="AA23" s="30" t="s">
        <v>817</v>
      </c>
    </row>
    <row r="24" spans="4:27" ht="26.4" x14ac:dyDescent="0.25">
      <c r="D24" s="30" t="s">
        <v>709</v>
      </c>
      <c r="E24" s="34" t="s">
        <v>96</v>
      </c>
      <c r="F24" s="34" t="s">
        <v>47</v>
      </c>
      <c r="G24" s="35" t="s">
        <v>828</v>
      </c>
      <c r="H24" s="30" t="s">
        <v>103</v>
      </c>
      <c r="I24" s="34" t="s">
        <v>771</v>
      </c>
      <c r="J24" s="30">
        <v>0</v>
      </c>
      <c r="K24" s="36">
        <v>50000000</v>
      </c>
      <c r="L24" s="34" t="s">
        <v>772</v>
      </c>
      <c r="M24" s="30" t="s">
        <v>106</v>
      </c>
      <c r="N24" s="30" t="s">
        <v>107</v>
      </c>
      <c r="O24" s="30" t="s">
        <v>756</v>
      </c>
      <c r="P24" s="34" t="s">
        <v>773</v>
      </c>
      <c r="Q24" s="30" t="s">
        <v>35</v>
      </c>
      <c r="R24" s="34" t="s">
        <v>764</v>
      </c>
      <c r="S24" s="30">
        <v>236220</v>
      </c>
      <c r="T24" s="34" t="s">
        <v>232</v>
      </c>
      <c r="U24" s="31">
        <v>44728</v>
      </c>
      <c r="V24" s="31">
        <v>46553</v>
      </c>
      <c r="W24" s="30">
        <v>2027</v>
      </c>
      <c r="X24" s="31">
        <v>46661</v>
      </c>
      <c r="Y24" s="30" t="s">
        <v>27</v>
      </c>
      <c r="Z24" s="30" t="s">
        <v>27</v>
      </c>
      <c r="AA24" s="30" t="s">
        <v>817</v>
      </c>
    </row>
    <row r="25" spans="4:27" s="29" customFormat="1" ht="62.4" customHeight="1" x14ac:dyDescent="0.25">
      <c r="D25" s="30" t="s">
        <v>709</v>
      </c>
      <c r="E25" s="34" t="s">
        <v>96</v>
      </c>
      <c r="F25" s="34" t="s">
        <v>47</v>
      </c>
      <c r="G25" s="35" t="s">
        <v>828</v>
      </c>
      <c r="H25" s="30" t="s">
        <v>118</v>
      </c>
      <c r="I25" s="34" t="s">
        <v>780</v>
      </c>
      <c r="J25" s="30">
        <v>0</v>
      </c>
      <c r="K25" s="36">
        <v>50000000</v>
      </c>
      <c r="L25" s="34" t="s">
        <v>781</v>
      </c>
      <c r="M25" s="30" t="s">
        <v>782</v>
      </c>
      <c r="N25" s="30" t="s">
        <v>124</v>
      </c>
      <c r="O25" s="30" t="s">
        <v>756</v>
      </c>
      <c r="P25" s="34" t="s">
        <v>783</v>
      </c>
      <c r="Q25" s="30" t="s">
        <v>35</v>
      </c>
      <c r="R25" s="34" t="s">
        <v>764</v>
      </c>
      <c r="S25" s="30">
        <v>236220</v>
      </c>
      <c r="T25" s="34" t="s">
        <v>232</v>
      </c>
      <c r="U25" s="31">
        <v>44986</v>
      </c>
      <c r="V25" s="31">
        <v>46812</v>
      </c>
      <c r="W25" s="30">
        <v>2028</v>
      </c>
      <c r="X25" s="31" t="str">
        <f>_xlfn.XLOOKUP(apbi[[#This Row],[Contract Number]],[1]Preaward_OSBP!$F:$F,[1]Preaward_OSBP!$T:$T,"No Date Listed")</f>
        <v>No Date Listed</v>
      </c>
      <c r="Y25" s="30" t="s">
        <v>27</v>
      </c>
      <c r="Z25" s="30" t="s">
        <v>27</v>
      </c>
      <c r="AA25" s="30" t="s">
        <v>817</v>
      </c>
    </row>
    <row r="26" spans="4:27" ht="52.8" x14ac:dyDescent="0.25">
      <c r="D26" s="30" t="s">
        <v>709</v>
      </c>
      <c r="E26" s="34" t="s">
        <v>96</v>
      </c>
      <c r="F26" s="34" t="s">
        <v>47</v>
      </c>
      <c r="G26" s="35" t="s">
        <v>828</v>
      </c>
      <c r="H26" s="30" t="s">
        <v>401</v>
      </c>
      <c r="I26" s="41" t="s">
        <v>836</v>
      </c>
      <c r="J26" s="30">
        <v>0</v>
      </c>
      <c r="K26" s="36">
        <v>48000000</v>
      </c>
      <c r="L26" s="34" t="s">
        <v>784</v>
      </c>
      <c r="M26" s="30" t="s">
        <v>785</v>
      </c>
      <c r="N26" s="30" t="s">
        <v>410</v>
      </c>
      <c r="O26" s="30" t="s">
        <v>756</v>
      </c>
      <c r="P26" s="34" t="s">
        <v>786</v>
      </c>
      <c r="Q26" s="30" t="s">
        <v>35</v>
      </c>
      <c r="R26" s="34" t="s">
        <v>764</v>
      </c>
      <c r="S26" s="30">
        <v>236220</v>
      </c>
      <c r="T26" s="34" t="s">
        <v>232</v>
      </c>
      <c r="U26" s="31">
        <v>45078</v>
      </c>
      <c r="V26" s="31">
        <v>46904</v>
      </c>
      <c r="W26" s="30">
        <v>2028</v>
      </c>
      <c r="X26" s="31" t="str">
        <f>_xlfn.XLOOKUP(apbi[[#This Row],[Contract Number]],[1]Preaward_OSBP!$F:$F,[1]Preaward_OSBP!$T:$T,"No Date Listed")</f>
        <v>No Date Listed</v>
      </c>
      <c r="Y26" s="30" t="s">
        <v>27</v>
      </c>
      <c r="Z26" s="30" t="s">
        <v>27</v>
      </c>
      <c r="AA26" s="30" t="s">
        <v>817</v>
      </c>
    </row>
    <row r="27" spans="4:27" ht="26.4" x14ac:dyDescent="0.25">
      <c r="D27" s="30" t="s">
        <v>66</v>
      </c>
      <c r="E27" s="34" t="s">
        <v>96</v>
      </c>
      <c r="F27" s="34" t="s">
        <v>16</v>
      </c>
      <c r="G27" s="35" t="s">
        <v>828</v>
      </c>
      <c r="H27" s="30" t="s">
        <v>66</v>
      </c>
      <c r="I27" s="34" t="s">
        <v>97</v>
      </c>
      <c r="J27" s="30">
        <v>0</v>
      </c>
      <c r="K27" s="43">
        <v>43705637</v>
      </c>
      <c r="L27" s="34" t="s">
        <v>98</v>
      </c>
      <c r="M27" s="30" t="s">
        <v>69</v>
      </c>
      <c r="N27" s="30" t="s">
        <v>70</v>
      </c>
      <c r="O27" s="30" t="s">
        <v>99</v>
      </c>
      <c r="P27" s="34" t="s">
        <v>100</v>
      </c>
      <c r="Q27" s="30" t="s">
        <v>101</v>
      </c>
      <c r="R27" s="34" t="s">
        <v>25</v>
      </c>
      <c r="S27" s="30">
        <v>541330</v>
      </c>
      <c r="T27" s="34" t="s">
        <v>102</v>
      </c>
      <c r="U27" s="31">
        <v>45145</v>
      </c>
      <c r="V27" s="31">
        <v>46971</v>
      </c>
      <c r="W27" s="40">
        <v>2028</v>
      </c>
      <c r="X27" s="31" t="str">
        <f>_xlfn.XLOOKUP(apbi[[#This Row],[Contract Number]],[1]Preaward_OSBP!$F:$F,[1]Preaward_OSBP!$T:$T,"No Date Listed")</f>
        <v>No Date Listed</v>
      </c>
      <c r="Y27" s="30" t="s">
        <v>28</v>
      </c>
      <c r="Z27" s="30" t="s">
        <v>28</v>
      </c>
      <c r="AA27" s="30" t="s">
        <v>799</v>
      </c>
    </row>
    <row r="28" spans="4:27" ht="26.4" x14ac:dyDescent="0.25">
      <c r="D28" s="30" t="s">
        <v>709</v>
      </c>
      <c r="E28" s="34" t="s">
        <v>73</v>
      </c>
      <c r="F28" s="34" t="s">
        <v>37</v>
      </c>
      <c r="G28" s="35" t="s">
        <v>826</v>
      </c>
      <c r="H28" s="30" t="s">
        <v>619</v>
      </c>
      <c r="I28" s="34" t="s">
        <v>751</v>
      </c>
      <c r="J28" s="30">
        <v>0</v>
      </c>
      <c r="K28" s="36">
        <v>43615154.100000001</v>
      </c>
      <c r="L28" s="34" t="s">
        <v>724</v>
      </c>
      <c r="M28" s="30" t="s">
        <v>202</v>
      </c>
      <c r="N28" s="30" t="s">
        <v>203</v>
      </c>
      <c r="O28" s="30" t="s">
        <v>713</v>
      </c>
      <c r="P28" s="34" t="s">
        <v>714</v>
      </c>
      <c r="Q28" s="30" t="s">
        <v>35</v>
      </c>
      <c r="R28" s="34" t="s">
        <v>25</v>
      </c>
      <c r="S28" s="30">
        <v>722310</v>
      </c>
      <c r="T28" s="34" t="s">
        <v>715</v>
      </c>
      <c r="U28" s="31">
        <v>45227</v>
      </c>
      <c r="V28" s="31">
        <v>47087</v>
      </c>
      <c r="W28" s="30">
        <v>2028</v>
      </c>
      <c r="X28" s="31" t="str">
        <f>_xlfn.XLOOKUP(apbi[[#This Row],[Contract Number]],[1]Preaward_OSBP!$F:$F,[1]Preaward_OSBP!$T:$T,"No Date Listed")</f>
        <v>No Date Listed</v>
      </c>
      <c r="Y28" s="30" t="s">
        <v>27</v>
      </c>
      <c r="Z28" s="30" t="s">
        <v>27</v>
      </c>
      <c r="AA28" s="30" t="s">
        <v>817</v>
      </c>
    </row>
    <row r="29" spans="4:27" ht="39.6" x14ac:dyDescent="0.25">
      <c r="D29" s="30" t="s">
        <v>66</v>
      </c>
      <c r="E29" s="34" t="s">
        <v>15</v>
      </c>
      <c r="F29" s="34" t="s">
        <v>47</v>
      </c>
      <c r="G29" s="35" t="s">
        <v>828</v>
      </c>
      <c r="H29" s="30" t="s">
        <v>66</v>
      </c>
      <c r="I29" s="34" t="s">
        <v>82</v>
      </c>
      <c r="J29" s="30">
        <v>0</v>
      </c>
      <c r="K29" s="36">
        <v>42216322.719999999</v>
      </c>
      <c r="L29" s="34" t="s">
        <v>83</v>
      </c>
      <c r="M29" s="30" t="s">
        <v>69</v>
      </c>
      <c r="N29" s="30" t="s">
        <v>70</v>
      </c>
      <c r="O29" s="30" t="s">
        <v>33</v>
      </c>
      <c r="P29" s="34" t="s">
        <v>84</v>
      </c>
      <c r="Q29" s="30" t="s">
        <v>85</v>
      </c>
      <c r="R29" s="34" t="s">
        <v>25</v>
      </c>
      <c r="S29" s="30">
        <v>561210</v>
      </c>
      <c r="T29" s="34" t="s">
        <v>72</v>
      </c>
      <c r="U29" s="31">
        <v>44635</v>
      </c>
      <c r="V29" s="31">
        <v>46691</v>
      </c>
      <c r="W29" s="40">
        <v>2028</v>
      </c>
      <c r="X29" s="31" t="str">
        <f>_xlfn.XLOOKUP(apbi[[#This Row],[Contract Number]],[1]Preaward_OSBP!$F:$F,[1]Preaward_OSBP!$T:$T,"No Date Listed")</f>
        <v>No Date Listed</v>
      </c>
      <c r="Y29" s="30" t="s">
        <v>27</v>
      </c>
      <c r="Z29" s="30" t="s">
        <v>28</v>
      </c>
      <c r="AA29" s="30" t="s">
        <v>799</v>
      </c>
    </row>
    <row r="30" spans="4:27" ht="26.4" x14ac:dyDescent="0.25">
      <c r="D30" s="30" t="s">
        <v>709</v>
      </c>
      <c r="E30" s="34" t="s">
        <v>376</v>
      </c>
      <c r="F30" s="34" t="s">
        <v>37</v>
      </c>
      <c r="G30" s="35" t="s">
        <v>826</v>
      </c>
      <c r="H30" s="30" t="s">
        <v>118</v>
      </c>
      <c r="I30" s="34" t="s">
        <v>728</v>
      </c>
      <c r="J30" s="30">
        <v>0</v>
      </c>
      <c r="K30" s="36">
        <v>40533844.560000002</v>
      </c>
      <c r="L30" s="34" t="s">
        <v>729</v>
      </c>
      <c r="M30" s="30" t="s">
        <v>472</v>
      </c>
      <c r="N30" s="30" t="s">
        <v>349</v>
      </c>
      <c r="O30" s="30" t="s">
        <v>713</v>
      </c>
      <c r="P30" s="34" t="s">
        <v>714</v>
      </c>
      <c r="Q30" s="30" t="s">
        <v>35</v>
      </c>
      <c r="R30" s="34" t="s">
        <v>25</v>
      </c>
      <c r="S30" s="30">
        <v>722310</v>
      </c>
      <c r="T30" s="34" t="s">
        <v>715</v>
      </c>
      <c r="U30" s="31">
        <v>45646</v>
      </c>
      <c r="V30" s="31">
        <v>46199</v>
      </c>
      <c r="W30" s="30">
        <v>2026</v>
      </c>
      <c r="X30" s="31" t="str">
        <f>_xlfn.XLOOKUP(apbi[[#This Row],[Contract Number]],[1]Preaward_OSBP!$F:$F,[1]Preaward_OSBP!$T:$T,"No Date Listed")</f>
        <v>No Date Listed</v>
      </c>
      <c r="Y30" s="30" t="s">
        <v>27</v>
      </c>
      <c r="Z30" s="30" t="s">
        <v>27</v>
      </c>
      <c r="AA30" s="30" t="s">
        <v>817</v>
      </c>
    </row>
    <row r="31" spans="4:27" ht="26.4" x14ac:dyDescent="0.25">
      <c r="D31" s="30" t="s">
        <v>389</v>
      </c>
      <c r="E31" s="34" t="s">
        <v>15</v>
      </c>
      <c r="F31" s="34" t="s">
        <v>53</v>
      </c>
      <c r="G31" s="35" t="s">
        <v>828</v>
      </c>
      <c r="H31" s="30" t="s">
        <v>370</v>
      </c>
      <c r="I31" s="34" t="s">
        <v>397</v>
      </c>
      <c r="J31" s="30">
        <v>0</v>
      </c>
      <c r="K31" s="36">
        <v>40337534.210000001</v>
      </c>
      <c r="L31" s="34" t="s">
        <v>398</v>
      </c>
      <c r="M31" s="30" t="s">
        <v>373</v>
      </c>
      <c r="N31" s="30" t="s">
        <v>304</v>
      </c>
      <c r="O31" s="30" t="s">
        <v>239</v>
      </c>
      <c r="P31" s="34" t="s">
        <v>399</v>
      </c>
      <c r="Q31" s="30" t="s">
        <v>35</v>
      </c>
      <c r="R31" s="34" t="s">
        <v>25</v>
      </c>
      <c r="S31" s="30">
        <v>488190</v>
      </c>
      <c r="T31" s="34" t="s">
        <v>400</v>
      </c>
      <c r="U31" s="31">
        <v>45062</v>
      </c>
      <c r="V31" s="31">
        <v>46870</v>
      </c>
      <c r="W31" s="40">
        <v>2028</v>
      </c>
      <c r="X31" s="31" t="str">
        <f>_xlfn.XLOOKUP(apbi[[#This Row],[Contract Number]],[1]Preaward_OSBP!$F:$F,[1]Preaward_OSBP!$T:$T,"No Date Listed")</f>
        <v>No Date Listed</v>
      </c>
      <c r="Y31" s="30" t="s">
        <v>27</v>
      </c>
      <c r="Z31" s="30" t="s">
        <v>27</v>
      </c>
      <c r="AA31" s="30" t="s">
        <v>808</v>
      </c>
    </row>
    <row r="32" spans="4:27" x14ac:dyDescent="0.25">
      <c r="D32" s="30" t="s">
        <v>709</v>
      </c>
      <c r="E32" s="34" t="s">
        <v>376</v>
      </c>
      <c r="F32" s="34" t="s">
        <v>37</v>
      </c>
      <c r="G32" s="35" t="s">
        <v>828</v>
      </c>
      <c r="H32" s="30" t="s">
        <v>515</v>
      </c>
      <c r="I32" s="34" t="s">
        <v>758</v>
      </c>
      <c r="J32" s="30">
        <v>0</v>
      </c>
      <c r="K32" s="36">
        <v>40254689.609999999</v>
      </c>
      <c r="L32" s="34" t="s">
        <v>759</v>
      </c>
      <c r="M32" s="30" t="s">
        <v>518</v>
      </c>
      <c r="N32" s="30" t="s">
        <v>519</v>
      </c>
      <c r="O32" s="30" t="s">
        <v>756</v>
      </c>
      <c r="P32" s="34" t="s">
        <v>760</v>
      </c>
      <c r="Q32" s="30" t="s">
        <v>35</v>
      </c>
      <c r="R32" s="34" t="s">
        <v>25</v>
      </c>
      <c r="S32" s="30">
        <v>561210</v>
      </c>
      <c r="T32" s="34" t="s">
        <v>72</v>
      </c>
      <c r="U32" s="31">
        <v>45992</v>
      </c>
      <c r="V32" s="31">
        <v>46446</v>
      </c>
      <c r="W32" s="30">
        <v>2027</v>
      </c>
      <c r="X32" s="31" t="str">
        <f>_xlfn.XLOOKUP(apbi[[#This Row],[Contract Number]],[1]Preaward_OSBP!$F:$F,[1]Preaward_OSBP!$T:$T,"No Date Listed")</f>
        <v>No Date Listed</v>
      </c>
      <c r="Y32" s="30" t="s">
        <v>27</v>
      </c>
      <c r="Z32" s="30" t="s">
        <v>27</v>
      </c>
      <c r="AA32" s="30" t="s">
        <v>817</v>
      </c>
    </row>
    <row r="33" spans="4:27" ht="39.6" x14ac:dyDescent="0.25">
      <c r="D33" s="33" t="s">
        <v>389</v>
      </c>
      <c r="E33" s="37" t="s">
        <v>119</v>
      </c>
      <c r="F33" s="37" t="s">
        <v>390</v>
      </c>
      <c r="G33" s="35" t="s">
        <v>828</v>
      </c>
      <c r="H33" s="33" t="s">
        <v>389</v>
      </c>
      <c r="I33" s="37" t="s">
        <v>402</v>
      </c>
      <c r="J33" s="33" t="s">
        <v>408</v>
      </c>
      <c r="K33" s="38">
        <v>27545330.800000001</v>
      </c>
      <c r="L33" s="37" t="s">
        <v>404</v>
      </c>
      <c r="M33" s="33" t="s">
        <v>409</v>
      </c>
      <c r="N33" s="33" t="s">
        <v>410</v>
      </c>
      <c r="O33" s="33" t="s">
        <v>394</v>
      </c>
      <c r="P33" s="37" t="s">
        <v>411</v>
      </c>
      <c r="Q33" s="33" t="s">
        <v>85</v>
      </c>
      <c r="R33" s="37" t="s">
        <v>25</v>
      </c>
      <c r="S33" s="33">
        <v>541712</v>
      </c>
      <c r="T33" s="37" t="s">
        <v>407</v>
      </c>
      <c r="U33" s="44">
        <v>45017</v>
      </c>
      <c r="V33" s="44">
        <v>46477</v>
      </c>
      <c r="W33" s="45">
        <v>2027</v>
      </c>
      <c r="X33" s="31" t="str">
        <f>_xlfn.XLOOKUP(apbi[[#This Row],[Contract Number]],[1]Preaward_OSBP!$F:$F,[1]Preaward_OSBP!$T:$T,"No Date Listed")</f>
        <v>No Date Listed</v>
      </c>
      <c r="Y33" s="32" t="s">
        <v>27</v>
      </c>
      <c r="Z33" s="33" t="s">
        <v>28</v>
      </c>
      <c r="AA33" s="33" t="s">
        <v>808</v>
      </c>
    </row>
    <row r="34" spans="4:27" s="29" customFormat="1" ht="77.400000000000006" customHeight="1" x14ac:dyDescent="0.25">
      <c r="D34" s="30" t="s">
        <v>709</v>
      </c>
      <c r="E34" s="34" t="s">
        <v>96</v>
      </c>
      <c r="F34" s="34" t="s">
        <v>47</v>
      </c>
      <c r="G34" s="35" t="s">
        <v>828</v>
      </c>
      <c r="H34" s="30" t="s">
        <v>515</v>
      </c>
      <c r="I34" s="34" t="s">
        <v>777</v>
      </c>
      <c r="J34" s="30">
        <v>0</v>
      </c>
      <c r="K34" s="36">
        <v>25000000</v>
      </c>
      <c r="L34" s="34" t="s">
        <v>778</v>
      </c>
      <c r="M34" s="30" t="s">
        <v>518</v>
      </c>
      <c r="N34" s="30" t="s">
        <v>519</v>
      </c>
      <c r="O34" s="30" t="s">
        <v>756</v>
      </c>
      <c r="P34" s="34" t="s">
        <v>779</v>
      </c>
      <c r="Q34" s="30" t="s">
        <v>35</v>
      </c>
      <c r="R34" s="34" t="s">
        <v>764</v>
      </c>
      <c r="S34" s="30">
        <v>236220</v>
      </c>
      <c r="T34" s="34" t="s">
        <v>232</v>
      </c>
      <c r="U34" s="31">
        <v>44923</v>
      </c>
      <c r="V34" s="31">
        <v>46748</v>
      </c>
      <c r="W34" s="30">
        <v>2027</v>
      </c>
      <c r="X34" s="31" t="str">
        <f>_xlfn.XLOOKUP(apbi[[#This Row],[Contract Number]],[1]Preaward_OSBP!$F:$F,[1]Preaward_OSBP!$T:$T,"No Date Listed")</f>
        <v>No Date Listed</v>
      </c>
      <c r="Y34" s="30" t="s">
        <v>27</v>
      </c>
      <c r="Z34" s="30" t="s">
        <v>27</v>
      </c>
      <c r="AA34" s="30" t="s">
        <v>817</v>
      </c>
    </row>
    <row r="35" spans="4:27" ht="66" x14ac:dyDescent="0.25">
      <c r="D35" s="30" t="s">
        <v>709</v>
      </c>
      <c r="E35" s="34" t="s">
        <v>96</v>
      </c>
      <c r="F35" s="34" t="s">
        <v>787</v>
      </c>
      <c r="G35" s="35" t="s">
        <v>828</v>
      </c>
      <c r="H35" s="30" t="s">
        <v>118</v>
      </c>
      <c r="I35" s="41" t="s">
        <v>837</v>
      </c>
      <c r="J35" s="30">
        <v>0</v>
      </c>
      <c r="K35" s="36">
        <v>24999999</v>
      </c>
      <c r="L35" s="34" t="s">
        <v>788</v>
      </c>
      <c r="M35" s="30" t="s">
        <v>782</v>
      </c>
      <c r="N35" s="30" t="s">
        <v>124</v>
      </c>
      <c r="O35" s="30" t="s">
        <v>756</v>
      </c>
      <c r="P35" s="34" t="s">
        <v>789</v>
      </c>
      <c r="Q35" s="30" t="s">
        <v>35</v>
      </c>
      <c r="R35" s="34" t="s">
        <v>764</v>
      </c>
      <c r="S35" s="30">
        <v>236220</v>
      </c>
      <c r="T35" s="34" t="s">
        <v>232</v>
      </c>
      <c r="U35" s="31">
        <v>45092</v>
      </c>
      <c r="V35" s="31">
        <v>46918</v>
      </c>
      <c r="W35" s="30">
        <v>2028</v>
      </c>
      <c r="X35" s="31" t="str">
        <f>_xlfn.XLOOKUP(apbi[[#This Row],[Contract Number]],[1]Preaward_OSBP!$F:$F,[1]Preaward_OSBP!$T:$T,"No Date Listed")</f>
        <v>No Date Listed</v>
      </c>
      <c r="Y35" s="30" t="s">
        <v>27</v>
      </c>
      <c r="Z35" s="30" t="s">
        <v>27</v>
      </c>
      <c r="AA35" s="30" t="s">
        <v>817</v>
      </c>
    </row>
    <row r="36" spans="4:27" ht="26.4" x14ac:dyDescent="0.25">
      <c r="D36" s="30" t="s">
        <v>619</v>
      </c>
      <c r="E36" s="34" t="s">
        <v>15</v>
      </c>
      <c r="F36" s="34" t="s">
        <v>47</v>
      </c>
      <c r="G36" s="35" t="s">
        <v>828</v>
      </c>
      <c r="H36" s="30" t="s">
        <v>619</v>
      </c>
      <c r="I36" s="34" t="s">
        <v>654</v>
      </c>
      <c r="J36" s="30" t="s">
        <v>655</v>
      </c>
      <c r="K36" s="36">
        <v>21152469.949999999</v>
      </c>
      <c r="L36" s="34" t="s">
        <v>656</v>
      </c>
      <c r="M36" s="30" t="s">
        <v>202</v>
      </c>
      <c r="N36" s="30" t="s">
        <v>203</v>
      </c>
      <c r="O36" s="30" t="s">
        <v>239</v>
      </c>
      <c r="P36" s="34" t="s">
        <v>657</v>
      </c>
      <c r="Q36" s="30" t="s">
        <v>35</v>
      </c>
      <c r="R36" s="34" t="s">
        <v>25</v>
      </c>
      <c r="S36" s="30">
        <v>541512</v>
      </c>
      <c r="T36" s="34" t="s">
        <v>26</v>
      </c>
      <c r="U36" s="31">
        <v>45109</v>
      </c>
      <c r="V36" s="31">
        <v>46935</v>
      </c>
      <c r="W36" s="40">
        <v>2028</v>
      </c>
      <c r="X36" s="31" t="str">
        <f>_xlfn.XLOOKUP(apbi[[#This Row],[Contract Number]],[1]Preaward_OSBP!$F:$F,[1]Preaward_OSBP!$T:$T,"No Date Listed")</f>
        <v>No Date Listed</v>
      </c>
      <c r="Y36" s="30" t="s">
        <v>27</v>
      </c>
      <c r="Z36" s="30" t="s">
        <v>27</v>
      </c>
      <c r="AA36" s="30" t="s">
        <v>815</v>
      </c>
    </row>
    <row r="37" spans="4:27" ht="26.4" x14ac:dyDescent="0.25">
      <c r="D37" s="30" t="s">
        <v>677</v>
      </c>
      <c r="E37" s="34" t="s">
        <v>119</v>
      </c>
      <c r="F37" s="34" t="s">
        <v>37</v>
      </c>
      <c r="G37" s="35" t="s">
        <v>826</v>
      </c>
      <c r="H37" s="30" t="s">
        <v>677</v>
      </c>
      <c r="I37" s="34" t="s">
        <v>704</v>
      </c>
      <c r="J37" s="30">
        <v>0</v>
      </c>
      <c r="K37" s="36">
        <v>20693523.600000001</v>
      </c>
      <c r="L37" s="34" t="s">
        <v>705</v>
      </c>
      <c r="M37" s="30" t="s">
        <v>680</v>
      </c>
      <c r="N37" s="30" t="s">
        <v>70</v>
      </c>
      <c r="O37" s="30" t="s">
        <v>706</v>
      </c>
      <c r="P37" s="34" t="s">
        <v>707</v>
      </c>
      <c r="Q37" s="30" t="s">
        <v>35</v>
      </c>
      <c r="R37" s="34" t="s">
        <v>25</v>
      </c>
      <c r="S37" s="30">
        <v>541618</v>
      </c>
      <c r="T37" s="34" t="s">
        <v>708</v>
      </c>
      <c r="U37" s="31">
        <v>44553</v>
      </c>
      <c r="V37" s="31">
        <v>45657</v>
      </c>
      <c r="W37" s="40">
        <v>2024</v>
      </c>
      <c r="X37" s="31" t="str">
        <f>_xlfn.XLOOKUP(apbi[[#This Row],[Contract Number]],[1]Preaward_OSBP!$F:$F,[1]Preaward_OSBP!$T:$T,"No Date Listed")</f>
        <v>No Date Listed</v>
      </c>
      <c r="Y37" s="30" t="s">
        <v>28</v>
      </c>
      <c r="Z37" s="30" t="s">
        <v>28</v>
      </c>
      <c r="AA37" s="30" t="s">
        <v>816</v>
      </c>
    </row>
    <row r="38" spans="4:27" ht="26.4" x14ac:dyDescent="0.25">
      <c r="D38" s="30" t="s">
        <v>389</v>
      </c>
      <c r="E38" s="34" t="s">
        <v>15</v>
      </c>
      <c r="F38" s="34" t="s">
        <v>47</v>
      </c>
      <c r="G38" s="35" t="s">
        <v>828</v>
      </c>
      <c r="H38" s="30" t="s">
        <v>389</v>
      </c>
      <c r="I38" s="34" t="s">
        <v>412</v>
      </c>
      <c r="J38" s="30">
        <v>0</v>
      </c>
      <c r="K38" s="36">
        <v>20631801.640000001</v>
      </c>
      <c r="L38" s="34" t="s">
        <v>413</v>
      </c>
      <c r="M38" s="30" t="s">
        <v>405</v>
      </c>
      <c r="N38" s="30" t="s">
        <v>349</v>
      </c>
      <c r="O38" s="30" t="s">
        <v>239</v>
      </c>
      <c r="P38" s="34" t="s">
        <v>414</v>
      </c>
      <c r="Q38" s="30" t="s">
        <v>85</v>
      </c>
      <c r="R38" s="34" t="s">
        <v>25</v>
      </c>
      <c r="S38" s="30">
        <v>541512</v>
      </c>
      <c r="T38" s="34" t="s">
        <v>26</v>
      </c>
      <c r="U38" s="31">
        <v>44788</v>
      </c>
      <c r="V38" s="31">
        <v>46613</v>
      </c>
      <c r="W38" s="40">
        <v>2027</v>
      </c>
      <c r="X38" s="31" t="str">
        <f>_xlfn.XLOOKUP(apbi[[#This Row],[Contract Number]],[1]Preaward_OSBP!$F:$F,[1]Preaward_OSBP!$T:$T,"No Date Listed")</f>
        <v>No Date Listed</v>
      </c>
      <c r="Y38" s="30" t="s">
        <v>415</v>
      </c>
      <c r="Z38" s="30" t="s">
        <v>415</v>
      </c>
      <c r="AA38" s="30" t="s">
        <v>808</v>
      </c>
    </row>
    <row r="39" spans="4:27" x14ac:dyDescent="0.25">
      <c r="D39" s="30" t="s">
        <v>709</v>
      </c>
      <c r="E39" s="34" t="s">
        <v>376</v>
      </c>
      <c r="F39" s="34" t="s">
        <v>37</v>
      </c>
      <c r="G39" s="35" t="s">
        <v>826</v>
      </c>
      <c r="H39" s="30" t="s">
        <v>110</v>
      </c>
      <c r="I39" s="34" t="s">
        <v>746</v>
      </c>
      <c r="J39" s="30">
        <v>0</v>
      </c>
      <c r="K39" s="36">
        <v>18790123</v>
      </c>
      <c r="L39" s="34" t="s">
        <v>747</v>
      </c>
      <c r="M39" s="30" t="s">
        <v>113</v>
      </c>
      <c r="N39" s="30" t="s">
        <v>114</v>
      </c>
      <c r="O39" s="30" t="s">
        <v>713</v>
      </c>
      <c r="P39" s="34" t="s">
        <v>748</v>
      </c>
      <c r="Q39" s="30" t="s">
        <v>35</v>
      </c>
      <c r="R39" s="34" t="s">
        <v>25</v>
      </c>
      <c r="S39" s="30">
        <v>722310</v>
      </c>
      <c r="T39" s="34" t="s">
        <v>715</v>
      </c>
      <c r="U39" s="31">
        <v>45901</v>
      </c>
      <c r="V39" s="31">
        <v>46996</v>
      </c>
      <c r="W39" s="30">
        <v>2028</v>
      </c>
      <c r="X39" s="31">
        <v>46631</v>
      </c>
      <c r="Y39" s="30" t="s">
        <v>27</v>
      </c>
      <c r="Z39" s="30" t="s">
        <v>27</v>
      </c>
      <c r="AA39" s="30" t="s">
        <v>817</v>
      </c>
    </row>
    <row r="40" spans="4:27" ht="26.4" x14ac:dyDescent="0.25">
      <c r="D40" s="30" t="s">
        <v>133</v>
      </c>
      <c r="E40" s="34" t="s">
        <v>15</v>
      </c>
      <c r="F40" s="34" t="s">
        <v>134</v>
      </c>
      <c r="G40" s="35" t="s">
        <v>828</v>
      </c>
      <c r="H40" s="30" t="s">
        <v>133</v>
      </c>
      <c r="I40" s="34" t="s">
        <v>157</v>
      </c>
      <c r="J40" s="30">
        <v>0</v>
      </c>
      <c r="K40" s="36">
        <v>18509956.010000002</v>
      </c>
      <c r="L40" s="34" t="s">
        <v>158</v>
      </c>
      <c r="M40" s="30" t="s">
        <v>138</v>
      </c>
      <c r="N40" s="30" t="s">
        <v>139</v>
      </c>
      <c r="O40" s="30" t="s">
        <v>89</v>
      </c>
      <c r="P40" s="34" t="s">
        <v>159</v>
      </c>
      <c r="Q40" s="30"/>
      <c r="R40" s="34" t="s">
        <v>25</v>
      </c>
      <c r="S40" s="30">
        <v>541614</v>
      </c>
      <c r="T40" s="34" t="s">
        <v>141</v>
      </c>
      <c r="U40" s="31">
        <v>45188</v>
      </c>
      <c r="V40" s="31">
        <v>46648</v>
      </c>
      <c r="W40" s="40">
        <v>2027</v>
      </c>
      <c r="X40" s="31">
        <v>46248</v>
      </c>
      <c r="Y40" s="30" t="s">
        <v>27</v>
      </c>
      <c r="Z40" s="30" t="s">
        <v>28</v>
      </c>
      <c r="AA40" s="30" t="s">
        <v>801</v>
      </c>
    </row>
    <row r="41" spans="4:27" ht="26.4" x14ac:dyDescent="0.25">
      <c r="D41" s="30" t="s">
        <v>709</v>
      </c>
      <c r="E41" s="34" t="s">
        <v>119</v>
      </c>
      <c r="F41" s="34" t="s">
        <v>37</v>
      </c>
      <c r="G41" s="35" t="s">
        <v>826</v>
      </c>
      <c r="H41" s="30" t="s">
        <v>212</v>
      </c>
      <c r="I41" s="34" t="s">
        <v>726</v>
      </c>
      <c r="J41" s="30">
        <v>0</v>
      </c>
      <c r="K41" s="36">
        <v>18043114</v>
      </c>
      <c r="L41" s="34" t="s">
        <v>724</v>
      </c>
      <c r="M41" s="30" t="s">
        <v>725</v>
      </c>
      <c r="N41" s="30" t="s">
        <v>203</v>
      </c>
      <c r="O41" s="30" t="s">
        <v>713</v>
      </c>
      <c r="P41" s="34" t="s">
        <v>727</v>
      </c>
      <c r="Q41" s="30" t="s">
        <v>35</v>
      </c>
      <c r="R41" s="34" t="s">
        <v>25</v>
      </c>
      <c r="S41" s="30">
        <v>722310</v>
      </c>
      <c r="T41" s="34" t="s">
        <v>715</v>
      </c>
      <c r="U41" s="31">
        <v>45231</v>
      </c>
      <c r="V41" s="31">
        <v>47057</v>
      </c>
      <c r="W41" s="30">
        <v>2028</v>
      </c>
      <c r="X41" s="31" t="str">
        <f>_xlfn.XLOOKUP(apbi[[#This Row],[Contract Number]],[1]Preaward_OSBP!$F:$F,[1]Preaward_OSBP!$T:$T,"No Date Listed")</f>
        <v>No Date Listed</v>
      </c>
      <c r="Y41" s="30" t="s">
        <v>27</v>
      </c>
      <c r="Z41" s="30" t="s">
        <v>27</v>
      </c>
      <c r="AA41" s="30" t="s">
        <v>817</v>
      </c>
    </row>
    <row r="42" spans="4:27" ht="26.4" x14ac:dyDescent="0.25">
      <c r="D42" s="30" t="s">
        <v>588</v>
      </c>
      <c r="E42" s="34" t="s">
        <v>15</v>
      </c>
      <c r="F42" s="34" t="s">
        <v>47</v>
      </c>
      <c r="G42" s="35" t="s">
        <v>828</v>
      </c>
      <c r="H42" s="30" t="s">
        <v>588</v>
      </c>
      <c r="I42" s="34" t="s">
        <v>616</v>
      </c>
      <c r="J42" s="30">
        <v>0</v>
      </c>
      <c r="K42" s="36">
        <v>16218118</v>
      </c>
      <c r="L42" s="34" t="s">
        <v>617</v>
      </c>
      <c r="M42" s="30" t="s">
        <v>598</v>
      </c>
      <c r="N42" s="30" t="s">
        <v>349</v>
      </c>
      <c r="O42" s="30" t="s">
        <v>33</v>
      </c>
      <c r="P42" s="34" t="s">
        <v>618</v>
      </c>
      <c r="Q42" s="30" t="s">
        <v>35</v>
      </c>
      <c r="R42" s="34" t="s">
        <v>25</v>
      </c>
      <c r="S42" s="30">
        <v>561730</v>
      </c>
      <c r="T42" s="34" t="s">
        <v>279</v>
      </c>
      <c r="U42" s="31">
        <v>45017</v>
      </c>
      <c r="V42" s="31">
        <v>46812</v>
      </c>
      <c r="W42" s="40">
        <v>2028</v>
      </c>
      <c r="X42" s="31">
        <v>46935</v>
      </c>
      <c r="Y42" s="30" t="s">
        <v>27</v>
      </c>
      <c r="Z42" s="30" t="s">
        <v>27</v>
      </c>
      <c r="AA42" s="30" t="s">
        <v>814</v>
      </c>
    </row>
    <row r="43" spans="4:27" ht="26.4" x14ac:dyDescent="0.25">
      <c r="D43" s="30" t="s">
        <v>619</v>
      </c>
      <c r="E43" s="34" t="s">
        <v>15</v>
      </c>
      <c r="F43" s="34" t="s">
        <v>134</v>
      </c>
      <c r="G43" s="35" t="s">
        <v>828</v>
      </c>
      <c r="H43" s="30" t="s">
        <v>619</v>
      </c>
      <c r="I43" s="34" t="s">
        <v>648</v>
      </c>
      <c r="J43" s="30" t="s">
        <v>649</v>
      </c>
      <c r="K43" s="36">
        <v>13996718.25</v>
      </c>
      <c r="L43" s="34" t="s">
        <v>650</v>
      </c>
      <c r="M43" s="30" t="s">
        <v>651</v>
      </c>
      <c r="N43" s="30" t="s">
        <v>652</v>
      </c>
      <c r="O43" s="30" t="s">
        <v>624</v>
      </c>
      <c r="P43" s="34" t="s">
        <v>653</v>
      </c>
      <c r="Q43" s="30" t="s">
        <v>35</v>
      </c>
      <c r="R43" s="34" t="s">
        <v>25</v>
      </c>
      <c r="S43" s="30">
        <v>541330</v>
      </c>
      <c r="T43" s="34" t="s">
        <v>102</v>
      </c>
      <c r="U43" s="31">
        <v>44923</v>
      </c>
      <c r="V43" s="31">
        <v>46743</v>
      </c>
      <c r="W43" s="40">
        <v>2028</v>
      </c>
      <c r="X43" s="31">
        <v>46253</v>
      </c>
      <c r="Y43" s="30" t="s">
        <v>27</v>
      </c>
      <c r="Z43" s="30" t="s">
        <v>27</v>
      </c>
      <c r="AA43" s="30" t="s">
        <v>815</v>
      </c>
    </row>
    <row r="44" spans="4:27" ht="26.4" x14ac:dyDescent="0.25">
      <c r="D44" s="30" t="s">
        <v>212</v>
      </c>
      <c r="E44" s="34" t="s">
        <v>15</v>
      </c>
      <c r="F44" s="34" t="s">
        <v>47</v>
      </c>
      <c r="G44" s="35" t="s">
        <v>828</v>
      </c>
      <c r="H44" s="30" t="s">
        <v>212</v>
      </c>
      <c r="I44" s="34" t="s">
        <v>226</v>
      </c>
      <c r="J44" s="30">
        <v>0</v>
      </c>
      <c r="K44" s="36">
        <v>13213391.060000001</v>
      </c>
      <c r="L44" s="34" t="s">
        <v>227</v>
      </c>
      <c r="M44" s="30" t="s">
        <v>215</v>
      </c>
      <c r="N44" s="30" t="s">
        <v>203</v>
      </c>
      <c r="O44" s="30" t="s">
        <v>33</v>
      </c>
      <c r="P44" s="34" t="s">
        <v>228</v>
      </c>
      <c r="Q44" s="30" t="s">
        <v>85</v>
      </c>
      <c r="R44" s="34" t="s">
        <v>25</v>
      </c>
      <c r="S44" s="30">
        <v>562111</v>
      </c>
      <c r="T44" s="34" t="s">
        <v>211</v>
      </c>
      <c r="U44" s="31">
        <v>45231</v>
      </c>
      <c r="V44" s="31">
        <v>46812</v>
      </c>
      <c r="W44" s="40">
        <v>2028</v>
      </c>
      <c r="X44" s="31" t="str">
        <f>_xlfn.XLOOKUP(apbi[[#This Row],[Contract Number]],[1]Preaward_OSBP!$F:$F,[1]Preaward_OSBP!$T:$T,"No Date Listed")</f>
        <v>No Date Listed</v>
      </c>
      <c r="Y44" s="30" t="s">
        <v>27</v>
      </c>
      <c r="Z44" s="30" t="s">
        <v>27</v>
      </c>
      <c r="AA44" s="30" t="s">
        <v>821</v>
      </c>
    </row>
    <row r="45" spans="4:27" ht="26.4" x14ac:dyDescent="0.25">
      <c r="D45" s="30" t="s">
        <v>709</v>
      </c>
      <c r="E45" s="34" t="s">
        <v>376</v>
      </c>
      <c r="F45" s="34" t="s">
        <v>37</v>
      </c>
      <c r="G45" s="35" t="s">
        <v>826</v>
      </c>
      <c r="H45" s="30" t="s">
        <v>133</v>
      </c>
      <c r="I45" s="34" t="s">
        <v>719</v>
      </c>
      <c r="J45" s="30">
        <v>0</v>
      </c>
      <c r="K45" s="36">
        <v>13046723</v>
      </c>
      <c r="L45" s="34" t="s">
        <v>720</v>
      </c>
      <c r="M45" s="30" t="s">
        <v>721</v>
      </c>
      <c r="N45" s="30" t="s">
        <v>139</v>
      </c>
      <c r="O45" s="30" t="s">
        <v>713</v>
      </c>
      <c r="P45" s="34" t="s">
        <v>714</v>
      </c>
      <c r="Q45" s="30" t="s">
        <v>35</v>
      </c>
      <c r="R45" s="34" t="s">
        <v>25</v>
      </c>
      <c r="S45" s="30">
        <v>722310</v>
      </c>
      <c r="T45" s="34" t="s">
        <v>715</v>
      </c>
      <c r="U45" s="31">
        <v>46044</v>
      </c>
      <c r="V45" s="31">
        <v>46408</v>
      </c>
      <c r="W45" s="30">
        <v>2027</v>
      </c>
      <c r="X45" s="31" t="str">
        <f>_xlfn.XLOOKUP(apbi[[#This Row],[Contract Number]],[1]Preaward_OSBP!$F:$F,[1]Preaward_OSBP!$T:$T,"No Date Listed")</f>
        <v>No Date Listed</v>
      </c>
      <c r="Y45" s="30" t="s">
        <v>27</v>
      </c>
      <c r="Z45" s="30" t="s">
        <v>27</v>
      </c>
      <c r="AA45" s="30" t="s">
        <v>817</v>
      </c>
    </row>
    <row r="46" spans="4:27" x14ac:dyDescent="0.25">
      <c r="D46" s="30" t="s">
        <v>14</v>
      </c>
      <c r="E46" s="34" t="s">
        <v>29</v>
      </c>
      <c r="F46" s="34" t="s">
        <v>30</v>
      </c>
      <c r="G46" s="35" t="s">
        <v>828</v>
      </c>
      <c r="H46" s="30" t="s">
        <v>14</v>
      </c>
      <c r="I46" s="34" t="s">
        <v>31</v>
      </c>
      <c r="J46" s="30">
        <v>0</v>
      </c>
      <c r="K46" s="36">
        <v>11062909.689999999</v>
      </c>
      <c r="L46" s="34" t="s">
        <v>32</v>
      </c>
      <c r="M46" s="30" t="s">
        <v>20</v>
      </c>
      <c r="N46" s="30" t="s">
        <v>21</v>
      </c>
      <c r="O46" s="30" t="s">
        <v>33</v>
      </c>
      <c r="P46" s="34" t="s">
        <v>34</v>
      </c>
      <c r="Q46" s="30" t="s">
        <v>35</v>
      </c>
      <c r="R46" s="34" t="s">
        <v>25</v>
      </c>
      <c r="S46" s="30">
        <v>562112</v>
      </c>
      <c r="T46" s="34" t="s">
        <v>36</v>
      </c>
      <c r="U46" s="31">
        <v>44458</v>
      </c>
      <c r="V46" s="31">
        <v>46255</v>
      </c>
      <c r="W46" s="40">
        <v>2026</v>
      </c>
      <c r="X46" s="31">
        <f>_xlfn.XLOOKUP(apbi[[#This Row],[Contract Number]],[1]Preaward_OSBP!$F:$F,[1]Preaward_OSBP!$T:$T,"No Date Listed")</f>
        <v>46160</v>
      </c>
      <c r="Y46" s="30" t="s">
        <v>27</v>
      </c>
      <c r="Z46" s="30" t="s">
        <v>27</v>
      </c>
      <c r="AA46" s="30" t="s">
        <v>798</v>
      </c>
    </row>
    <row r="47" spans="4:27" s="29" customFormat="1" ht="39.6" x14ac:dyDescent="0.25">
      <c r="D47" s="30" t="s">
        <v>66</v>
      </c>
      <c r="E47" s="34" t="s">
        <v>15</v>
      </c>
      <c r="F47" s="34" t="s">
        <v>47</v>
      </c>
      <c r="G47" s="35" t="s">
        <v>828</v>
      </c>
      <c r="H47" s="30" t="s">
        <v>66</v>
      </c>
      <c r="I47" s="34" t="s">
        <v>67</v>
      </c>
      <c r="J47" s="30">
        <v>0</v>
      </c>
      <c r="K47" s="36">
        <v>10322639.82</v>
      </c>
      <c r="L47" s="34" t="s">
        <v>68</v>
      </c>
      <c r="M47" s="30" t="s">
        <v>69</v>
      </c>
      <c r="N47" s="30" t="s">
        <v>70</v>
      </c>
      <c r="O47" s="30" t="s">
        <v>33</v>
      </c>
      <c r="P47" s="34" t="s">
        <v>71</v>
      </c>
      <c r="Q47" s="30" t="s">
        <v>35</v>
      </c>
      <c r="R47" s="34" t="s">
        <v>25</v>
      </c>
      <c r="S47" s="30">
        <v>561210</v>
      </c>
      <c r="T47" s="34" t="s">
        <v>72</v>
      </c>
      <c r="U47" s="31">
        <v>44348</v>
      </c>
      <c r="V47" s="31">
        <v>46173</v>
      </c>
      <c r="W47" s="40">
        <v>2026</v>
      </c>
      <c r="X47" s="31" t="str">
        <f>_xlfn.XLOOKUP(apbi[[#This Row],[Contract Number]],[1]Preaward_OSBP!$F:$F,[1]Preaward_OSBP!$T:$T,"No Date Listed")</f>
        <v>No Date Listed</v>
      </c>
      <c r="Y47" s="30" t="s">
        <v>27</v>
      </c>
      <c r="Z47" s="30" t="s">
        <v>27</v>
      </c>
      <c r="AA47" s="30" t="s">
        <v>799</v>
      </c>
    </row>
    <row r="48" spans="4:27" s="29" customFormat="1" ht="39.6" x14ac:dyDescent="0.25">
      <c r="D48" s="30" t="s">
        <v>133</v>
      </c>
      <c r="E48" s="34" t="s">
        <v>119</v>
      </c>
      <c r="F48" s="34" t="s">
        <v>134</v>
      </c>
      <c r="G48" s="35" t="s">
        <v>828</v>
      </c>
      <c r="H48" s="30" t="s">
        <v>133</v>
      </c>
      <c r="I48" s="34" t="s">
        <v>135</v>
      </c>
      <c r="J48" s="30" t="s">
        <v>181</v>
      </c>
      <c r="K48" s="36">
        <v>10210921.92</v>
      </c>
      <c r="L48" s="34" t="s">
        <v>137</v>
      </c>
      <c r="M48" s="30" t="s">
        <v>182</v>
      </c>
      <c r="N48" s="30" t="s">
        <v>139</v>
      </c>
      <c r="O48" s="30" t="s">
        <v>89</v>
      </c>
      <c r="P48" s="34" t="s">
        <v>183</v>
      </c>
      <c r="Q48" s="30" t="s">
        <v>35</v>
      </c>
      <c r="R48" s="34" t="s">
        <v>25</v>
      </c>
      <c r="S48" s="30">
        <v>541614</v>
      </c>
      <c r="T48" s="34" t="s">
        <v>141</v>
      </c>
      <c r="U48" s="31">
        <v>45563</v>
      </c>
      <c r="V48" s="31">
        <v>47007</v>
      </c>
      <c r="W48" s="40">
        <v>2028</v>
      </c>
      <c r="X48" s="31">
        <v>46169</v>
      </c>
      <c r="Y48" s="30" t="s">
        <v>27</v>
      </c>
      <c r="Z48" s="30" t="s">
        <v>27</v>
      </c>
      <c r="AA48" s="30" t="s">
        <v>801</v>
      </c>
    </row>
    <row r="49" spans="4:27" ht="26.4" x14ac:dyDescent="0.25">
      <c r="D49" s="30" t="s">
        <v>469</v>
      </c>
      <c r="E49" s="34" t="s">
        <v>15</v>
      </c>
      <c r="F49" s="34" t="s">
        <v>47</v>
      </c>
      <c r="G49" s="35" t="s">
        <v>828</v>
      </c>
      <c r="H49" s="30" t="s">
        <v>469</v>
      </c>
      <c r="I49" s="34" t="s">
        <v>499</v>
      </c>
      <c r="J49" s="30">
        <v>0</v>
      </c>
      <c r="K49" s="36">
        <v>10007823.289999999</v>
      </c>
      <c r="L49" s="34" t="s">
        <v>500</v>
      </c>
      <c r="M49" s="30" t="s">
        <v>472</v>
      </c>
      <c r="N49" s="30" t="s">
        <v>349</v>
      </c>
      <c r="O49" s="30" t="s">
        <v>33</v>
      </c>
      <c r="P49" s="34" t="s">
        <v>501</v>
      </c>
      <c r="Q49" s="30" t="s">
        <v>35</v>
      </c>
      <c r="R49" s="34" t="s">
        <v>25</v>
      </c>
      <c r="S49" s="30">
        <v>238220</v>
      </c>
      <c r="T49" s="34" t="s">
        <v>485</v>
      </c>
      <c r="U49" s="31">
        <v>44925</v>
      </c>
      <c r="V49" s="31">
        <v>46750</v>
      </c>
      <c r="W49" s="40">
        <v>2028</v>
      </c>
      <c r="X49" s="31" t="str">
        <f>_xlfn.XLOOKUP(apbi[[#This Row],[Contract Number]],[1]Preaward_OSBP!$F:$F,[1]Preaward_OSBP!$T:$T,"No Date Listed")</f>
        <v>No Date Listed</v>
      </c>
      <c r="Y49" s="30" t="s">
        <v>27</v>
      </c>
      <c r="Z49" s="30" t="s">
        <v>27</v>
      </c>
      <c r="AA49" s="30" t="s">
        <v>810</v>
      </c>
    </row>
    <row r="50" spans="4:27" ht="26.4" x14ac:dyDescent="0.25">
      <c r="D50" s="30" t="s">
        <v>299</v>
      </c>
      <c r="E50" s="34" t="s">
        <v>15</v>
      </c>
      <c r="F50" s="34" t="s">
        <v>47</v>
      </c>
      <c r="G50" s="35" t="s">
        <v>828</v>
      </c>
      <c r="H50" s="30" t="s">
        <v>299</v>
      </c>
      <c r="I50" s="34" t="s">
        <v>307</v>
      </c>
      <c r="J50" s="30">
        <v>0</v>
      </c>
      <c r="K50" s="36">
        <v>9971183.0899999999</v>
      </c>
      <c r="L50" s="34" t="s">
        <v>308</v>
      </c>
      <c r="M50" s="30" t="s">
        <v>303</v>
      </c>
      <c r="N50" s="30" t="s">
        <v>304</v>
      </c>
      <c r="O50" s="30" t="s">
        <v>33</v>
      </c>
      <c r="P50" s="34" t="s">
        <v>309</v>
      </c>
      <c r="Q50" s="30" t="s">
        <v>35</v>
      </c>
      <c r="R50" s="34" t="s">
        <v>25</v>
      </c>
      <c r="S50" s="30">
        <v>562920</v>
      </c>
      <c r="T50" s="34" t="s">
        <v>310</v>
      </c>
      <c r="U50" s="31">
        <v>44502</v>
      </c>
      <c r="V50" s="31">
        <v>46326</v>
      </c>
      <c r="W50" s="40">
        <v>2027</v>
      </c>
      <c r="X50" s="31">
        <v>46150</v>
      </c>
      <c r="Y50" s="30" t="s">
        <v>27</v>
      </c>
      <c r="Z50" s="30" t="s">
        <v>27</v>
      </c>
      <c r="AA50" s="30" t="s">
        <v>805</v>
      </c>
    </row>
    <row r="51" spans="4:27" ht="26.4" x14ac:dyDescent="0.25">
      <c r="D51" s="30" t="s">
        <v>212</v>
      </c>
      <c r="E51" s="34" t="s">
        <v>15</v>
      </c>
      <c r="F51" s="34" t="s">
        <v>47</v>
      </c>
      <c r="G51" s="35" t="s">
        <v>828</v>
      </c>
      <c r="H51" s="30" t="s">
        <v>212</v>
      </c>
      <c r="I51" s="34" t="s">
        <v>218</v>
      </c>
      <c r="J51" s="30" t="s">
        <v>219</v>
      </c>
      <c r="K51" s="36">
        <v>8519770.3800000008</v>
      </c>
      <c r="L51" s="34" t="s">
        <v>220</v>
      </c>
      <c r="M51" s="30" t="s">
        <v>215</v>
      </c>
      <c r="N51" s="30" t="s">
        <v>203</v>
      </c>
      <c r="O51" s="30" t="s">
        <v>33</v>
      </c>
      <c r="P51" s="34" t="s">
        <v>221</v>
      </c>
      <c r="Q51" s="30" t="s">
        <v>35</v>
      </c>
      <c r="R51" s="34" t="s">
        <v>25</v>
      </c>
      <c r="S51" s="30">
        <v>541330</v>
      </c>
      <c r="T51" s="34" t="s">
        <v>102</v>
      </c>
      <c r="U51" s="31">
        <v>45053</v>
      </c>
      <c r="V51" s="31">
        <v>46758</v>
      </c>
      <c r="W51" s="40">
        <v>2028</v>
      </c>
      <c r="X51" s="31" t="str">
        <f>_xlfn.XLOOKUP(apbi[[#This Row],[Contract Number]],[1]Preaward_OSBP!$F:$F,[1]Preaward_OSBP!$T:$T,"No Date Listed")</f>
        <v>No Date Listed</v>
      </c>
      <c r="Y51" s="30" t="s">
        <v>27</v>
      </c>
      <c r="Z51" s="30" t="s">
        <v>27</v>
      </c>
      <c r="AA51" s="30" t="s">
        <v>821</v>
      </c>
    </row>
    <row r="52" spans="4:27" s="29" customFormat="1" ht="39.6" x14ac:dyDescent="0.25">
      <c r="D52" s="30" t="s">
        <v>299</v>
      </c>
      <c r="E52" s="34" t="s">
        <v>15</v>
      </c>
      <c r="F52" s="34" t="s">
        <v>47</v>
      </c>
      <c r="G52" s="35" t="s">
        <v>828</v>
      </c>
      <c r="H52" s="30" t="s">
        <v>299</v>
      </c>
      <c r="I52" s="34" t="s">
        <v>315</v>
      </c>
      <c r="J52" s="30">
        <v>0</v>
      </c>
      <c r="K52" s="36">
        <v>8519647.1199999992</v>
      </c>
      <c r="L52" s="34" t="s">
        <v>316</v>
      </c>
      <c r="M52" s="30" t="s">
        <v>303</v>
      </c>
      <c r="N52" s="30" t="s">
        <v>304</v>
      </c>
      <c r="O52" s="30" t="s">
        <v>33</v>
      </c>
      <c r="P52" s="34" t="s">
        <v>317</v>
      </c>
      <c r="Q52" s="30" t="s">
        <v>85</v>
      </c>
      <c r="R52" s="34" t="s">
        <v>25</v>
      </c>
      <c r="S52" s="30">
        <v>562112</v>
      </c>
      <c r="T52" s="34" t="s">
        <v>36</v>
      </c>
      <c r="U52" s="31">
        <v>45017</v>
      </c>
      <c r="V52" s="31">
        <v>46783</v>
      </c>
      <c r="W52" s="40">
        <v>2028</v>
      </c>
      <c r="X52" s="31" t="str">
        <f>_xlfn.XLOOKUP(apbi[[#This Row],[Contract Number]],[1]Preaward_OSBP!$F:$F,[1]Preaward_OSBP!$T:$T,"No Date Listed")</f>
        <v>No Date Listed</v>
      </c>
      <c r="Y52" s="30" t="s">
        <v>27</v>
      </c>
      <c r="Z52" s="30" t="s">
        <v>27</v>
      </c>
      <c r="AA52" s="30" t="s">
        <v>805</v>
      </c>
    </row>
    <row r="53" spans="4:27" ht="26.4" x14ac:dyDescent="0.25">
      <c r="D53" s="30" t="s">
        <v>588</v>
      </c>
      <c r="E53" s="34" t="s">
        <v>15</v>
      </c>
      <c r="F53" s="34" t="s">
        <v>47</v>
      </c>
      <c r="G53" s="35" t="s">
        <v>828</v>
      </c>
      <c r="H53" s="30" t="s">
        <v>588</v>
      </c>
      <c r="I53" s="34" t="s">
        <v>613</v>
      </c>
      <c r="J53" s="30">
        <v>0</v>
      </c>
      <c r="K53" s="36">
        <v>7994219.7000000002</v>
      </c>
      <c r="L53" s="34" t="s">
        <v>614</v>
      </c>
      <c r="M53" s="30" t="s">
        <v>591</v>
      </c>
      <c r="N53" s="30" t="s">
        <v>349</v>
      </c>
      <c r="O53" s="30" t="s">
        <v>599</v>
      </c>
      <c r="P53" s="34" t="s">
        <v>615</v>
      </c>
      <c r="Q53" s="30" t="s">
        <v>35</v>
      </c>
      <c r="R53" s="34" t="s">
        <v>25</v>
      </c>
      <c r="S53" s="30">
        <v>561730</v>
      </c>
      <c r="T53" s="34" t="s">
        <v>279</v>
      </c>
      <c r="U53" s="31">
        <v>44726</v>
      </c>
      <c r="V53" s="31">
        <v>46560</v>
      </c>
      <c r="W53" s="40">
        <v>2027</v>
      </c>
      <c r="X53" s="31">
        <v>46500</v>
      </c>
      <c r="Y53" s="30" t="s">
        <v>27</v>
      </c>
      <c r="Z53" s="30" t="s">
        <v>27</v>
      </c>
      <c r="AA53" s="30" t="s">
        <v>814</v>
      </c>
    </row>
    <row r="54" spans="4:27" ht="26.4" x14ac:dyDescent="0.25">
      <c r="D54" s="30" t="s">
        <v>370</v>
      </c>
      <c r="E54" s="34" t="s">
        <v>15</v>
      </c>
      <c r="F54" s="34" t="s">
        <v>47</v>
      </c>
      <c r="G54" s="35" t="s">
        <v>828</v>
      </c>
      <c r="H54" s="30" t="s">
        <v>370</v>
      </c>
      <c r="I54" s="34" t="s">
        <v>381</v>
      </c>
      <c r="J54" s="30">
        <v>0</v>
      </c>
      <c r="K54" s="36">
        <v>7932583.8499999996</v>
      </c>
      <c r="L54" s="34" t="s">
        <v>382</v>
      </c>
      <c r="M54" s="30" t="s">
        <v>373</v>
      </c>
      <c r="N54" s="30" t="s">
        <v>304</v>
      </c>
      <c r="O54" s="30" t="s">
        <v>239</v>
      </c>
      <c r="P54" s="34" t="s">
        <v>383</v>
      </c>
      <c r="Q54" s="30" t="s">
        <v>35</v>
      </c>
      <c r="R54" s="34" t="s">
        <v>25</v>
      </c>
      <c r="S54" s="30">
        <v>541513</v>
      </c>
      <c r="T54" s="34" t="s">
        <v>384</v>
      </c>
      <c r="U54" s="31">
        <v>44818</v>
      </c>
      <c r="V54" s="31">
        <v>46552</v>
      </c>
      <c r="W54" s="40">
        <v>2027</v>
      </c>
      <c r="X54" s="31">
        <v>46419</v>
      </c>
      <c r="Y54" s="30" t="s">
        <v>27</v>
      </c>
      <c r="Z54" s="30" t="s">
        <v>27</v>
      </c>
      <c r="AA54" s="30" t="s">
        <v>807</v>
      </c>
    </row>
    <row r="55" spans="4:27" s="29" customFormat="1" ht="66" x14ac:dyDescent="0.25">
      <c r="D55" s="30" t="s">
        <v>401</v>
      </c>
      <c r="E55" s="34" t="s">
        <v>119</v>
      </c>
      <c r="F55" s="34" t="s">
        <v>134</v>
      </c>
      <c r="G55" s="35" t="s">
        <v>828</v>
      </c>
      <c r="H55" s="30" t="s">
        <v>401</v>
      </c>
      <c r="I55" s="34" t="s">
        <v>546</v>
      </c>
      <c r="J55" s="30" t="s">
        <v>547</v>
      </c>
      <c r="K55" s="36">
        <v>7609608.0999999996</v>
      </c>
      <c r="L55" s="34" t="s">
        <v>548</v>
      </c>
      <c r="M55" s="30" t="s">
        <v>409</v>
      </c>
      <c r="N55" s="30" t="s">
        <v>410</v>
      </c>
      <c r="O55" s="30" t="s">
        <v>239</v>
      </c>
      <c r="P55" s="34" t="s">
        <v>549</v>
      </c>
      <c r="Q55" s="30" t="s">
        <v>35</v>
      </c>
      <c r="R55" s="34" t="s">
        <v>25</v>
      </c>
      <c r="S55" s="30">
        <v>541330</v>
      </c>
      <c r="T55" s="34" t="s">
        <v>102</v>
      </c>
      <c r="U55" s="31">
        <v>45178</v>
      </c>
      <c r="V55" s="31">
        <v>46912</v>
      </c>
      <c r="W55" s="40">
        <v>2028</v>
      </c>
      <c r="X55" s="31" t="str">
        <f>_xlfn.XLOOKUP(apbi[[#This Row],[Contract Number]],[1]Preaward_OSBP!$F:$F,[1]Preaward_OSBP!$T:$T,"No Date Listed")</f>
        <v>No Date Listed</v>
      </c>
      <c r="Y55" s="30" t="s">
        <v>27</v>
      </c>
      <c r="Z55" s="30" t="s">
        <v>27</v>
      </c>
      <c r="AA55" s="30" t="s">
        <v>823</v>
      </c>
    </row>
    <row r="56" spans="4:27" ht="26.4" x14ac:dyDescent="0.25">
      <c r="D56" s="30" t="s">
        <v>469</v>
      </c>
      <c r="E56" s="34" t="s">
        <v>15</v>
      </c>
      <c r="F56" s="34" t="s">
        <v>47</v>
      </c>
      <c r="G56" s="35" t="s">
        <v>828</v>
      </c>
      <c r="H56" s="30" t="s">
        <v>469</v>
      </c>
      <c r="I56" s="34" t="s">
        <v>495</v>
      </c>
      <c r="J56" s="30" t="s">
        <v>496</v>
      </c>
      <c r="K56" s="36">
        <v>6848442.2699999996</v>
      </c>
      <c r="L56" s="34" t="s">
        <v>497</v>
      </c>
      <c r="M56" s="30" t="s">
        <v>472</v>
      </c>
      <c r="N56" s="30" t="s">
        <v>349</v>
      </c>
      <c r="O56" s="30" t="s">
        <v>239</v>
      </c>
      <c r="P56" s="34" t="s">
        <v>498</v>
      </c>
      <c r="Q56" s="30" t="s">
        <v>35</v>
      </c>
      <c r="R56" s="34" t="s">
        <v>25</v>
      </c>
      <c r="S56" s="30">
        <v>541512</v>
      </c>
      <c r="T56" s="34" t="s">
        <v>26</v>
      </c>
      <c r="U56" s="31">
        <v>45198</v>
      </c>
      <c r="V56" s="31">
        <v>47024</v>
      </c>
      <c r="W56" s="40">
        <v>2028</v>
      </c>
      <c r="X56" s="31" t="str">
        <f>_xlfn.XLOOKUP(apbi[[#This Row],[Contract Number]],[1]Preaward_OSBP!$F:$F,[1]Preaward_OSBP!$T:$T,"No Date Listed")</f>
        <v>No Date Listed</v>
      </c>
      <c r="Y56" s="30" t="s">
        <v>27</v>
      </c>
      <c r="Z56" s="30" t="s">
        <v>27</v>
      </c>
      <c r="AA56" s="30" t="s">
        <v>810</v>
      </c>
    </row>
    <row r="57" spans="4:27" ht="26.4" x14ac:dyDescent="0.25">
      <c r="D57" s="30" t="s">
        <v>709</v>
      </c>
      <c r="E57" s="34" t="s">
        <v>119</v>
      </c>
      <c r="F57" s="34" t="s">
        <v>37</v>
      </c>
      <c r="G57" s="35" t="s">
        <v>826</v>
      </c>
      <c r="H57" s="30" t="s">
        <v>299</v>
      </c>
      <c r="I57" s="34" t="s">
        <v>730</v>
      </c>
      <c r="J57" s="30">
        <v>0</v>
      </c>
      <c r="K57" s="36">
        <v>6581928</v>
      </c>
      <c r="L57" s="34" t="s">
        <v>717</v>
      </c>
      <c r="M57" s="30" t="s">
        <v>731</v>
      </c>
      <c r="N57" s="30" t="s">
        <v>304</v>
      </c>
      <c r="O57" s="30" t="s">
        <v>713</v>
      </c>
      <c r="P57" s="34" t="s">
        <v>714</v>
      </c>
      <c r="Q57" s="30" t="s">
        <v>35</v>
      </c>
      <c r="R57" s="34" t="s">
        <v>25</v>
      </c>
      <c r="S57" s="30">
        <v>722310</v>
      </c>
      <c r="T57" s="34" t="s">
        <v>715</v>
      </c>
      <c r="U57" s="31">
        <v>44229</v>
      </c>
      <c r="V57" s="31">
        <v>46227</v>
      </c>
      <c r="W57" s="30">
        <v>2026</v>
      </c>
      <c r="X57" s="31" t="str">
        <f>_xlfn.XLOOKUP(apbi[[#This Row],[Contract Number]],[1]Preaward_OSBP!$F:$F,[1]Preaward_OSBP!$T:$T,"No Date Listed")</f>
        <v>No Date Listed</v>
      </c>
      <c r="Y57" s="30" t="s">
        <v>27</v>
      </c>
      <c r="Z57" s="30" t="s">
        <v>27</v>
      </c>
      <c r="AA57" s="30" t="s">
        <v>817</v>
      </c>
    </row>
    <row r="58" spans="4:27" ht="26.4" x14ac:dyDescent="0.25">
      <c r="D58" s="30" t="s">
        <v>14</v>
      </c>
      <c r="E58" s="34" t="s">
        <v>15</v>
      </c>
      <c r="F58" s="34" t="s">
        <v>16</v>
      </c>
      <c r="G58" s="35" t="s">
        <v>828</v>
      </c>
      <c r="H58" s="30" t="s">
        <v>14</v>
      </c>
      <c r="I58" s="34" t="s">
        <v>17</v>
      </c>
      <c r="J58" s="30" t="s">
        <v>18</v>
      </c>
      <c r="K58" s="36">
        <v>6555765.2699999996</v>
      </c>
      <c r="L58" s="34" t="s">
        <v>19</v>
      </c>
      <c r="M58" s="30" t="s">
        <v>20</v>
      </c>
      <c r="N58" s="30" t="s">
        <v>21</v>
      </c>
      <c r="O58" s="30" t="s">
        <v>22</v>
      </c>
      <c r="P58" s="34" t="s">
        <v>23</v>
      </c>
      <c r="Q58" s="30" t="s">
        <v>24</v>
      </c>
      <c r="R58" s="34" t="s">
        <v>25</v>
      </c>
      <c r="S58" s="30">
        <v>541512</v>
      </c>
      <c r="T58" s="34" t="s">
        <v>26</v>
      </c>
      <c r="U58" s="31">
        <v>45533</v>
      </c>
      <c r="V58" s="31">
        <v>46265</v>
      </c>
      <c r="W58" s="40">
        <v>2026</v>
      </c>
      <c r="X58" s="31" t="str">
        <f>_xlfn.XLOOKUP(apbi[[#This Row],[Contract Number]],[1]Preaward_OSBP!$F:$F,[1]Preaward_OSBP!$T:$T,"No Date Listed")</f>
        <v>No Date Listed</v>
      </c>
      <c r="Y58" s="30" t="s">
        <v>27</v>
      </c>
      <c r="Z58" s="30" t="s">
        <v>28</v>
      </c>
      <c r="AA58" s="30" t="s">
        <v>798</v>
      </c>
    </row>
    <row r="59" spans="4:27" ht="26.4" x14ac:dyDescent="0.25">
      <c r="D59" s="30" t="s">
        <v>469</v>
      </c>
      <c r="E59" s="34" t="s">
        <v>15</v>
      </c>
      <c r="F59" s="34" t="s">
        <v>47</v>
      </c>
      <c r="G59" s="35" t="s">
        <v>828</v>
      </c>
      <c r="H59" s="30" t="s">
        <v>469</v>
      </c>
      <c r="I59" s="34" t="s">
        <v>474</v>
      </c>
      <c r="J59" s="30" t="s">
        <v>475</v>
      </c>
      <c r="K59" s="36">
        <v>6356527.5</v>
      </c>
      <c r="L59" s="34" t="s">
        <v>476</v>
      </c>
      <c r="M59" s="30" t="s">
        <v>472</v>
      </c>
      <c r="N59" s="30" t="s">
        <v>349</v>
      </c>
      <c r="O59" s="30" t="s">
        <v>394</v>
      </c>
      <c r="P59" s="34" t="s">
        <v>477</v>
      </c>
      <c r="Q59" s="30" t="s">
        <v>35</v>
      </c>
      <c r="R59" s="34" t="s">
        <v>25</v>
      </c>
      <c r="S59" s="30">
        <v>541330</v>
      </c>
      <c r="T59" s="34" t="s">
        <v>102</v>
      </c>
      <c r="U59" s="31">
        <v>45349</v>
      </c>
      <c r="V59" s="31">
        <v>46444</v>
      </c>
      <c r="W59" s="40">
        <v>2027</v>
      </c>
      <c r="X59" s="31" t="str">
        <f>_xlfn.XLOOKUP(apbi[[#This Row],[Contract Number]],[1]Preaward_OSBP!$F:$F,[1]Preaward_OSBP!$T:$T,"No Date Listed")</f>
        <v>No Date Listed</v>
      </c>
      <c r="Y59" s="30" t="s">
        <v>27</v>
      </c>
      <c r="Z59" s="30" t="s">
        <v>28</v>
      </c>
      <c r="AA59" s="30" t="s">
        <v>810</v>
      </c>
    </row>
    <row r="60" spans="4:27" x14ac:dyDescent="0.25">
      <c r="D60" s="30" t="s">
        <v>709</v>
      </c>
      <c r="E60" s="34" t="s">
        <v>376</v>
      </c>
      <c r="F60" s="34" t="s">
        <v>37</v>
      </c>
      <c r="G60" s="35" t="s">
        <v>826</v>
      </c>
      <c r="H60" s="30" t="s">
        <v>110</v>
      </c>
      <c r="I60" s="34" t="s">
        <v>749</v>
      </c>
      <c r="J60" s="30">
        <v>0</v>
      </c>
      <c r="K60" s="36">
        <v>6222878.4199999999</v>
      </c>
      <c r="L60" s="34" t="s">
        <v>747</v>
      </c>
      <c r="M60" s="30" t="s">
        <v>113</v>
      </c>
      <c r="N60" s="30" t="s">
        <v>114</v>
      </c>
      <c r="O60" s="30" t="s">
        <v>713</v>
      </c>
      <c r="P60" s="34" t="s">
        <v>750</v>
      </c>
      <c r="Q60" s="30" t="s">
        <v>35</v>
      </c>
      <c r="R60" s="34" t="s">
        <v>25</v>
      </c>
      <c r="S60" s="30">
        <v>722310</v>
      </c>
      <c r="T60" s="34" t="s">
        <v>715</v>
      </c>
      <c r="U60" s="31">
        <v>45962</v>
      </c>
      <c r="V60" s="31">
        <v>47057</v>
      </c>
      <c r="W60" s="30">
        <v>2028</v>
      </c>
      <c r="X60" s="31">
        <v>46661</v>
      </c>
      <c r="Y60" s="30" t="s">
        <v>27</v>
      </c>
      <c r="Z60" s="30" t="s">
        <v>27</v>
      </c>
      <c r="AA60" s="30" t="s">
        <v>817</v>
      </c>
    </row>
    <row r="61" spans="4:27" x14ac:dyDescent="0.25">
      <c r="D61" s="30" t="s">
        <v>254</v>
      </c>
      <c r="E61" s="34" t="s">
        <v>29</v>
      </c>
      <c r="F61" s="34" t="s">
        <v>47</v>
      </c>
      <c r="G61" s="35" t="s">
        <v>828</v>
      </c>
      <c r="H61" s="30" t="s">
        <v>254</v>
      </c>
      <c r="I61" s="34" t="s">
        <v>296</v>
      </c>
      <c r="J61" s="30">
        <v>0</v>
      </c>
      <c r="K61" s="36">
        <v>6195062.7599999998</v>
      </c>
      <c r="L61" s="34" t="s">
        <v>297</v>
      </c>
      <c r="M61" s="30" t="s">
        <v>262</v>
      </c>
      <c r="N61" s="30" t="s">
        <v>263</v>
      </c>
      <c r="O61" s="30" t="s">
        <v>33</v>
      </c>
      <c r="P61" s="34" t="s">
        <v>298</v>
      </c>
      <c r="Q61" s="30" t="s">
        <v>35</v>
      </c>
      <c r="R61" s="34" t="s">
        <v>25</v>
      </c>
      <c r="S61" s="30">
        <v>562111</v>
      </c>
      <c r="T61" s="34" t="s">
        <v>211</v>
      </c>
      <c r="U61" s="31">
        <v>45092</v>
      </c>
      <c r="V61" s="31">
        <v>46812</v>
      </c>
      <c r="W61" s="40">
        <v>2028</v>
      </c>
      <c r="X61" s="31" t="str">
        <f>_xlfn.XLOOKUP(apbi[[#This Row],[Contract Number]],[1]Preaward_OSBP!$F:$F,[1]Preaward_OSBP!$T:$T,"No Date Listed")</f>
        <v>No Date Listed</v>
      </c>
      <c r="Y61" s="30" t="s">
        <v>28</v>
      </c>
      <c r="Z61" s="30" t="s">
        <v>27</v>
      </c>
      <c r="AA61" s="30" t="s">
        <v>804</v>
      </c>
    </row>
    <row r="62" spans="4:27" ht="26.4" x14ac:dyDescent="0.25">
      <c r="D62" s="30" t="s">
        <v>588</v>
      </c>
      <c r="E62" s="34" t="s">
        <v>15</v>
      </c>
      <c r="F62" s="34" t="s">
        <v>47</v>
      </c>
      <c r="G62" s="35" t="s">
        <v>828</v>
      </c>
      <c r="H62" s="30" t="s">
        <v>588</v>
      </c>
      <c r="I62" s="34" t="s">
        <v>596</v>
      </c>
      <c r="J62" s="30">
        <v>0</v>
      </c>
      <c r="K62" s="36">
        <v>5973035.4199999999</v>
      </c>
      <c r="L62" s="34" t="s">
        <v>597</v>
      </c>
      <c r="M62" s="30" t="s">
        <v>598</v>
      </c>
      <c r="N62" s="30" t="s">
        <v>349</v>
      </c>
      <c r="O62" s="30" t="s">
        <v>599</v>
      </c>
      <c r="P62" s="34" t="s">
        <v>600</v>
      </c>
      <c r="Q62" s="30" t="s">
        <v>35</v>
      </c>
      <c r="R62" s="34" t="s">
        <v>25</v>
      </c>
      <c r="S62" s="30">
        <v>561730</v>
      </c>
      <c r="T62" s="34" t="s">
        <v>279</v>
      </c>
      <c r="U62" s="31">
        <v>44735</v>
      </c>
      <c r="V62" s="31">
        <v>46565</v>
      </c>
      <c r="W62" s="40">
        <v>2027</v>
      </c>
      <c r="X62" s="31" t="str">
        <f>_xlfn.XLOOKUP(apbi[[#This Row],[Contract Number]],[1]Preaward_OSBP!$F:$F,[1]Preaward_OSBP!$T:$T,"No Date Listed")</f>
        <v>No Date Listed</v>
      </c>
      <c r="Y62" s="30" t="s">
        <v>27</v>
      </c>
      <c r="Z62" s="30" t="s">
        <v>27</v>
      </c>
      <c r="AA62" s="30" t="s">
        <v>814</v>
      </c>
    </row>
    <row r="63" spans="4:27" x14ac:dyDescent="0.25">
      <c r="D63" s="30" t="s">
        <v>619</v>
      </c>
      <c r="E63" s="34" t="s">
        <v>29</v>
      </c>
      <c r="F63" s="34" t="s">
        <v>30</v>
      </c>
      <c r="G63" s="35" t="s">
        <v>828</v>
      </c>
      <c r="H63" s="30" t="s">
        <v>619</v>
      </c>
      <c r="I63" s="34" t="s">
        <v>631</v>
      </c>
      <c r="J63" s="30">
        <v>0</v>
      </c>
      <c r="K63" s="36">
        <v>5817394.6399999997</v>
      </c>
      <c r="L63" s="34" t="s">
        <v>632</v>
      </c>
      <c r="M63" s="30" t="s">
        <v>202</v>
      </c>
      <c r="N63" s="30" t="s">
        <v>203</v>
      </c>
      <c r="O63" s="30" t="s">
        <v>239</v>
      </c>
      <c r="P63" s="34" t="s">
        <v>633</v>
      </c>
      <c r="Q63" s="30" t="s">
        <v>35</v>
      </c>
      <c r="R63" s="34" t="s">
        <v>25</v>
      </c>
      <c r="S63" s="30">
        <v>611710</v>
      </c>
      <c r="T63" s="34" t="s">
        <v>634</v>
      </c>
      <c r="U63" s="31">
        <v>44671</v>
      </c>
      <c r="V63" s="31">
        <v>46480</v>
      </c>
      <c r="W63" s="40">
        <v>2027</v>
      </c>
      <c r="X63" s="31">
        <f>_xlfn.XLOOKUP(apbi[[#This Row],[Contract Number]],[1]Preaward_OSBP!$F:$F,[1]Preaward_OSBP!$T:$T,"No Date Listed")</f>
        <v>46328</v>
      </c>
      <c r="Y63" s="30" t="s">
        <v>27</v>
      </c>
      <c r="Z63" s="30" t="s">
        <v>27</v>
      </c>
      <c r="AA63" s="30" t="s">
        <v>815</v>
      </c>
    </row>
    <row r="64" spans="4:27" ht="26.4" x14ac:dyDescent="0.25">
      <c r="D64" s="30" t="s">
        <v>14</v>
      </c>
      <c r="E64" s="34" t="s">
        <v>29</v>
      </c>
      <c r="F64" s="34" t="s">
        <v>47</v>
      </c>
      <c r="G64" s="35" t="s">
        <v>828</v>
      </c>
      <c r="H64" s="30" t="s">
        <v>14</v>
      </c>
      <c r="I64" s="34" t="s">
        <v>48</v>
      </c>
      <c r="J64" s="30">
        <v>0</v>
      </c>
      <c r="K64" s="36">
        <v>5779736.2400000002</v>
      </c>
      <c r="L64" s="34" t="s">
        <v>49</v>
      </c>
      <c r="M64" s="30" t="s">
        <v>20</v>
      </c>
      <c r="N64" s="30" t="s">
        <v>21</v>
      </c>
      <c r="O64" s="30" t="s">
        <v>33</v>
      </c>
      <c r="P64" s="34" t="s">
        <v>50</v>
      </c>
      <c r="Q64" s="30" t="s">
        <v>35</v>
      </c>
      <c r="R64" s="34" t="s">
        <v>25</v>
      </c>
      <c r="S64" s="30">
        <v>561720</v>
      </c>
      <c r="T64" s="34" t="s">
        <v>51</v>
      </c>
      <c r="U64" s="31">
        <v>44958</v>
      </c>
      <c r="V64" s="31">
        <v>46629</v>
      </c>
      <c r="W64" s="40">
        <v>2027</v>
      </c>
      <c r="X64" s="31" t="str">
        <f>_xlfn.XLOOKUP(apbi[[#This Row],[Contract Number]],[1]Preaward_OSBP!$F:$F,[1]Preaward_OSBP!$T:$T,"No Date Listed")</f>
        <v>No Date Listed</v>
      </c>
      <c r="Y64" s="30" t="s">
        <v>28</v>
      </c>
      <c r="Z64" s="30" t="s">
        <v>27</v>
      </c>
      <c r="AA64" s="30" t="s">
        <v>798</v>
      </c>
    </row>
    <row r="65" spans="4:27" s="29" customFormat="1" ht="39.6" x14ac:dyDescent="0.25">
      <c r="D65" s="30" t="s">
        <v>619</v>
      </c>
      <c r="E65" s="34" t="s">
        <v>29</v>
      </c>
      <c r="F65" s="34" t="s">
        <v>37</v>
      </c>
      <c r="G65" s="35" t="s">
        <v>826</v>
      </c>
      <c r="H65" s="30" t="s">
        <v>619</v>
      </c>
      <c r="I65" s="34" t="s">
        <v>635</v>
      </c>
      <c r="J65" s="30">
        <v>0</v>
      </c>
      <c r="K65" s="36">
        <v>5677265.1900000004</v>
      </c>
      <c r="L65" s="34" t="s">
        <v>636</v>
      </c>
      <c r="M65" s="30" t="s">
        <v>637</v>
      </c>
      <c r="N65" s="30" t="s">
        <v>304</v>
      </c>
      <c r="O65" s="30" t="s">
        <v>239</v>
      </c>
      <c r="P65" s="34" t="s">
        <v>638</v>
      </c>
      <c r="Q65" s="30" t="s">
        <v>35</v>
      </c>
      <c r="R65" s="34" t="s">
        <v>25</v>
      </c>
      <c r="S65" s="30">
        <v>711310</v>
      </c>
      <c r="T65" s="34" t="s">
        <v>639</v>
      </c>
      <c r="U65" s="31">
        <v>44805</v>
      </c>
      <c r="V65" s="31">
        <v>46630</v>
      </c>
      <c r="W65" s="40">
        <v>2027</v>
      </c>
      <c r="X65" s="31" t="str">
        <f>_xlfn.XLOOKUP(apbi[[#This Row],[Contract Number]],[1]Preaward_OSBP!$F:$F,[1]Preaward_OSBP!$T:$T,"No Date Listed")</f>
        <v>No Date Listed</v>
      </c>
      <c r="Y65" s="30" t="s">
        <v>27</v>
      </c>
      <c r="Z65" s="30" t="s">
        <v>27</v>
      </c>
      <c r="AA65" s="30" t="s">
        <v>815</v>
      </c>
    </row>
    <row r="66" spans="4:27" ht="26.4" x14ac:dyDescent="0.25">
      <c r="D66" s="30" t="s">
        <v>553</v>
      </c>
      <c r="E66" s="34" t="s">
        <v>119</v>
      </c>
      <c r="F66" s="34" t="s">
        <v>390</v>
      </c>
      <c r="G66" s="35" t="s">
        <v>828</v>
      </c>
      <c r="H66" s="30" t="s">
        <v>553</v>
      </c>
      <c r="I66" s="34" t="s">
        <v>568</v>
      </c>
      <c r="J66" s="30" t="s">
        <v>569</v>
      </c>
      <c r="K66" s="36">
        <v>5675941.1799999997</v>
      </c>
      <c r="L66" s="34" t="s">
        <v>570</v>
      </c>
      <c r="M66" s="30" t="s">
        <v>556</v>
      </c>
      <c r="N66" s="30" t="s">
        <v>557</v>
      </c>
      <c r="O66" s="30" t="s">
        <v>33</v>
      </c>
      <c r="P66" s="34" t="s">
        <v>571</v>
      </c>
      <c r="Q66" s="30" t="s">
        <v>35</v>
      </c>
      <c r="R66" s="34" t="s">
        <v>25</v>
      </c>
      <c r="S66" s="30">
        <v>325320</v>
      </c>
      <c r="T66" s="34" t="s">
        <v>572</v>
      </c>
      <c r="U66" s="31">
        <v>45014</v>
      </c>
      <c r="V66" s="31">
        <v>46841</v>
      </c>
      <c r="W66" s="40">
        <v>2028</v>
      </c>
      <c r="X66" s="31" t="str">
        <f>_xlfn.XLOOKUP(apbi[[#This Row],[Contract Number]],[1]Preaward_OSBP!$F:$F,[1]Preaward_OSBP!$T:$T,"No Date Listed")</f>
        <v>No Date Listed</v>
      </c>
      <c r="Y66" s="30" t="s">
        <v>27</v>
      </c>
      <c r="Z66" s="30" t="s">
        <v>27</v>
      </c>
      <c r="AA66" s="30" t="s">
        <v>813</v>
      </c>
    </row>
    <row r="67" spans="4:27" s="29" customFormat="1" ht="39.6" x14ac:dyDescent="0.25">
      <c r="D67" s="30" t="s">
        <v>233</v>
      </c>
      <c r="E67" s="34" t="s">
        <v>15</v>
      </c>
      <c r="F67" s="34"/>
      <c r="G67" s="35" t="s">
        <v>828</v>
      </c>
      <c r="H67" s="30" t="s">
        <v>233</v>
      </c>
      <c r="I67" s="34" t="s">
        <v>241</v>
      </c>
      <c r="J67" s="30" t="s">
        <v>242</v>
      </c>
      <c r="K67" s="36">
        <v>5626142.5199999996</v>
      </c>
      <c r="L67" s="34" t="s">
        <v>243</v>
      </c>
      <c r="M67" s="30" t="s">
        <v>237</v>
      </c>
      <c r="N67" s="30" t="s">
        <v>238</v>
      </c>
      <c r="O67" s="30" t="s">
        <v>239</v>
      </c>
      <c r="P67" s="34" t="s">
        <v>244</v>
      </c>
      <c r="Q67" s="30" t="s">
        <v>35</v>
      </c>
      <c r="R67" s="34" t="s">
        <v>25</v>
      </c>
      <c r="S67" s="30">
        <v>541612</v>
      </c>
      <c r="T67" s="34" t="s">
        <v>245</v>
      </c>
      <c r="U67" s="31">
        <v>45323</v>
      </c>
      <c r="V67" s="31">
        <v>46341</v>
      </c>
      <c r="W67" s="40">
        <v>2027</v>
      </c>
      <c r="X67" s="31" t="str">
        <f>_xlfn.XLOOKUP(apbi[[#This Row],[Contract Number]],[1]Preaward_OSBP!$F:$F,[1]Preaward_OSBP!$T:$T,"No Date Listed")</f>
        <v>No Date Listed</v>
      </c>
      <c r="Y67" s="30" t="s">
        <v>28</v>
      </c>
      <c r="Z67" s="30" t="s">
        <v>28</v>
      </c>
      <c r="AA67" s="30" t="s">
        <v>803</v>
      </c>
    </row>
    <row r="68" spans="4:27" x14ac:dyDescent="0.25">
      <c r="D68" s="30" t="s">
        <v>133</v>
      </c>
      <c r="E68" s="34" t="s">
        <v>29</v>
      </c>
      <c r="F68" s="34" t="s">
        <v>47</v>
      </c>
      <c r="G68" s="35" t="s">
        <v>828</v>
      </c>
      <c r="H68" s="30" t="s">
        <v>133</v>
      </c>
      <c r="I68" s="34" t="s">
        <v>154</v>
      </c>
      <c r="J68" s="30">
        <v>0</v>
      </c>
      <c r="K68" s="36">
        <v>5281081.6399999997</v>
      </c>
      <c r="L68" s="34" t="s">
        <v>155</v>
      </c>
      <c r="M68" s="30" t="s">
        <v>138</v>
      </c>
      <c r="N68" s="30" t="s">
        <v>139</v>
      </c>
      <c r="O68" s="30" t="s">
        <v>58</v>
      </c>
      <c r="P68" s="34" t="s">
        <v>156</v>
      </c>
      <c r="Q68" s="30" t="s">
        <v>35</v>
      </c>
      <c r="R68" s="34" t="s">
        <v>25</v>
      </c>
      <c r="S68" s="30">
        <v>561210</v>
      </c>
      <c r="T68" s="34" t="s">
        <v>72</v>
      </c>
      <c r="U68" s="31">
        <v>44771</v>
      </c>
      <c r="V68" s="31">
        <v>46568</v>
      </c>
      <c r="W68" s="40">
        <v>2027</v>
      </c>
      <c r="X68" s="31">
        <v>46147</v>
      </c>
      <c r="Y68" s="30" t="s">
        <v>27</v>
      </c>
      <c r="Z68" s="30" t="s">
        <v>27</v>
      </c>
      <c r="AA68" s="30" t="s">
        <v>801</v>
      </c>
    </row>
    <row r="69" spans="4:27" ht="26.4" x14ac:dyDescent="0.25">
      <c r="D69" s="30" t="s">
        <v>254</v>
      </c>
      <c r="E69" s="34" t="s">
        <v>119</v>
      </c>
      <c r="F69" s="34" t="s">
        <v>53</v>
      </c>
      <c r="G69" s="35" t="s">
        <v>828</v>
      </c>
      <c r="H69" s="30" t="s">
        <v>254</v>
      </c>
      <c r="I69" s="34" t="s">
        <v>283</v>
      </c>
      <c r="J69" s="30" t="s">
        <v>284</v>
      </c>
      <c r="K69" s="36">
        <v>5176228.96</v>
      </c>
      <c r="L69" s="34" t="s">
        <v>285</v>
      </c>
      <c r="M69" s="30" t="s">
        <v>286</v>
      </c>
      <c r="N69" s="30" t="s">
        <v>287</v>
      </c>
      <c r="O69" s="30" t="s">
        <v>152</v>
      </c>
      <c r="P69" s="34" t="s">
        <v>288</v>
      </c>
      <c r="Q69" s="30" t="s">
        <v>35</v>
      </c>
      <c r="R69" s="34" t="s">
        <v>25</v>
      </c>
      <c r="S69" s="30">
        <v>561210</v>
      </c>
      <c r="T69" s="34" t="s">
        <v>72</v>
      </c>
      <c r="U69" s="31">
        <v>45627</v>
      </c>
      <c r="V69" s="31">
        <v>46721</v>
      </c>
      <c r="W69" s="40">
        <v>2028</v>
      </c>
      <c r="X69" s="31" t="str">
        <f>_xlfn.XLOOKUP(apbi[[#This Row],[Contract Number]],[1]Preaward_OSBP!$F:$F,[1]Preaward_OSBP!$T:$T,"No Date Listed")</f>
        <v>No Date Listed</v>
      </c>
      <c r="Y69" s="30" t="s">
        <v>28</v>
      </c>
      <c r="Z69" s="30" t="s">
        <v>27</v>
      </c>
      <c r="AA69" s="30" t="s">
        <v>804</v>
      </c>
    </row>
    <row r="70" spans="4:27" ht="26.4" x14ac:dyDescent="0.25">
      <c r="D70" s="30" t="s">
        <v>66</v>
      </c>
      <c r="E70" s="34" t="s">
        <v>29</v>
      </c>
      <c r="F70" s="34" t="s">
        <v>37</v>
      </c>
      <c r="G70" s="35" t="s">
        <v>826</v>
      </c>
      <c r="H70" s="30" t="s">
        <v>66</v>
      </c>
      <c r="I70" s="34" t="s">
        <v>92</v>
      </c>
      <c r="J70" s="30">
        <v>0</v>
      </c>
      <c r="K70" s="36">
        <v>4897072.32</v>
      </c>
      <c r="L70" s="34" t="s">
        <v>93</v>
      </c>
      <c r="M70" s="30" t="s">
        <v>69</v>
      </c>
      <c r="N70" s="30" t="s">
        <v>70</v>
      </c>
      <c r="O70" s="30" t="s">
        <v>89</v>
      </c>
      <c r="P70" s="34" t="s">
        <v>94</v>
      </c>
      <c r="Q70" s="30" t="s">
        <v>35</v>
      </c>
      <c r="R70" s="34" t="s">
        <v>25</v>
      </c>
      <c r="S70" s="30">
        <v>611699</v>
      </c>
      <c r="T70" s="34" t="s">
        <v>95</v>
      </c>
      <c r="U70" s="31">
        <v>45191</v>
      </c>
      <c r="V70" s="31">
        <v>47025</v>
      </c>
      <c r="W70" s="40">
        <v>2028</v>
      </c>
      <c r="X70" s="31">
        <v>46101</v>
      </c>
      <c r="Y70" s="30" t="s">
        <v>27</v>
      </c>
      <c r="Z70" s="30" t="s">
        <v>28</v>
      </c>
      <c r="AA70" s="30" t="s">
        <v>799</v>
      </c>
    </row>
    <row r="71" spans="4:27" s="29" customFormat="1" ht="39.6" x14ac:dyDescent="0.25">
      <c r="D71" s="30" t="s">
        <v>619</v>
      </c>
      <c r="E71" s="34" t="s">
        <v>119</v>
      </c>
      <c r="F71" s="34" t="s">
        <v>30</v>
      </c>
      <c r="G71" s="35" t="s">
        <v>828</v>
      </c>
      <c r="H71" s="30" t="s">
        <v>619</v>
      </c>
      <c r="I71" s="34" t="s">
        <v>626</v>
      </c>
      <c r="J71" s="30" t="s">
        <v>627</v>
      </c>
      <c r="K71" s="36">
        <v>4824981.29</v>
      </c>
      <c r="L71" s="34" t="s">
        <v>628</v>
      </c>
      <c r="M71" s="30" t="s">
        <v>202</v>
      </c>
      <c r="N71" s="30" t="s">
        <v>203</v>
      </c>
      <c r="O71" s="30" t="s">
        <v>239</v>
      </c>
      <c r="P71" s="34" t="s">
        <v>629</v>
      </c>
      <c r="Q71" s="30" t="s">
        <v>35</v>
      </c>
      <c r="R71" s="34" t="s">
        <v>25</v>
      </c>
      <c r="S71" s="30">
        <v>334516</v>
      </c>
      <c r="T71" s="34" t="s">
        <v>630</v>
      </c>
      <c r="U71" s="31">
        <v>45612</v>
      </c>
      <c r="V71" s="31">
        <v>46341</v>
      </c>
      <c r="W71" s="40">
        <v>2027</v>
      </c>
      <c r="X71" s="31">
        <v>46215</v>
      </c>
      <c r="Y71" s="30" t="s">
        <v>27</v>
      </c>
      <c r="Z71" s="30" t="s">
        <v>27</v>
      </c>
      <c r="AA71" s="30" t="s">
        <v>815</v>
      </c>
    </row>
    <row r="72" spans="4:27" ht="26.4" x14ac:dyDescent="0.25">
      <c r="D72" s="30" t="s">
        <v>233</v>
      </c>
      <c r="E72" s="34" t="s">
        <v>29</v>
      </c>
      <c r="F72" s="34" t="s">
        <v>53</v>
      </c>
      <c r="G72" s="35" t="s">
        <v>828</v>
      </c>
      <c r="H72" s="30" t="s">
        <v>233</v>
      </c>
      <c r="I72" s="34" t="s">
        <v>250</v>
      </c>
      <c r="J72" s="30">
        <v>0</v>
      </c>
      <c r="K72" s="36">
        <v>4768832.75</v>
      </c>
      <c r="L72" s="34" t="s">
        <v>251</v>
      </c>
      <c r="M72" s="30" t="s">
        <v>237</v>
      </c>
      <c r="N72" s="30" t="s">
        <v>238</v>
      </c>
      <c r="O72" s="30" t="s">
        <v>33</v>
      </c>
      <c r="P72" s="34" t="s">
        <v>252</v>
      </c>
      <c r="Q72" s="30" t="s">
        <v>35</v>
      </c>
      <c r="R72" s="34" t="s">
        <v>25</v>
      </c>
      <c r="S72" s="30">
        <v>562991</v>
      </c>
      <c r="T72" s="34" t="s">
        <v>253</v>
      </c>
      <c r="U72" s="31">
        <v>45017</v>
      </c>
      <c r="V72" s="31">
        <v>46904</v>
      </c>
      <c r="W72" s="40">
        <v>2028</v>
      </c>
      <c r="X72" s="31" t="str">
        <f>_xlfn.XLOOKUP(apbi[[#This Row],[Contract Number]],[1]Preaward_OSBP!$F:$F,[1]Preaward_OSBP!$T:$T,"No Date Listed")</f>
        <v>No Date Listed</v>
      </c>
      <c r="Y72" s="30" t="s">
        <v>27</v>
      </c>
      <c r="Z72" s="30" t="s">
        <v>27</v>
      </c>
      <c r="AA72" s="30" t="s">
        <v>803</v>
      </c>
    </row>
    <row r="73" spans="4:27" ht="26.4" x14ac:dyDescent="0.25">
      <c r="D73" s="30" t="s">
        <v>709</v>
      </c>
      <c r="E73" s="34" t="s">
        <v>722</v>
      </c>
      <c r="F73" s="34" t="s">
        <v>37</v>
      </c>
      <c r="G73" s="35" t="s">
        <v>826</v>
      </c>
      <c r="H73" s="30" t="s">
        <v>212</v>
      </c>
      <c r="I73" s="34" t="s">
        <v>723</v>
      </c>
      <c r="J73" s="30">
        <v>0</v>
      </c>
      <c r="K73" s="36">
        <v>4500000</v>
      </c>
      <c r="L73" s="34" t="s">
        <v>724</v>
      </c>
      <c r="M73" s="30" t="s">
        <v>725</v>
      </c>
      <c r="N73" s="30" t="s">
        <v>203</v>
      </c>
      <c r="O73" s="30" t="s">
        <v>713</v>
      </c>
      <c r="P73" s="34" t="s">
        <v>714</v>
      </c>
      <c r="Q73" s="30" t="s">
        <v>35</v>
      </c>
      <c r="R73" s="34" t="s">
        <v>25</v>
      </c>
      <c r="S73" s="30">
        <v>722310</v>
      </c>
      <c r="T73" s="34" t="s">
        <v>715</v>
      </c>
      <c r="U73" s="31">
        <v>46054</v>
      </c>
      <c r="V73" s="31">
        <v>47149</v>
      </c>
      <c r="W73" s="30">
        <v>2029</v>
      </c>
      <c r="X73" s="31" t="str">
        <f>_xlfn.XLOOKUP(apbi[[#This Row],[Contract Number]],[1]Preaward_OSBP!$F:$F,[1]Preaward_OSBP!$T:$T,"No Date Listed")</f>
        <v>No Date Listed</v>
      </c>
      <c r="Y73" s="30" t="s">
        <v>27</v>
      </c>
      <c r="Z73" s="30" t="s">
        <v>27</v>
      </c>
      <c r="AA73" s="30" t="s">
        <v>817</v>
      </c>
    </row>
    <row r="74" spans="4:27" ht="26.4" x14ac:dyDescent="0.25">
      <c r="D74" s="30" t="s">
        <v>212</v>
      </c>
      <c r="E74" s="34" t="s">
        <v>15</v>
      </c>
      <c r="F74" s="34"/>
      <c r="G74" s="35" t="s">
        <v>828</v>
      </c>
      <c r="H74" s="30" t="s">
        <v>212</v>
      </c>
      <c r="I74" s="34" t="s">
        <v>222</v>
      </c>
      <c r="J74" s="30" t="s">
        <v>223</v>
      </c>
      <c r="K74" s="36">
        <v>4408591.16</v>
      </c>
      <c r="L74" s="34" t="s">
        <v>224</v>
      </c>
      <c r="M74" s="30" t="s">
        <v>215</v>
      </c>
      <c r="N74" s="30" t="s">
        <v>203</v>
      </c>
      <c r="O74" s="30" t="s">
        <v>89</v>
      </c>
      <c r="P74" s="34" t="s">
        <v>225</v>
      </c>
      <c r="Q74" s="30" t="s">
        <v>35</v>
      </c>
      <c r="R74" s="34" t="s">
        <v>25</v>
      </c>
      <c r="S74" s="30">
        <v>541512</v>
      </c>
      <c r="T74" s="34" t="s">
        <v>26</v>
      </c>
      <c r="U74" s="31">
        <v>45195</v>
      </c>
      <c r="V74" s="31">
        <v>46843</v>
      </c>
      <c r="W74" s="40">
        <v>2028</v>
      </c>
      <c r="X74" s="31" t="str">
        <f>_xlfn.XLOOKUP(apbi[[#This Row],[Contract Number]],[1]Preaward_OSBP!$F:$F,[1]Preaward_OSBP!$T:$T,"No Date Listed")</f>
        <v>No Date Listed</v>
      </c>
      <c r="Y74" s="30" t="s">
        <v>28</v>
      </c>
      <c r="Z74" s="30" t="s">
        <v>28</v>
      </c>
      <c r="AA74" s="30" t="s">
        <v>821</v>
      </c>
    </row>
    <row r="75" spans="4:27" ht="26.4" x14ac:dyDescent="0.25">
      <c r="D75" s="30" t="s">
        <v>469</v>
      </c>
      <c r="E75" s="34" t="s">
        <v>73</v>
      </c>
      <c r="F75" s="34" t="s">
        <v>490</v>
      </c>
      <c r="G75" s="35" t="s">
        <v>828</v>
      </c>
      <c r="H75" s="30" t="s">
        <v>469</v>
      </c>
      <c r="I75" s="34" t="s">
        <v>502</v>
      </c>
      <c r="J75" s="30">
        <v>0</v>
      </c>
      <c r="K75" s="36">
        <v>4304306.38</v>
      </c>
      <c r="L75" s="34" t="s">
        <v>503</v>
      </c>
      <c r="M75" s="30" t="s">
        <v>472</v>
      </c>
      <c r="N75" s="30" t="s">
        <v>349</v>
      </c>
      <c r="O75" s="30" t="s">
        <v>33</v>
      </c>
      <c r="P75" s="34" t="s">
        <v>504</v>
      </c>
      <c r="Q75" s="30" t="s">
        <v>35</v>
      </c>
      <c r="R75" s="34" t="s">
        <v>25</v>
      </c>
      <c r="S75" s="30">
        <v>541620</v>
      </c>
      <c r="T75" s="34" t="s">
        <v>505</v>
      </c>
      <c r="U75" s="31">
        <v>45170</v>
      </c>
      <c r="V75" s="31">
        <v>46996</v>
      </c>
      <c r="W75" s="40">
        <v>2028</v>
      </c>
      <c r="X75" s="31" t="str">
        <f>_xlfn.XLOOKUP(apbi[[#This Row],[Contract Number]],[1]Preaward_OSBP!$F:$F,[1]Preaward_OSBP!$T:$T,"No Date Listed")</f>
        <v>No Date Listed</v>
      </c>
      <c r="Y75" s="30" t="s">
        <v>27</v>
      </c>
      <c r="Z75" s="30" t="s">
        <v>27</v>
      </c>
      <c r="AA75" s="30" t="s">
        <v>810</v>
      </c>
    </row>
    <row r="76" spans="4:27" ht="26.4" x14ac:dyDescent="0.25">
      <c r="D76" s="30" t="s">
        <v>531</v>
      </c>
      <c r="E76" s="34" t="s">
        <v>119</v>
      </c>
      <c r="F76" s="34" t="s">
        <v>390</v>
      </c>
      <c r="G76" s="35" t="s">
        <v>828</v>
      </c>
      <c r="H76" s="30" t="s">
        <v>531</v>
      </c>
      <c r="I76" s="34" t="s">
        <v>539</v>
      </c>
      <c r="J76" s="30" t="s">
        <v>540</v>
      </c>
      <c r="K76" s="36">
        <v>4298201.24</v>
      </c>
      <c r="L76" s="34" t="s">
        <v>541</v>
      </c>
      <c r="M76" s="30" t="s">
        <v>417</v>
      </c>
      <c r="N76" s="30" t="s">
        <v>418</v>
      </c>
      <c r="O76" s="30" t="s">
        <v>33</v>
      </c>
      <c r="P76" s="34" t="s">
        <v>542</v>
      </c>
      <c r="Q76" s="30" t="s">
        <v>35</v>
      </c>
      <c r="R76" s="34" t="s">
        <v>25</v>
      </c>
      <c r="S76" s="30">
        <v>541511</v>
      </c>
      <c r="T76" s="34" t="s">
        <v>127</v>
      </c>
      <c r="U76" s="31">
        <v>45192</v>
      </c>
      <c r="V76" s="31">
        <v>47019</v>
      </c>
      <c r="W76" s="40">
        <v>2028</v>
      </c>
      <c r="X76" s="31" t="str">
        <f>_xlfn.XLOOKUP(apbi[[#This Row],[Contract Number]],[1]Preaward_OSBP!$F:$F,[1]Preaward_OSBP!$T:$T,"No Date Listed")</f>
        <v>No Date Listed</v>
      </c>
      <c r="Y76" s="30" t="s">
        <v>27</v>
      </c>
      <c r="Z76" s="30" t="s">
        <v>27</v>
      </c>
      <c r="AA76" s="30" t="s">
        <v>812</v>
      </c>
    </row>
    <row r="77" spans="4:27" ht="26.4" x14ac:dyDescent="0.25">
      <c r="D77" s="30" t="s">
        <v>133</v>
      </c>
      <c r="E77" s="34" t="s">
        <v>15</v>
      </c>
      <c r="F77" s="34" t="s">
        <v>53</v>
      </c>
      <c r="G77" s="35" t="s">
        <v>828</v>
      </c>
      <c r="H77" s="30" t="s">
        <v>133</v>
      </c>
      <c r="I77" s="34" t="s">
        <v>172</v>
      </c>
      <c r="J77" s="30" t="s">
        <v>173</v>
      </c>
      <c r="K77" s="36">
        <v>4269233.1100000003</v>
      </c>
      <c r="L77" s="34" t="s">
        <v>174</v>
      </c>
      <c r="M77" s="30" t="s">
        <v>138</v>
      </c>
      <c r="N77" s="30" t="s">
        <v>139</v>
      </c>
      <c r="O77" s="30" t="s">
        <v>89</v>
      </c>
      <c r="P77" s="34" t="s">
        <v>175</v>
      </c>
      <c r="Q77" s="30" t="s">
        <v>35</v>
      </c>
      <c r="R77" s="34" t="s">
        <v>25</v>
      </c>
      <c r="S77" s="30">
        <v>541330</v>
      </c>
      <c r="T77" s="34" t="s">
        <v>102</v>
      </c>
      <c r="U77" s="31">
        <v>45170</v>
      </c>
      <c r="V77" s="31">
        <v>46843</v>
      </c>
      <c r="W77" s="40">
        <v>2028</v>
      </c>
      <c r="X77" s="31">
        <v>46106</v>
      </c>
      <c r="Y77" s="30" t="s">
        <v>27</v>
      </c>
      <c r="Z77" s="30" t="s">
        <v>28</v>
      </c>
      <c r="AA77" s="30" t="s">
        <v>801</v>
      </c>
    </row>
    <row r="78" spans="4:27" ht="26.4" x14ac:dyDescent="0.25">
      <c r="D78" s="30" t="s">
        <v>133</v>
      </c>
      <c r="E78" s="34" t="s">
        <v>15</v>
      </c>
      <c r="F78" s="34" t="s">
        <v>47</v>
      </c>
      <c r="G78" s="35" t="s">
        <v>828</v>
      </c>
      <c r="H78" s="30" t="s">
        <v>133</v>
      </c>
      <c r="I78" s="34" t="s">
        <v>149</v>
      </c>
      <c r="J78" s="30" t="s">
        <v>150</v>
      </c>
      <c r="K78" s="36">
        <v>4236027.8</v>
      </c>
      <c r="L78" s="34" t="s">
        <v>151</v>
      </c>
      <c r="M78" s="30" t="s">
        <v>138</v>
      </c>
      <c r="N78" s="30" t="s">
        <v>139</v>
      </c>
      <c r="O78" s="30" t="s">
        <v>152</v>
      </c>
      <c r="P78" s="34" t="s">
        <v>153</v>
      </c>
      <c r="Q78" s="30" t="s">
        <v>35</v>
      </c>
      <c r="R78" s="34" t="s">
        <v>25</v>
      </c>
      <c r="S78" s="30">
        <v>541330</v>
      </c>
      <c r="T78" s="34" t="s">
        <v>102</v>
      </c>
      <c r="U78" s="31">
        <v>45345</v>
      </c>
      <c r="V78" s="31">
        <v>46440</v>
      </c>
      <c r="W78" s="40">
        <v>2027</v>
      </c>
      <c r="X78" s="31" t="str">
        <f>_xlfn.XLOOKUP(apbi[[#This Row],[Contract Number]],[1]Preaward_OSBP!$F:$F,[1]Preaward_OSBP!$T:$T,"No Date Listed")</f>
        <v>No Date Listed</v>
      </c>
      <c r="Y78" s="30" t="s">
        <v>27</v>
      </c>
      <c r="Z78" s="30" t="s">
        <v>28</v>
      </c>
      <c r="AA78" s="30" t="s">
        <v>801</v>
      </c>
    </row>
    <row r="79" spans="4:27" ht="26.4" x14ac:dyDescent="0.25">
      <c r="D79" s="30" t="s">
        <v>254</v>
      </c>
      <c r="E79" s="34" t="s">
        <v>119</v>
      </c>
      <c r="F79" s="34" t="s">
        <v>53</v>
      </c>
      <c r="G79" s="35" t="s">
        <v>828</v>
      </c>
      <c r="H79" s="30" t="s">
        <v>254</v>
      </c>
      <c r="I79" s="34" t="s">
        <v>283</v>
      </c>
      <c r="J79" s="30" t="s">
        <v>289</v>
      </c>
      <c r="K79" s="36">
        <v>4186054.75</v>
      </c>
      <c r="L79" s="34" t="s">
        <v>285</v>
      </c>
      <c r="M79" s="30" t="s">
        <v>290</v>
      </c>
      <c r="N79" s="30" t="s">
        <v>287</v>
      </c>
      <c r="O79" s="30" t="s">
        <v>152</v>
      </c>
      <c r="P79" s="34" t="s">
        <v>288</v>
      </c>
      <c r="Q79" s="30" t="s">
        <v>35</v>
      </c>
      <c r="R79" s="34" t="s">
        <v>25</v>
      </c>
      <c r="S79" s="30">
        <v>561210</v>
      </c>
      <c r="T79" s="34" t="s">
        <v>72</v>
      </c>
      <c r="U79" s="31">
        <v>45627</v>
      </c>
      <c r="V79" s="31">
        <v>46721</v>
      </c>
      <c r="W79" s="40">
        <v>2028</v>
      </c>
      <c r="X79" s="31" t="str">
        <f>_xlfn.XLOOKUP(apbi[[#This Row],[Contract Number]],[1]Preaward_OSBP!$F:$F,[1]Preaward_OSBP!$T:$T,"No Date Listed")</f>
        <v>No Date Listed</v>
      </c>
      <c r="Y79" s="30" t="s">
        <v>28</v>
      </c>
      <c r="Z79" s="30" t="s">
        <v>27</v>
      </c>
      <c r="AA79" s="30" t="s">
        <v>804</v>
      </c>
    </row>
    <row r="80" spans="4:27" s="29" customFormat="1" ht="39.6" x14ac:dyDescent="0.25">
      <c r="D80" s="30" t="s">
        <v>52</v>
      </c>
      <c r="E80" s="34" t="s">
        <v>61</v>
      </c>
      <c r="F80" s="34" t="s">
        <v>37</v>
      </c>
      <c r="G80" s="35" t="s">
        <v>828</v>
      </c>
      <c r="H80" s="30" t="s">
        <v>52</v>
      </c>
      <c r="I80" s="34" t="s">
        <v>62</v>
      </c>
      <c r="J80" s="30">
        <v>0</v>
      </c>
      <c r="K80" s="36">
        <v>3998896.56</v>
      </c>
      <c r="L80" s="34" t="s">
        <v>63</v>
      </c>
      <c r="M80" s="30" t="s">
        <v>56</v>
      </c>
      <c r="N80" s="30" t="s">
        <v>57</v>
      </c>
      <c r="O80" s="30" t="s">
        <v>33</v>
      </c>
      <c r="P80" s="34" t="s">
        <v>64</v>
      </c>
      <c r="Q80" s="30" t="s">
        <v>35</v>
      </c>
      <c r="R80" s="34" t="s">
        <v>25</v>
      </c>
      <c r="S80" s="30">
        <v>561621</v>
      </c>
      <c r="T80" s="34" t="s">
        <v>65</v>
      </c>
      <c r="U80" s="31">
        <v>45657</v>
      </c>
      <c r="V80" s="31">
        <v>46752</v>
      </c>
      <c r="W80" s="40">
        <v>2028</v>
      </c>
      <c r="X80" s="31">
        <v>46600</v>
      </c>
      <c r="Y80" s="30" t="s">
        <v>27</v>
      </c>
      <c r="Z80" s="30" t="s">
        <v>27</v>
      </c>
      <c r="AA80" s="30" t="s">
        <v>818</v>
      </c>
    </row>
    <row r="81" spans="4:27" x14ac:dyDescent="0.25">
      <c r="D81" s="30" t="s">
        <v>425</v>
      </c>
      <c r="E81" s="34" t="s">
        <v>61</v>
      </c>
      <c r="F81" s="34" t="s">
        <v>37</v>
      </c>
      <c r="G81" s="35" t="s">
        <v>828</v>
      </c>
      <c r="H81" s="30" t="s">
        <v>425</v>
      </c>
      <c r="I81" s="34" t="s">
        <v>439</v>
      </c>
      <c r="J81" s="30">
        <v>0</v>
      </c>
      <c r="K81" s="36">
        <v>3951981.2</v>
      </c>
      <c r="L81" s="34" t="s">
        <v>440</v>
      </c>
      <c r="M81" s="30" t="s">
        <v>428</v>
      </c>
      <c r="N81" s="30" t="s">
        <v>304</v>
      </c>
      <c r="O81" s="30" t="s">
        <v>441</v>
      </c>
      <c r="P81" s="34" t="s">
        <v>442</v>
      </c>
      <c r="Q81" s="30" t="s">
        <v>35</v>
      </c>
      <c r="R81" s="34" t="s">
        <v>25</v>
      </c>
      <c r="S81" s="30">
        <v>561720</v>
      </c>
      <c r="T81" s="34" t="s">
        <v>51</v>
      </c>
      <c r="U81" s="31">
        <v>45198</v>
      </c>
      <c r="V81" s="31">
        <v>47024</v>
      </c>
      <c r="W81" s="40">
        <v>2028</v>
      </c>
      <c r="X81" s="31" t="str">
        <f>_xlfn.XLOOKUP(apbi[[#This Row],[Contract Number]],[1]Preaward_OSBP!$F:$F,[1]Preaward_OSBP!$T:$T,"No Date Listed")</f>
        <v>No Date Listed</v>
      </c>
      <c r="Y81" s="30" t="s">
        <v>28</v>
      </c>
      <c r="Z81" s="30" t="s">
        <v>28</v>
      </c>
      <c r="AA81" s="30" t="s">
        <v>809</v>
      </c>
    </row>
    <row r="82" spans="4:27" ht="26.4" x14ac:dyDescent="0.25">
      <c r="D82" s="30" t="s">
        <v>325</v>
      </c>
      <c r="E82" s="34" t="s">
        <v>29</v>
      </c>
      <c r="F82" s="34" t="s">
        <v>37</v>
      </c>
      <c r="G82" s="35" t="s">
        <v>826</v>
      </c>
      <c r="H82" s="30" t="s">
        <v>325</v>
      </c>
      <c r="I82" s="34" t="s">
        <v>825</v>
      </c>
      <c r="J82" s="30">
        <v>0</v>
      </c>
      <c r="K82" s="36">
        <v>3900555.22</v>
      </c>
      <c r="L82" s="34" t="s">
        <v>356</v>
      </c>
      <c r="M82" s="30" t="s">
        <v>329</v>
      </c>
      <c r="N82" s="30" t="s">
        <v>330</v>
      </c>
      <c r="O82" s="30" t="s">
        <v>331</v>
      </c>
      <c r="P82" s="34" t="s">
        <v>357</v>
      </c>
      <c r="Q82" s="30" t="s">
        <v>35</v>
      </c>
      <c r="R82" s="34" t="s">
        <v>25</v>
      </c>
      <c r="S82" s="30">
        <v>721110</v>
      </c>
      <c r="T82" s="34" t="s">
        <v>355</v>
      </c>
      <c r="U82" s="31">
        <v>44771</v>
      </c>
      <c r="V82" s="31">
        <v>46752</v>
      </c>
      <c r="W82" s="40">
        <v>2028</v>
      </c>
      <c r="X82" s="31" t="str">
        <f>_xlfn.XLOOKUP(apbi[[#This Row],[Contract Number]],[1]Preaward_OSBP!$F:$F,[1]Preaward_OSBP!$T:$T,"No Date Listed")</f>
        <v>No Date Listed</v>
      </c>
      <c r="Y82" s="30" t="s">
        <v>27</v>
      </c>
      <c r="Z82" s="30" t="s">
        <v>27</v>
      </c>
      <c r="AA82" s="30" t="s">
        <v>806</v>
      </c>
    </row>
    <row r="83" spans="4:27" x14ac:dyDescent="0.25">
      <c r="D83" s="30" t="s">
        <v>456</v>
      </c>
      <c r="E83" s="34" t="s">
        <v>29</v>
      </c>
      <c r="F83" s="34" t="s">
        <v>53</v>
      </c>
      <c r="G83" s="35" t="s">
        <v>828</v>
      </c>
      <c r="H83" s="30" t="s">
        <v>456</v>
      </c>
      <c r="I83" s="34" t="s">
        <v>462</v>
      </c>
      <c r="J83" s="30">
        <v>0</v>
      </c>
      <c r="K83" s="36">
        <v>3866400.01</v>
      </c>
      <c r="L83" s="34" t="s">
        <v>463</v>
      </c>
      <c r="M83" s="30" t="s">
        <v>459</v>
      </c>
      <c r="N83" s="30" t="s">
        <v>114</v>
      </c>
      <c r="O83" s="30" t="s">
        <v>33</v>
      </c>
      <c r="P83" s="34" t="s">
        <v>464</v>
      </c>
      <c r="Q83" s="30" t="s">
        <v>35</v>
      </c>
      <c r="R83" s="34" t="s">
        <v>25</v>
      </c>
      <c r="S83" s="30">
        <v>562111</v>
      </c>
      <c r="T83" s="34" t="s">
        <v>211</v>
      </c>
      <c r="U83" s="31">
        <v>45013</v>
      </c>
      <c r="V83" s="31">
        <v>46839</v>
      </c>
      <c r="W83" s="40">
        <v>2028</v>
      </c>
      <c r="X83" s="31" t="str">
        <f>_xlfn.XLOOKUP(apbi[[#This Row],[Contract Number]],[1]Preaward_OSBP!$F:$F,[1]Preaward_OSBP!$T:$T,"No Date Listed")</f>
        <v>No Date Listed</v>
      </c>
      <c r="Y83" s="30" t="s">
        <v>27</v>
      </c>
      <c r="Z83" s="30" t="s">
        <v>27</v>
      </c>
      <c r="AA83" s="30" t="s">
        <v>822</v>
      </c>
    </row>
    <row r="84" spans="4:27" ht="26.4" x14ac:dyDescent="0.25">
      <c r="D84" s="30" t="s">
        <v>425</v>
      </c>
      <c r="E84" s="34" t="s">
        <v>29</v>
      </c>
      <c r="F84" s="34" t="s">
        <v>145</v>
      </c>
      <c r="G84" s="35" t="s">
        <v>828</v>
      </c>
      <c r="H84" s="30" t="s">
        <v>425</v>
      </c>
      <c r="I84" s="34" t="s">
        <v>426</v>
      </c>
      <c r="J84" s="30">
        <v>0</v>
      </c>
      <c r="K84" s="36">
        <v>3859055.88</v>
      </c>
      <c r="L84" s="34" t="s">
        <v>427</v>
      </c>
      <c r="M84" s="30" t="s">
        <v>428</v>
      </c>
      <c r="N84" s="30" t="s">
        <v>304</v>
      </c>
      <c r="O84" s="30" t="s">
        <v>33</v>
      </c>
      <c r="P84" s="34" t="s">
        <v>429</v>
      </c>
      <c r="Q84" s="30" t="s">
        <v>35</v>
      </c>
      <c r="R84" s="34" t="s">
        <v>25</v>
      </c>
      <c r="S84" s="30">
        <v>562111</v>
      </c>
      <c r="T84" s="34" t="s">
        <v>211</v>
      </c>
      <c r="U84" s="31">
        <v>44470</v>
      </c>
      <c r="V84" s="31">
        <v>46295</v>
      </c>
      <c r="W84" s="40">
        <v>2026</v>
      </c>
      <c r="X84" s="31" t="str">
        <f>_xlfn.XLOOKUP(apbi[[#This Row],[Contract Number]],[1]Preaward_OSBP!$F:$F,[1]Preaward_OSBP!$T:$T,"No Date Listed")</f>
        <v>No Date Listed</v>
      </c>
      <c r="Y84" s="30" t="s">
        <v>27</v>
      </c>
      <c r="Z84" s="30" t="s">
        <v>27</v>
      </c>
      <c r="AA84" s="30" t="s">
        <v>809</v>
      </c>
    </row>
    <row r="85" spans="4:27" x14ac:dyDescent="0.25">
      <c r="D85" s="30" t="s">
        <v>588</v>
      </c>
      <c r="E85" s="34" t="s">
        <v>29</v>
      </c>
      <c r="F85" s="34" t="s">
        <v>53</v>
      </c>
      <c r="G85" s="35" t="s">
        <v>828</v>
      </c>
      <c r="H85" s="30" t="s">
        <v>588</v>
      </c>
      <c r="I85" s="34" t="s">
        <v>601</v>
      </c>
      <c r="J85" s="30">
        <v>0</v>
      </c>
      <c r="K85" s="36">
        <v>3802798.25</v>
      </c>
      <c r="L85" s="34" t="s">
        <v>602</v>
      </c>
      <c r="M85" s="30" t="s">
        <v>598</v>
      </c>
      <c r="N85" s="30" t="s">
        <v>349</v>
      </c>
      <c r="O85" s="30" t="s">
        <v>33</v>
      </c>
      <c r="P85" s="34" t="s">
        <v>603</v>
      </c>
      <c r="Q85" s="30" t="s">
        <v>35</v>
      </c>
      <c r="R85" s="34" t="s">
        <v>25</v>
      </c>
      <c r="S85" s="30">
        <v>562111</v>
      </c>
      <c r="T85" s="34" t="s">
        <v>211</v>
      </c>
      <c r="U85" s="31">
        <v>44768</v>
      </c>
      <c r="V85" s="31">
        <v>46599</v>
      </c>
      <c r="W85" s="40">
        <v>2027</v>
      </c>
      <c r="X85" s="31" t="str">
        <f>_xlfn.XLOOKUP(apbi[[#This Row],[Contract Number]],[1]Preaward_OSBP!$F:$F,[1]Preaward_OSBP!$T:$T,"No Date Listed")</f>
        <v>No Date Listed</v>
      </c>
      <c r="Y85" s="30" t="s">
        <v>27</v>
      </c>
      <c r="Z85" s="30" t="s">
        <v>28</v>
      </c>
      <c r="AA85" s="30" t="s">
        <v>814</v>
      </c>
    </row>
    <row r="86" spans="4:27" ht="39.6" x14ac:dyDescent="0.25">
      <c r="D86" s="30" t="s">
        <v>389</v>
      </c>
      <c r="E86" s="34" t="s">
        <v>119</v>
      </c>
      <c r="F86" s="34" t="s">
        <v>53</v>
      </c>
      <c r="G86" s="35" t="s">
        <v>828</v>
      </c>
      <c r="H86" s="30" t="s">
        <v>401</v>
      </c>
      <c r="I86" s="34" t="s">
        <v>402</v>
      </c>
      <c r="J86" s="30" t="s">
        <v>403</v>
      </c>
      <c r="K86" s="36">
        <v>3756638.44</v>
      </c>
      <c r="L86" s="34" t="s">
        <v>404</v>
      </c>
      <c r="M86" s="30" t="s">
        <v>405</v>
      </c>
      <c r="N86" s="30" t="s">
        <v>349</v>
      </c>
      <c r="O86" s="30" t="s">
        <v>239</v>
      </c>
      <c r="P86" s="34" t="s">
        <v>406</v>
      </c>
      <c r="Q86" s="30" t="s">
        <v>85</v>
      </c>
      <c r="R86" s="34" t="s">
        <v>25</v>
      </c>
      <c r="S86" s="30">
        <v>541712</v>
      </c>
      <c r="T86" s="34" t="s">
        <v>407</v>
      </c>
      <c r="U86" s="31">
        <v>44786</v>
      </c>
      <c r="V86" s="31">
        <v>46566</v>
      </c>
      <c r="W86" s="40">
        <v>2027</v>
      </c>
      <c r="X86" s="31">
        <v>46526</v>
      </c>
      <c r="Y86" s="30" t="s">
        <v>28</v>
      </c>
      <c r="Z86" s="30" t="s">
        <v>28</v>
      </c>
      <c r="AA86" s="30" t="s">
        <v>808</v>
      </c>
    </row>
    <row r="87" spans="4:27" ht="26.4" x14ac:dyDescent="0.25">
      <c r="D87" s="30" t="s">
        <v>469</v>
      </c>
      <c r="E87" s="34" t="s">
        <v>73</v>
      </c>
      <c r="F87" s="34" t="s">
        <v>490</v>
      </c>
      <c r="G87" s="35" t="s">
        <v>828</v>
      </c>
      <c r="H87" s="30" t="s">
        <v>469</v>
      </c>
      <c r="I87" s="34" t="s">
        <v>508</v>
      </c>
      <c r="J87" s="30">
        <v>0</v>
      </c>
      <c r="K87" s="36">
        <v>3232601.92</v>
      </c>
      <c r="L87" s="34" t="s">
        <v>509</v>
      </c>
      <c r="M87" s="30" t="s">
        <v>472</v>
      </c>
      <c r="N87" s="30" t="s">
        <v>349</v>
      </c>
      <c r="O87" s="30" t="s">
        <v>239</v>
      </c>
      <c r="P87" s="34" t="s">
        <v>510</v>
      </c>
      <c r="Q87" s="30" t="s">
        <v>35</v>
      </c>
      <c r="R87" s="34" t="s">
        <v>25</v>
      </c>
      <c r="S87" s="30">
        <v>611430</v>
      </c>
      <c r="T87" s="34" t="s">
        <v>455</v>
      </c>
      <c r="U87" s="31">
        <v>45524</v>
      </c>
      <c r="V87" s="31">
        <v>46861</v>
      </c>
      <c r="W87" s="40">
        <v>2028</v>
      </c>
      <c r="X87" s="31" t="str">
        <f>_xlfn.XLOOKUP(apbi[[#This Row],[Contract Number]],[1]Preaward_OSBP!$F:$F,[1]Preaward_OSBP!$T:$T,"No Date Listed")</f>
        <v>No Date Listed</v>
      </c>
      <c r="Y87" s="30" t="s">
        <v>27</v>
      </c>
      <c r="Z87" s="30" t="s">
        <v>27</v>
      </c>
      <c r="AA87" s="30" t="s">
        <v>810</v>
      </c>
    </row>
    <row r="88" spans="4:27" ht="26.4" x14ac:dyDescent="0.25">
      <c r="D88" s="30" t="s">
        <v>66</v>
      </c>
      <c r="E88" s="34" t="s">
        <v>15</v>
      </c>
      <c r="F88" s="34" t="s">
        <v>53</v>
      </c>
      <c r="G88" s="35" t="s">
        <v>828</v>
      </c>
      <c r="H88" s="30" t="s">
        <v>66</v>
      </c>
      <c r="I88" s="34" t="s">
        <v>78</v>
      </c>
      <c r="J88" s="30" t="s">
        <v>79</v>
      </c>
      <c r="K88" s="36">
        <v>3204118.76</v>
      </c>
      <c r="L88" s="34" t="s">
        <v>80</v>
      </c>
      <c r="M88" s="30" t="s">
        <v>69</v>
      </c>
      <c r="N88" s="30" t="s">
        <v>70</v>
      </c>
      <c r="O88" s="30" t="s">
        <v>33</v>
      </c>
      <c r="P88" s="34" t="s">
        <v>81</v>
      </c>
      <c r="Q88" s="30" t="s">
        <v>35</v>
      </c>
      <c r="R88" s="34" t="s">
        <v>25</v>
      </c>
      <c r="S88" s="30">
        <v>561210</v>
      </c>
      <c r="T88" s="34" t="s">
        <v>72</v>
      </c>
      <c r="U88" s="31">
        <v>44960</v>
      </c>
      <c r="V88" s="31">
        <v>46783</v>
      </c>
      <c r="W88" s="40">
        <v>2028</v>
      </c>
      <c r="X88" s="31" t="str">
        <f>_xlfn.XLOOKUP(apbi[[#This Row],[Contract Number]],[1]Preaward_OSBP!$F:$F,[1]Preaward_OSBP!$T:$T,"No Date Listed")</f>
        <v>No Date Listed</v>
      </c>
      <c r="Y88" s="30" t="s">
        <v>28</v>
      </c>
      <c r="Z88" s="30" t="s">
        <v>27</v>
      </c>
      <c r="AA88" s="30" t="s">
        <v>799</v>
      </c>
    </row>
    <row r="89" spans="4:27" ht="26.4" x14ac:dyDescent="0.25">
      <c r="D89" s="30" t="s">
        <v>553</v>
      </c>
      <c r="E89" s="34" t="s">
        <v>29</v>
      </c>
      <c r="F89" s="34" t="s">
        <v>134</v>
      </c>
      <c r="G89" s="35" t="s">
        <v>828</v>
      </c>
      <c r="H89" s="30" t="s">
        <v>553</v>
      </c>
      <c r="I89" s="34" t="s">
        <v>573</v>
      </c>
      <c r="J89" s="30">
        <v>0</v>
      </c>
      <c r="K89" s="36">
        <v>3145823.57</v>
      </c>
      <c r="L89" s="34" t="s">
        <v>574</v>
      </c>
      <c r="M89" s="30" t="s">
        <v>556</v>
      </c>
      <c r="N89" s="30" t="s">
        <v>557</v>
      </c>
      <c r="O89" s="30" t="s">
        <v>575</v>
      </c>
      <c r="P89" s="34" t="s">
        <v>576</v>
      </c>
      <c r="Q89" s="30" t="s">
        <v>35</v>
      </c>
      <c r="R89" s="34" t="s">
        <v>25</v>
      </c>
      <c r="S89" s="30">
        <v>812220</v>
      </c>
      <c r="T89" s="34" t="s">
        <v>577</v>
      </c>
      <c r="U89" s="31">
        <v>45056</v>
      </c>
      <c r="V89" s="31">
        <v>46904</v>
      </c>
      <c r="W89" s="40">
        <v>2028</v>
      </c>
      <c r="X89" s="31" t="str">
        <f>_xlfn.XLOOKUP(apbi[[#This Row],[Contract Number]],[1]Preaward_OSBP!$F:$F,[1]Preaward_OSBP!$T:$T,"No Date Listed")</f>
        <v>No Date Listed</v>
      </c>
      <c r="Y89" s="30" t="s">
        <v>27</v>
      </c>
      <c r="Z89" s="30" t="s">
        <v>27</v>
      </c>
      <c r="AA89" s="30" t="s">
        <v>813</v>
      </c>
    </row>
    <row r="90" spans="4:27" x14ac:dyDescent="0.25">
      <c r="D90" s="30" t="s">
        <v>677</v>
      </c>
      <c r="E90" s="34" t="s">
        <v>119</v>
      </c>
      <c r="F90" s="34" t="s">
        <v>145</v>
      </c>
      <c r="G90" s="35" t="s">
        <v>828</v>
      </c>
      <c r="H90" s="30" t="s">
        <v>677</v>
      </c>
      <c r="I90" s="34" t="s">
        <v>691</v>
      </c>
      <c r="J90" s="30" t="s">
        <v>692</v>
      </c>
      <c r="K90" s="36">
        <v>3088017</v>
      </c>
      <c r="L90" s="34" t="s">
        <v>693</v>
      </c>
      <c r="M90" s="30" t="s">
        <v>215</v>
      </c>
      <c r="N90" s="30" t="s">
        <v>203</v>
      </c>
      <c r="O90" s="30" t="s">
        <v>33</v>
      </c>
      <c r="P90" s="34" t="s">
        <v>694</v>
      </c>
      <c r="Q90" s="30" t="s">
        <v>35</v>
      </c>
      <c r="R90" s="34" t="s">
        <v>25</v>
      </c>
      <c r="S90" s="30">
        <v>541330</v>
      </c>
      <c r="T90" s="34" t="s">
        <v>102</v>
      </c>
      <c r="U90" s="31">
        <v>45191</v>
      </c>
      <c r="V90" s="31">
        <v>47013</v>
      </c>
      <c r="W90" s="40">
        <v>2028</v>
      </c>
      <c r="X90" s="31" t="str">
        <f>_xlfn.XLOOKUP(apbi[[#This Row],[Contract Number]],[1]Preaward_OSBP!$F:$F,[1]Preaward_OSBP!$T:$T,"No Date Listed")</f>
        <v>No Date Listed</v>
      </c>
      <c r="Y90" s="30" t="s">
        <v>27</v>
      </c>
      <c r="Z90" s="30" t="s">
        <v>27</v>
      </c>
      <c r="AA90" s="30" t="s">
        <v>816</v>
      </c>
    </row>
    <row r="91" spans="4:27" ht="26.4" x14ac:dyDescent="0.25">
      <c r="D91" s="30" t="s">
        <v>531</v>
      </c>
      <c r="E91" s="34" t="s">
        <v>119</v>
      </c>
      <c r="F91" s="34"/>
      <c r="G91" s="35" t="s">
        <v>828</v>
      </c>
      <c r="H91" s="30" t="s">
        <v>531</v>
      </c>
      <c r="I91" s="34" t="s">
        <v>532</v>
      </c>
      <c r="J91" s="30" t="s">
        <v>533</v>
      </c>
      <c r="K91" s="36">
        <v>2975067.4</v>
      </c>
      <c r="L91" s="34" t="s">
        <v>534</v>
      </c>
      <c r="M91" s="30" t="s">
        <v>417</v>
      </c>
      <c r="N91" s="30" t="s">
        <v>418</v>
      </c>
      <c r="O91" s="30" t="s">
        <v>239</v>
      </c>
      <c r="P91" s="34" t="s">
        <v>535</v>
      </c>
      <c r="Q91" s="30" t="s">
        <v>35</v>
      </c>
      <c r="R91" s="34" t="s">
        <v>25</v>
      </c>
      <c r="S91" s="30">
        <v>541611</v>
      </c>
      <c r="T91" s="34" t="s">
        <v>180</v>
      </c>
      <c r="U91" s="31">
        <v>44726</v>
      </c>
      <c r="V91" s="31">
        <v>46553</v>
      </c>
      <c r="W91" s="40">
        <v>2027</v>
      </c>
      <c r="X91" s="31" t="str">
        <f>_xlfn.XLOOKUP(apbi[[#This Row],[Contract Number]],[1]Preaward_OSBP!$F:$F,[1]Preaward_OSBP!$T:$T,"No Date Listed")</f>
        <v>No Date Listed</v>
      </c>
      <c r="Y91" s="30" t="s">
        <v>28</v>
      </c>
      <c r="Z91" s="30" t="s">
        <v>28</v>
      </c>
      <c r="AA91" s="30" t="s">
        <v>812</v>
      </c>
    </row>
    <row r="92" spans="4:27" ht="26.4" x14ac:dyDescent="0.25">
      <c r="D92" s="30" t="s">
        <v>515</v>
      </c>
      <c r="E92" s="34" t="s">
        <v>61</v>
      </c>
      <c r="F92" s="34" t="s">
        <v>37</v>
      </c>
      <c r="G92" s="35" t="s">
        <v>828</v>
      </c>
      <c r="H92" s="30" t="s">
        <v>515</v>
      </c>
      <c r="I92" s="34" t="s">
        <v>516</v>
      </c>
      <c r="J92" s="30">
        <v>0</v>
      </c>
      <c r="K92" s="36">
        <v>2907072</v>
      </c>
      <c r="L92" s="34" t="s">
        <v>517</v>
      </c>
      <c r="M92" s="30" t="s">
        <v>518</v>
      </c>
      <c r="N92" s="30" t="s">
        <v>519</v>
      </c>
      <c r="O92" s="30" t="s">
        <v>394</v>
      </c>
      <c r="P92" s="34" t="s">
        <v>520</v>
      </c>
      <c r="Q92" s="30" t="s">
        <v>35</v>
      </c>
      <c r="R92" s="34" t="s">
        <v>25</v>
      </c>
      <c r="S92" s="30">
        <v>541990</v>
      </c>
      <c r="T92" s="34" t="s">
        <v>494</v>
      </c>
      <c r="U92" s="31">
        <v>44617</v>
      </c>
      <c r="V92" s="31">
        <v>46441</v>
      </c>
      <c r="W92" s="40">
        <v>2027</v>
      </c>
      <c r="X92" s="31">
        <v>46262</v>
      </c>
      <c r="Y92" s="30" t="s">
        <v>28</v>
      </c>
      <c r="Z92" s="30" t="s">
        <v>28</v>
      </c>
      <c r="AA92" s="30" t="s">
        <v>811</v>
      </c>
    </row>
    <row r="93" spans="4:27" ht="26.4" x14ac:dyDescent="0.25">
      <c r="D93" s="30" t="s">
        <v>133</v>
      </c>
      <c r="E93" s="34" t="s">
        <v>29</v>
      </c>
      <c r="F93" s="34" t="s">
        <v>53</v>
      </c>
      <c r="G93" s="35" t="s">
        <v>828</v>
      </c>
      <c r="H93" s="30" t="s">
        <v>133</v>
      </c>
      <c r="I93" s="34" t="s">
        <v>195</v>
      </c>
      <c r="J93" s="30">
        <v>0</v>
      </c>
      <c r="K93" s="36">
        <v>2890904.44</v>
      </c>
      <c r="L93" s="34" t="s">
        <v>196</v>
      </c>
      <c r="M93" s="30" t="s">
        <v>138</v>
      </c>
      <c r="N93" s="30" t="s">
        <v>139</v>
      </c>
      <c r="O93" s="30" t="s">
        <v>33</v>
      </c>
      <c r="P93" s="34" t="s">
        <v>197</v>
      </c>
      <c r="Q93" s="30" t="s">
        <v>85</v>
      </c>
      <c r="R93" s="34" t="s">
        <v>25</v>
      </c>
      <c r="S93" s="30">
        <v>238990</v>
      </c>
      <c r="T93" s="34" t="s">
        <v>198</v>
      </c>
      <c r="U93" s="31">
        <v>45243</v>
      </c>
      <c r="V93" s="31">
        <v>46946</v>
      </c>
      <c r="W93" s="40">
        <v>2028</v>
      </c>
      <c r="X93" s="31" t="str">
        <f>_xlfn.XLOOKUP(apbi[[#This Row],[Contract Number]],[1]Preaward_OSBP!$F:$F,[1]Preaward_OSBP!$T:$T,"No Date Listed")</f>
        <v>No Date Listed</v>
      </c>
      <c r="Y93" s="30" t="s">
        <v>27</v>
      </c>
      <c r="Z93" s="30" t="s">
        <v>27</v>
      </c>
      <c r="AA93" s="30" t="s">
        <v>801</v>
      </c>
    </row>
    <row r="94" spans="4:27" ht="39.6" x14ac:dyDescent="0.25">
      <c r="D94" s="30" t="s">
        <v>619</v>
      </c>
      <c r="E94" s="34" t="s">
        <v>73</v>
      </c>
      <c r="F94" s="34" t="s">
        <v>620</v>
      </c>
      <c r="G94" s="35" t="s">
        <v>828</v>
      </c>
      <c r="H94" s="30" t="s">
        <v>619</v>
      </c>
      <c r="I94" s="34" t="s">
        <v>621</v>
      </c>
      <c r="J94" s="30">
        <v>0</v>
      </c>
      <c r="K94" s="36">
        <v>2826382.89</v>
      </c>
      <c r="L94" s="34" t="s">
        <v>622</v>
      </c>
      <c r="M94" s="30" t="s">
        <v>623</v>
      </c>
      <c r="N94" s="30" t="s">
        <v>349</v>
      </c>
      <c r="O94" s="30" t="s">
        <v>624</v>
      </c>
      <c r="P94" s="34" t="s">
        <v>625</v>
      </c>
      <c r="Q94" s="30" t="s">
        <v>35</v>
      </c>
      <c r="R94" s="34" t="s">
        <v>25</v>
      </c>
      <c r="S94" s="30">
        <v>541512</v>
      </c>
      <c r="T94" s="34" t="s">
        <v>26</v>
      </c>
      <c r="U94" s="31">
        <v>44348</v>
      </c>
      <c r="V94" s="31">
        <v>46173</v>
      </c>
      <c r="W94" s="40">
        <v>2026</v>
      </c>
      <c r="X94" s="31">
        <v>46162</v>
      </c>
      <c r="Y94" s="30" t="s">
        <v>27</v>
      </c>
      <c r="Z94" s="30" t="s">
        <v>27</v>
      </c>
      <c r="AA94" s="30" t="s">
        <v>815</v>
      </c>
    </row>
    <row r="95" spans="4:27" ht="26.4" x14ac:dyDescent="0.25">
      <c r="D95" s="30" t="s">
        <v>709</v>
      </c>
      <c r="E95" s="34" t="s">
        <v>376</v>
      </c>
      <c r="F95" s="34" t="s">
        <v>737</v>
      </c>
      <c r="G95" s="35" t="s">
        <v>826</v>
      </c>
      <c r="H95" s="30" t="s">
        <v>709</v>
      </c>
      <c r="I95" s="34" t="s">
        <v>738</v>
      </c>
      <c r="J95" s="30">
        <v>0</v>
      </c>
      <c r="K95" s="36">
        <v>2779777</v>
      </c>
      <c r="L95" s="34" t="s">
        <v>739</v>
      </c>
      <c r="M95" s="30" t="s">
        <v>556</v>
      </c>
      <c r="N95" s="30" t="s">
        <v>557</v>
      </c>
      <c r="O95" s="30" t="s">
        <v>713</v>
      </c>
      <c r="P95" s="34" t="s">
        <v>740</v>
      </c>
      <c r="Q95" s="30" t="s">
        <v>35</v>
      </c>
      <c r="R95" s="34" t="s">
        <v>25</v>
      </c>
      <c r="S95" s="30">
        <v>722310</v>
      </c>
      <c r="T95" s="34" t="s">
        <v>715</v>
      </c>
      <c r="U95" s="31">
        <v>46027</v>
      </c>
      <c r="V95" s="31">
        <v>46391</v>
      </c>
      <c r="W95" s="30">
        <v>2027</v>
      </c>
      <c r="X95" s="31" t="str">
        <f>_xlfn.XLOOKUP(apbi[[#This Row],[Contract Number]],[1]Preaward_OSBP!$F:$F,[1]Preaward_OSBP!$T:$T,"No Date Listed")</f>
        <v>No Date Listed</v>
      </c>
      <c r="Y95" s="30" t="s">
        <v>27</v>
      </c>
      <c r="Z95" s="30" t="s">
        <v>27</v>
      </c>
      <c r="AA95" s="30" t="s">
        <v>817</v>
      </c>
    </row>
    <row r="96" spans="4:27" x14ac:dyDescent="0.25">
      <c r="D96" s="30" t="s">
        <v>205</v>
      </c>
      <c r="E96" s="34" t="s">
        <v>29</v>
      </c>
      <c r="F96" s="34" t="s">
        <v>53</v>
      </c>
      <c r="G96" s="35" t="s">
        <v>828</v>
      </c>
      <c r="H96" s="30" t="s">
        <v>205</v>
      </c>
      <c r="I96" s="34" t="s">
        <v>206</v>
      </c>
      <c r="J96" s="30">
        <v>0</v>
      </c>
      <c r="K96" s="36">
        <v>2739119.54</v>
      </c>
      <c r="L96" s="34" t="s">
        <v>207</v>
      </c>
      <c r="M96" s="30" t="s">
        <v>208</v>
      </c>
      <c r="N96" s="30" t="s">
        <v>209</v>
      </c>
      <c r="O96" s="30" t="s">
        <v>33</v>
      </c>
      <c r="P96" s="34" t="s">
        <v>210</v>
      </c>
      <c r="Q96" s="30" t="s">
        <v>35</v>
      </c>
      <c r="R96" s="34" t="s">
        <v>25</v>
      </c>
      <c r="S96" s="30">
        <v>562111</v>
      </c>
      <c r="T96" s="34" t="s">
        <v>211</v>
      </c>
      <c r="U96" s="31">
        <v>44617</v>
      </c>
      <c r="V96" s="31">
        <v>46387</v>
      </c>
      <c r="W96" s="40">
        <v>2027</v>
      </c>
      <c r="X96" s="31" t="str">
        <f>_xlfn.XLOOKUP(apbi[[#This Row],[Contract Number]],[1]Preaward_OSBP!$F:$F,[1]Preaward_OSBP!$T:$T,"No Date Listed")</f>
        <v>No Date Listed</v>
      </c>
      <c r="Y96" s="30" t="s">
        <v>28</v>
      </c>
      <c r="Z96" s="30" t="s">
        <v>27</v>
      </c>
      <c r="AA96" s="30" t="s">
        <v>802</v>
      </c>
    </row>
    <row r="97" spans="4:27" ht="26.4" x14ac:dyDescent="0.25">
      <c r="D97" s="30" t="s">
        <v>133</v>
      </c>
      <c r="E97" s="34" t="s">
        <v>119</v>
      </c>
      <c r="F97" s="34" t="s">
        <v>134</v>
      </c>
      <c r="G97" s="35" t="s">
        <v>828</v>
      </c>
      <c r="H97" s="30" t="s">
        <v>133</v>
      </c>
      <c r="I97" s="34" t="s">
        <v>176</v>
      </c>
      <c r="J97" s="30" t="s">
        <v>177</v>
      </c>
      <c r="K97" s="36">
        <v>2681972.11</v>
      </c>
      <c r="L97" s="34" t="s">
        <v>178</v>
      </c>
      <c r="M97" s="30" t="s">
        <v>138</v>
      </c>
      <c r="N97" s="30" t="s">
        <v>139</v>
      </c>
      <c r="O97" s="30" t="s">
        <v>152</v>
      </c>
      <c r="P97" s="34" t="s">
        <v>179</v>
      </c>
      <c r="Q97" s="30" t="s">
        <v>85</v>
      </c>
      <c r="R97" s="34" t="s">
        <v>25</v>
      </c>
      <c r="S97" s="30">
        <v>541611</v>
      </c>
      <c r="T97" s="34" t="s">
        <v>180</v>
      </c>
      <c r="U97" s="31">
        <v>45064</v>
      </c>
      <c r="V97" s="31">
        <v>46873</v>
      </c>
      <c r="W97" s="40">
        <v>2028</v>
      </c>
      <c r="X97" s="31" t="str">
        <f>_xlfn.XLOOKUP(apbi[[#This Row],[Contract Number]],[1]Preaward_OSBP!$F:$F,[1]Preaward_OSBP!$T:$T,"No Date Listed")</f>
        <v>No Date Listed</v>
      </c>
      <c r="Y97" s="30" t="s">
        <v>27</v>
      </c>
      <c r="Z97" s="30" t="s">
        <v>28</v>
      </c>
      <c r="AA97" s="30" t="s">
        <v>801</v>
      </c>
    </row>
    <row r="98" spans="4:27" ht="26.4" x14ac:dyDescent="0.25">
      <c r="D98" s="30" t="s">
        <v>425</v>
      </c>
      <c r="E98" s="34" t="s">
        <v>15</v>
      </c>
      <c r="F98" s="34" t="s">
        <v>30</v>
      </c>
      <c r="G98" s="35" t="s">
        <v>828</v>
      </c>
      <c r="H98" s="30" t="s">
        <v>425</v>
      </c>
      <c r="I98" s="34" t="s">
        <v>448</v>
      </c>
      <c r="J98" s="30">
        <v>0</v>
      </c>
      <c r="K98" s="36">
        <v>2569347.9900000002</v>
      </c>
      <c r="L98" s="34" t="s">
        <v>449</v>
      </c>
      <c r="M98" s="30" t="s">
        <v>428</v>
      </c>
      <c r="N98" s="30" t="s">
        <v>304</v>
      </c>
      <c r="O98" s="30" t="s">
        <v>239</v>
      </c>
      <c r="P98" s="34" t="s">
        <v>450</v>
      </c>
      <c r="Q98" s="30" t="s">
        <v>85</v>
      </c>
      <c r="R98" s="34" t="s">
        <v>25</v>
      </c>
      <c r="S98" s="30">
        <v>541512</v>
      </c>
      <c r="T98" s="34" t="s">
        <v>26</v>
      </c>
      <c r="U98" s="31">
        <v>45333</v>
      </c>
      <c r="V98" s="31">
        <v>46793</v>
      </c>
      <c r="W98" s="40">
        <v>2028</v>
      </c>
      <c r="X98" s="31" t="str">
        <f>_xlfn.XLOOKUP(apbi[[#This Row],[Contract Number]],[1]Preaward_OSBP!$F:$F,[1]Preaward_OSBP!$T:$T,"No Date Listed")</f>
        <v>No Date Listed</v>
      </c>
      <c r="Y98" s="30" t="s">
        <v>28</v>
      </c>
      <c r="Z98" s="30" t="s">
        <v>28</v>
      </c>
      <c r="AA98" s="30" t="s">
        <v>809</v>
      </c>
    </row>
    <row r="99" spans="4:27" x14ac:dyDescent="0.25">
      <c r="D99" s="30" t="s">
        <v>677</v>
      </c>
      <c r="E99" s="34" t="s">
        <v>29</v>
      </c>
      <c r="F99" s="34" t="s">
        <v>30</v>
      </c>
      <c r="G99" s="35" t="s">
        <v>828</v>
      </c>
      <c r="H99" s="30" t="s">
        <v>677</v>
      </c>
      <c r="I99" s="34" t="s">
        <v>687</v>
      </c>
      <c r="J99" s="30">
        <v>0</v>
      </c>
      <c r="K99" s="36">
        <v>2468250.36</v>
      </c>
      <c r="L99" s="34" t="s">
        <v>688</v>
      </c>
      <c r="M99" s="30" t="s">
        <v>651</v>
      </c>
      <c r="N99" s="30" t="s">
        <v>652</v>
      </c>
      <c r="O99" s="30" t="s">
        <v>624</v>
      </c>
      <c r="P99" s="34" t="s">
        <v>689</v>
      </c>
      <c r="Q99" s="30" t="s">
        <v>85</v>
      </c>
      <c r="R99" s="34" t="s">
        <v>25</v>
      </c>
      <c r="S99" s="30">
        <v>541613</v>
      </c>
      <c r="T99" s="34" t="s">
        <v>690</v>
      </c>
      <c r="U99" s="31">
        <v>44834</v>
      </c>
      <c r="V99" s="31">
        <v>46659</v>
      </c>
      <c r="W99" s="40">
        <v>2027</v>
      </c>
      <c r="X99" s="31" t="str">
        <f>_xlfn.XLOOKUP(apbi[[#This Row],[Contract Number]],[1]Preaward_OSBP!$F:$F,[1]Preaward_OSBP!$T:$T,"No Date Listed")</f>
        <v>No Date Listed</v>
      </c>
      <c r="Y99" s="30" t="s">
        <v>28</v>
      </c>
      <c r="Z99" s="30" t="s">
        <v>28</v>
      </c>
      <c r="AA99" s="30" t="s">
        <v>816</v>
      </c>
    </row>
    <row r="100" spans="4:27" x14ac:dyDescent="0.25">
      <c r="D100" s="30" t="s">
        <v>133</v>
      </c>
      <c r="E100" s="34" t="s">
        <v>29</v>
      </c>
      <c r="F100" s="34" t="s">
        <v>30</v>
      </c>
      <c r="G100" s="35" t="s">
        <v>828</v>
      </c>
      <c r="H100" s="30" t="s">
        <v>133</v>
      </c>
      <c r="I100" s="34" t="s">
        <v>191</v>
      </c>
      <c r="J100" s="30">
        <v>0</v>
      </c>
      <c r="K100" s="36">
        <v>2449497.81</v>
      </c>
      <c r="L100" s="34" t="s">
        <v>192</v>
      </c>
      <c r="M100" s="30" t="s">
        <v>138</v>
      </c>
      <c r="N100" s="30" t="s">
        <v>139</v>
      </c>
      <c r="O100" s="30" t="s">
        <v>33</v>
      </c>
      <c r="P100" s="34" t="s">
        <v>193</v>
      </c>
      <c r="Q100" s="30" t="s">
        <v>35</v>
      </c>
      <c r="R100" s="34" t="s">
        <v>25</v>
      </c>
      <c r="S100" s="30">
        <v>493110</v>
      </c>
      <c r="T100" s="34" t="s">
        <v>194</v>
      </c>
      <c r="U100" s="31">
        <v>44954</v>
      </c>
      <c r="V100" s="31">
        <v>46779</v>
      </c>
      <c r="W100" s="40">
        <v>2028</v>
      </c>
      <c r="X100" s="31">
        <v>46104</v>
      </c>
      <c r="Y100" s="30" t="s">
        <v>27</v>
      </c>
      <c r="Z100" s="30" t="s">
        <v>27</v>
      </c>
      <c r="AA100" s="30" t="s">
        <v>801</v>
      </c>
    </row>
    <row r="101" spans="4:27" ht="26.4" x14ac:dyDescent="0.25">
      <c r="D101" s="30" t="s">
        <v>233</v>
      </c>
      <c r="E101" s="34" t="s">
        <v>15</v>
      </c>
      <c r="F101" s="34" t="s">
        <v>30</v>
      </c>
      <c r="G101" s="35" t="s">
        <v>828</v>
      </c>
      <c r="H101" s="30" t="s">
        <v>233</v>
      </c>
      <c r="I101" s="34" t="s">
        <v>234</v>
      </c>
      <c r="J101" s="30" t="s">
        <v>235</v>
      </c>
      <c r="K101" s="36">
        <v>2389350.9</v>
      </c>
      <c r="L101" s="34" t="s">
        <v>236</v>
      </c>
      <c r="M101" s="30" t="s">
        <v>237</v>
      </c>
      <c r="N101" s="30" t="s">
        <v>238</v>
      </c>
      <c r="O101" s="30" t="s">
        <v>239</v>
      </c>
      <c r="P101" s="34" t="s">
        <v>240</v>
      </c>
      <c r="Q101" s="30" t="s">
        <v>35</v>
      </c>
      <c r="R101" s="34" t="s">
        <v>25</v>
      </c>
      <c r="S101" s="30">
        <v>541330</v>
      </c>
      <c r="T101" s="34" t="s">
        <v>102</v>
      </c>
      <c r="U101" s="31">
        <v>44833</v>
      </c>
      <c r="V101" s="31">
        <v>46659</v>
      </c>
      <c r="W101" s="40">
        <v>2027</v>
      </c>
      <c r="X101" s="31" t="str">
        <f>_xlfn.XLOOKUP(apbi[[#This Row],[Contract Number]],[1]Preaward_OSBP!$F:$F,[1]Preaward_OSBP!$T:$T,"No Date Listed")</f>
        <v>No Date Listed</v>
      </c>
      <c r="Y101" s="30" t="s">
        <v>27</v>
      </c>
      <c r="Z101" s="30" t="s">
        <v>27</v>
      </c>
      <c r="AA101" s="30" t="s">
        <v>803</v>
      </c>
    </row>
    <row r="102" spans="4:27" x14ac:dyDescent="0.25">
      <c r="D102" s="30" t="s">
        <v>588</v>
      </c>
      <c r="E102" s="34" t="s">
        <v>29</v>
      </c>
      <c r="F102" s="34" t="s">
        <v>53</v>
      </c>
      <c r="G102" s="35" t="s">
        <v>828</v>
      </c>
      <c r="H102" s="30" t="s">
        <v>588</v>
      </c>
      <c r="I102" s="34" t="s">
        <v>609</v>
      </c>
      <c r="J102" s="30">
        <v>0</v>
      </c>
      <c r="K102" s="36">
        <v>2281781.13</v>
      </c>
      <c r="L102" s="34" t="s">
        <v>610</v>
      </c>
      <c r="M102" s="30" t="s">
        <v>598</v>
      </c>
      <c r="N102" s="30" t="s">
        <v>349</v>
      </c>
      <c r="O102" s="30" t="s">
        <v>599</v>
      </c>
      <c r="P102" s="34" t="s">
        <v>611</v>
      </c>
      <c r="Q102" s="30" t="s">
        <v>35</v>
      </c>
      <c r="R102" s="34" t="s">
        <v>594</v>
      </c>
      <c r="S102" s="30">
        <v>562910</v>
      </c>
      <c r="T102" s="34" t="s">
        <v>612</v>
      </c>
      <c r="U102" s="31">
        <v>45195</v>
      </c>
      <c r="V102" s="31">
        <v>47021</v>
      </c>
      <c r="W102" s="40">
        <v>2028</v>
      </c>
      <c r="X102" s="31" t="str">
        <f>_xlfn.XLOOKUP(apbi[[#This Row],[Contract Number]],[1]Preaward_OSBP!$F:$F,[1]Preaward_OSBP!$T:$T,"No Date Listed")</f>
        <v>No Date Listed</v>
      </c>
      <c r="Y102" s="30" t="s">
        <v>27</v>
      </c>
      <c r="Z102" s="30" t="s">
        <v>27</v>
      </c>
      <c r="AA102" s="30" t="s">
        <v>814</v>
      </c>
    </row>
    <row r="103" spans="4:27" ht="26.4" x14ac:dyDescent="0.25">
      <c r="D103" s="30" t="s">
        <v>233</v>
      </c>
      <c r="E103" s="34" t="s">
        <v>29</v>
      </c>
      <c r="F103" s="34" t="s">
        <v>246</v>
      </c>
      <c r="G103" s="35" t="s">
        <v>828</v>
      </c>
      <c r="H103" s="30" t="s">
        <v>233</v>
      </c>
      <c r="I103" s="34" t="s">
        <v>247</v>
      </c>
      <c r="J103" s="30">
        <v>0</v>
      </c>
      <c r="K103" s="36">
        <v>2246432.4900000002</v>
      </c>
      <c r="L103" s="34" t="s">
        <v>248</v>
      </c>
      <c r="M103" s="30" t="s">
        <v>237</v>
      </c>
      <c r="N103" s="30" t="s">
        <v>238</v>
      </c>
      <c r="O103" s="30" t="s">
        <v>33</v>
      </c>
      <c r="P103" s="34" t="s">
        <v>249</v>
      </c>
      <c r="Q103" s="30" t="s">
        <v>35</v>
      </c>
      <c r="R103" s="34" t="s">
        <v>25</v>
      </c>
      <c r="S103" s="30">
        <v>811412</v>
      </c>
      <c r="T103" s="34" t="s">
        <v>190</v>
      </c>
      <c r="U103" s="31">
        <v>45139</v>
      </c>
      <c r="V103" s="31">
        <v>46965</v>
      </c>
      <c r="W103" s="40">
        <v>2028</v>
      </c>
      <c r="X103" s="31" t="str">
        <f>_xlfn.XLOOKUP(apbi[[#This Row],[Contract Number]],[1]Preaward_OSBP!$F:$F,[1]Preaward_OSBP!$T:$T,"No Date Listed")</f>
        <v>No Date Listed</v>
      </c>
      <c r="Y103" s="30" t="s">
        <v>27</v>
      </c>
      <c r="Z103" s="30" t="s">
        <v>27</v>
      </c>
      <c r="AA103" s="30" t="s">
        <v>803</v>
      </c>
    </row>
    <row r="104" spans="4:27" ht="26.4" x14ac:dyDescent="0.25">
      <c r="D104" s="30" t="s">
        <v>66</v>
      </c>
      <c r="E104" s="34" t="s">
        <v>73</v>
      </c>
      <c r="F104" s="34" t="s">
        <v>37</v>
      </c>
      <c r="G104" s="35" t="s">
        <v>827</v>
      </c>
      <c r="H104" s="30" t="s">
        <v>66</v>
      </c>
      <c r="I104" s="34" t="s">
        <v>74</v>
      </c>
      <c r="J104" s="30">
        <v>0</v>
      </c>
      <c r="K104" s="36">
        <v>2223252.6</v>
      </c>
      <c r="L104" s="34" t="s">
        <v>75</v>
      </c>
      <c r="M104" s="30" t="s">
        <v>69</v>
      </c>
      <c r="N104" s="30" t="s">
        <v>70</v>
      </c>
      <c r="O104" s="30" t="s">
        <v>33</v>
      </c>
      <c r="P104" s="34" t="s">
        <v>76</v>
      </c>
      <c r="Q104" s="30" t="s">
        <v>35</v>
      </c>
      <c r="R104" s="34" t="s">
        <v>25</v>
      </c>
      <c r="S104" s="30">
        <v>561110</v>
      </c>
      <c r="T104" s="34" t="s">
        <v>77</v>
      </c>
      <c r="U104" s="31">
        <v>44713</v>
      </c>
      <c r="V104" s="31">
        <v>46538</v>
      </c>
      <c r="W104" s="40">
        <v>2027</v>
      </c>
      <c r="X104" s="31" t="str">
        <f>_xlfn.XLOOKUP(apbi[[#This Row],[Contract Number]],[1]Preaward_OSBP!$F:$F,[1]Preaward_OSBP!$T:$T,"No Date Listed")</f>
        <v>No Date Listed</v>
      </c>
      <c r="Y104" s="30" t="s">
        <v>27</v>
      </c>
      <c r="Z104" s="30" t="s">
        <v>27</v>
      </c>
      <c r="AA104" s="30" t="s">
        <v>799</v>
      </c>
    </row>
    <row r="105" spans="4:27" s="29" customFormat="1" ht="39.6" x14ac:dyDescent="0.25">
      <c r="D105" s="30" t="s">
        <v>553</v>
      </c>
      <c r="E105" s="34" t="s">
        <v>29</v>
      </c>
      <c r="F105" s="34" t="s">
        <v>37</v>
      </c>
      <c r="G105" s="35" t="s">
        <v>826</v>
      </c>
      <c r="H105" s="30" t="s">
        <v>553</v>
      </c>
      <c r="I105" s="34" t="s">
        <v>585</v>
      </c>
      <c r="J105" s="30">
        <v>0</v>
      </c>
      <c r="K105" s="36">
        <v>2050889.53</v>
      </c>
      <c r="L105" s="34" t="s">
        <v>586</v>
      </c>
      <c r="M105" s="30" t="s">
        <v>556</v>
      </c>
      <c r="N105" s="30" t="s">
        <v>557</v>
      </c>
      <c r="O105" s="30" t="s">
        <v>33</v>
      </c>
      <c r="P105" s="34" t="s">
        <v>587</v>
      </c>
      <c r="Q105" s="30" t="s">
        <v>35</v>
      </c>
      <c r="R105" s="34" t="s">
        <v>25</v>
      </c>
      <c r="S105" s="30">
        <v>811310</v>
      </c>
      <c r="T105" s="34" t="s">
        <v>41</v>
      </c>
      <c r="U105" s="31">
        <v>45434</v>
      </c>
      <c r="V105" s="31">
        <v>46894</v>
      </c>
      <c r="W105" s="40">
        <v>2028</v>
      </c>
      <c r="X105" s="31" t="str">
        <f>_xlfn.XLOOKUP(apbi[[#This Row],[Contract Number]],[1]Preaward_OSBP!$F:$F,[1]Preaward_OSBP!$T:$T,"No Date Listed")</f>
        <v>No Date Listed</v>
      </c>
      <c r="Y105" s="30" t="s">
        <v>27</v>
      </c>
      <c r="Z105" s="30" t="s">
        <v>27</v>
      </c>
      <c r="AA105" s="30" t="s">
        <v>813</v>
      </c>
    </row>
    <row r="106" spans="4:27" ht="26.4" x14ac:dyDescent="0.25">
      <c r="D106" s="30" t="s">
        <v>469</v>
      </c>
      <c r="E106" s="34" t="s">
        <v>61</v>
      </c>
      <c r="F106" s="34" t="s">
        <v>490</v>
      </c>
      <c r="G106" s="35" t="s">
        <v>828</v>
      </c>
      <c r="H106" s="30" t="s">
        <v>469</v>
      </c>
      <c r="I106" s="34" t="s">
        <v>506</v>
      </c>
      <c r="J106" s="30">
        <v>0</v>
      </c>
      <c r="K106" s="36">
        <v>2005673.41</v>
      </c>
      <c r="L106" s="34" t="s">
        <v>503</v>
      </c>
      <c r="M106" s="30" t="s">
        <v>472</v>
      </c>
      <c r="N106" s="30" t="s">
        <v>349</v>
      </c>
      <c r="O106" s="30" t="s">
        <v>33</v>
      </c>
      <c r="P106" s="34" t="s">
        <v>507</v>
      </c>
      <c r="Q106" s="30" t="s">
        <v>35</v>
      </c>
      <c r="R106" s="34" t="s">
        <v>25</v>
      </c>
      <c r="S106" s="30">
        <v>541620</v>
      </c>
      <c r="T106" s="34" t="s">
        <v>505</v>
      </c>
      <c r="U106" s="31">
        <v>45198</v>
      </c>
      <c r="V106" s="31">
        <v>47024</v>
      </c>
      <c r="W106" s="40">
        <v>2028</v>
      </c>
      <c r="X106" s="31" t="str">
        <f>_xlfn.XLOOKUP(apbi[[#This Row],[Contract Number]],[1]Preaward_OSBP!$F:$F,[1]Preaward_OSBP!$T:$T,"No Date Listed")</f>
        <v>No Date Listed</v>
      </c>
      <c r="Y106" s="30" t="s">
        <v>27</v>
      </c>
      <c r="Z106" s="30" t="s">
        <v>27</v>
      </c>
      <c r="AA106" s="30" t="s">
        <v>810</v>
      </c>
    </row>
    <row r="107" spans="4:27" ht="26.4" x14ac:dyDescent="0.25">
      <c r="D107" s="30" t="s">
        <v>531</v>
      </c>
      <c r="E107" s="34" t="s">
        <v>29</v>
      </c>
      <c r="F107" s="34" t="s">
        <v>37</v>
      </c>
      <c r="G107" s="35" t="s">
        <v>828</v>
      </c>
      <c r="H107" s="30" t="s">
        <v>531</v>
      </c>
      <c r="I107" s="34" t="s">
        <v>536</v>
      </c>
      <c r="J107" s="30">
        <v>0</v>
      </c>
      <c r="K107" s="36">
        <v>1893922.8</v>
      </c>
      <c r="L107" s="34" t="s">
        <v>537</v>
      </c>
      <c r="M107" s="30" t="s">
        <v>417</v>
      </c>
      <c r="N107" s="30" t="s">
        <v>418</v>
      </c>
      <c r="O107" s="30" t="s">
        <v>239</v>
      </c>
      <c r="P107" s="34" t="s">
        <v>538</v>
      </c>
      <c r="Q107" s="30" t="s">
        <v>35</v>
      </c>
      <c r="R107" s="34" t="s">
        <v>25</v>
      </c>
      <c r="S107" s="30">
        <v>611430</v>
      </c>
      <c r="T107" s="34" t="s">
        <v>455</v>
      </c>
      <c r="U107" s="31">
        <v>44828</v>
      </c>
      <c r="V107" s="31">
        <v>46653</v>
      </c>
      <c r="W107" s="40">
        <v>2027</v>
      </c>
      <c r="X107" s="31" t="str">
        <f>_xlfn.XLOOKUP(apbi[[#This Row],[Contract Number]],[1]Preaward_OSBP!$F:$F,[1]Preaward_OSBP!$T:$T,"No Date Listed")</f>
        <v>No Date Listed</v>
      </c>
      <c r="Y107" s="30" t="s">
        <v>27</v>
      </c>
      <c r="Z107" s="30" t="s">
        <v>27</v>
      </c>
      <c r="AA107" s="30" t="s">
        <v>812</v>
      </c>
    </row>
    <row r="108" spans="4:27" x14ac:dyDescent="0.25">
      <c r="D108" s="30" t="s">
        <v>553</v>
      </c>
      <c r="E108" s="34" t="s">
        <v>29</v>
      </c>
      <c r="F108" s="34" t="s">
        <v>47</v>
      </c>
      <c r="G108" s="35" t="s">
        <v>828</v>
      </c>
      <c r="H108" s="30" t="s">
        <v>553</v>
      </c>
      <c r="I108" s="34" t="s">
        <v>560</v>
      </c>
      <c r="J108" s="30">
        <v>0</v>
      </c>
      <c r="K108" s="36">
        <v>1883138.84</v>
      </c>
      <c r="L108" s="34" t="s">
        <v>561</v>
      </c>
      <c r="M108" s="30" t="s">
        <v>556</v>
      </c>
      <c r="N108" s="30" t="s">
        <v>557</v>
      </c>
      <c r="O108" s="30" t="s">
        <v>562</v>
      </c>
      <c r="P108" s="34" t="s">
        <v>563</v>
      </c>
      <c r="Q108" s="30" t="s">
        <v>35</v>
      </c>
      <c r="R108" s="34" t="s">
        <v>25</v>
      </c>
      <c r="S108" s="30">
        <v>562111</v>
      </c>
      <c r="T108" s="34" t="s">
        <v>211</v>
      </c>
      <c r="U108" s="31">
        <v>44726</v>
      </c>
      <c r="V108" s="31">
        <v>46554</v>
      </c>
      <c r="W108" s="40">
        <v>2027</v>
      </c>
      <c r="X108" s="31" t="str">
        <f>_xlfn.XLOOKUP(apbi[[#This Row],[Contract Number]],[1]Preaward_OSBP!$F:$F,[1]Preaward_OSBP!$T:$T,"No Date Listed")</f>
        <v>No Date Listed</v>
      </c>
      <c r="Y108" s="30" t="s">
        <v>27</v>
      </c>
      <c r="Z108" s="30" t="s">
        <v>27</v>
      </c>
      <c r="AA108" s="30" t="s">
        <v>813</v>
      </c>
    </row>
    <row r="109" spans="4:27" ht="26.4" x14ac:dyDescent="0.25">
      <c r="D109" s="30" t="s">
        <v>531</v>
      </c>
      <c r="E109" s="34" t="s">
        <v>29</v>
      </c>
      <c r="F109" s="34" t="s">
        <v>53</v>
      </c>
      <c r="G109" s="35" t="s">
        <v>828</v>
      </c>
      <c r="H109" s="30" t="s">
        <v>531</v>
      </c>
      <c r="I109" s="34" t="s">
        <v>543</v>
      </c>
      <c r="J109" s="30">
        <v>0</v>
      </c>
      <c r="K109" s="36">
        <v>1806785.1</v>
      </c>
      <c r="L109" s="34" t="s">
        <v>544</v>
      </c>
      <c r="M109" s="30" t="s">
        <v>417</v>
      </c>
      <c r="N109" s="30" t="s">
        <v>418</v>
      </c>
      <c r="O109" s="30" t="s">
        <v>33</v>
      </c>
      <c r="P109" s="34" t="s">
        <v>545</v>
      </c>
      <c r="Q109" s="30" t="s">
        <v>35</v>
      </c>
      <c r="R109" s="34" t="s">
        <v>25</v>
      </c>
      <c r="S109" s="30">
        <v>562111</v>
      </c>
      <c r="T109" s="34" t="s">
        <v>211</v>
      </c>
      <c r="U109" s="31">
        <v>44980</v>
      </c>
      <c r="V109" s="31">
        <v>46804</v>
      </c>
      <c r="W109" s="40">
        <v>2028</v>
      </c>
      <c r="X109" s="31" t="str">
        <f>_xlfn.XLOOKUP(apbi[[#This Row],[Contract Number]],[1]Preaward_OSBP!$F:$F,[1]Preaward_OSBP!$T:$T,"No Date Listed")</f>
        <v>No Date Listed</v>
      </c>
      <c r="Y109" s="30" t="s">
        <v>27</v>
      </c>
      <c r="Z109" s="30" t="s">
        <v>27</v>
      </c>
      <c r="AA109" s="30" t="s">
        <v>812</v>
      </c>
    </row>
    <row r="110" spans="4:27" ht="26.4" x14ac:dyDescent="0.25">
      <c r="D110" s="30" t="s">
        <v>299</v>
      </c>
      <c r="E110" s="34" t="s">
        <v>29</v>
      </c>
      <c r="F110" s="34" t="s">
        <v>53</v>
      </c>
      <c r="G110" s="35" t="s">
        <v>828</v>
      </c>
      <c r="H110" s="30" t="s">
        <v>299</v>
      </c>
      <c r="I110" s="34" t="s">
        <v>318</v>
      </c>
      <c r="J110" s="30">
        <v>0</v>
      </c>
      <c r="K110" s="36">
        <v>1795888.96</v>
      </c>
      <c r="L110" s="34" t="s">
        <v>319</v>
      </c>
      <c r="M110" s="30" t="s">
        <v>303</v>
      </c>
      <c r="N110" s="30" t="s">
        <v>304</v>
      </c>
      <c r="O110" s="30" t="s">
        <v>33</v>
      </c>
      <c r="P110" s="34" t="s">
        <v>320</v>
      </c>
      <c r="Q110" s="30" t="s">
        <v>35</v>
      </c>
      <c r="R110" s="34" t="s">
        <v>25</v>
      </c>
      <c r="S110" s="30">
        <v>561790</v>
      </c>
      <c r="T110" s="34" t="s">
        <v>132</v>
      </c>
      <c r="U110" s="31">
        <v>44873</v>
      </c>
      <c r="V110" s="31">
        <v>46698</v>
      </c>
      <c r="W110" s="40">
        <v>2028</v>
      </c>
      <c r="X110" s="31" t="str">
        <f>_xlfn.XLOOKUP(apbi[[#This Row],[Contract Number]],[1]Preaward_OSBP!$F:$F,[1]Preaward_OSBP!$T:$T,"No Date Listed")</f>
        <v>No Date Listed</v>
      </c>
      <c r="Y110" s="30" t="s">
        <v>27</v>
      </c>
      <c r="Z110" s="30" t="s">
        <v>27</v>
      </c>
      <c r="AA110" s="30" t="s">
        <v>805</v>
      </c>
    </row>
    <row r="111" spans="4:27" ht="26.4" x14ac:dyDescent="0.25">
      <c r="D111" s="30" t="s">
        <v>325</v>
      </c>
      <c r="E111" s="34" t="s">
        <v>119</v>
      </c>
      <c r="F111" s="34" t="s">
        <v>134</v>
      </c>
      <c r="G111" s="35" t="s">
        <v>828</v>
      </c>
      <c r="H111" s="30" t="s">
        <v>325</v>
      </c>
      <c r="I111" s="34" t="s">
        <v>326</v>
      </c>
      <c r="J111" s="30" t="s">
        <v>327</v>
      </c>
      <c r="K111" s="36">
        <v>1791501.07</v>
      </c>
      <c r="L111" s="34" t="s">
        <v>328</v>
      </c>
      <c r="M111" s="30" t="s">
        <v>329</v>
      </c>
      <c r="N111" s="30" t="s">
        <v>330</v>
      </c>
      <c r="O111" s="30" t="s">
        <v>331</v>
      </c>
      <c r="P111" s="34" t="s">
        <v>332</v>
      </c>
      <c r="Q111" s="30" t="s">
        <v>35</v>
      </c>
      <c r="R111" s="34" t="s">
        <v>25</v>
      </c>
      <c r="S111" s="30">
        <v>541330</v>
      </c>
      <c r="T111" s="34" t="s">
        <v>102</v>
      </c>
      <c r="U111" s="31">
        <v>44518</v>
      </c>
      <c r="V111" s="31">
        <v>46281</v>
      </c>
      <c r="W111" s="40">
        <v>2026</v>
      </c>
      <c r="X111" s="31" t="str">
        <f>_xlfn.XLOOKUP(apbi[[#This Row],[Contract Number]],[1]Preaward_OSBP!$F:$F,[1]Preaward_OSBP!$T:$T,"No Date Listed")</f>
        <v>No Date Listed</v>
      </c>
      <c r="Y111" s="30" t="s">
        <v>27</v>
      </c>
      <c r="Z111" s="30" t="s">
        <v>27</v>
      </c>
      <c r="AA111" s="30" t="s">
        <v>806</v>
      </c>
    </row>
    <row r="112" spans="4:27" s="29" customFormat="1" ht="39.6" x14ac:dyDescent="0.25">
      <c r="D112" s="30" t="s">
        <v>401</v>
      </c>
      <c r="E112" s="34" t="s">
        <v>29</v>
      </c>
      <c r="F112" s="34" t="s">
        <v>47</v>
      </c>
      <c r="G112" s="35" t="s">
        <v>828</v>
      </c>
      <c r="H112" s="30" t="s">
        <v>401</v>
      </c>
      <c r="I112" s="34" t="s">
        <v>550</v>
      </c>
      <c r="J112" s="30">
        <v>0</v>
      </c>
      <c r="K112" s="36">
        <v>1725888.85</v>
      </c>
      <c r="L112" s="34" t="s">
        <v>551</v>
      </c>
      <c r="M112" s="30" t="s">
        <v>409</v>
      </c>
      <c r="N112" s="30" t="s">
        <v>410</v>
      </c>
      <c r="O112" s="30" t="s">
        <v>33</v>
      </c>
      <c r="P112" s="34" t="s">
        <v>552</v>
      </c>
      <c r="Q112" s="30" t="s">
        <v>35</v>
      </c>
      <c r="R112" s="34" t="s">
        <v>25</v>
      </c>
      <c r="S112" s="30">
        <v>561621</v>
      </c>
      <c r="T112" s="34" t="s">
        <v>65</v>
      </c>
      <c r="U112" s="31">
        <v>45292</v>
      </c>
      <c r="V112" s="31">
        <v>47011</v>
      </c>
      <c r="W112" s="40">
        <v>2028</v>
      </c>
      <c r="X112" s="31" t="str">
        <f>_xlfn.XLOOKUP(apbi[[#This Row],[Contract Number]],[1]Preaward_OSBP!$F:$F,[1]Preaward_OSBP!$T:$T,"No Date Listed")</f>
        <v>No Date Listed</v>
      </c>
      <c r="Y112" s="30" t="s">
        <v>27</v>
      </c>
      <c r="Z112" s="30" t="s">
        <v>27</v>
      </c>
      <c r="AA112" s="30" t="s">
        <v>823</v>
      </c>
    </row>
    <row r="113" spans="4:27" x14ac:dyDescent="0.25">
      <c r="D113" s="30" t="s">
        <v>299</v>
      </c>
      <c r="E113" s="34" t="s">
        <v>29</v>
      </c>
      <c r="F113" s="34" t="s">
        <v>53</v>
      </c>
      <c r="G113" s="35" t="s">
        <v>828</v>
      </c>
      <c r="H113" s="30" t="s">
        <v>299</v>
      </c>
      <c r="I113" s="34" t="s">
        <v>311</v>
      </c>
      <c r="J113" s="30">
        <v>0</v>
      </c>
      <c r="K113" s="36">
        <v>1661150</v>
      </c>
      <c r="L113" s="34" t="s">
        <v>312</v>
      </c>
      <c r="M113" s="30" t="s">
        <v>303</v>
      </c>
      <c r="N113" s="30" t="s">
        <v>304</v>
      </c>
      <c r="O113" s="30" t="s">
        <v>33</v>
      </c>
      <c r="P113" s="34" t="s">
        <v>313</v>
      </c>
      <c r="Q113" s="30" t="s">
        <v>35</v>
      </c>
      <c r="R113" s="34" t="s">
        <v>25</v>
      </c>
      <c r="S113" s="30">
        <v>115310</v>
      </c>
      <c r="T113" s="34" t="s">
        <v>314</v>
      </c>
      <c r="U113" s="31">
        <v>45231</v>
      </c>
      <c r="V113" s="31">
        <v>46326</v>
      </c>
      <c r="W113" s="40">
        <v>2027</v>
      </c>
      <c r="X113" s="31">
        <v>46128</v>
      </c>
      <c r="Y113" s="30" t="s">
        <v>27</v>
      </c>
      <c r="Z113" s="30" t="s">
        <v>27</v>
      </c>
      <c r="AA113" s="30" t="s">
        <v>805</v>
      </c>
    </row>
    <row r="114" spans="4:27" ht="26.4" x14ac:dyDescent="0.25">
      <c r="D114" s="30" t="s">
        <v>469</v>
      </c>
      <c r="E114" s="34" t="s">
        <v>29</v>
      </c>
      <c r="F114" s="34" t="s">
        <v>53</v>
      </c>
      <c r="G114" s="35" t="s">
        <v>828</v>
      </c>
      <c r="H114" s="30" t="s">
        <v>469</v>
      </c>
      <c r="I114" s="34" t="s">
        <v>478</v>
      </c>
      <c r="J114" s="30">
        <v>0</v>
      </c>
      <c r="K114" s="36">
        <v>1614271.59</v>
      </c>
      <c r="L114" s="34" t="s">
        <v>479</v>
      </c>
      <c r="M114" s="30" t="s">
        <v>472</v>
      </c>
      <c r="N114" s="30" t="s">
        <v>349</v>
      </c>
      <c r="O114" s="30" t="s">
        <v>33</v>
      </c>
      <c r="P114" s="34" t="s">
        <v>480</v>
      </c>
      <c r="Q114" s="30" t="s">
        <v>35</v>
      </c>
      <c r="R114" s="34" t="s">
        <v>25</v>
      </c>
      <c r="S114" s="30">
        <v>238290</v>
      </c>
      <c r="T114" s="34" t="s">
        <v>481</v>
      </c>
      <c r="U114" s="31">
        <v>44713</v>
      </c>
      <c r="V114" s="31">
        <v>46538</v>
      </c>
      <c r="W114" s="40">
        <v>2027</v>
      </c>
      <c r="X114" s="31" t="str">
        <f>_xlfn.XLOOKUP(apbi[[#This Row],[Contract Number]],[1]Preaward_OSBP!$F:$F,[1]Preaward_OSBP!$T:$T,"No Date Listed")</f>
        <v>No Date Listed</v>
      </c>
      <c r="Y114" s="30" t="s">
        <v>27</v>
      </c>
      <c r="Z114" s="30" t="s">
        <v>27</v>
      </c>
      <c r="AA114" s="30" t="s">
        <v>810</v>
      </c>
    </row>
    <row r="115" spans="4:27" ht="26.4" x14ac:dyDescent="0.25">
      <c r="D115" s="30" t="s">
        <v>14</v>
      </c>
      <c r="E115" s="34" t="s">
        <v>29</v>
      </c>
      <c r="F115" s="34" t="s">
        <v>37</v>
      </c>
      <c r="G115" s="35" t="s">
        <v>828</v>
      </c>
      <c r="H115" s="30" t="s">
        <v>14</v>
      </c>
      <c r="I115" s="34" t="s">
        <v>42</v>
      </c>
      <c r="J115" s="30">
        <v>0</v>
      </c>
      <c r="K115" s="36">
        <v>1587645.6</v>
      </c>
      <c r="L115" s="34" t="s">
        <v>43</v>
      </c>
      <c r="M115" s="30" t="s">
        <v>44</v>
      </c>
      <c r="N115" s="30" t="s">
        <v>21</v>
      </c>
      <c r="O115" s="30" t="s">
        <v>22</v>
      </c>
      <c r="P115" s="34" t="s">
        <v>45</v>
      </c>
      <c r="Q115" s="30" t="s">
        <v>35</v>
      </c>
      <c r="R115" s="34" t="s">
        <v>25</v>
      </c>
      <c r="S115" s="30">
        <v>811219</v>
      </c>
      <c r="T115" s="34" t="s">
        <v>46</v>
      </c>
      <c r="U115" s="31">
        <v>44791</v>
      </c>
      <c r="V115" s="31">
        <v>46489</v>
      </c>
      <c r="W115" s="40">
        <v>2027</v>
      </c>
      <c r="X115" s="31" t="str">
        <f>_xlfn.XLOOKUP(apbi[[#This Row],[Contract Number]],[1]Preaward_OSBP!$F:$F,[1]Preaward_OSBP!$T:$T,"No Date Listed")</f>
        <v>No Date Listed</v>
      </c>
      <c r="Y115" s="30" t="s">
        <v>27</v>
      </c>
      <c r="Z115" s="30" t="s">
        <v>27</v>
      </c>
      <c r="AA115" s="30" t="s">
        <v>798</v>
      </c>
    </row>
    <row r="116" spans="4:27" ht="26.4" x14ac:dyDescent="0.25">
      <c r="D116" s="30" t="s">
        <v>254</v>
      </c>
      <c r="E116" s="34" t="s">
        <v>29</v>
      </c>
      <c r="F116" s="34" t="s">
        <v>53</v>
      </c>
      <c r="G116" s="35" t="s">
        <v>828</v>
      </c>
      <c r="H116" s="30" t="s">
        <v>254</v>
      </c>
      <c r="I116" s="34" t="s">
        <v>270</v>
      </c>
      <c r="J116" s="30">
        <v>0</v>
      </c>
      <c r="K116" s="36">
        <v>1551074.77</v>
      </c>
      <c r="L116" s="34" t="s">
        <v>271</v>
      </c>
      <c r="M116" s="30" t="s">
        <v>272</v>
      </c>
      <c r="N116" s="30" t="s">
        <v>263</v>
      </c>
      <c r="O116" s="30" t="s">
        <v>33</v>
      </c>
      <c r="P116" s="34" t="s">
        <v>273</v>
      </c>
      <c r="Q116" s="30" t="s">
        <v>35</v>
      </c>
      <c r="R116" s="34" t="s">
        <v>25</v>
      </c>
      <c r="S116" s="30">
        <v>561710</v>
      </c>
      <c r="T116" s="34" t="s">
        <v>274</v>
      </c>
      <c r="U116" s="31">
        <v>44754</v>
      </c>
      <c r="V116" s="31">
        <v>46579</v>
      </c>
      <c r="W116" s="40">
        <v>2027</v>
      </c>
      <c r="X116" s="31" t="str">
        <f>_xlfn.XLOOKUP(apbi[[#This Row],[Contract Number]],[1]Preaward_OSBP!$F:$F,[1]Preaward_OSBP!$T:$T,"No Date Listed")</f>
        <v>No Date Listed</v>
      </c>
      <c r="Y116" s="30" t="s">
        <v>28</v>
      </c>
      <c r="Z116" s="30" t="s">
        <v>27</v>
      </c>
      <c r="AA116" s="30" t="s">
        <v>804</v>
      </c>
    </row>
    <row r="117" spans="4:27" ht="26.4" x14ac:dyDescent="0.25">
      <c r="D117" s="30" t="s">
        <v>325</v>
      </c>
      <c r="E117" s="34" t="s">
        <v>29</v>
      </c>
      <c r="F117" s="34" t="s">
        <v>53</v>
      </c>
      <c r="G117" s="35" t="s">
        <v>828</v>
      </c>
      <c r="H117" s="30" t="s">
        <v>325</v>
      </c>
      <c r="I117" s="34" t="s">
        <v>346</v>
      </c>
      <c r="J117" s="30">
        <v>0</v>
      </c>
      <c r="K117" s="36">
        <v>1502963</v>
      </c>
      <c r="L117" s="34" t="s">
        <v>347</v>
      </c>
      <c r="M117" s="30" t="s">
        <v>348</v>
      </c>
      <c r="N117" s="30" t="s">
        <v>349</v>
      </c>
      <c r="O117" s="30" t="s">
        <v>331</v>
      </c>
      <c r="P117" s="34" t="s">
        <v>350</v>
      </c>
      <c r="Q117" s="30" t="s">
        <v>35</v>
      </c>
      <c r="R117" s="34" t="s">
        <v>25</v>
      </c>
      <c r="S117" s="30">
        <v>561410</v>
      </c>
      <c r="T117" s="34" t="s">
        <v>351</v>
      </c>
      <c r="U117" s="31">
        <v>44771</v>
      </c>
      <c r="V117" s="31">
        <v>46599</v>
      </c>
      <c r="W117" s="40">
        <v>2027</v>
      </c>
      <c r="X117" s="31" t="str">
        <f>_xlfn.XLOOKUP(apbi[[#This Row],[Contract Number]],[1]Preaward_OSBP!$F:$F,[1]Preaward_OSBP!$T:$T,"No Date Listed")</f>
        <v>No Date Listed</v>
      </c>
      <c r="Y117" s="30" t="s">
        <v>27</v>
      </c>
      <c r="Z117" s="30" t="s">
        <v>27</v>
      </c>
      <c r="AA117" s="30" t="s">
        <v>806</v>
      </c>
    </row>
    <row r="118" spans="4:27" ht="26.4" x14ac:dyDescent="0.25">
      <c r="D118" s="30" t="s">
        <v>469</v>
      </c>
      <c r="E118" s="34" t="s">
        <v>61</v>
      </c>
      <c r="F118" s="34" t="s">
        <v>490</v>
      </c>
      <c r="G118" s="35" t="s">
        <v>828</v>
      </c>
      <c r="H118" s="30" t="s">
        <v>469</v>
      </c>
      <c r="I118" s="34" t="s">
        <v>491</v>
      </c>
      <c r="J118" s="30">
        <v>0</v>
      </c>
      <c r="K118" s="36">
        <v>1490495.76</v>
      </c>
      <c r="L118" s="34" t="s">
        <v>492</v>
      </c>
      <c r="M118" s="30" t="s">
        <v>472</v>
      </c>
      <c r="N118" s="30" t="s">
        <v>349</v>
      </c>
      <c r="O118" s="30" t="s">
        <v>239</v>
      </c>
      <c r="P118" s="34" t="s">
        <v>493</v>
      </c>
      <c r="Q118" s="30" t="s">
        <v>35</v>
      </c>
      <c r="R118" s="34" t="s">
        <v>25</v>
      </c>
      <c r="S118" s="30">
        <v>541990</v>
      </c>
      <c r="T118" s="34" t="s">
        <v>494</v>
      </c>
      <c r="U118" s="31">
        <v>45565</v>
      </c>
      <c r="V118" s="31">
        <v>46659</v>
      </c>
      <c r="W118" s="40">
        <v>2027</v>
      </c>
      <c r="X118" s="31" t="str">
        <f>_xlfn.XLOOKUP(apbi[[#This Row],[Contract Number]],[1]Preaward_OSBP!$F:$F,[1]Preaward_OSBP!$T:$T,"No Date Listed")</f>
        <v>No Date Listed</v>
      </c>
      <c r="Y118" s="30" t="s">
        <v>415</v>
      </c>
      <c r="Z118" s="30" t="s">
        <v>415</v>
      </c>
      <c r="AA118" s="30" t="s">
        <v>810</v>
      </c>
    </row>
    <row r="119" spans="4:27" ht="26.4" x14ac:dyDescent="0.25">
      <c r="D119" s="30" t="s">
        <v>619</v>
      </c>
      <c r="E119" s="34" t="s">
        <v>29</v>
      </c>
      <c r="F119" s="34" t="s">
        <v>53</v>
      </c>
      <c r="G119" s="35" t="s">
        <v>828</v>
      </c>
      <c r="H119" s="30" t="s">
        <v>619</v>
      </c>
      <c r="I119" s="34" t="s">
        <v>640</v>
      </c>
      <c r="J119" s="30">
        <v>0</v>
      </c>
      <c r="K119" s="36">
        <v>1393247.94</v>
      </c>
      <c r="L119" s="34" t="s">
        <v>641</v>
      </c>
      <c r="M119" s="30" t="s">
        <v>202</v>
      </c>
      <c r="N119" s="30" t="s">
        <v>203</v>
      </c>
      <c r="O119" s="30" t="s">
        <v>33</v>
      </c>
      <c r="P119" s="34" t="s">
        <v>642</v>
      </c>
      <c r="Q119" s="30" t="s">
        <v>35</v>
      </c>
      <c r="R119" s="34" t="s">
        <v>25</v>
      </c>
      <c r="S119" s="30">
        <v>562998</v>
      </c>
      <c r="T119" s="34" t="s">
        <v>643</v>
      </c>
      <c r="U119" s="31">
        <v>44676</v>
      </c>
      <c r="V119" s="31">
        <v>46501</v>
      </c>
      <c r="W119" s="40">
        <v>2027</v>
      </c>
      <c r="X119" s="31" t="str">
        <f>_xlfn.XLOOKUP(apbi[[#This Row],[Contract Number]],[1]Preaward_OSBP!$F:$F,[1]Preaward_OSBP!$T:$T,"No Date Listed")</f>
        <v>No Date Listed</v>
      </c>
      <c r="Y119" s="30" t="s">
        <v>27</v>
      </c>
      <c r="Z119" s="30" t="s">
        <v>27</v>
      </c>
      <c r="AA119" s="30" t="s">
        <v>815</v>
      </c>
    </row>
    <row r="120" spans="4:27" x14ac:dyDescent="0.25">
      <c r="D120" s="30" t="s">
        <v>677</v>
      </c>
      <c r="E120" s="34" t="s">
        <v>376</v>
      </c>
      <c r="F120" s="34" t="s">
        <v>37</v>
      </c>
      <c r="G120" s="35" t="s">
        <v>828</v>
      </c>
      <c r="H120" s="30" t="s">
        <v>677</v>
      </c>
      <c r="I120" s="34" t="s">
        <v>682</v>
      </c>
      <c r="J120" s="30">
        <v>0</v>
      </c>
      <c r="K120" s="36">
        <v>1377565.72</v>
      </c>
      <c r="L120" s="34" t="s">
        <v>683</v>
      </c>
      <c r="M120" s="30" t="s">
        <v>680</v>
      </c>
      <c r="N120" s="30" t="s">
        <v>70</v>
      </c>
      <c r="O120" s="30" t="s">
        <v>684</v>
      </c>
      <c r="P120" s="34" t="s">
        <v>685</v>
      </c>
      <c r="Q120" s="30" t="s">
        <v>686</v>
      </c>
      <c r="R120" s="34" t="s">
        <v>25</v>
      </c>
      <c r="S120" s="30">
        <v>541512</v>
      </c>
      <c r="T120" s="34" t="s">
        <v>26</v>
      </c>
      <c r="U120" s="31">
        <v>44819</v>
      </c>
      <c r="V120" s="31">
        <v>46645</v>
      </c>
      <c r="W120" s="40">
        <v>2027</v>
      </c>
      <c r="X120" s="31" t="str">
        <f>_xlfn.XLOOKUP(apbi[[#This Row],[Contract Number]],[1]Preaward_OSBP!$F:$F,[1]Preaward_OSBP!$T:$T,"No Date Listed")</f>
        <v>No Date Listed</v>
      </c>
      <c r="Y120" s="30" t="s">
        <v>28</v>
      </c>
      <c r="Z120" s="30" t="s">
        <v>28</v>
      </c>
      <c r="AA120" s="30" t="s">
        <v>816</v>
      </c>
    </row>
    <row r="121" spans="4:27" s="29" customFormat="1" ht="39.6" x14ac:dyDescent="0.25">
      <c r="D121" s="30" t="s">
        <v>299</v>
      </c>
      <c r="E121" s="34" t="s">
        <v>29</v>
      </c>
      <c r="F121" s="34" t="s">
        <v>53</v>
      </c>
      <c r="G121" s="35" t="s">
        <v>828</v>
      </c>
      <c r="H121" s="30" t="s">
        <v>299</v>
      </c>
      <c r="I121" s="34" t="s">
        <v>321</v>
      </c>
      <c r="J121" s="30">
        <v>0</v>
      </c>
      <c r="K121" s="36">
        <v>1349187.34</v>
      </c>
      <c r="L121" s="34" t="s">
        <v>322</v>
      </c>
      <c r="M121" s="30" t="s">
        <v>323</v>
      </c>
      <c r="N121" s="30" t="s">
        <v>304</v>
      </c>
      <c r="O121" s="30" t="s">
        <v>33</v>
      </c>
      <c r="P121" s="34" t="s">
        <v>324</v>
      </c>
      <c r="Q121" s="30" t="s">
        <v>35</v>
      </c>
      <c r="R121" s="34" t="s">
        <v>25</v>
      </c>
      <c r="S121" s="30">
        <v>811310</v>
      </c>
      <c r="T121" s="34" t="s">
        <v>41</v>
      </c>
      <c r="U121" s="31">
        <v>44896</v>
      </c>
      <c r="V121" s="31">
        <v>46721</v>
      </c>
      <c r="W121" s="40">
        <v>2028</v>
      </c>
      <c r="X121" s="31" t="str">
        <f>_xlfn.XLOOKUP(apbi[[#This Row],[Contract Number]],[1]Preaward_OSBP!$F:$F,[1]Preaward_OSBP!$T:$T,"No Date Listed")</f>
        <v>No Date Listed</v>
      </c>
      <c r="Y121" s="30" t="s">
        <v>27</v>
      </c>
      <c r="Z121" s="30" t="s">
        <v>27</v>
      </c>
      <c r="AA121" s="30" t="s">
        <v>805</v>
      </c>
    </row>
    <row r="122" spans="4:27" ht="26.4" x14ac:dyDescent="0.25">
      <c r="D122" s="30" t="s">
        <v>553</v>
      </c>
      <c r="E122" s="34" t="s">
        <v>29</v>
      </c>
      <c r="F122" s="34" t="s">
        <v>37</v>
      </c>
      <c r="G122" s="35" t="s">
        <v>828</v>
      </c>
      <c r="H122" s="30" t="s">
        <v>553</v>
      </c>
      <c r="I122" s="34" t="s">
        <v>578</v>
      </c>
      <c r="J122" s="30">
        <v>0</v>
      </c>
      <c r="K122" s="36">
        <v>1329250</v>
      </c>
      <c r="L122" s="34" t="s">
        <v>579</v>
      </c>
      <c r="M122" s="30" t="s">
        <v>556</v>
      </c>
      <c r="N122" s="30" t="s">
        <v>557</v>
      </c>
      <c r="O122" s="30" t="s">
        <v>33</v>
      </c>
      <c r="P122" s="34" t="s">
        <v>580</v>
      </c>
      <c r="Q122" s="30" t="s">
        <v>35</v>
      </c>
      <c r="R122" s="34" t="s">
        <v>25</v>
      </c>
      <c r="S122" s="30">
        <v>561612</v>
      </c>
      <c r="T122" s="34" t="s">
        <v>265</v>
      </c>
      <c r="U122" s="31">
        <v>45034</v>
      </c>
      <c r="V122" s="31">
        <v>46860</v>
      </c>
      <c r="W122" s="40">
        <v>2028</v>
      </c>
      <c r="X122" s="31" t="str">
        <f>_xlfn.XLOOKUP(apbi[[#This Row],[Contract Number]],[1]Preaward_OSBP!$F:$F,[1]Preaward_OSBP!$T:$T,"No Date Listed")</f>
        <v>No Date Listed</v>
      </c>
      <c r="Y122" s="30" t="s">
        <v>27</v>
      </c>
      <c r="Z122" s="30" t="s">
        <v>27</v>
      </c>
      <c r="AA122" s="30" t="s">
        <v>813</v>
      </c>
    </row>
    <row r="123" spans="4:27" ht="26.4" x14ac:dyDescent="0.25">
      <c r="D123" s="30" t="s">
        <v>469</v>
      </c>
      <c r="E123" s="34" t="s">
        <v>29</v>
      </c>
      <c r="F123" s="34" t="s">
        <v>53</v>
      </c>
      <c r="G123" s="35" t="s">
        <v>828</v>
      </c>
      <c r="H123" s="30" t="s">
        <v>469</v>
      </c>
      <c r="I123" s="34" t="s">
        <v>486</v>
      </c>
      <c r="J123" s="30">
        <v>0</v>
      </c>
      <c r="K123" s="36">
        <v>1252548</v>
      </c>
      <c r="L123" s="34" t="s">
        <v>487</v>
      </c>
      <c r="M123" s="30" t="s">
        <v>472</v>
      </c>
      <c r="N123" s="30" t="s">
        <v>349</v>
      </c>
      <c r="O123" s="30" t="s">
        <v>488</v>
      </c>
      <c r="P123" s="34" t="s">
        <v>489</v>
      </c>
      <c r="Q123" s="30" t="s">
        <v>35</v>
      </c>
      <c r="R123" s="34" t="s">
        <v>25</v>
      </c>
      <c r="S123" s="30">
        <v>561210</v>
      </c>
      <c r="T123" s="34" t="s">
        <v>72</v>
      </c>
      <c r="U123" s="31">
        <v>45562</v>
      </c>
      <c r="V123" s="31">
        <v>46656</v>
      </c>
      <c r="W123" s="40">
        <v>2027</v>
      </c>
      <c r="X123" s="31" t="str">
        <f>_xlfn.XLOOKUP(apbi[[#This Row],[Contract Number]],[1]Preaward_OSBP!$F:$F,[1]Preaward_OSBP!$T:$T,"No Date Listed")</f>
        <v>No Date Listed</v>
      </c>
      <c r="Y123" s="30" t="s">
        <v>27</v>
      </c>
      <c r="Z123" s="30" t="s">
        <v>27</v>
      </c>
      <c r="AA123" s="30" t="s">
        <v>810</v>
      </c>
    </row>
    <row r="124" spans="4:27" ht="26.4" x14ac:dyDescent="0.25">
      <c r="D124" s="30" t="s">
        <v>425</v>
      </c>
      <c r="E124" s="34" t="s">
        <v>29</v>
      </c>
      <c r="F124" s="34" t="s">
        <v>134</v>
      </c>
      <c r="G124" s="35" t="s">
        <v>828</v>
      </c>
      <c r="H124" s="30" t="s">
        <v>425</v>
      </c>
      <c r="I124" s="34" t="s">
        <v>430</v>
      </c>
      <c r="J124" s="30">
        <v>0</v>
      </c>
      <c r="K124" s="36">
        <v>1167093</v>
      </c>
      <c r="L124" s="34" t="s">
        <v>188</v>
      </c>
      <c r="M124" s="30" t="s">
        <v>431</v>
      </c>
      <c r="N124" s="30" t="s">
        <v>304</v>
      </c>
      <c r="O124" s="30" t="s">
        <v>33</v>
      </c>
      <c r="P124" s="34" t="s">
        <v>432</v>
      </c>
      <c r="Q124" s="30" t="s">
        <v>35</v>
      </c>
      <c r="R124" s="34" t="s">
        <v>25</v>
      </c>
      <c r="S124" s="30">
        <v>811412</v>
      </c>
      <c r="T124" s="34" t="s">
        <v>190</v>
      </c>
      <c r="U124" s="31">
        <v>44802</v>
      </c>
      <c r="V124" s="31">
        <v>46477</v>
      </c>
      <c r="W124" s="40">
        <v>2027</v>
      </c>
      <c r="X124" s="31" t="str">
        <f>_xlfn.XLOOKUP(apbi[[#This Row],[Contract Number]],[1]Preaward_OSBP!$F:$F,[1]Preaward_OSBP!$T:$T,"No Date Listed")</f>
        <v>No Date Listed</v>
      </c>
      <c r="Y124" s="30" t="s">
        <v>27</v>
      </c>
      <c r="Z124" s="30" t="s">
        <v>27</v>
      </c>
      <c r="AA124" s="30" t="s">
        <v>809</v>
      </c>
    </row>
    <row r="125" spans="4:27" s="29" customFormat="1" ht="39.6" x14ac:dyDescent="0.25">
      <c r="D125" s="30" t="s">
        <v>325</v>
      </c>
      <c r="E125" s="34" t="s">
        <v>29</v>
      </c>
      <c r="F125" s="34" t="s">
        <v>37</v>
      </c>
      <c r="G125" s="35" t="s">
        <v>826</v>
      </c>
      <c r="H125" s="30" t="s">
        <v>325</v>
      </c>
      <c r="I125" s="34" t="s">
        <v>352</v>
      </c>
      <c r="J125" s="30">
        <v>0</v>
      </c>
      <c r="K125" s="36">
        <v>1081338</v>
      </c>
      <c r="L125" s="34" t="s">
        <v>353</v>
      </c>
      <c r="M125" s="30" t="s">
        <v>329</v>
      </c>
      <c r="N125" s="30" t="s">
        <v>330</v>
      </c>
      <c r="O125" s="30" t="s">
        <v>331</v>
      </c>
      <c r="P125" s="34" t="s">
        <v>354</v>
      </c>
      <c r="Q125" s="30" t="s">
        <v>35</v>
      </c>
      <c r="R125" s="34" t="s">
        <v>25</v>
      </c>
      <c r="S125" s="30">
        <v>721110</v>
      </c>
      <c r="T125" s="34" t="s">
        <v>355</v>
      </c>
      <c r="U125" s="31">
        <v>45443</v>
      </c>
      <c r="V125" s="31">
        <v>46507</v>
      </c>
      <c r="W125" s="40">
        <v>2027</v>
      </c>
      <c r="X125" s="31" t="str">
        <f>_xlfn.XLOOKUP(apbi[[#This Row],[Contract Number]],[1]Preaward_OSBP!$F:$F,[1]Preaward_OSBP!$T:$T,"No Date Listed")</f>
        <v>No Date Listed</v>
      </c>
      <c r="Y125" s="30" t="s">
        <v>27</v>
      </c>
      <c r="Z125" s="30" t="s">
        <v>27</v>
      </c>
      <c r="AA125" s="30" t="s">
        <v>806</v>
      </c>
    </row>
    <row r="126" spans="4:27" ht="26.4" x14ac:dyDescent="0.25">
      <c r="D126" s="30" t="s">
        <v>133</v>
      </c>
      <c r="E126" s="34" t="s">
        <v>29</v>
      </c>
      <c r="F126" s="34" t="s">
        <v>53</v>
      </c>
      <c r="G126" s="35" t="s">
        <v>828</v>
      </c>
      <c r="H126" s="30" t="s">
        <v>133</v>
      </c>
      <c r="I126" s="34" t="s">
        <v>187</v>
      </c>
      <c r="J126" s="30">
        <v>0</v>
      </c>
      <c r="K126" s="36">
        <v>1011152.6</v>
      </c>
      <c r="L126" s="34" t="s">
        <v>188</v>
      </c>
      <c r="M126" s="30" t="s">
        <v>138</v>
      </c>
      <c r="N126" s="30" t="s">
        <v>139</v>
      </c>
      <c r="O126" s="30" t="s">
        <v>33</v>
      </c>
      <c r="P126" s="34" t="s">
        <v>189</v>
      </c>
      <c r="Q126" s="30" t="s">
        <v>85</v>
      </c>
      <c r="R126" s="34" t="s">
        <v>25</v>
      </c>
      <c r="S126" s="30">
        <v>811412</v>
      </c>
      <c r="T126" s="34" t="s">
        <v>190</v>
      </c>
      <c r="U126" s="31">
        <v>44866</v>
      </c>
      <c r="V126" s="31">
        <v>46691</v>
      </c>
      <c r="W126" s="40">
        <v>2028</v>
      </c>
      <c r="X126" s="31">
        <f>_xlfn.XLOOKUP(apbi[[#This Row],[Contract Number]],[1]Preaward_OSBP!$F:$F,[1]Preaward_OSBP!$T:$T,"No Date Listed")</f>
        <v>46104</v>
      </c>
      <c r="Y126" s="30" t="s">
        <v>27</v>
      </c>
      <c r="Z126" s="30" t="s">
        <v>27</v>
      </c>
      <c r="AA126" s="30" t="s">
        <v>801</v>
      </c>
    </row>
    <row r="127" spans="4:27" ht="26.4" x14ac:dyDescent="0.25">
      <c r="D127" s="30" t="s">
        <v>103</v>
      </c>
      <c r="E127" s="34" t="s">
        <v>29</v>
      </c>
      <c r="F127" s="34" t="s">
        <v>53</v>
      </c>
      <c r="G127" s="35" t="s">
        <v>828</v>
      </c>
      <c r="H127" s="30" t="s">
        <v>103</v>
      </c>
      <c r="I127" s="34" t="s">
        <v>104</v>
      </c>
      <c r="J127" s="30">
        <v>0</v>
      </c>
      <c r="K127" s="36">
        <v>995177.04</v>
      </c>
      <c r="L127" s="34" t="s">
        <v>105</v>
      </c>
      <c r="M127" s="30" t="s">
        <v>106</v>
      </c>
      <c r="N127" s="30" t="s">
        <v>107</v>
      </c>
      <c r="O127" s="30" t="s">
        <v>33</v>
      </c>
      <c r="P127" s="34" t="s">
        <v>108</v>
      </c>
      <c r="Q127" s="30" t="s">
        <v>35</v>
      </c>
      <c r="R127" s="34" t="s">
        <v>25</v>
      </c>
      <c r="S127" s="30">
        <v>484210</v>
      </c>
      <c r="T127" s="34" t="s">
        <v>109</v>
      </c>
      <c r="U127" s="31">
        <v>45169</v>
      </c>
      <c r="V127" s="31">
        <v>47000</v>
      </c>
      <c r="W127" s="40">
        <v>2028</v>
      </c>
      <c r="X127" s="31">
        <v>46634</v>
      </c>
      <c r="Y127" s="30" t="s">
        <v>27</v>
      </c>
      <c r="Z127" s="30" t="s">
        <v>27</v>
      </c>
      <c r="AA127" s="30" t="s">
        <v>819</v>
      </c>
    </row>
    <row r="128" spans="4:27" x14ac:dyDescent="0.25">
      <c r="D128" s="30" t="s">
        <v>299</v>
      </c>
      <c r="E128" s="34" t="s">
        <v>119</v>
      </c>
      <c r="F128" s="34" t="s">
        <v>119</v>
      </c>
      <c r="G128" s="35" t="s">
        <v>826</v>
      </c>
      <c r="H128" s="30" t="s">
        <v>299</v>
      </c>
      <c r="I128" s="34" t="s">
        <v>300</v>
      </c>
      <c r="J128" s="30" t="s">
        <v>301</v>
      </c>
      <c r="K128" s="36">
        <v>980535</v>
      </c>
      <c r="L128" s="34" t="s">
        <v>302</v>
      </c>
      <c r="M128" s="30" t="s">
        <v>303</v>
      </c>
      <c r="N128" s="30" t="s">
        <v>304</v>
      </c>
      <c r="O128" s="30" t="s">
        <v>33</v>
      </c>
      <c r="P128" s="34" t="s">
        <v>305</v>
      </c>
      <c r="Q128" s="30" t="s">
        <v>35</v>
      </c>
      <c r="R128" s="34" t="s">
        <v>25</v>
      </c>
      <c r="S128" s="30">
        <v>517110</v>
      </c>
      <c r="T128" s="34" t="s">
        <v>306</v>
      </c>
      <c r="U128" s="31">
        <v>44466</v>
      </c>
      <c r="V128" s="31">
        <v>46286</v>
      </c>
      <c r="W128" s="40">
        <v>2026</v>
      </c>
      <c r="X128" s="31" t="str">
        <f>_xlfn.XLOOKUP(apbi[[#This Row],[Contract Number]],[1]Preaward_OSBP!$F:$F,[1]Preaward_OSBP!$T:$T,"No Date Listed")</f>
        <v>No Date Listed</v>
      </c>
      <c r="Y128" s="30" t="s">
        <v>27</v>
      </c>
      <c r="Z128" s="30" t="s">
        <v>27</v>
      </c>
      <c r="AA128" s="30" t="s">
        <v>805</v>
      </c>
    </row>
    <row r="129" spans="4:27" x14ac:dyDescent="0.25">
      <c r="D129" s="30" t="s">
        <v>370</v>
      </c>
      <c r="E129" s="34" t="s">
        <v>29</v>
      </c>
      <c r="F129" s="34" t="s">
        <v>53</v>
      </c>
      <c r="G129" s="35" t="s">
        <v>828</v>
      </c>
      <c r="H129" s="30" t="s">
        <v>370</v>
      </c>
      <c r="I129" s="34" t="s">
        <v>385</v>
      </c>
      <c r="J129" s="30">
        <v>0</v>
      </c>
      <c r="K129" s="36">
        <v>976136.96</v>
      </c>
      <c r="L129" s="34" t="s">
        <v>386</v>
      </c>
      <c r="M129" s="30" t="s">
        <v>373</v>
      </c>
      <c r="N129" s="30" t="s">
        <v>304</v>
      </c>
      <c r="O129" s="30" t="s">
        <v>33</v>
      </c>
      <c r="P129" s="34" t="s">
        <v>387</v>
      </c>
      <c r="Q129" s="30" t="s">
        <v>35</v>
      </c>
      <c r="R129" s="34" t="s">
        <v>25</v>
      </c>
      <c r="S129" s="30">
        <v>711130</v>
      </c>
      <c r="T129" s="34" t="s">
        <v>388</v>
      </c>
      <c r="U129" s="31">
        <v>45058</v>
      </c>
      <c r="V129" s="31">
        <v>46706</v>
      </c>
      <c r="W129" s="40">
        <v>2028</v>
      </c>
      <c r="X129" s="31" t="str">
        <f>_xlfn.XLOOKUP(apbi[[#This Row],[Contract Number]],[1]Preaward_OSBP!$F:$F,[1]Preaward_OSBP!$T:$T,"No Date Listed")</f>
        <v>No Date Listed</v>
      </c>
      <c r="Y129" s="30" t="s">
        <v>27</v>
      </c>
      <c r="Z129" s="30" t="s">
        <v>27</v>
      </c>
      <c r="AA129" s="30" t="s">
        <v>807</v>
      </c>
    </row>
    <row r="130" spans="4:27" ht="26.4" x14ac:dyDescent="0.25">
      <c r="D130" s="30" t="s">
        <v>133</v>
      </c>
      <c r="E130" s="34" t="s">
        <v>73</v>
      </c>
      <c r="F130" s="34" t="s">
        <v>37</v>
      </c>
      <c r="G130" s="35" t="s">
        <v>826</v>
      </c>
      <c r="H130" s="30" t="s">
        <v>133</v>
      </c>
      <c r="I130" s="34" t="s">
        <v>160</v>
      </c>
      <c r="J130" s="30">
        <v>0</v>
      </c>
      <c r="K130" s="36">
        <v>966368.8</v>
      </c>
      <c r="L130" s="34" t="s">
        <v>161</v>
      </c>
      <c r="M130" s="30" t="s">
        <v>138</v>
      </c>
      <c r="N130" s="30" t="s">
        <v>139</v>
      </c>
      <c r="O130" s="30" t="s">
        <v>33</v>
      </c>
      <c r="P130" s="34" t="s">
        <v>162</v>
      </c>
      <c r="Q130" s="30" t="s">
        <v>35</v>
      </c>
      <c r="R130" s="34" t="s">
        <v>25</v>
      </c>
      <c r="S130" s="30">
        <v>811420</v>
      </c>
      <c r="T130" s="34" t="s">
        <v>163</v>
      </c>
      <c r="U130" s="31">
        <v>45184</v>
      </c>
      <c r="V130" s="31">
        <v>46644</v>
      </c>
      <c r="W130" s="40">
        <v>2027</v>
      </c>
      <c r="X130" s="31" t="str">
        <f>_xlfn.XLOOKUP(apbi[[#This Row],[Contract Number]],[1]Preaward_OSBP!$F:$F,[1]Preaward_OSBP!$T:$T,"No Date Listed")</f>
        <v>No Date Listed</v>
      </c>
      <c r="Y130" s="30" t="s">
        <v>27</v>
      </c>
      <c r="Z130" s="30" t="s">
        <v>27</v>
      </c>
      <c r="AA130" s="30" t="s">
        <v>801</v>
      </c>
    </row>
    <row r="131" spans="4:27" x14ac:dyDescent="0.25">
      <c r="D131" s="30" t="s">
        <v>588</v>
      </c>
      <c r="E131" s="34" t="s">
        <v>29</v>
      </c>
      <c r="F131" s="34" t="s">
        <v>53</v>
      </c>
      <c r="G131" s="35" t="s">
        <v>828</v>
      </c>
      <c r="H131" s="30" t="s">
        <v>588</v>
      </c>
      <c r="I131" s="34" t="s">
        <v>604</v>
      </c>
      <c r="J131" s="30">
        <v>0</v>
      </c>
      <c r="K131" s="36">
        <v>949135.57</v>
      </c>
      <c r="L131" s="34" t="s">
        <v>605</v>
      </c>
      <c r="M131" s="30" t="s">
        <v>598</v>
      </c>
      <c r="N131" s="30" t="s">
        <v>349</v>
      </c>
      <c r="O131" s="30" t="s">
        <v>606</v>
      </c>
      <c r="P131" s="34" t="s">
        <v>607</v>
      </c>
      <c r="Q131" s="30" t="s">
        <v>35</v>
      </c>
      <c r="R131" s="34" t="s">
        <v>594</v>
      </c>
      <c r="S131" s="30">
        <v>111940</v>
      </c>
      <c r="T131" s="34" t="s">
        <v>608</v>
      </c>
      <c r="U131" s="31">
        <v>45047</v>
      </c>
      <c r="V131" s="31">
        <v>46660</v>
      </c>
      <c r="W131" s="40">
        <v>2027</v>
      </c>
      <c r="X131" s="31">
        <v>46583</v>
      </c>
      <c r="Y131" s="30" t="s">
        <v>27</v>
      </c>
      <c r="Z131" s="30" t="s">
        <v>27</v>
      </c>
      <c r="AA131" s="30" t="s">
        <v>814</v>
      </c>
    </row>
    <row r="132" spans="4:27" ht="26.4" x14ac:dyDescent="0.25">
      <c r="D132" s="30" t="s">
        <v>254</v>
      </c>
      <c r="E132" s="34" t="s">
        <v>29</v>
      </c>
      <c r="F132" s="34" t="s">
        <v>134</v>
      </c>
      <c r="G132" s="35" t="s">
        <v>828</v>
      </c>
      <c r="H132" s="30" t="s">
        <v>254</v>
      </c>
      <c r="I132" s="34" t="s">
        <v>266</v>
      </c>
      <c r="J132" s="30">
        <v>0</v>
      </c>
      <c r="K132" s="36">
        <v>935283.78</v>
      </c>
      <c r="L132" s="34" t="s">
        <v>267</v>
      </c>
      <c r="M132" s="30" t="s">
        <v>268</v>
      </c>
      <c r="N132" s="30" t="s">
        <v>21</v>
      </c>
      <c r="O132" s="30" t="s">
        <v>152</v>
      </c>
      <c r="P132" s="34" t="s">
        <v>269</v>
      </c>
      <c r="Q132" s="30" t="s">
        <v>35</v>
      </c>
      <c r="R132" s="34" t="s">
        <v>25</v>
      </c>
      <c r="S132" s="30">
        <v>561720</v>
      </c>
      <c r="T132" s="34" t="s">
        <v>51</v>
      </c>
      <c r="U132" s="31">
        <v>44728</v>
      </c>
      <c r="V132" s="31">
        <v>46538</v>
      </c>
      <c r="W132" s="40">
        <v>2027</v>
      </c>
      <c r="X132" s="31" t="str">
        <f>_xlfn.XLOOKUP(apbi[[#This Row],[Contract Number]],[1]Preaward_OSBP!$F:$F,[1]Preaward_OSBP!$T:$T,"No Date Listed")</f>
        <v>No Date Listed</v>
      </c>
      <c r="Y132" s="30" t="s">
        <v>28</v>
      </c>
      <c r="Z132" s="30" t="s">
        <v>27</v>
      </c>
      <c r="AA132" s="30" t="s">
        <v>804</v>
      </c>
    </row>
    <row r="133" spans="4:27" ht="26.4" x14ac:dyDescent="0.25">
      <c r="D133" s="30" t="s">
        <v>325</v>
      </c>
      <c r="E133" s="34" t="s">
        <v>29</v>
      </c>
      <c r="F133" s="34" t="s">
        <v>53</v>
      </c>
      <c r="G133" s="35" t="s">
        <v>828</v>
      </c>
      <c r="H133" s="30" t="s">
        <v>325</v>
      </c>
      <c r="I133" s="34" t="s">
        <v>364</v>
      </c>
      <c r="J133" s="30">
        <v>0</v>
      </c>
      <c r="K133" s="36">
        <v>887250</v>
      </c>
      <c r="L133" s="34" t="s">
        <v>365</v>
      </c>
      <c r="M133" s="30" t="s">
        <v>329</v>
      </c>
      <c r="N133" s="30" t="s">
        <v>330</v>
      </c>
      <c r="O133" s="30" t="s">
        <v>331</v>
      </c>
      <c r="P133" s="34" t="s">
        <v>339</v>
      </c>
      <c r="Q133" s="30" t="s">
        <v>35</v>
      </c>
      <c r="R133" s="34" t="s">
        <v>25</v>
      </c>
      <c r="S133" s="30">
        <v>611310</v>
      </c>
      <c r="T133" s="34" t="s">
        <v>336</v>
      </c>
      <c r="U133" s="31">
        <v>45077</v>
      </c>
      <c r="V133" s="31">
        <v>46965</v>
      </c>
      <c r="W133" s="40">
        <v>2028</v>
      </c>
      <c r="X133" s="31" t="str">
        <f>_xlfn.XLOOKUP(apbi[[#This Row],[Contract Number]],[1]Preaward_OSBP!$F:$F,[1]Preaward_OSBP!$T:$T,"No Date Listed")</f>
        <v>No Date Listed</v>
      </c>
      <c r="Y133" s="30" t="s">
        <v>27</v>
      </c>
      <c r="Z133" s="30" t="s">
        <v>27</v>
      </c>
      <c r="AA133" s="30" t="s">
        <v>806</v>
      </c>
    </row>
    <row r="134" spans="4:27" ht="26.4" x14ac:dyDescent="0.25">
      <c r="D134" s="30" t="s">
        <v>133</v>
      </c>
      <c r="E134" s="34" t="s">
        <v>119</v>
      </c>
      <c r="F134" s="34" t="s">
        <v>134</v>
      </c>
      <c r="G134" s="35" t="s">
        <v>828</v>
      </c>
      <c r="H134" s="30" t="s">
        <v>133</v>
      </c>
      <c r="I134" s="34" t="s">
        <v>135</v>
      </c>
      <c r="J134" s="30" t="s">
        <v>136</v>
      </c>
      <c r="K134" s="36">
        <v>862225.24</v>
      </c>
      <c r="L134" s="34" t="s">
        <v>137</v>
      </c>
      <c r="M134" s="30" t="s">
        <v>138</v>
      </c>
      <c r="N134" s="30" t="s">
        <v>139</v>
      </c>
      <c r="O134" s="30" t="s">
        <v>89</v>
      </c>
      <c r="P134" s="34" t="s">
        <v>140</v>
      </c>
      <c r="Q134" s="30" t="s">
        <v>35</v>
      </c>
      <c r="R134" s="34" t="s">
        <v>25</v>
      </c>
      <c r="S134" s="30">
        <v>541614</v>
      </c>
      <c r="T134" s="34" t="s">
        <v>141</v>
      </c>
      <c r="U134" s="31">
        <v>45548</v>
      </c>
      <c r="V134" s="31">
        <v>46294</v>
      </c>
      <c r="W134" s="40">
        <v>2026</v>
      </c>
      <c r="X134" s="31" t="str">
        <f>_xlfn.XLOOKUP(apbi[[#This Row],[Contract Number]],[1]Preaward_OSBP!$F:$F,[1]Preaward_OSBP!$T:$T,"No Date Listed")</f>
        <v>No Date Listed</v>
      </c>
      <c r="Y134" s="30" t="s">
        <v>27</v>
      </c>
      <c r="Z134" s="30" t="s">
        <v>27</v>
      </c>
      <c r="AA134" s="30" t="s">
        <v>801</v>
      </c>
    </row>
    <row r="135" spans="4:27" ht="26.4" x14ac:dyDescent="0.25">
      <c r="D135" s="30" t="s">
        <v>619</v>
      </c>
      <c r="E135" s="34" t="s">
        <v>29</v>
      </c>
      <c r="F135" s="34" t="s">
        <v>53</v>
      </c>
      <c r="G135" s="35" t="s">
        <v>828</v>
      </c>
      <c r="H135" s="30" t="s">
        <v>619</v>
      </c>
      <c r="I135" s="34" t="s">
        <v>662</v>
      </c>
      <c r="J135" s="30">
        <v>0</v>
      </c>
      <c r="K135" s="36">
        <v>820996.7</v>
      </c>
      <c r="L135" s="34" t="s">
        <v>663</v>
      </c>
      <c r="M135" s="30" t="s">
        <v>664</v>
      </c>
      <c r="N135" s="30" t="s">
        <v>203</v>
      </c>
      <c r="O135" s="30" t="s">
        <v>33</v>
      </c>
      <c r="P135" s="34" t="s">
        <v>665</v>
      </c>
      <c r="Q135" s="30" t="s">
        <v>35</v>
      </c>
      <c r="R135" s="34" t="s">
        <v>25</v>
      </c>
      <c r="S135" s="30">
        <v>237120</v>
      </c>
      <c r="T135" s="34" t="s">
        <v>666</v>
      </c>
      <c r="U135" s="31">
        <v>45197</v>
      </c>
      <c r="V135" s="31">
        <v>47021</v>
      </c>
      <c r="W135" s="40">
        <v>2028</v>
      </c>
      <c r="X135" s="31" t="str">
        <f>_xlfn.XLOOKUP(apbi[[#This Row],[Contract Number]],[1]Preaward_OSBP!$F:$F,[1]Preaward_OSBP!$T:$T,"No Date Listed")</f>
        <v>No Date Listed</v>
      </c>
      <c r="Y135" s="30" t="s">
        <v>27</v>
      </c>
      <c r="Z135" s="30" t="s">
        <v>27</v>
      </c>
      <c r="AA135" s="30" t="s">
        <v>815</v>
      </c>
    </row>
    <row r="136" spans="4:27" ht="26.4" x14ac:dyDescent="0.25">
      <c r="D136" s="30" t="s">
        <v>254</v>
      </c>
      <c r="E136" s="34" t="s">
        <v>29</v>
      </c>
      <c r="F136" s="34" t="s">
        <v>53</v>
      </c>
      <c r="G136" s="35" t="s">
        <v>828</v>
      </c>
      <c r="H136" s="30" t="s">
        <v>254</v>
      </c>
      <c r="I136" s="34" t="s">
        <v>255</v>
      </c>
      <c r="J136" s="30">
        <v>0</v>
      </c>
      <c r="K136" s="36">
        <v>796325</v>
      </c>
      <c r="L136" s="34" t="s">
        <v>256</v>
      </c>
      <c r="M136" s="30" t="s">
        <v>257</v>
      </c>
      <c r="N136" s="30" t="s">
        <v>258</v>
      </c>
      <c r="O136" s="30" t="s">
        <v>152</v>
      </c>
      <c r="P136" s="34" t="s">
        <v>259</v>
      </c>
      <c r="Q136" s="30" t="s">
        <v>35</v>
      </c>
      <c r="R136" s="34" t="s">
        <v>25</v>
      </c>
      <c r="S136" s="30">
        <v>561790</v>
      </c>
      <c r="T136" s="34" t="s">
        <v>132</v>
      </c>
      <c r="U136" s="31">
        <v>44501</v>
      </c>
      <c r="V136" s="31">
        <v>46326</v>
      </c>
      <c r="W136" s="40">
        <v>2027</v>
      </c>
      <c r="X136" s="31" t="str">
        <f>_xlfn.XLOOKUP(apbi[[#This Row],[Contract Number]],[1]Preaward_OSBP!$F:$F,[1]Preaward_OSBP!$T:$T,"No Date Listed")</f>
        <v>No Date Listed</v>
      </c>
      <c r="Y136" s="30" t="s">
        <v>28</v>
      </c>
      <c r="Z136" s="30" t="s">
        <v>27</v>
      </c>
      <c r="AA136" s="30" t="s">
        <v>804</v>
      </c>
    </row>
    <row r="137" spans="4:27" x14ac:dyDescent="0.25">
      <c r="D137" s="30" t="s">
        <v>619</v>
      </c>
      <c r="E137" s="34" t="s">
        <v>119</v>
      </c>
      <c r="F137" s="34"/>
      <c r="G137" s="35" t="s">
        <v>826</v>
      </c>
      <c r="H137" s="30" t="s">
        <v>619</v>
      </c>
      <c r="I137" s="34" t="s">
        <v>658</v>
      </c>
      <c r="J137" s="30" t="s">
        <v>659</v>
      </c>
      <c r="K137" s="36">
        <v>788446.87</v>
      </c>
      <c r="L137" s="34" t="s">
        <v>660</v>
      </c>
      <c r="M137" s="30" t="s">
        <v>202</v>
      </c>
      <c r="N137" s="30" t="s">
        <v>203</v>
      </c>
      <c r="O137" s="30" t="s">
        <v>239</v>
      </c>
      <c r="P137" s="34" t="s">
        <v>661</v>
      </c>
      <c r="Q137" s="30" t="s">
        <v>35</v>
      </c>
      <c r="R137" s="34" t="s">
        <v>594</v>
      </c>
      <c r="S137" s="30">
        <v>541519</v>
      </c>
      <c r="T137" s="34" t="s">
        <v>647</v>
      </c>
      <c r="U137" s="31">
        <v>45562</v>
      </c>
      <c r="V137" s="31">
        <v>47022</v>
      </c>
      <c r="W137" s="40">
        <v>2028</v>
      </c>
      <c r="X137" s="31" t="str">
        <f>_xlfn.XLOOKUP(apbi[[#This Row],[Contract Number]],[1]Preaward_OSBP!$F:$F,[1]Preaward_OSBP!$T:$T,"No Date Listed")</f>
        <v>No Date Listed</v>
      </c>
      <c r="Y137" s="30" t="s">
        <v>27</v>
      </c>
      <c r="Z137" s="30" t="s">
        <v>27</v>
      </c>
      <c r="AA137" s="30" t="s">
        <v>815</v>
      </c>
    </row>
    <row r="138" spans="4:27" x14ac:dyDescent="0.25">
      <c r="D138" s="30" t="s">
        <v>133</v>
      </c>
      <c r="E138" s="34" t="s">
        <v>119</v>
      </c>
      <c r="F138" s="34" t="s">
        <v>53</v>
      </c>
      <c r="G138" s="35" t="s">
        <v>828</v>
      </c>
      <c r="H138" s="30" t="s">
        <v>133</v>
      </c>
      <c r="I138" s="34" t="s">
        <v>199</v>
      </c>
      <c r="J138" s="30" t="s">
        <v>200</v>
      </c>
      <c r="K138" s="36">
        <v>782598.96</v>
      </c>
      <c r="L138" s="34" t="s">
        <v>201</v>
      </c>
      <c r="M138" s="30" t="s">
        <v>202</v>
      </c>
      <c r="N138" s="30" t="s">
        <v>203</v>
      </c>
      <c r="O138" s="30" t="s">
        <v>152</v>
      </c>
      <c r="P138" s="34" t="s">
        <v>204</v>
      </c>
      <c r="Q138" s="30" t="s">
        <v>35</v>
      </c>
      <c r="R138" s="34" t="s">
        <v>25</v>
      </c>
      <c r="S138" s="30">
        <v>541511</v>
      </c>
      <c r="T138" s="34" t="s">
        <v>127</v>
      </c>
      <c r="U138" s="31">
        <v>45560</v>
      </c>
      <c r="V138" s="31">
        <v>47020</v>
      </c>
      <c r="W138" s="40">
        <v>2028</v>
      </c>
      <c r="X138" s="31">
        <v>46261</v>
      </c>
      <c r="Y138" s="30" t="s">
        <v>27</v>
      </c>
      <c r="Z138" s="30" t="s">
        <v>27</v>
      </c>
      <c r="AA138" s="30" t="s">
        <v>801</v>
      </c>
    </row>
    <row r="139" spans="4:27" ht="26.4" x14ac:dyDescent="0.25">
      <c r="D139" s="30" t="s">
        <v>515</v>
      </c>
      <c r="E139" s="34" t="s">
        <v>29</v>
      </c>
      <c r="F139" s="34" t="s">
        <v>53</v>
      </c>
      <c r="G139" s="35" t="s">
        <v>828</v>
      </c>
      <c r="H139" s="30" t="s">
        <v>515</v>
      </c>
      <c r="I139" s="34" t="s">
        <v>521</v>
      </c>
      <c r="J139" s="30">
        <v>0</v>
      </c>
      <c r="K139" s="36">
        <v>766696.46</v>
      </c>
      <c r="L139" s="34" t="s">
        <v>522</v>
      </c>
      <c r="M139" s="30" t="s">
        <v>518</v>
      </c>
      <c r="N139" s="30" t="s">
        <v>519</v>
      </c>
      <c r="O139" s="30" t="s">
        <v>33</v>
      </c>
      <c r="P139" s="34" t="s">
        <v>523</v>
      </c>
      <c r="Q139" s="30" t="s">
        <v>35</v>
      </c>
      <c r="R139" s="34" t="s">
        <v>25</v>
      </c>
      <c r="S139" s="30">
        <v>561621</v>
      </c>
      <c r="T139" s="34" t="s">
        <v>65</v>
      </c>
      <c r="U139" s="31">
        <v>44555</v>
      </c>
      <c r="V139" s="31">
        <v>46378</v>
      </c>
      <c r="W139" s="40">
        <v>2027</v>
      </c>
      <c r="X139" s="31">
        <v>46234</v>
      </c>
      <c r="Y139" s="30" t="s">
        <v>27</v>
      </c>
      <c r="Z139" s="30" t="s">
        <v>27</v>
      </c>
      <c r="AA139" s="30" t="s">
        <v>811</v>
      </c>
    </row>
    <row r="140" spans="4:27" x14ac:dyDescent="0.25">
      <c r="D140" s="30" t="s">
        <v>553</v>
      </c>
      <c r="E140" s="34" t="s">
        <v>29</v>
      </c>
      <c r="F140" s="34" t="s">
        <v>53</v>
      </c>
      <c r="G140" s="35" t="s">
        <v>828</v>
      </c>
      <c r="H140" s="30" t="s">
        <v>553</v>
      </c>
      <c r="I140" s="34" t="s">
        <v>554</v>
      </c>
      <c r="J140" s="30">
        <v>0</v>
      </c>
      <c r="K140" s="36">
        <v>763280</v>
      </c>
      <c r="L140" s="34" t="s">
        <v>555</v>
      </c>
      <c r="M140" s="30" t="s">
        <v>556</v>
      </c>
      <c r="N140" s="30" t="s">
        <v>557</v>
      </c>
      <c r="O140" s="30" t="s">
        <v>33</v>
      </c>
      <c r="P140" s="34" t="s">
        <v>558</v>
      </c>
      <c r="Q140" s="30" t="s">
        <v>35</v>
      </c>
      <c r="R140" s="34" t="s">
        <v>25</v>
      </c>
      <c r="S140" s="30">
        <v>324110</v>
      </c>
      <c r="T140" s="34" t="s">
        <v>559</v>
      </c>
      <c r="U140" s="31">
        <v>45365</v>
      </c>
      <c r="V140" s="31">
        <v>46272</v>
      </c>
      <c r="W140" s="40">
        <v>2026</v>
      </c>
      <c r="X140" s="31" t="str">
        <f>_xlfn.XLOOKUP(apbi[[#This Row],[Contract Number]],[1]Preaward_OSBP!$F:$F,[1]Preaward_OSBP!$T:$T,"No Date Listed")</f>
        <v>No Date Listed</v>
      </c>
      <c r="Y140" s="30" t="s">
        <v>27</v>
      </c>
      <c r="Z140" s="30" t="s">
        <v>27</v>
      </c>
      <c r="AA140" s="30" t="s">
        <v>813</v>
      </c>
    </row>
    <row r="141" spans="4:27" ht="26.4" x14ac:dyDescent="0.25">
      <c r="D141" s="30" t="s">
        <v>118</v>
      </c>
      <c r="E141" s="34" t="s">
        <v>29</v>
      </c>
      <c r="F141" s="34" t="s">
        <v>53</v>
      </c>
      <c r="G141" s="35" t="s">
        <v>828</v>
      </c>
      <c r="H141" s="30" t="s">
        <v>118</v>
      </c>
      <c r="I141" s="34" t="s">
        <v>128</v>
      </c>
      <c r="J141" s="30">
        <v>0</v>
      </c>
      <c r="K141" s="36">
        <v>759440.54</v>
      </c>
      <c r="L141" s="34" t="s">
        <v>129</v>
      </c>
      <c r="M141" s="30" t="s">
        <v>130</v>
      </c>
      <c r="N141" s="30" t="s">
        <v>124</v>
      </c>
      <c r="O141" s="30" t="s">
        <v>33</v>
      </c>
      <c r="P141" s="34" t="s">
        <v>131</v>
      </c>
      <c r="Q141" s="30" t="s">
        <v>35</v>
      </c>
      <c r="R141" s="34" t="s">
        <v>25</v>
      </c>
      <c r="S141" s="30">
        <v>561790</v>
      </c>
      <c r="T141" s="34" t="s">
        <v>132</v>
      </c>
      <c r="U141" s="31">
        <v>45177</v>
      </c>
      <c r="V141" s="31">
        <v>46996</v>
      </c>
      <c r="W141" s="40">
        <v>2028</v>
      </c>
      <c r="X141" s="31" t="str">
        <f>_xlfn.XLOOKUP(apbi[[#This Row],[Contract Number]],[1]Preaward_OSBP!$F:$F,[1]Preaward_OSBP!$T:$T,"No Date Listed")</f>
        <v>No Date Listed</v>
      </c>
      <c r="Y141" s="30" t="s">
        <v>27</v>
      </c>
      <c r="Z141" s="30" t="s">
        <v>28</v>
      </c>
      <c r="AA141" s="30" t="s">
        <v>800</v>
      </c>
    </row>
    <row r="142" spans="4:27" x14ac:dyDescent="0.25">
      <c r="D142" s="30" t="s">
        <v>52</v>
      </c>
      <c r="E142" s="34" t="s">
        <v>29</v>
      </c>
      <c r="F142" s="34" t="s">
        <v>53</v>
      </c>
      <c r="G142" s="35" t="s">
        <v>828</v>
      </c>
      <c r="H142" s="30" t="s">
        <v>52</v>
      </c>
      <c r="I142" s="34" t="s">
        <v>54</v>
      </c>
      <c r="J142" s="30">
        <v>0</v>
      </c>
      <c r="K142" s="36">
        <v>741250</v>
      </c>
      <c r="L142" s="34" t="s">
        <v>55</v>
      </c>
      <c r="M142" s="30" t="s">
        <v>56</v>
      </c>
      <c r="N142" s="30" t="s">
        <v>57</v>
      </c>
      <c r="O142" s="30" t="s">
        <v>58</v>
      </c>
      <c r="P142" s="34" t="s">
        <v>59</v>
      </c>
      <c r="Q142" s="30" t="s">
        <v>35</v>
      </c>
      <c r="R142" s="34" t="s">
        <v>25</v>
      </c>
      <c r="S142" s="30">
        <v>611692</v>
      </c>
      <c r="T142" s="34" t="s">
        <v>60</v>
      </c>
      <c r="U142" s="31">
        <v>45138</v>
      </c>
      <c r="V142" s="31">
        <v>46843</v>
      </c>
      <c r="W142" s="40">
        <v>2028</v>
      </c>
      <c r="X142" s="31">
        <v>46813</v>
      </c>
      <c r="Y142" s="30" t="s">
        <v>27</v>
      </c>
      <c r="Z142" s="30" t="s">
        <v>27</v>
      </c>
      <c r="AA142" s="30" t="s">
        <v>818</v>
      </c>
    </row>
    <row r="143" spans="4:27" ht="26.4" x14ac:dyDescent="0.25">
      <c r="D143" s="30" t="s">
        <v>133</v>
      </c>
      <c r="E143" s="34" t="s">
        <v>29</v>
      </c>
      <c r="F143" s="34" t="s">
        <v>53</v>
      </c>
      <c r="G143" s="35" t="s">
        <v>828</v>
      </c>
      <c r="H143" s="30" t="s">
        <v>133</v>
      </c>
      <c r="I143" s="34" t="s">
        <v>184</v>
      </c>
      <c r="J143" s="30">
        <v>0</v>
      </c>
      <c r="K143" s="36">
        <v>738045</v>
      </c>
      <c r="L143" s="34" t="s">
        <v>185</v>
      </c>
      <c r="M143" s="30" t="s">
        <v>138</v>
      </c>
      <c r="N143" s="30" t="s">
        <v>139</v>
      </c>
      <c r="O143" s="30" t="s">
        <v>89</v>
      </c>
      <c r="P143" s="34" t="s">
        <v>186</v>
      </c>
      <c r="Q143" s="30" t="s">
        <v>85</v>
      </c>
      <c r="R143" s="34" t="s">
        <v>25</v>
      </c>
      <c r="S143" s="30">
        <v>561621</v>
      </c>
      <c r="T143" s="34" t="s">
        <v>65</v>
      </c>
      <c r="U143" s="31">
        <v>45198</v>
      </c>
      <c r="V143" s="31">
        <v>47024</v>
      </c>
      <c r="W143" s="40">
        <v>2028</v>
      </c>
      <c r="X143" s="31">
        <v>46181</v>
      </c>
      <c r="Y143" s="30" t="s">
        <v>27</v>
      </c>
      <c r="Z143" s="30" t="s">
        <v>27</v>
      </c>
      <c r="AA143" s="30" t="s">
        <v>801</v>
      </c>
    </row>
    <row r="144" spans="4:27" ht="26.4" x14ac:dyDescent="0.25">
      <c r="D144" s="30" t="s">
        <v>515</v>
      </c>
      <c r="E144" s="34" t="s">
        <v>15</v>
      </c>
      <c r="F144" s="34" t="s">
        <v>47</v>
      </c>
      <c r="G144" s="35" t="s">
        <v>828</v>
      </c>
      <c r="H144" s="30" t="s">
        <v>515</v>
      </c>
      <c r="I144" s="34" t="s">
        <v>528</v>
      </c>
      <c r="J144" s="30">
        <v>0</v>
      </c>
      <c r="K144" s="36">
        <v>738036.72</v>
      </c>
      <c r="L144" s="34" t="s">
        <v>529</v>
      </c>
      <c r="M144" s="30" t="s">
        <v>518</v>
      </c>
      <c r="N144" s="30" t="s">
        <v>519</v>
      </c>
      <c r="O144" s="30" t="s">
        <v>239</v>
      </c>
      <c r="P144" s="34" t="s">
        <v>530</v>
      </c>
      <c r="Q144" s="30" t="s">
        <v>35</v>
      </c>
      <c r="R144" s="34" t="s">
        <v>25</v>
      </c>
      <c r="S144" s="30">
        <v>541513</v>
      </c>
      <c r="T144" s="34" t="s">
        <v>384</v>
      </c>
      <c r="U144" s="31">
        <v>45197</v>
      </c>
      <c r="V144" s="31">
        <v>47023</v>
      </c>
      <c r="W144" s="40">
        <v>2028</v>
      </c>
      <c r="X144" s="31" t="str">
        <f>_xlfn.XLOOKUP(apbi[[#This Row],[Contract Number]],[1]Preaward_OSBP!$F:$F,[1]Preaward_OSBP!$T:$T,"No Date Listed")</f>
        <v>No Date Listed</v>
      </c>
      <c r="Y144" s="30" t="s">
        <v>27</v>
      </c>
      <c r="Z144" s="30" t="s">
        <v>27</v>
      </c>
      <c r="AA144" s="30" t="s">
        <v>811</v>
      </c>
    </row>
    <row r="145" spans="4:27" ht="26.4" x14ac:dyDescent="0.25">
      <c r="D145" s="30" t="s">
        <v>133</v>
      </c>
      <c r="E145" s="34" t="s">
        <v>29</v>
      </c>
      <c r="F145" s="34" t="s">
        <v>145</v>
      </c>
      <c r="G145" s="35" t="s">
        <v>828</v>
      </c>
      <c r="H145" s="30" t="s">
        <v>133</v>
      </c>
      <c r="I145" s="34" t="s">
        <v>146</v>
      </c>
      <c r="J145" s="30">
        <v>0</v>
      </c>
      <c r="K145" s="36">
        <v>734974.5</v>
      </c>
      <c r="L145" s="34" t="s">
        <v>147</v>
      </c>
      <c r="M145" s="30" t="s">
        <v>138</v>
      </c>
      <c r="N145" s="30" t="s">
        <v>139</v>
      </c>
      <c r="O145" s="30" t="s">
        <v>33</v>
      </c>
      <c r="P145" s="34" t="s">
        <v>148</v>
      </c>
      <c r="Q145" s="30" t="s">
        <v>35</v>
      </c>
      <c r="R145" s="34" t="s">
        <v>25</v>
      </c>
      <c r="S145" s="30">
        <v>561790</v>
      </c>
      <c r="T145" s="34" t="s">
        <v>132</v>
      </c>
      <c r="U145" s="31">
        <v>44378</v>
      </c>
      <c r="V145" s="31">
        <v>46203</v>
      </c>
      <c r="W145" s="40">
        <v>2026</v>
      </c>
      <c r="X145" s="31">
        <f>_xlfn.XLOOKUP(apbi[[#This Row],[Contract Number]],[1]Preaward_OSBP!$F:$F,[1]Preaward_OSBP!$T:$T,"No Date Listed")</f>
        <v>46231</v>
      </c>
      <c r="Y145" s="30" t="s">
        <v>27</v>
      </c>
      <c r="Z145" s="30" t="s">
        <v>27</v>
      </c>
      <c r="AA145" s="30" t="s">
        <v>801</v>
      </c>
    </row>
    <row r="146" spans="4:27" ht="26.4" x14ac:dyDescent="0.25">
      <c r="D146" s="30" t="s">
        <v>118</v>
      </c>
      <c r="E146" s="34" t="s">
        <v>119</v>
      </c>
      <c r="F146" s="34"/>
      <c r="G146" s="35" t="s">
        <v>828</v>
      </c>
      <c r="H146" s="30" t="s">
        <v>118</v>
      </c>
      <c r="I146" s="34" t="s">
        <v>120</v>
      </c>
      <c r="J146" s="30" t="s">
        <v>121</v>
      </c>
      <c r="K146" s="36">
        <v>709599.96</v>
      </c>
      <c r="L146" s="34" t="s">
        <v>122</v>
      </c>
      <c r="M146" s="30" t="s">
        <v>123</v>
      </c>
      <c r="N146" s="30" t="s">
        <v>124</v>
      </c>
      <c r="O146" s="30" t="s">
        <v>125</v>
      </c>
      <c r="P146" s="34" t="s">
        <v>126</v>
      </c>
      <c r="Q146" s="30" t="s">
        <v>35</v>
      </c>
      <c r="R146" s="34" t="s">
        <v>25</v>
      </c>
      <c r="S146" s="30">
        <v>541511</v>
      </c>
      <c r="T146" s="34" t="s">
        <v>127</v>
      </c>
      <c r="U146" s="31">
        <v>44631</v>
      </c>
      <c r="V146" s="31">
        <v>46446</v>
      </c>
      <c r="W146" s="40">
        <v>2027</v>
      </c>
      <c r="X146" s="31" t="str">
        <f>_xlfn.XLOOKUP(apbi[[#This Row],[Contract Number]],[1]Preaward_OSBP!$F:$F,[1]Preaward_OSBP!$T:$T,"No Date Listed")</f>
        <v>No Date Listed</v>
      </c>
      <c r="Y146" s="30" t="s">
        <v>28</v>
      </c>
      <c r="Z146" s="30" t="s">
        <v>27</v>
      </c>
      <c r="AA146" s="30" t="s">
        <v>800</v>
      </c>
    </row>
    <row r="147" spans="4:27" ht="26.4" x14ac:dyDescent="0.25">
      <c r="D147" s="30" t="s">
        <v>66</v>
      </c>
      <c r="E147" s="34" t="s">
        <v>29</v>
      </c>
      <c r="F147" s="34" t="s">
        <v>53</v>
      </c>
      <c r="G147" s="35" t="s">
        <v>828</v>
      </c>
      <c r="H147" s="30" t="s">
        <v>66</v>
      </c>
      <c r="I147" s="34" t="s">
        <v>86</v>
      </c>
      <c r="J147" s="30">
        <v>0</v>
      </c>
      <c r="K147" s="36">
        <v>674837.01</v>
      </c>
      <c r="L147" s="34" t="s">
        <v>87</v>
      </c>
      <c r="M147" s="30" t="s">
        <v>88</v>
      </c>
      <c r="N147" s="30" t="s">
        <v>70</v>
      </c>
      <c r="O147" s="30" t="s">
        <v>89</v>
      </c>
      <c r="P147" s="34" t="s">
        <v>90</v>
      </c>
      <c r="Q147" s="30" t="s">
        <v>35</v>
      </c>
      <c r="R147" s="34" t="s">
        <v>25</v>
      </c>
      <c r="S147" s="30">
        <v>334290</v>
      </c>
      <c r="T147" s="34" t="s">
        <v>91</v>
      </c>
      <c r="U147" s="31">
        <v>45086</v>
      </c>
      <c r="V147" s="31">
        <v>46904</v>
      </c>
      <c r="W147" s="40">
        <v>2028</v>
      </c>
      <c r="X147" s="31" t="str">
        <f>_xlfn.XLOOKUP(apbi[[#This Row],[Contract Number]],[1]Preaward_OSBP!$F:$F,[1]Preaward_OSBP!$T:$T,"No Date Listed")</f>
        <v>No Date Listed</v>
      </c>
      <c r="Y147" s="30" t="s">
        <v>27</v>
      </c>
      <c r="Z147" s="30" t="s">
        <v>28</v>
      </c>
      <c r="AA147" s="30" t="s">
        <v>799</v>
      </c>
    </row>
    <row r="148" spans="4:27" ht="26.4" x14ac:dyDescent="0.25">
      <c r="D148" s="30" t="s">
        <v>325</v>
      </c>
      <c r="E148" s="34" t="s">
        <v>29</v>
      </c>
      <c r="F148" s="34" t="s">
        <v>37</v>
      </c>
      <c r="G148" s="35" t="s">
        <v>826</v>
      </c>
      <c r="H148" s="30" t="s">
        <v>325</v>
      </c>
      <c r="I148" s="34" t="s">
        <v>342</v>
      </c>
      <c r="J148" s="30">
        <v>0</v>
      </c>
      <c r="K148" s="36">
        <v>648535.25</v>
      </c>
      <c r="L148" s="34" t="s">
        <v>343</v>
      </c>
      <c r="M148" s="30" t="s">
        <v>329</v>
      </c>
      <c r="N148" s="30" t="s">
        <v>330</v>
      </c>
      <c r="O148" s="30" t="s">
        <v>331</v>
      </c>
      <c r="P148" s="34" t="s">
        <v>344</v>
      </c>
      <c r="Q148" s="30" t="s">
        <v>85</v>
      </c>
      <c r="R148" s="34" t="s">
        <v>25</v>
      </c>
      <c r="S148" s="30">
        <v>541611</v>
      </c>
      <c r="T148" s="34" t="s">
        <v>180</v>
      </c>
      <c r="U148" s="31">
        <v>44550</v>
      </c>
      <c r="V148" s="31">
        <v>46406</v>
      </c>
      <c r="W148" s="40">
        <v>2027</v>
      </c>
      <c r="X148" s="31" t="str">
        <f>_xlfn.XLOOKUP(apbi[[#This Row],[Contract Number]],[1]Preaward_OSBP!$F:$F,[1]Preaward_OSBP!$T:$T,"No Date Listed")</f>
        <v>No Date Listed</v>
      </c>
      <c r="Y148" s="30" t="s">
        <v>27</v>
      </c>
      <c r="Z148" s="30" t="s">
        <v>27</v>
      </c>
      <c r="AA148" s="30" t="s">
        <v>806</v>
      </c>
    </row>
    <row r="149" spans="4:27" ht="26.4" x14ac:dyDescent="0.25">
      <c r="D149" s="30" t="s">
        <v>325</v>
      </c>
      <c r="E149" s="34" t="s">
        <v>29</v>
      </c>
      <c r="F149" s="34" t="s">
        <v>37</v>
      </c>
      <c r="G149" s="35" t="s">
        <v>826</v>
      </c>
      <c r="H149" s="30" t="s">
        <v>325</v>
      </c>
      <c r="I149" s="34" t="s">
        <v>362</v>
      </c>
      <c r="J149" s="30">
        <v>0</v>
      </c>
      <c r="K149" s="36">
        <v>642492.88</v>
      </c>
      <c r="L149" s="34" t="s">
        <v>343</v>
      </c>
      <c r="M149" s="30" t="s">
        <v>329</v>
      </c>
      <c r="N149" s="30" t="s">
        <v>330</v>
      </c>
      <c r="O149" s="30" t="s">
        <v>331</v>
      </c>
      <c r="P149" s="34" t="s">
        <v>363</v>
      </c>
      <c r="Q149" s="30" t="s">
        <v>35</v>
      </c>
      <c r="R149" s="34" t="s">
        <v>25</v>
      </c>
      <c r="S149" s="30">
        <v>611310</v>
      </c>
      <c r="T149" s="34" t="s">
        <v>336</v>
      </c>
      <c r="U149" s="31">
        <v>44938</v>
      </c>
      <c r="V149" s="31">
        <v>46956</v>
      </c>
      <c r="W149" s="40">
        <v>2028</v>
      </c>
      <c r="X149" s="31" t="str">
        <f>_xlfn.XLOOKUP(apbi[[#This Row],[Contract Number]],[1]Preaward_OSBP!$F:$F,[1]Preaward_OSBP!$T:$T,"No Date Listed")</f>
        <v>No Date Listed</v>
      </c>
      <c r="Y149" s="30" t="s">
        <v>27</v>
      </c>
      <c r="Z149" s="30" t="s">
        <v>27</v>
      </c>
      <c r="AA149" s="30" t="s">
        <v>806</v>
      </c>
    </row>
    <row r="150" spans="4:27" ht="26.4" x14ac:dyDescent="0.25">
      <c r="D150" s="30" t="s">
        <v>325</v>
      </c>
      <c r="E150" s="34" t="s">
        <v>29</v>
      </c>
      <c r="F150" s="34" t="s">
        <v>53</v>
      </c>
      <c r="G150" s="35" t="s">
        <v>828</v>
      </c>
      <c r="H150" s="30" t="s">
        <v>325</v>
      </c>
      <c r="I150" s="34" t="s">
        <v>358</v>
      </c>
      <c r="J150" s="30">
        <v>0</v>
      </c>
      <c r="K150" s="36">
        <v>607660</v>
      </c>
      <c r="L150" s="34" t="s">
        <v>359</v>
      </c>
      <c r="M150" s="30" t="s">
        <v>329</v>
      </c>
      <c r="N150" s="30" t="s">
        <v>330</v>
      </c>
      <c r="O150" s="30" t="s">
        <v>331</v>
      </c>
      <c r="P150" s="34" t="s">
        <v>360</v>
      </c>
      <c r="Q150" s="30" t="s">
        <v>35</v>
      </c>
      <c r="R150" s="34" t="s">
        <v>25</v>
      </c>
      <c r="S150" s="30">
        <v>711510</v>
      </c>
      <c r="T150" s="34" t="s">
        <v>361</v>
      </c>
      <c r="U150" s="31">
        <v>44866</v>
      </c>
      <c r="V150" s="31">
        <v>46873</v>
      </c>
      <c r="W150" s="40">
        <v>2028</v>
      </c>
      <c r="X150" s="31" t="str">
        <f>_xlfn.XLOOKUP(apbi[[#This Row],[Contract Number]],[1]Preaward_OSBP!$F:$F,[1]Preaward_OSBP!$T:$T,"No Date Listed")</f>
        <v>No Date Listed</v>
      </c>
      <c r="Y150" s="30" t="s">
        <v>27</v>
      </c>
      <c r="Z150" s="30" t="s">
        <v>27</v>
      </c>
      <c r="AA150" s="30" t="s">
        <v>806</v>
      </c>
    </row>
    <row r="151" spans="4:27" ht="26.4" x14ac:dyDescent="0.25">
      <c r="D151" s="30" t="s">
        <v>370</v>
      </c>
      <c r="E151" s="34" t="s">
        <v>376</v>
      </c>
      <c r="F151" s="34" t="s">
        <v>37</v>
      </c>
      <c r="G151" s="35" t="s">
        <v>826</v>
      </c>
      <c r="H151" s="30" t="s">
        <v>370</v>
      </c>
      <c r="I151" s="34" t="s">
        <v>377</v>
      </c>
      <c r="J151" s="30">
        <v>0</v>
      </c>
      <c r="K151" s="36">
        <v>598656.56999999995</v>
      </c>
      <c r="L151" s="34" t="s">
        <v>378</v>
      </c>
      <c r="M151" s="30" t="s">
        <v>373</v>
      </c>
      <c r="N151" s="30" t="s">
        <v>304</v>
      </c>
      <c r="O151" s="30" t="s">
        <v>239</v>
      </c>
      <c r="P151" s="34" t="s">
        <v>379</v>
      </c>
      <c r="Q151" s="30" t="s">
        <v>35</v>
      </c>
      <c r="R151" s="34" t="s">
        <v>25</v>
      </c>
      <c r="S151" s="30">
        <v>334112</v>
      </c>
      <c r="T151" s="34" t="s">
        <v>380</v>
      </c>
      <c r="U151" s="31">
        <v>44802</v>
      </c>
      <c r="V151" s="31">
        <v>46627</v>
      </c>
      <c r="W151" s="40">
        <v>2027</v>
      </c>
      <c r="X151" s="31" t="str">
        <f>_xlfn.XLOOKUP(apbi[[#This Row],[Contract Number]],[1]Preaward_OSBP!$F:$F,[1]Preaward_OSBP!$T:$T,"No Date Listed")</f>
        <v>No Date Listed</v>
      </c>
      <c r="Y151" s="30" t="s">
        <v>27</v>
      </c>
      <c r="Z151" s="30" t="s">
        <v>27</v>
      </c>
      <c r="AA151" s="30" t="s">
        <v>807</v>
      </c>
    </row>
    <row r="152" spans="4:27" x14ac:dyDescent="0.25">
      <c r="D152" s="30" t="s">
        <v>370</v>
      </c>
      <c r="E152" s="34" t="s">
        <v>119</v>
      </c>
      <c r="F152" s="34" t="s">
        <v>37</v>
      </c>
      <c r="G152" s="35" t="s">
        <v>828</v>
      </c>
      <c r="H152" s="30" t="s">
        <v>370</v>
      </c>
      <c r="I152" s="34" t="s">
        <v>371</v>
      </c>
      <c r="J152" s="30">
        <v>0</v>
      </c>
      <c r="K152" s="36">
        <v>575000</v>
      </c>
      <c r="L152" s="34" t="s">
        <v>372</v>
      </c>
      <c r="M152" s="30" t="s">
        <v>373</v>
      </c>
      <c r="N152" s="30" t="s">
        <v>304</v>
      </c>
      <c r="O152" s="30" t="s">
        <v>239</v>
      </c>
      <c r="P152" s="34" t="s">
        <v>374</v>
      </c>
      <c r="Q152" s="30" t="s">
        <v>35</v>
      </c>
      <c r="R152" s="34" t="s">
        <v>25</v>
      </c>
      <c r="S152" s="30">
        <v>541922</v>
      </c>
      <c r="T152" s="34" t="s">
        <v>375</v>
      </c>
      <c r="U152" s="31">
        <v>44658</v>
      </c>
      <c r="V152" s="31">
        <v>46483</v>
      </c>
      <c r="W152" s="40">
        <v>2027</v>
      </c>
      <c r="X152" s="31" t="str">
        <f>_xlfn.XLOOKUP(apbi[[#This Row],[Contract Number]],[1]Preaward_OSBP!$F:$F,[1]Preaward_OSBP!$T:$T,"No Date Listed")</f>
        <v>No Date Listed</v>
      </c>
      <c r="Y152" s="30" t="s">
        <v>27</v>
      </c>
      <c r="Z152" s="30" t="s">
        <v>27</v>
      </c>
      <c r="AA152" s="30" t="s">
        <v>807</v>
      </c>
    </row>
    <row r="153" spans="4:27" ht="26.4" x14ac:dyDescent="0.25">
      <c r="D153" s="30" t="s">
        <v>677</v>
      </c>
      <c r="E153" s="34" t="s">
        <v>119</v>
      </c>
      <c r="F153" s="34"/>
      <c r="G153" s="35" t="s">
        <v>826</v>
      </c>
      <c r="H153" s="30" t="s">
        <v>677</v>
      </c>
      <c r="I153" s="34" t="s">
        <v>699</v>
      </c>
      <c r="J153" s="30" t="s">
        <v>700</v>
      </c>
      <c r="K153" s="36">
        <v>564999.69999999995</v>
      </c>
      <c r="L153" s="34" t="s">
        <v>701</v>
      </c>
      <c r="M153" s="30" t="s">
        <v>680</v>
      </c>
      <c r="N153" s="30" t="s">
        <v>70</v>
      </c>
      <c r="O153" s="30" t="s">
        <v>33</v>
      </c>
      <c r="P153" s="34" t="s">
        <v>702</v>
      </c>
      <c r="Q153" s="30" t="s">
        <v>35</v>
      </c>
      <c r="R153" s="34" t="s">
        <v>25</v>
      </c>
      <c r="S153" s="30">
        <v>561499</v>
      </c>
      <c r="T153" s="34" t="s">
        <v>703</v>
      </c>
      <c r="U153" s="31">
        <v>45398</v>
      </c>
      <c r="V153" s="31">
        <v>46858</v>
      </c>
      <c r="W153" s="40">
        <v>2028</v>
      </c>
      <c r="X153" s="31" t="str">
        <f>_xlfn.XLOOKUP(apbi[[#This Row],[Contract Number]],[1]Preaward_OSBP!$F:$F,[1]Preaward_OSBP!$T:$T,"No Date Listed")</f>
        <v>No Date Listed</v>
      </c>
      <c r="Y153" s="30" t="s">
        <v>27</v>
      </c>
      <c r="Z153" s="30" t="s">
        <v>27</v>
      </c>
      <c r="AA153" s="30" t="s">
        <v>816</v>
      </c>
    </row>
    <row r="154" spans="4:27" ht="26.4" x14ac:dyDescent="0.25">
      <c r="D154" s="30" t="s">
        <v>515</v>
      </c>
      <c r="E154" s="34" t="s">
        <v>29</v>
      </c>
      <c r="F154" s="34" t="s">
        <v>53</v>
      </c>
      <c r="G154" s="35" t="s">
        <v>828</v>
      </c>
      <c r="H154" s="30" t="s">
        <v>515</v>
      </c>
      <c r="I154" s="34" t="s">
        <v>524</v>
      </c>
      <c r="J154" s="30">
        <v>0</v>
      </c>
      <c r="K154" s="36">
        <v>564292.4</v>
      </c>
      <c r="L154" s="34" t="s">
        <v>525</v>
      </c>
      <c r="M154" s="30" t="s">
        <v>518</v>
      </c>
      <c r="N154" s="30" t="s">
        <v>519</v>
      </c>
      <c r="O154" s="30" t="s">
        <v>239</v>
      </c>
      <c r="P154" s="34" t="s">
        <v>526</v>
      </c>
      <c r="Q154" s="30" t="s">
        <v>35</v>
      </c>
      <c r="R154" s="34" t="s">
        <v>25</v>
      </c>
      <c r="S154" s="30">
        <v>811210</v>
      </c>
      <c r="T154" s="34" t="s">
        <v>527</v>
      </c>
      <c r="U154" s="31">
        <v>45199</v>
      </c>
      <c r="V154" s="31">
        <v>46903</v>
      </c>
      <c r="W154" s="40">
        <v>2028</v>
      </c>
      <c r="X154" s="31" t="str">
        <f>_xlfn.XLOOKUP(apbi[[#This Row],[Contract Number]],[1]Preaward_OSBP!$F:$F,[1]Preaward_OSBP!$T:$T,"No Date Listed")</f>
        <v>No Date Listed</v>
      </c>
      <c r="Y154" s="30" t="s">
        <v>27</v>
      </c>
      <c r="Z154" s="30" t="s">
        <v>27</v>
      </c>
      <c r="AA154" s="30" t="s">
        <v>811</v>
      </c>
    </row>
    <row r="155" spans="4:27" x14ac:dyDescent="0.25">
      <c r="D155" s="30" t="s">
        <v>425</v>
      </c>
      <c r="E155" s="34" t="s">
        <v>29</v>
      </c>
      <c r="F155" s="34" t="s">
        <v>53</v>
      </c>
      <c r="G155" s="35" t="s">
        <v>828</v>
      </c>
      <c r="H155" s="30" t="s">
        <v>425</v>
      </c>
      <c r="I155" s="34" t="s">
        <v>436</v>
      </c>
      <c r="J155" s="30">
        <v>0</v>
      </c>
      <c r="K155" s="36">
        <v>559056.67000000004</v>
      </c>
      <c r="L155" s="34" t="s">
        <v>437</v>
      </c>
      <c r="M155" s="30" t="s">
        <v>431</v>
      </c>
      <c r="N155" s="30" t="s">
        <v>304</v>
      </c>
      <c r="O155" s="30" t="s">
        <v>239</v>
      </c>
      <c r="P155" s="34" t="s">
        <v>438</v>
      </c>
      <c r="Q155" s="30" t="s">
        <v>35</v>
      </c>
      <c r="R155" s="34" t="s">
        <v>25</v>
      </c>
      <c r="S155" s="30">
        <v>561612</v>
      </c>
      <c r="T155" s="34" t="s">
        <v>265</v>
      </c>
      <c r="U155" s="31">
        <v>45199</v>
      </c>
      <c r="V155" s="31">
        <v>47025</v>
      </c>
      <c r="W155" s="40">
        <v>2028</v>
      </c>
      <c r="X155" s="31" t="str">
        <f>_xlfn.XLOOKUP(apbi[[#This Row],[Contract Number]],[1]Preaward_OSBP!$F:$F,[1]Preaward_OSBP!$T:$T,"No Date Listed")</f>
        <v>No Date Listed</v>
      </c>
      <c r="Y155" s="30" t="s">
        <v>28</v>
      </c>
      <c r="Z155" s="30" t="s">
        <v>28</v>
      </c>
      <c r="AA155" s="30" t="s">
        <v>809</v>
      </c>
    </row>
    <row r="156" spans="4:27" ht="26.4" x14ac:dyDescent="0.25">
      <c r="D156" s="30" t="s">
        <v>619</v>
      </c>
      <c r="E156" s="34" t="s">
        <v>29</v>
      </c>
      <c r="F156" s="34" t="s">
        <v>37</v>
      </c>
      <c r="G156" s="35" t="s">
        <v>828</v>
      </c>
      <c r="H156" s="30" t="s">
        <v>619</v>
      </c>
      <c r="I156" s="34" t="s">
        <v>644</v>
      </c>
      <c r="J156" s="30">
        <v>0</v>
      </c>
      <c r="K156" s="36">
        <v>556059</v>
      </c>
      <c r="L156" s="34" t="s">
        <v>645</v>
      </c>
      <c r="M156" s="30" t="s">
        <v>373</v>
      </c>
      <c r="N156" s="30" t="s">
        <v>304</v>
      </c>
      <c r="O156" s="30" t="s">
        <v>239</v>
      </c>
      <c r="P156" s="34" t="s">
        <v>646</v>
      </c>
      <c r="Q156" s="30" t="s">
        <v>35</v>
      </c>
      <c r="R156" s="34" t="s">
        <v>25</v>
      </c>
      <c r="S156" s="30">
        <v>541519</v>
      </c>
      <c r="T156" s="34" t="s">
        <v>647</v>
      </c>
      <c r="U156" s="31">
        <v>44803</v>
      </c>
      <c r="V156" s="31">
        <v>46644</v>
      </c>
      <c r="W156" s="40">
        <v>2027</v>
      </c>
      <c r="X156" s="31" t="str">
        <f>_xlfn.XLOOKUP(apbi[[#This Row],[Contract Number]],[1]Preaward_OSBP!$F:$F,[1]Preaward_OSBP!$T:$T,"No Date Listed")</f>
        <v>No Date Listed</v>
      </c>
      <c r="Y156" s="30" t="s">
        <v>27</v>
      </c>
      <c r="Z156" s="30" t="s">
        <v>27</v>
      </c>
      <c r="AA156" s="30" t="s">
        <v>815</v>
      </c>
    </row>
    <row r="157" spans="4:27" ht="26.4" x14ac:dyDescent="0.25">
      <c r="D157" s="30" t="s">
        <v>469</v>
      </c>
      <c r="E157" s="34" t="s">
        <v>29</v>
      </c>
      <c r="F157" s="34" t="s">
        <v>53</v>
      </c>
      <c r="G157" s="35" t="s">
        <v>828</v>
      </c>
      <c r="H157" s="30" t="s">
        <v>469</v>
      </c>
      <c r="I157" s="34" t="s">
        <v>470</v>
      </c>
      <c r="J157" s="30">
        <v>0</v>
      </c>
      <c r="K157" s="36">
        <v>554649.59999999998</v>
      </c>
      <c r="L157" s="34" t="s">
        <v>471</v>
      </c>
      <c r="M157" s="30" t="s">
        <v>472</v>
      </c>
      <c r="N157" s="30" t="s">
        <v>349</v>
      </c>
      <c r="O157" s="30" t="s">
        <v>239</v>
      </c>
      <c r="P157" s="34" t="s">
        <v>473</v>
      </c>
      <c r="Q157" s="30" t="s">
        <v>35</v>
      </c>
      <c r="R157" s="34" t="s">
        <v>25</v>
      </c>
      <c r="S157" s="30">
        <v>541513</v>
      </c>
      <c r="T157" s="34" t="s">
        <v>384</v>
      </c>
      <c r="U157" s="31">
        <v>44785</v>
      </c>
      <c r="V157" s="31">
        <v>46247</v>
      </c>
      <c r="W157" s="40">
        <v>2026</v>
      </c>
      <c r="X157" s="31" t="str">
        <f>_xlfn.XLOOKUP(apbi[[#This Row],[Contract Number]],[1]Preaward_OSBP!$F:$F,[1]Preaward_OSBP!$T:$T,"No Date Listed")</f>
        <v>No Date Listed</v>
      </c>
      <c r="Y157" s="30" t="s">
        <v>27</v>
      </c>
      <c r="Z157" s="30" t="s">
        <v>27</v>
      </c>
      <c r="AA157" s="30" t="s">
        <v>810</v>
      </c>
    </row>
    <row r="158" spans="4:27" x14ac:dyDescent="0.25">
      <c r="D158" s="30" t="s">
        <v>553</v>
      </c>
      <c r="E158" s="34" t="s">
        <v>29</v>
      </c>
      <c r="F158" s="34" t="s">
        <v>53</v>
      </c>
      <c r="G158" s="35" t="s">
        <v>828</v>
      </c>
      <c r="H158" s="30" t="s">
        <v>553</v>
      </c>
      <c r="I158" s="34" t="s">
        <v>564</v>
      </c>
      <c r="J158" s="30">
        <v>0</v>
      </c>
      <c r="K158" s="36">
        <v>551913</v>
      </c>
      <c r="L158" s="34" t="s">
        <v>565</v>
      </c>
      <c r="M158" s="30" t="s">
        <v>556</v>
      </c>
      <c r="N158" s="30" t="s">
        <v>557</v>
      </c>
      <c r="O158" s="30" t="s">
        <v>33</v>
      </c>
      <c r="P158" s="34" t="s">
        <v>566</v>
      </c>
      <c r="Q158" s="30" t="s">
        <v>35</v>
      </c>
      <c r="R158" s="34" t="s">
        <v>25</v>
      </c>
      <c r="S158" s="30">
        <v>532310</v>
      </c>
      <c r="T158" s="34" t="s">
        <v>567</v>
      </c>
      <c r="U158" s="31">
        <v>44638</v>
      </c>
      <c r="V158" s="31">
        <v>46463</v>
      </c>
      <c r="W158" s="40">
        <v>2027</v>
      </c>
      <c r="X158" s="31" t="str">
        <f>_xlfn.XLOOKUP(apbi[[#This Row],[Contract Number]],[1]Preaward_OSBP!$F:$F,[1]Preaward_OSBP!$T:$T,"No Date Listed")</f>
        <v>No Date Listed</v>
      </c>
      <c r="Y158" s="30" t="s">
        <v>27</v>
      </c>
      <c r="Z158" s="30" t="s">
        <v>27</v>
      </c>
      <c r="AA158" s="30" t="s">
        <v>813</v>
      </c>
    </row>
    <row r="159" spans="4:27" x14ac:dyDescent="0.25">
      <c r="D159" s="30" t="s">
        <v>254</v>
      </c>
      <c r="E159" s="34" t="s">
        <v>29</v>
      </c>
      <c r="F159" s="34" t="s">
        <v>53</v>
      </c>
      <c r="G159" s="35" t="s">
        <v>828</v>
      </c>
      <c r="H159" s="30" t="s">
        <v>254</v>
      </c>
      <c r="I159" s="34" t="s">
        <v>280</v>
      </c>
      <c r="J159" s="30">
        <v>0</v>
      </c>
      <c r="K159" s="36">
        <v>527482.53</v>
      </c>
      <c r="L159" s="34" t="s">
        <v>281</v>
      </c>
      <c r="M159" s="30" t="s">
        <v>268</v>
      </c>
      <c r="N159" s="30" t="s">
        <v>21</v>
      </c>
      <c r="O159" s="30" t="s">
        <v>152</v>
      </c>
      <c r="P159" s="34" t="s">
        <v>282</v>
      </c>
      <c r="Q159" s="30" t="s">
        <v>35</v>
      </c>
      <c r="R159" s="34" t="s">
        <v>25</v>
      </c>
      <c r="S159" s="30">
        <v>562111</v>
      </c>
      <c r="T159" s="34" t="s">
        <v>211</v>
      </c>
      <c r="U159" s="31">
        <v>44828</v>
      </c>
      <c r="V159" s="31">
        <v>46630</v>
      </c>
      <c r="W159" s="40">
        <v>2027</v>
      </c>
      <c r="X159" s="31" t="str">
        <f>_xlfn.XLOOKUP(apbi[[#This Row],[Contract Number]],[1]Preaward_OSBP!$F:$F,[1]Preaward_OSBP!$T:$T,"No Date Listed")</f>
        <v>No Date Listed</v>
      </c>
      <c r="Y159" s="30" t="s">
        <v>28</v>
      </c>
      <c r="Z159" s="30" t="s">
        <v>27</v>
      </c>
      <c r="AA159" s="30" t="s">
        <v>804</v>
      </c>
    </row>
    <row r="160" spans="4:27" ht="26.4" x14ac:dyDescent="0.25">
      <c r="D160" s="30" t="s">
        <v>469</v>
      </c>
      <c r="E160" s="34" t="s">
        <v>29</v>
      </c>
      <c r="F160" s="34" t="s">
        <v>53</v>
      </c>
      <c r="G160" s="35" t="s">
        <v>828</v>
      </c>
      <c r="H160" s="30" t="s">
        <v>469</v>
      </c>
      <c r="I160" s="34" t="s">
        <v>482</v>
      </c>
      <c r="J160" s="30">
        <v>0</v>
      </c>
      <c r="K160" s="36">
        <v>499725</v>
      </c>
      <c r="L160" s="34" t="s">
        <v>483</v>
      </c>
      <c r="M160" s="30" t="s">
        <v>472</v>
      </c>
      <c r="N160" s="30" t="s">
        <v>349</v>
      </c>
      <c r="O160" s="30" t="s">
        <v>33</v>
      </c>
      <c r="P160" s="34" t="s">
        <v>484</v>
      </c>
      <c r="Q160" s="30" t="s">
        <v>35</v>
      </c>
      <c r="R160" s="34" t="s">
        <v>25</v>
      </c>
      <c r="S160" s="30">
        <v>238220</v>
      </c>
      <c r="T160" s="34" t="s">
        <v>485</v>
      </c>
      <c r="U160" s="31">
        <v>44682</v>
      </c>
      <c r="V160" s="31">
        <v>46507</v>
      </c>
      <c r="W160" s="40">
        <v>2027</v>
      </c>
      <c r="X160" s="31" t="str">
        <f>_xlfn.XLOOKUP(apbi[[#This Row],[Contract Number]],[1]Preaward_OSBP!$F:$F,[1]Preaward_OSBP!$T:$T,"No Date Listed")</f>
        <v>No Date Listed</v>
      </c>
      <c r="Y160" s="30" t="s">
        <v>27</v>
      </c>
      <c r="Z160" s="30" t="s">
        <v>27</v>
      </c>
      <c r="AA160" s="30" t="s">
        <v>810</v>
      </c>
    </row>
    <row r="161" spans="4:27" ht="26.4" x14ac:dyDescent="0.25">
      <c r="D161" s="30" t="s">
        <v>212</v>
      </c>
      <c r="E161" s="34" t="s">
        <v>29</v>
      </c>
      <c r="F161" s="34" t="s">
        <v>134</v>
      </c>
      <c r="G161" s="35" t="s">
        <v>828</v>
      </c>
      <c r="H161" s="30" t="s">
        <v>212</v>
      </c>
      <c r="I161" s="34" t="s">
        <v>213</v>
      </c>
      <c r="J161" s="30">
        <v>0</v>
      </c>
      <c r="K161" s="36">
        <v>498000</v>
      </c>
      <c r="L161" s="34" t="s">
        <v>214</v>
      </c>
      <c r="M161" s="30" t="s">
        <v>215</v>
      </c>
      <c r="N161" s="30" t="s">
        <v>203</v>
      </c>
      <c r="O161" s="30"/>
      <c r="P161" s="34" t="s">
        <v>216</v>
      </c>
      <c r="Q161" s="30" t="s">
        <v>35</v>
      </c>
      <c r="R161" s="34" t="s">
        <v>25</v>
      </c>
      <c r="S161" s="30">
        <v>611620</v>
      </c>
      <c r="T161" s="34" t="s">
        <v>217</v>
      </c>
      <c r="U161" s="31">
        <v>44469</v>
      </c>
      <c r="V161" s="31">
        <v>46294</v>
      </c>
      <c r="W161" s="40">
        <v>2026</v>
      </c>
      <c r="X161" s="31" t="str">
        <f>_xlfn.XLOOKUP(apbi[[#This Row],[Contract Number]],[1]Preaward_OSBP!$F:$F,[1]Preaward_OSBP!$T:$T,"No Date Listed")</f>
        <v>No Date Listed</v>
      </c>
      <c r="Y161" s="30" t="s">
        <v>27</v>
      </c>
      <c r="Z161" s="30" t="s">
        <v>27</v>
      </c>
      <c r="AA161" s="30" t="s">
        <v>821</v>
      </c>
    </row>
    <row r="162" spans="4:27" ht="26.4" x14ac:dyDescent="0.25">
      <c r="D162" s="30" t="s">
        <v>425</v>
      </c>
      <c r="E162" s="34" t="s">
        <v>29</v>
      </c>
      <c r="F162" s="34" t="s">
        <v>37</v>
      </c>
      <c r="G162" s="35" t="s">
        <v>828</v>
      </c>
      <c r="H162" s="30" t="s">
        <v>425</v>
      </c>
      <c r="I162" s="34" t="s">
        <v>433</v>
      </c>
      <c r="J162" s="30">
        <v>0</v>
      </c>
      <c r="K162" s="36">
        <v>485204</v>
      </c>
      <c r="L162" s="34" t="s">
        <v>434</v>
      </c>
      <c r="M162" s="30" t="s">
        <v>428</v>
      </c>
      <c r="N162" s="30" t="s">
        <v>304</v>
      </c>
      <c r="O162" s="30" t="s">
        <v>239</v>
      </c>
      <c r="P162" s="34" t="s">
        <v>435</v>
      </c>
      <c r="Q162" s="30" t="s">
        <v>35</v>
      </c>
      <c r="R162" s="34" t="s">
        <v>25</v>
      </c>
      <c r="S162" s="30">
        <v>561621</v>
      </c>
      <c r="T162" s="34" t="s">
        <v>65</v>
      </c>
      <c r="U162" s="31">
        <v>45108</v>
      </c>
      <c r="V162" s="31">
        <v>46934</v>
      </c>
      <c r="W162" s="40">
        <v>2028</v>
      </c>
      <c r="X162" s="31" t="str">
        <f>_xlfn.XLOOKUP(apbi[[#This Row],[Contract Number]],[1]Preaward_OSBP!$F:$F,[1]Preaward_OSBP!$T:$T,"No Date Listed")</f>
        <v>No Date Listed</v>
      </c>
      <c r="Y162" s="30" t="s">
        <v>27</v>
      </c>
      <c r="Z162" s="30" t="s">
        <v>27</v>
      </c>
      <c r="AA162" s="30" t="s">
        <v>809</v>
      </c>
    </row>
    <row r="163" spans="4:27" x14ac:dyDescent="0.25">
      <c r="D163" s="30" t="s">
        <v>325</v>
      </c>
      <c r="E163" s="34" t="s">
        <v>29</v>
      </c>
      <c r="F163" s="34" t="s">
        <v>53</v>
      </c>
      <c r="G163" s="35" t="s">
        <v>828</v>
      </c>
      <c r="H163" s="30" t="s">
        <v>325</v>
      </c>
      <c r="I163" s="34" t="s">
        <v>366</v>
      </c>
      <c r="J163" s="30">
        <v>0</v>
      </c>
      <c r="K163" s="36">
        <v>481196.55</v>
      </c>
      <c r="L163" s="34" t="s">
        <v>367</v>
      </c>
      <c r="M163" s="30" t="s">
        <v>329</v>
      </c>
      <c r="N163" s="30" t="s">
        <v>330</v>
      </c>
      <c r="O163" s="30" t="s">
        <v>331</v>
      </c>
      <c r="P163" s="34" t="s">
        <v>368</v>
      </c>
      <c r="Q163" s="30" t="s">
        <v>35</v>
      </c>
      <c r="R163" s="34" t="s">
        <v>25</v>
      </c>
      <c r="S163" s="30">
        <v>541430</v>
      </c>
      <c r="T163" s="34" t="s">
        <v>369</v>
      </c>
      <c r="U163" s="31">
        <v>45190</v>
      </c>
      <c r="V163" s="31">
        <v>47023</v>
      </c>
      <c r="W163" s="40">
        <v>2028</v>
      </c>
      <c r="X163" s="31" t="str">
        <f>_xlfn.XLOOKUP(apbi[[#This Row],[Contract Number]],[1]Preaward_OSBP!$F:$F,[1]Preaward_OSBP!$T:$T,"No Date Listed")</f>
        <v>No Date Listed</v>
      </c>
      <c r="Y163" s="30" t="s">
        <v>27</v>
      </c>
      <c r="Z163" s="30" t="s">
        <v>27</v>
      </c>
      <c r="AA163" s="30" t="s">
        <v>806</v>
      </c>
    </row>
    <row r="164" spans="4:27" x14ac:dyDescent="0.25">
      <c r="D164" s="30" t="s">
        <v>254</v>
      </c>
      <c r="E164" s="34" t="s">
        <v>29</v>
      </c>
      <c r="F164" s="34" t="s">
        <v>53</v>
      </c>
      <c r="G164" s="35" t="s">
        <v>828</v>
      </c>
      <c r="H164" s="30" t="s">
        <v>254</v>
      </c>
      <c r="I164" s="34" t="s">
        <v>260</v>
      </c>
      <c r="J164" s="30">
        <v>0</v>
      </c>
      <c r="K164" s="36">
        <v>476035</v>
      </c>
      <c r="L164" s="34" t="s">
        <v>261</v>
      </c>
      <c r="M164" s="30" t="s">
        <v>262</v>
      </c>
      <c r="N164" s="30" t="s">
        <v>263</v>
      </c>
      <c r="O164" s="30" t="s">
        <v>33</v>
      </c>
      <c r="P164" s="34" t="s">
        <v>264</v>
      </c>
      <c r="Q164" s="30" t="s">
        <v>35</v>
      </c>
      <c r="R164" s="34" t="s">
        <v>25</v>
      </c>
      <c r="S164" s="30">
        <v>561612</v>
      </c>
      <c r="T164" s="34" t="s">
        <v>265</v>
      </c>
      <c r="U164" s="31">
        <v>44590</v>
      </c>
      <c r="V164" s="31">
        <v>46415</v>
      </c>
      <c r="W164" s="40">
        <v>2027</v>
      </c>
      <c r="X164" s="31" t="str">
        <f>_xlfn.XLOOKUP(apbi[[#This Row],[Contract Number]],[1]Preaward_OSBP!$F:$F,[1]Preaward_OSBP!$T:$T,"No Date Listed")</f>
        <v>No Date Listed</v>
      </c>
      <c r="Y164" s="30" t="s">
        <v>28</v>
      </c>
      <c r="Z164" s="30" t="s">
        <v>27</v>
      </c>
      <c r="AA164" s="30" t="s">
        <v>804</v>
      </c>
    </row>
    <row r="165" spans="4:27" x14ac:dyDescent="0.25">
      <c r="D165" s="30" t="s">
        <v>553</v>
      </c>
      <c r="E165" s="34" t="s">
        <v>29</v>
      </c>
      <c r="F165" s="34" t="s">
        <v>53</v>
      </c>
      <c r="G165" s="35" t="s">
        <v>828</v>
      </c>
      <c r="H165" s="30" t="s">
        <v>553</v>
      </c>
      <c r="I165" s="34" t="s">
        <v>581</v>
      </c>
      <c r="J165" s="30">
        <v>0</v>
      </c>
      <c r="K165" s="36">
        <v>442050.52</v>
      </c>
      <c r="L165" s="34" t="s">
        <v>582</v>
      </c>
      <c r="M165" s="30" t="s">
        <v>556</v>
      </c>
      <c r="N165" s="30" t="s">
        <v>557</v>
      </c>
      <c r="O165" s="30" t="s">
        <v>575</v>
      </c>
      <c r="P165" s="34" t="s">
        <v>583</v>
      </c>
      <c r="Q165" s="30" t="s">
        <v>35</v>
      </c>
      <c r="R165" s="34" t="s">
        <v>25</v>
      </c>
      <c r="S165" s="30">
        <v>541490</v>
      </c>
      <c r="T165" s="34" t="s">
        <v>584</v>
      </c>
      <c r="U165" s="31">
        <v>45147</v>
      </c>
      <c r="V165" s="31">
        <v>46973</v>
      </c>
      <c r="W165" s="40">
        <v>2028</v>
      </c>
      <c r="X165" s="31" t="str">
        <f>_xlfn.XLOOKUP(apbi[[#This Row],[Contract Number]],[1]Preaward_OSBP!$F:$F,[1]Preaward_OSBP!$T:$T,"No Date Listed")</f>
        <v>No Date Listed</v>
      </c>
      <c r="Y165" s="30" t="s">
        <v>27</v>
      </c>
      <c r="Z165" s="30" t="s">
        <v>27</v>
      </c>
      <c r="AA165" s="30" t="s">
        <v>813</v>
      </c>
    </row>
    <row r="166" spans="4:27" ht="26.4" x14ac:dyDescent="0.25">
      <c r="D166" s="30" t="s">
        <v>619</v>
      </c>
      <c r="E166" s="34" t="s">
        <v>29</v>
      </c>
      <c r="F166" s="34" t="s">
        <v>53</v>
      </c>
      <c r="G166" s="35" t="s">
        <v>828</v>
      </c>
      <c r="H166" s="30" t="s">
        <v>619</v>
      </c>
      <c r="I166" s="34" t="s">
        <v>667</v>
      </c>
      <c r="J166" s="30">
        <v>0</v>
      </c>
      <c r="K166" s="36">
        <v>441948.8</v>
      </c>
      <c r="L166" s="34" t="s">
        <v>668</v>
      </c>
      <c r="M166" s="30" t="s">
        <v>669</v>
      </c>
      <c r="N166" s="30" t="s">
        <v>57</v>
      </c>
      <c r="O166" s="30" t="s">
        <v>624</v>
      </c>
      <c r="P166" s="34" t="s">
        <v>670</v>
      </c>
      <c r="Q166" s="30" t="s">
        <v>35</v>
      </c>
      <c r="R166" s="34" t="s">
        <v>25</v>
      </c>
      <c r="S166" s="30">
        <v>311991</v>
      </c>
      <c r="T166" s="34" t="s">
        <v>671</v>
      </c>
      <c r="U166" s="31">
        <v>45717</v>
      </c>
      <c r="V166" s="31">
        <v>46812</v>
      </c>
      <c r="W166" s="40">
        <v>2028</v>
      </c>
      <c r="X166" s="31" t="str">
        <f>_xlfn.XLOOKUP(apbi[[#This Row],[Contract Number]],[1]Preaward_OSBP!$F:$F,[1]Preaward_OSBP!$T:$T,"No Date Listed")</f>
        <v>No Date Listed</v>
      </c>
      <c r="Y166" s="30" t="s">
        <v>27</v>
      </c>
      <c r="Z166" s="30" t="s">
        <v>27</v>
      </c>
      <c r="AA166" s="30" t="s">
        <v>815</v>
      </c>
    </row>
    <row r="167" spans="4:27" ht="26.4" x14ac:dyDescent="0.25">
      <c r="D167" s="30" t="s">
        <v>325</v>
      </c>
      <c r="E167" s="34" t="s">
        <v>29</v>
      </c>
      <c r="F167" s="34" t="s">
        <v>53</v>
      </c>
      <c r="G167" s="35" t="s">
        <v>828</v>
      </c>
      <c r="H167" s="30" t="s">
        <v>325</v>
      </c>
      <c r="I167" s="34" t="s">
        <v>340</v>
      </c>
      <c r="J167" s="30">
        <v>0</v>
      </c>
      <c r="K167" s="36">
        <v>441392</v>
      </c>
      <c r="L167" s="34" t="s">
        <v>338</v>
      </c>
      <c r="M167" s="30" t="s">
        <v>329</v>
      </c>
      <c r="N167" s="30" t="s">
        <v>330</v>
      </c>
      <c r="O167" s="30" t="s">
        <v>331</v>
      </c>
      <c r="P167" s="34" t="s">
        <v>341</v>
      </c>
      <c r="Q167" s="30" t="s">
        <v>35</v>
      </c>
      <c r="R167" s="34" t="s">
        <v>25</v>
      </c>
      <c r="S167" s="30">
        <v>611310</v>
      </c>
      <c r="T167" s="34" t="s">
        <v>336</v>
      </c>
      <c r="U167" s="31">
        <v>44391</v>
      </c>
      <c r="V167" s="31">
        <v>46234</v>
      </c>
      <c r="W167" s="40">
        <v>2026</v>
      </c>
      <c r="X167" s="31">
        <f>_xlfn.XLOOKUP(apbi[[#This Row],[Contract Number]],[1]Preaward_OSBP!$F:$F,[1]Preaward_OSBP!$T:$T,"No Date Listed")</f>
        <v>46146</v>
      </c>
      <c r="Y167" s="30" t="s">
        <v>27</v>
      </c>
      <c r="Z167" s="30" t="s">
        <v>27</v>
      </c>
      <c r="AA167" s="30" t="s">
        <v>806</v>
      </c>
    </row>
    <row r="168" spans="4:27" ht="26.4" x14ac:dyDescent="0.25">
      <c r="D168" s="30" t="s">
        <v>133</v>
      </c>
      <c r="E168" s="34" t="s">
        <v>119</v>
      </c>
      <c r="F168" s="34" t="s">
        <v>134</v>
      </c>
      <c r="G168" s="35" t="s">
        <v>828</v>
      </c>
      <c r="H168" s="30" t="s">
        <v>133</v>
      </c>
      <c r="I168" s="34" t="s">
        <v>168</v>
      </c>
      <c r="J168" s="30" t="s">
        <v>169</v>
      </c>
      <c r="K168" s="36">
        <v>440915.76</v>
      </c>
      <c r="L168" s="34" t="s">
        <v>155</v>
      </c>
      <c r="M168" s="30" t="s">
        <v>138</v>
      </c>
      <c r="N168" s="30" t="s">
        <v>139</v>
      </c>
      <c r="O168" s="30" t="s">
        <v>170</v>
      </c>
      <c r="P168" s="34" t="s">
        <v>171</v>
      </c>
      <c r="Q168" s="30" t="s">
        <v>35</v>
      </c>
      <c r="R168" s="34" t="s">
        <v>25</v>
      </c>
      <c r="S168" s="30">
        <v>541614</v>
      </c>
      <c r="T168" s="34" t="s">
        <v>141</v>
      </c>
      <c r="U168" s="31">
        <v>45587</v>
      </c>
      <c r="V168" s="31">
        <v>46682</v>
      </c>
      <c r="W168" s="40">
        <v>2028</v>
      </c>
      <c r="X168" s="31" t="str">
        <f>_xlfn.XLOOKUP(apbi[[#This Row],[Contract Number]],[1]Preaward_OSBP!$F:$F,[1]Preaward_OSBP!$T:$T,"No Date Listed")</f>
        <v>No Date Listed</v>
      </c>
      <c r="Y168" s="30" t="s">
        <v>27</v>
      </c>
      <c r="Z168" s="30" t="s">
        <v>28</v>
      </c>
      <c r="AA168" s="30" t="s">
        <v>801</v>
      </c>
    </row>
    <row r="169" spans="4:27" ht="26.4" x14ac:dyDescent="0.25">
      <c r="D169" s="30" t="s">
        <v>456</v>
      </c>
      <c r="E169" s="34" t="s">
        <v>29</v>
      </c>
      <c r="F169" s="34" t="s">
        <v>53</v>
      </c>
      <c r="G169" s="35" t="s">
        <v>828</v>
      </c>
      <c r="H169" s="30" t="s">
        <v>456</v>
      </c>
      <c r="I169" s="34" t="s">
        <v>465</v>
      </c>
      <c r="J169" s="30">
        <v>0</v>
      </c>
      <c r="K169" s="36">
        <v>435553.43</v>
      </c>
      <c r="L169" s="34" t="s">
        <v>466</v>
      </c>
      <c r="M169" s="30" t="s">
        <v>467</v>
      </c>
      <c r="N169" s="30" t="s">
        <v>287</v>
      </c>
      <c r="O169" s="30" t="s">
        <v>33</v>
      </c>
      <c r="P169" s="34" t="s">
        <v>468</v>
      </c>
      <c r="Q169" s="30" t="s">
        <v>35</v>
      </c>
      <c r="R169" s="34" t="s">
        <v>25</v>
      </c>
      <c r="S169" s="30">
        <v>561621</v>
      </c>
      <c r="T169" s="34" t="s">
        <v>65</v>
      </c>
      <c r="U169" s="31">
        <v>45078</v>
      </c>
      <c r="V169" s="31">
        <v>46904</v>
      </c>
      <c r="W169" s="40">
        <v>2028</v>
      </c>
      <c r="X169" s="31" t="str">
        <f>_xlfn.XLOOKUP(apbi[[#This Row],[Contract Number]],[1]Preaward_OSBP!$F:$F,[1]Preaward_OSBP!$T:$T,"No Date Listed")</f>
        <v>No Date Listed</v>
      </c>
      <c r="Y169" s="30" t="s">
        <v>28</v>
      </c>
      <c r="Z169" s="30" t="s">
        <v>28</v>
      </c>
      <c r="AA169" s="30" t="s">
        <v>822</v>
      </c>
    </row>
    <row r="170" spans="4:27" ht="26.4" x14ac:dyDescent="0.25">
      <c r="D170" s="30" t="s">
        <v>325</v>
      </c>
      <c r="E170" s="34" t="s">
        <v>29</v>
      </c>
      <c r="F170" s="34" t="s">
        <v>53</v>
      </c>
      <c r="G170" s="35" t="s">
        <v>828</v>
      </c>
      <c r="H170" s="30" t="s">
        <v>325</v>
      </c>
      <c r="I170" s="34" t="s">
        <v>345</v>
      </c>
      <c r="J170" s="30">
        <v>0</v>
      </c>
      <c r="K170" s="36">
        <v>427500.03</v>
      </c>
      <c r="L170" s="34" t="s">
        <v>334</v>
      </c>
      <c r="M170" s="30" t="s">
        <v>329</v>
      </c>
      <c r="N170" s="30" t="s">
        <v>330</v>
      </c>
      <c r="O170" s="30" t="s">
        <v>331</v>
      </c>
      <c r="P170" s="34" t="s">
        <v>339</v>
      </c>
      <c r="Q170" s="30" t="s">
        <v>35</v>
      </c>
      <c r="R170" s="34" t="s">
        <v>25</v>
      </c>
      <c r="S170" s="30">
        <v>611310</v>
      </c>
      <c r="T170" s="34" t="s">
        <v>336</v>
      </c>
      <c r="U170" s="31">
        <v>44699</v>
      </c>
      <c r="V170" s="31">
        <v>46599</v>
      </c>
      <c r="W170" s="40">
        <v>2027</v>
      </c>
      <c r="X170" s="31">
        <v>46146</v>
      </c>
      <c r="Y170" s="49" t="s">
        <v>27</v>
      </c>
      <c r="Z170" s="30" t="s">
        <v>27</v>
      </c>
      <c r="AA170" s="30" t="s">
        <v>806</v>
      </c>
    </row>
    <row r="171" spans="4:27" x14ac:dyDescent="0.25">
      <c r="D171" s="30" t="s">
        <v>588</v>
      </c>
      <c r="E171" s="34" t="s">
        <v>376</v>
      </c>
      <c r="F171" s="34" t="s">
        <v>37</v>
      </c>
      <c r="G171" s="35" t="s">
        <v>828</v>
      </c>
      <c r="H171" s="30" t="s">
        <v>588</v>
      </c>
      <c r="I171" s="34" t="s">
        <v>589</v>
      </c>
      <c r="J171" s="30">
        <v>0</v>
      </c>
      <c r="K171" s="36">
        <v>425503.4</v>
      </c>
      <c r="L171" s="34" t="s">
        <v>590</v>
      </c>
      <c r="M171" s="30" t="s">
        <v>591</v>
      </c>
      <c r="N171" s="30" t="s">
        <v>349</v>
      </c>
      <c r="O171" s="30" t="s">
        <v>592</v>
      </c>
      <c r="P171" s="34" t="s">
        <v>593</v>
      </c>
      <c r="Q171" s="30" t="s">
        <v>35</v>
      </c>
      <c r="R171" s="34" t="s">
        <v>594</v>
      </c>
      <c r="S171" s="30">
        <v>315210</v>
      </c>
      <c r="T171" s="34" t="s">
        <v>595</v>
      </c>
      <c r="U171" s="31">
        <v>44805</v>
      </c>
      <c r="V171" s="31">
        <v>46265</v>
      </c>
      <c r="W171" s="40">
        <v>2026</v>
      </c>
      <c r="X171" s="31" t="str">
        <f>_xlfn.XLOOKUP(apbi[[#This Row],[Contract Number]],[1]Preaward_OSBP!$F:$F,[1]Preaward_OSBP!$T:$T,"No Date Listed")</f>
        <v>No Date Listed</v>
      </c>
      <c r="Y171" s="30" t="s">
        <v>27</v>
      </c>
      <c r="Z171" s="30" t="s">
        <v>27</v>
      </c>
      <c r="AA171" s="30" t="s">
        <v>814</v>
      </c>
    </row>
    <row r="172" spans="4:27" ht="39.6" x14ac:dyDescent="0.25">
      <c r="D172" s="30" t="s">
        <v>14</v>
      </c>
      <c r="E172" s="34" t="s">
        <v>29</v>
      </c>
      <c r="F172" s="34" t="s">
        <v>37</v>
      </c>
      <c r="G172" s="35" t="s">
        <v>828</v>
      </c>
      <c r="H172" s="30" t="s">
        <v>14</v>
      </c>
      <c r="I172" s="34" t="s">
        <v>38</v>
      </c>
      <c r="J172" s="30">
        <v>0</v>
      </c>
      <c r="K172" s="36">
        <v>419370.8</v>
      </c>
      <c r="L172" s="34" t="s">
        <v>39</v>
      </c>
      <c r="M172" s="30" t="s">
        <v>20</v>
      </c>
      <c r="N172" s="30" t="s">
        <v>21</v>
      </c>
      <c r="O172" s="30" t="s">
        <v>22</v>
      </c>
      <c r="P172" s="34" t="s">
        <v>40</v>
      </c>
      <c r="Q172" s="30" t="s">
        <v>35</v>
      </c>
      <c r="R172" s="34" t="s">
        <v>25</v>
      </c>
      <c r="S172" s="30">
        <v>811310</v>
      </c>
      <c r="T172" s="34" t="s">
        <v>41</v>
      </c>
      <c r="U172" s="31">
        <v>44350</v>
      </c>
      <c r="V172" s="31">
        <v>46175</v>
      </c>
      <c r="W172" s="40">
        <v>2026</v>
      </c>
      <c r="X172" s="31" t="str">
        <f>_xlfn.XLOOKUP(apbi[[#This Row],[Contract Number]],[1]Preaward_OSBP!$F:$F,[1]Preaward_OSBP!$T:$T,"No Date Listed")</f>
        <v>No Date Listed</v>
      </c>
      <c r="Y172" s="30" t="s">
        <v>27</v>
      </c>
      <c r="Z172" s="30" t="s">
        <v>27</v>
      </c>
      <c r="AA172" s="30" t="s">
        <v>798</v>
      </c>
    </row>
    <row r="173" spans="4:27" ht="26.4" x14ac:dyDescent="0.25">
      <c r="D173" s="30" t="s">
        <v>325</v>
      </c>
      <c r="E173" s="34" t="s">
        <v>29</v>
      </c>
      <c r="F173" s="34" t="s">
        <v>53</v>
      </c>
      <c r="G173" s="35" t="s">
        <v>828</v>
      </c>
      <c r="H173" s="30" t="s">
        <v>325</v>
      </c>
      <c r="I173" s="34" t="s">
        <v>333</v>
      </c>
      <c r="J173" s="30">
        <v>0</v>
      </c>
      <c r="K173" s="36">
        <v>413650</v>
      </c>
      <c r="L173" s="34" t="s">
        <v>334</v>
      </c>
      <c r="M173" s="30" t="s">
        <v>329</v>
      </c>
      <c r="N173" s="30" t="s">
        <v>330</v>
      </c>
      <c r="O173" s="30" t="s">
        <v>331</v>
      </c>
      <c r="P173" s="34" t="s">
        <v>335</v>
      </c>
      <c r="Q173" s="30" t="s">
        <v>35</v>
      </c>
      <c r="R173" s="34" t="s">
        <v>25</v>
      </c>
      <c r="S173" s="30">
        <v>611310</v>
      </c>
      <c r="T173" s="34" t="s">
        <v>336</v>
      </c>
      <c r="U173" s="31">
        <v>44344</v>
      </c>
      <c r="V173" s="31">
        <v>46234</v>
      </c>
      <c r="W173" s="40">
        <v>2026</v>
      </c>
      <c r="X173" s="31">
        <f>_xlfn.XLOOKUP(apbi[[#This Row],[Contract Number]],[1]Preaward_OSBP!$F:$F,[1]Preaward_OSBP!$T:$T,"No Date Listed")</f>
        <v>46146</v>
      </c>
      <c r="Y173" s="30" t="s">
        <v>27</v>
      </c>
      <c r="Z173" s="30" t="s">
        <v>27</v>
      </c>
      <c r="AA173" s="30" t="s">
        <v>806</v>
      </c>
    </row>
    <row r="174" spans="4:27" ht="26.4" x14ac:dyDescent="0.25">
      <c r="D174" s="30" t="s">
        <v>456</v>
      </c>
      <c r="E174" s="34" t="s">
        <v>29</v>
      </c>
      <c r="F174" s="34" t="s">
        <v>37</v>
      </c>
      <c r="G174" s="35" t="s">
        <v>826</v>
      </c>
      <c r="H174" s="30" t="s">
        <v>456</v>
      </c>
      <c r="I174" s="34" t="s">
        <v>457</v>
      </c>
      <c r="J174" s="30">
        <v>0</v>
      </c>
      <c r="K174" s="36">
        <v>400793.04</v>
      </c>
      <c r="L174" s="34" t="s">
        <v>458</v>
      </c>
      <c r="M174" s="30" t="s">
        <v>459</v>
      </c>
      <c r="N174" s="30" t="s">
        <v>114</v>
      </c>
      <c r="O174" s="30" t="s">
        <v>239</v>
      </c>
      <c r="P174" s="34" t="s">
        <v>460</v>
      </c>
      <c r="Q174" s="30" t="s">
        <v>35</v>
      </c>
      <c r="R174" s="34" t="s">
        <v>25</v>
      </c>
      <c r="S174" s="30">
        <v>238210</v>
      </c>
      <c r="T174" s="34" t="s">
        <v>461</v>
      </c>
      <c r="U174" s="31">
        <v>45187</v>
      </c>
      <c r="V174" s="31">
        <v>46282</v>
      </c>
      <c r="W174" s="40">
        <v>2026</v>
      </c>
      <c r="X174" s="31">
        <v>46233</v>
      </c>
      <c r="Y174" s="30" t="s">
        <v>27</v>
      </c>
      <c r="Z174" s="30" t="s">
        <v>27</v>
      </c>
      <c r="AA174" s="30" t="s">
        <v>822</v>
      </c>
    </row>
    <row r="175" spans="4:27" ht="26.4" x14ac:dyDescent="0.25">
      <c r="D175" s="30" t="s">
        <v>325</v>
      </c>
      <c r="E175" s="34" t="s">
        <v>29</v>
      </c>
      <c r="F175" s="34" t="s">
        <v>53</v>
      </c>
      <c r="G175" s="35" t="s">
        <v>828</v>
      </c>
      <c r="H175" s="30" t="s">
        <v>325</v>
      </c>
      <c r="I175" s="34" t="s">
        <v>337</v>
      </c>
      <c r="J175" s="30">
        <v>0</v>
      </c>
      <c r="K175" s="36">
        <v>390210</v>
      </c>
      <c r="L175" s="34" t="s">
        <v>338</v>
      </c>
      <c r="M175" s="30" t="s">
        <v>329</v>
      </c>
      <c r="N175" s="30" t="s">
        <v>330</v>
      </c>
      <c r="O175" s="30" t="s">
        <v>331</v>
      </c>
      <c r="P175" s="34" t="s">
        <v>339</v>
      </c>
      <c r="Q175" s="30" t="s">
        <v>35</v>
      </c>
      <c r="R175" s="34" t="s">
        <v>25</v>
      </c>
      <c r="S175" s="30">
        <v>611310</v>
      </c>
      <c r="T175" s="34" t="s">
        <v>336</v>
      </c>
      <c r="U175" s="31">
        <v>44391</v>
      </c>
      <c r="V175" s="31">
        <v>46234</v>
      </c>
      <c r="W175" s="40">
        <v>2026</v>
      </c>
      <c r="X175" s="31" t="str">
        <f>_xlfn.XLOOKUP(apbi[[#This Row],[Contract Number]],[1]Preaward_OSBP!$F:$F,[1]Preaward_OSBP!$T:$T,"No Date Listed")</f>
        <v>No Date Listed</v>
      </c>
      <c r="Y175" s="30" t="s">
        <v>27</v>
      </c>
      <c r="Z175" s="30" t="s">
        <v>27</v>
      </c>
      <c r="AA175" s="30" t="s">
        <v>806</v>
      </c>
    </row>
    <row r="176" spans="4:27" x14ac:dyDescent="0.25">
      <c r="D176" s="30" t="s">
        <v>425</v>
      </c>
      <c r="E176" s="34" t="s">
        <v>29</v>
      </c>
      <c r="F176" s="34" t="s">
        <v>37</v>
      </c>
      <c r="G176" s="35" t="s">
        <v>828</v>
      </c>
      <c r="H176" s="30" t="s">
        <v>425</v>
      </c>
      <c r="I176" s="34" t="s">
        <v>443</v>
      </c>
      <c r="J176" s="30">
        <v>0</v>
      </c>
      <c r="K176" s="36">
        <v>374158</v>
      </c>
      <c r="L176" s="34" t="s">
        <v>444</v>
      </c>
      <c r="M176" s="30" t="s">
        <v>431</v>
      </c>
      <c r="N176" s="30" t="s">
        <v>304</v>
      </c>
      <c r="O176" s="30" t="s">
        <v>445</v>
      </c>
      <c r="P176" s="34" t="s">
        <v>446</v>
      </c>
      <c r="Q176" s="30" t="s">
        <v>35</v>
      </c>
      <c r="R176" s="34" t="s">
        <v>25</v>
      </c>
      <c r="S176" s="30">
        <v>812332</v>
      </c>
      <c r="T176" s="34" t="s">
        <v>447</v>
      </c>
      <c r="U176" s="31">
        <v>45200</v>
      </c>
      <c r="V176" s="31">
        <v>47026</v>
      </c>
      <c r="W176" s="40">
        <v>2028</v>
      </c>
      <c r="X176" s="31" t="str">
        <f>_xlfn.XLOOKUP(apbi[[#This Row],[Contract Number]],[1]Preaward_OSBP!$F:$F,[1]Preaward_OSBP!$T:$T,"No Date Listed")</f>
        <v>No Date Listed</v>
      </c>
      <c r="Y176" s="30" t="s">
        <v>27</v>
      </c>
      <c r="Z176" s="30" t="s">
        <v>27</v>
      </c>
      <c r="AA176" s="30" t="s">
        <v>809</v>
      </c>
    </row>
    <row r="177" spans="4:27" s="29" customFormat="1" ht="39.6" x14ac:dyDescent="0.25">
      <c r="D177" s="30" t="s">
        <v>133</v>
      </c>
      <c r="E177" s="34" t="s">
        <v>29</v>
      </c>
      <c r="F177" s="34" t="s">
        <v>37</v>
      </c>
      <c r="G177" s="35" t="s">
        <v>826</v>
      </c>
      <c r="H177" s="30" t="s">
        <v>133</v>
      </c>
      <c r="I177" s="34" t="s">
        <v>142</v>
      </c>
      <c r="J177" s="30">
        <v>0</v>
      </c>
      <c r="K177" s="36">
        <v>355857</v>
      </c>
      <c r="L177" s="34" t="s">
        <v>143</v>
      </c>
      <c r="M177" s="30" t="s">
        <v>138</v>
      </c>
      <c r="N177" s="30" t="s">
        <v>139</v>
      </c>
      <c r="O177" s="30" t="s">
        <v>58</v>
      </c>
      <c r="P177" s="34" t="s">
        <v>144</v>
      </c>
      <c r="Q177" s="30" t="s">
        <v>35</v>
      </c>
      <c r="R177" s="34" t="s">
        <v>25</v>
      </c>
      <c r="S177" s="30">
        <v>811310</v>
      </c>
      <c r="T177" s="34" t="s">
        <v>41</v>
      </c>
      <c r="U177" s="31">
        <v>44469</v>
      </c>
      <c r="V177" s="31">
        <v>46294</v>
      </c>
      <c r="W177" s="40">
        <v>2026</v>
      </c>
      <c r="X177" s="31" t="str">
        <f>_xlfn.XLOOKUP(apbi[[#This Row],[Contract Number]],[1]Preaward_OSBP!$F:$F,[1]Preaward_OSBP!$T:$T,"No Date Listed")</f>
        <v>No Date Listed</v>
      </c>
      <c r="Y177" s="30" t="s">
        <v>27</v>
      </c>
      <c r="Z177" s="30" t="s">
        <v>27</v>
      </c>
      <c r="AA177" s="30" t="s">
        <v>801</v>
      </c>
    </row>
    <row r="178" spans="4:27" x14ac:dyDescent="0.25">
      <c r="D178" s="30" t="s">
        <v>254</v>
      </c>
      <c r="E178" s="34" t="s">
        <v>29</v>
      </c>
      <c r="F178" s="34" t="s">
        <v>53</v>
      </c>
      <c r="G178" s="35" t="s">
        <v>828</v>
      </c>
      <c r="H178" s="30" t="s">
        <v>254</v>
      </c>
      <c r="I178" s="34" t="s">
        <v>275</v>
      </c>
      <c r="J178" s="30">
        <v>0</v>
      </c>
      <c r="K178" s="36">
        <v>352243</v>
      </c>
      <c r="L178" s="34" t="s">
        <v>276</v>
      </c>
      <c r="M178" s="30" t="s">
        <v>277</v>
      </c>
      <c r="N178" s="30" t="s">
        <v>258</v>
      </c>
      <c r="O178" s="30" t="s">
        <v>152</v>
      </c>
      <c r="P178" s="34" t="s">
        <v>278</v>
      </c>
      <c r="Q178" s="30" t="s">
        <v>35</v>
      </c>
      <c r="R178" s="34" t="s">
        <v>25</v>
      </c>
      <c r="S178" s="30">
        <v>561730</v>
      </c>
      <c r="T178" s="34" t="s">
        <v>279</v>
      </c>
      <c r="U178" s="31">
        <v>44805</v>
      </c>
      <c r="V178" s="31">
        <v>46446</v>
      </c>
      <c r="W178" s="40">
        <v>2027</v>
      </c>
      <c r="X178" s="31" t="str">
        <f>_xlfn.XLOOKUP(apbi[[#This Row],[Contract Number]],[1]Preaward_OSBP!$F:$F,[1]Preaward_OSBP!$T:$T,"No Date Listed")</f>
        <v>No Date Listed</v>
      </c>
      <c r="Y178" s="30" t="s">
        <v>28</v>
      </c>
      <c r="Z178" s="30" t="s">
        <v>27</v>
      </c>
      <c r="AA178" s="30" t="s">
        <v>804</v>
      </c>
    </row>
    <row r="179" spans="4:27" x14ac:dyDescent="0.25">
      <c r="D179" s="30" t="s">
        <v>254</v>
      </c>
      <c r="E179" s="34" t="s">
        <v>29</v>
      </c>
      <c r="F179" s="34" t="s">
        <v>53</v>
      </c>
      <c r="G179" s="35" t="s">
        <v>828</v>
      </c>
      <c r="H179" s="30" t="s">
        <v>254</v>
      </c>
      <c r="I179" s="34" t="s">
        <v>291</v>
      </c>
      <c r="J179" s="30">
        <v>0</v>
      </c>
      <c r="K179" s="36">
        <v>351085</v>
      </c>
      <c r="L179" s="34" t="s">
        <v>292</v>
      </c>
      <c r="M179" s="30" t="s">
        <v>293</v>
      </c>
      <c r="N179" s="30" t="s">
        <v>294</v>
      </c>
      <c r="O179" s="30" t="s">
        <v>152</v>
      </c>
      <c r="P179" s="34" t="s">
        <v>295</v>
      </c>
      <c r="Q179" s="30" t="s">
        <v>35</v>
      </c>
      <c r="R179" s="34" t="s">
        <v>25</v>
      </c>
      <c r="S179" s="30">
        <v>561730</v>
      </c>
      <c r="T179" s="34" t="s">
        <v>279</v>
      </c>
      <c r="U179" s="31">
        <v>44927</v>
      </c>
      <c r="V179" s="31">
        <v>46752</v>
      </c>
      <c r="W179" s="40">
        <v>2028</v>
      </c>
      <c r="X179" s="31" t="str">
        <f>_xlfn.XLOOKUP(apbi[[#This Row],[Contract Number]],[1]Preaward_OSBP!$F:$F,[1]Preaward_OSBP!$T:$T,"No Date Listed")</f>
        <v>No Date Listed</v>
      </c>
      <c r="Y179" s="30" t="s">
        <v>28</v>
      </c>
      <c r="Z179" s="30" t="s">
        <v>27</v>
      </c>
      <c r="AA179" s="30" t="s">
        <v>804</v>
      </c>
    </row>
    <row r="180" spans="4:27" ht="26.4" x14ac:dyDescent="0.25">
      <c r="D180" s="30" t="s">
        <v>709</v>
      </c>
      <c r="E180" s="34" t="s">
        <v>376</v>
      </c>
      <c r="F180" s="34" t="s">
        <v>37</v>
      </c>
      <c r="G180" s="35" t="s">
        <v>826</v>
      </c>
      <c r="H180" s="30" t="s">
        <v>118</v>
      </c>
      <c r="I180" s="34" t="s">
        <v>732</v>
      </c>
      <c r="J180" s="30">
        <v>0</v>
      </c>
      <c r="K180" s="36">
        <v>235264.85</v>
      </c>
      <c r="L180" s="34" t="s">
        <v>733</v>
      </c>
      <c r="M180" s="30" t="s">
        <v>417</v>
      </c>
      <c r="N180" s="30" t="s">
        <v>418</v>
      </c>
      <c r="O180" s="30" t="s">
        <v>713</v>
      </c>
      <c r="P180" s="34" t="s">
        <v>714</v>
      </c>
      <c r="Q180" s="30" t="s">
        <v>35</v>
      </c>
      <c r="R180" s="34" t="s">
        <v>25</v>
      </c>
      <c r="S180" s="30">
        <v>722310</v>
      </c>
      <c r="T180" s="34" t="s">
        <v>715</v>
      </c>
      <c r="U180" s="31">
        <v>45823</v>
      </c>
      <c r="V180" s="31">
        <v>46217</v>
      </c>
      <c r="W180" s="30">
        <v>2026</v>
      </c>
      <c r="X180" s="31" t="str">
        <f>_xlfn.XLOOKUP(apbi[[#This Row],[Contract Number]],[1]Preaward_OSBP!$F:$F,[1]Preaward_OSBP!$T:$T,"No Date Listed")</f>
        <v>No Date Listed</v>
      </c>
      <c r="Y180" s="30" t="s">
        <v>27</v>
      </c>
      <c r="Z180" s="30" t="s">
        <v>27</v>
      </c>
      <c r="AA180" s="30" t="s">
        <v>817</v>
      </c>
    </row>
    <row r="181" spans="4:27" ht="11.4" customHeight="1" x14ac:dyDescent="0.25"/>
  </sheetData>
  <mergeCells count="2">
    <mergeCell ref="A6:C6"/>
    <mergeCell ref="A1:C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Scherer, Heather I CIV USARMY ACC MICC (USA)</dc:creator>
  <cp:lastModifiedBy>Wallitsch, Ambre D CIV USARMY ACC MICC (USA)</cp:lastModifiedBy>
  <dcterms:created xsi:type="dcterms:W3CDTF">2026-03-05T19:40:31Z</dcterms:created>
  <dcterms:modified xsi:type="dcterms:W3CDTF">2026-03-18T18:04:26Z</dcterms:modified>
</cp:coreProperties>
</file>