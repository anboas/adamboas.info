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.sharepoint-mil.us/sites/NECCBRANCHONLY/Shared Documents/E-files (as of 1.15.2025 at 1200 PM)/Justin Clark/N0018921D0013 Range Training/Working/AMEND 0001/"/>
    </mc:Choice>
  </mc:AlternateContent>
  <xr:revisionPtr revIDLastSave="17" documentId="8_{EB81049A-785D-4BA0-898D-717E167F79E8}" xr6:coauthVersionLast="47" xr6:coauthVersionMax="47" xr10:uidLastSave="{C474A26B-36F0-4981-8588-525361682FBD}"/>
  <bookViews>
    <workbookView xWindow="28680" yWindow="90" windowWidth="29040" windowHeight="15510" xr2:uid="{15F1B0C5-FDFF-4A1E-86B1-DC6956686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" l="1"/>
  <c r="N18" i="1"/>
  <c r="L18" i="1"/>
  <c r="J18" i="1"/>
  <c r="H18" i="1"/>
  <c r="F18" i="1"/>
  <c r="P9" i="1"/>
  <c r="P17" i="1"/>
  <c r="P16" i="1"/>
  <c r="P5" i="1"/>
  <c r="P6" i="1" l="1"/>
  <c r="P7" i="1"/>
  <c r="P8" i="1"/>
  <c r="P10" i="1"/>
  <c r="P11" i="1"/>
  <c r="P12" i="1"/>
  <c r="P13" i="1"/>
  <c r="P14" i="1"/>
  <c r="P15" i="1"/>
  <c r="N6" i="1"/>
  <c r="N7" i="1"/>
  <c r="N8" i="1"/>
  <c r="N9" i="1"/>
  <c r="N10" i="1"/>
  <c r="N11" i="1"/>
  <c r="N12" i="1"/>
  <c r="N13" i="1"/>
  <c r="N14" i="1"/>
  <c r="N15" i="1"/>
  <c r="N16" i="1"/>
  <c r="N17" i="1"/>
  <c r="N5" i="1"/>
  <c r="L6" i="1"/>
  <c r="L7" i="1"/>
  <c r="L8" i="1"/>
  <c r="L9" i="1"/>
  <c r="L10" i="1"/>
  <c r="L11" i="1"/>
  <c r="L12" i="1"/>
  <c r="L13" i="1"/>
  <c r="L14" i="1"/>
  <c r="L15" i="1"/>
  <c r="L16" i="1"/>
  <c r="L17" i="1"/>
  <c r="L5" i="1"/>
  <c r="J6" i="1"/>
  <c r="J7" i="1"/>
  <c r="J8" i="1"/>
  <c r="J9" i="1"/>
  <c r="J10" i="1"/>
  <c r="J11" i="1"/>
  <c r="J12" i="1"/>
  <c r="J13" i="1"/>
  <c r="J14" i="1"/>
  <c r="J15" i="1"/>
  <c r="J16" i="1"/>
  <c r="J17" i="1"/>
  <c r="J5" i="1"/>
  <c r="H6" i="1"/>
  <c r="H7" i="1"/>
  <c r="H8" i="1"/>
  <c r="H9" i="1"/>
  <c r="H10" i="1"/>
  <c r="H11" i="1"/>
  <c r="H12" i="1"/>
  <c r="H13" i="1"/>
  <c r="H14" i="1"/>
  <c r="H15" i="1"/>
  <c r="H16" i="1"/>
  <c r="H17" i="1"/>
  <c r="H5" i="1"/>
  <c r="J20" i="1" l="1"/>
  <c r="L20" i="1"/>
  <c r="N20" i="1"/>
  <c r="P20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20" i="1" l="1"/>
  <c r="H20" i="1"/>
  <c r="C22" i="1"/>
</calcChain>
</file>

<file path=xl/sharedStrings.xml><?xml version="1.0" encoding="utf-8"?>
<sst xmlns="http://schemas.openxmlformats.org/spreadsheetml/2006/main" count="48" uniqueCount="30">
  <si>
    <t>TASK</t>
  </si>
  <si>
    <t>DESCRIPTION</t>
  </si>
  <si>
    <t>ESTIMATED QTY</t>
  </si>
  <si>
    <t>UNITS</t>
  </si>
  <si>
    <t>Ordering Period 1</t>
  </si>
  <si>
    <t>Ordering Period 2</t>
  </si>
  <si>
    <t>6MTH EXTENSION</t>
  </si>
  <si>
    <t>TOTAL</t>
  </si>
  <si>
    <t>TOTAL CONTRACT VALUE:  BASE + (1) OPTION YEAR + 6 MO EXT</t>
  </si>
  <si>
    <t>Pricing Spreadsheet</t>
  </si>
  <si>
    <t>days</t>
  </si>
  <si>
    <t>Local Civilian Range Support</t>
  </si>
  <si>
    <t>Ordering Period 3</t>
  </si>
  <si>
    <t>Ordering Period 4</t>
  </si>
  <si>
    <t>Demolition Ranges</t>
  </si>
  <si>
    <t>Small Arms Ranges</t>
  </si>
  <si>
    <t>Underwater Demolition Ranges</t>
  </si>
  <si>
    <t>Advanced Demolition Course Facilitation</t>
  </si>
  <si>
    <t>Urban Training Area</t>
  </si>
  <si>
    <t>Modular Training Facility</t>
  </si>
  <si>
    <t>Shipboard and Container Stack Training Area</t>
  </si>
  <si>
    <t>Target Vehicles</t>
  </si>
  <si>
    <t>Storage Vaults</t>
  </si>
  <si>
    <t>Rappel Fast-Rope Tower</t>
  </si>
  <si>
    <t>Land Navigation</t>
  </si>
  <si>
    <t>Obstacle Courses</t>
  </si>
  <si>
    <t>Drop Zones</t>
  </si>
  <si>
    <t>Doors</t>
  </si>
  <si>
    <t>each</t>
  </si>
  <si>
    <t>COST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</si>
</sst>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44" fontId="4" fillId="0" borderId="2" xfId="1" applyFont="1" applyBorder="1" applyAlignment="1">
      <alignment horizontal="center" vertical="center"/>
    </xf>
    <xf numFmtId="44" fontId="4" fillId="0" borderId="2" xfId="0" applyNumberFormat="1" applyFont="1" applyBorder="1" applyAlignment="1">
      <alignment horizontal="center" vertical="center"/>
    </xf>
    <xf numFmtId="44" fontId="0" fillId="0" borderId="2" xfId="0" applyNumberFormat="1" applyBorder="1"/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44" fontId="5" fillId="2" borderId="2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44" fontId="4" fillId="0" borderId="2" xfId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44" fontId="5" fillId="0" borderId="8" xfId="0" applyNumberFormat="1" applyFont="1" applyBorder="1" applyAlignment="1">
      <alignment horizontal="center" vertical="center"/>
    </xf>
    <xf numFmtId="44" fontId="5" fillId="0" borderId="10" xfId="0" applyNumberFormat="1" applyFont="1" applyBorder="1" applyAlignment="1">
      <alignment horizontal="center" vertical="center"/>
    </xf>
    <xf numFmtId="44" fontId="5" fillId="0" borderId="9" xfId="0" applyNumberFormat="1" applyFont="1" applyBorder="1" applyAlignment="1">
      <alignment horizontal="center" vertical="center"/>
    </xf>
    <xf numFmtId="44" fontId="5" fillId="0" borderId="6" xfId="0" applyNumberFormat="1" applyFont="1" applyBorder="1" applyAlignment="1">
      <alignment horizontal="center" vertical="center"/>
    </xf>
    <xf numFmtId="44" fontId="5" fillId="0" borderId="7" xfId="0" applyNumberFormat="1" applyFont="1" applyBorder="1" applyAlignment="1">
      <alignment horizontal="center" vertical="center"/>
    </xf>
    <xf numFmtId="44" fontId="5" fillId="0" borderId="1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3" xfId="1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6" fillId="0" borderId="0" xfId="1" applyNumberFormat="1" applyFont="1" applyBorder="1" applyAlignment="1">
      <alignment vertical="center" wrapText="1"/>
    </xf>
    <xf numFmtId="0" fontId="0" fillId="0" borderId="1" xfId="0" applyBorder="1"/>
    <xf numFmtId="0" fontId="0" fillId="0" borderId="0" xfId="0" applyBorder="1"/>
    <xf numFmtId="0" fontId="0" fillId="0" borderId="12" xfId="0" applyBorder="1"/>
    <xf numFmtId="0" fontId="6" fillId="0" borderId="7" xfId="1" applyNumberFormat="1" applyFont="1" applyBorder="1" applyAlignment="1">
      <alignment vertical="center" wrapText="1"/>
    </xf>
    <xf numFmtId="0" fontId="0" fillId="0" borderId="7" xfId="0" applyBorder="1"/>
    <xf numFmtId="0" fontId="0" fillId="0" borderId="11" xfId="0" applyBorder="1"/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43661-F1F5-47FF-834E-72DCBE320D59}">
  <dimension ref="A1:P23"/>
  <sheetViews>
    <sheetView tabSelected="1" workbookViewId="0">
      <selection activeCell="G28" sqref="G28"/>
    </sheetView>
  </sheetViews>
  <sheetFormatPr defaultRowHeight="15" x14ac:dyDescent="0.25"/>
  <cols>
    <col min="1" max="1" width="16.28515625" customWidth="1"/>
    <col min="2" max="2" width="34.5703125" customWidth="1"/>
    <col min="3" max="3" width="13.140625" bestFit="1" customWidth="1"/>
    <col min="4" max="4" width="5.5703125" bestFit="1" customWidth="1"/>
    <col min="5" max="5" width="13.5703125" bestFit="1" customWidth="1"/>
    <col min="6" max="6" width="15.5703125" customWidth="1"/>
    <col min="7" max="7" width="13.5703125" bestFit="1" customWidth="1"/>
    <col min="8" max="8" width="15.5703125" customWidth="1"/>
    <col min="9" max="9" width="13.5703125" customWidth="1"/>
    <col min="10" max="10" width="14.7109375" bestFit="1" customWidth="1"/>
    <col min="11" max="11" width="11.85546875" bestFit="1" customWidth="1"/>
    <col min="12" max="12" width="14.140625" bestFit="1" customWidth="1"/>
    <col min="13" max="13" width="11.85546875" bestFit="1" customWidth="1"/>
    <col min="14" max="14" width="14.140625" bestFit="1" customWidth="1"/>
    <col min="15" max="15" width="11.85546875" bestFit="1" customWidth="1"/>
    <col min="16" max="16" width="14.5703125" bestFit="1" customWidth="1"/>
  </cols>
  <sheetData>
    <row r="1" spans="1:16" ht="15.75" x14ac:dyDescent="0.25">
      <c r="A1" s="37" t="s">
        <v>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9"/>
    </row>
    <row r="2" spans="1:16" x14ac:dyDescent="0.25">
      <c r="A2" s="25" t="s">
        <v>11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1"/>
    </row>
    <row r="3" spans="1:16" x14ac:dyDescent="0.2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4"/>
    </row>
    <row r="4" spans="1:16" x14ac:dyDescent="0.25">
      <c r="A4" s="26" t="s">
        <v>0</v>
      </c>
      <c r="B4" s="26" t="s">
        <v>1</v>
      </c>
      <c r="C4" s="26" t="s">
        <v>2</v>
      </c>
      <c r="D4" s="26" t="s">
        <v>3</v>
      </c>
      <c r="E4" s="27" t="s">
        <v>29</v>
      </c>
      <c r="F4" s="28" t="s">
        <v>4</v>
      </c>
      <c r="G4" s="27" t="s">
        <v>29</v>
      </c>
      <c r="H4" s="28" t="s">
        <v>5</v>
      </c>
      <c r="I4" s="27" t="s">
        <v>29</v>
      </c>
      <c r="J4" s="28" t="s">
        <v>12</v>
      </c>
      <c r="K4" s="27" t="s">
        <v>29</v>
      </c>
      <c r="L4" s="28" t="s">
        <v>13</v>
      </c>
      <c r="M4" s="27" t="s">
        <v>29</v>
      </c>
      <c r="N4" s="28" t="s">
        <v>13</v>
      </c>
      <c r="O4" s="27" t="s">
        <v>29</v>
      </c>
      <c r="P4" s="27" t="s">
        <v>6</v>
      </c>
    </row>
    <row r="5" spans="1:16" x14ac:dyDescent="0.25">
      <c r="A5" s="1">
        <v>1</v>
      </c>
      <c r="B5" s="2" t="s">
        <v>15</v>
      </c>
      <c r="C5" s="1">
        <v>173</v>
      </c>
      <c r="D5" s="3" t="s">
        <v>10</v>
      </c>
      <c r="E5" s="3"/>
      <c r="F5" s="4">
        <f t="shared" ref="F5:F17" si="0">C5*E5</f>
        <v>0</v>
      </c>
      <c r="G5" s="3"/>
      <c r="H5" s="4">
        <f>C5*G5</f>
        <v>0</v>
      </c>
      <c r="I5" s="3"/>
      <c r="J5" s="4">
        <f>I5*C5</f>
        <v>0</v>
      </c>
      <c r="K5" s="3"/>
      <c r="L5" s="4">
        <f>K5*C5</f>
        <v>0</v>
      </c>
      <c r="M5" s="3"/>
      <c r="N5" s="4">
        <f>M5*C5</f>
        <v>0</v>
      </c>
      <c r="O5" s="3"/>
      <c r="P5" s="5">
        <f>O5*87</f>
        <v>0</v>
      </c>
    </row>
    <row r="6" spans="1:16" x14ac:dyDescent="0.25">
      <c r="A6" s="1">
        <v>2</v>
      </c>
      <c r="B6" s="2" t="s">
        <v>14</v>
      </c>
      <c r="C6" s="1">
        <v>50</v>
      </c>
      <c r="D6" s="3" t="s">
        <v>10</v>
      </c>
      <c r="E6" s="3"/>
      <c r="F6" s="4">
        <f t="shared" si="0"/>
        <v>0</v>
      </c>
      <c r="G6" s="3"/>
      <c r="H6" s="4">
        <f t="shared" ref="H6:H17" si="1">C6*G6</f>
        <v>0</v>
      </c>
      <c r="I6" s="3"/>
      <c r="J6" s="4">
        <f t="shared" ref="J6:J17" si="2">I6*C6</f>
        <v>0</v>
      </c>
      <c r="K6" s="3"/>
      <c r="L6" s="4">
        <f t="shared" ref="L6:L17" si="3">K6*C6</f>
        <v>0</v>
      </c>
      <c r="M6" s="3"/>
      <c r="N6" s="4">
        <f t="shared" ref="N6:N17" si="4">M6*C6</f>
        <v>0</v>
      </c>
      <c r="O6" s="3"/>
      <c r="P6" s="5">
        <f t="shared" ref="P6:P15" si="5">O6*(C6/2)</f>
        <v>0</v>
      </c>
    </row>
    <row r="7" spans="1:16" x14ac:dyDescent="0.25">
      <c r="A7" s="1">
        <v>3</v>
      </c>
      <c r="B7" s="2" t="s">
        <v>16</v>
      </c>
      <c r="C7" s="1">
        <v>32</v>
      </c>
      <c r="D7" s="3" t="s">
        <v>10</v>
      </c>
      <c r="E7" s="3"/>
      <c r="F7" s="4">
        <f t="shared" si="0"/>
        <v>0</v>
      </c>
      <c r="G7" s="3"/>
      <c r="H7" s="4">
        <f t="shared" si="1"/>
        <v>0</v>
      </c>
      <c r="I7" s="3"/>
      <c r="J7" s="4">
        <f t="shared" si="2"/>
        <v>0</v>
      </c>
      <c r="K7" s="3"/>
      <c r="L7" s="4">
        <f t="shared" si="3"/>
        <v>0</v>
      </c>
      <c r="M7" s="3"/>
      <c r="N7" s="4">
        <f t="shared" si="4"/>
        <v>0</v>
      </c>
      <c r="O7" s="3"/>
      <c r="P7" s="5">
        <f t="shared" si="5"/>
        <v>0</v>
      </c>
    </row>
    <row r="8" spans="1:16" x14ac:dyDescent="0.25">
      <c r="A8" s="1">
        <v>4</v>
      </c>
      <c r="B8" s="2" t="s">
        <v>17</v>
      </c>
      <c r="C8" s="1">
        <v>6</v>
      </c>
      <c r="D8" s="3" t="s">
        <v>10</v>
      </c>
      <c r="E8" s="3"/>
      <c r="F8" s="4">
        <f t="shared" si="0"/>
        <v>0</v>
      </c>
      <c r="G8" s="3"/>
      <c r="H8" s="4">
        <f t="shared" si="1"/>
        <v>0</v>
      </c>
      <c r="I8" s="3"/>
      <c r="J8" s="4">
        <f t="shared" si="2"/>
        <v>0</v>
      </c>
      <c r="K8" s="3"/>
      <c r="L8" s="4">
        <f t="shared" si="3"/>
        <v>0</v>
      </c>
      <c r="M8" s="3"/>
      <c r="N8" s="4">
        <f t="shared" si="4"/>
        <v>0</v>
      </c>
      <c r="O8" s="3"/>
      <c r="P8" s="5">
        <f t="shared" si="5"/>
        <v>0</v>
      </c>
    </row>
    <row r="9" spans="1:16" x14ac:dyDescent="0.25">
      <c r="A9" s="1">
        <v>5</v>
      </c>
      <c r="B9" s="2" t="s">
        <v>18</v>
      </c>
      <c r="C9" s="1">
        <v>25</v>
      </c>
      <c r="D9" s="3" t="s">
        <v>10</v>
      </c>
      <c r="E9" s="3"/>
      <c r="F9" s="4">
        <f t="shared" si="0"/>
        <v>0</v>
      </c>
      <c r="G9" s="3"/>
      <c r="H9" s="4">
        <f t="shared" si="1"/>
        <v>0</v>
      </c>
      <c r="I9" s="3"/>
      <c r="J9" s="4">
        <f t="shared" si="2"/>
        <v>0</v>
      </c>
      <c r="K9" s="3"/>
      <c r="L9" s="4">
        <f t="shared" si="3"/>
        <v>0</v>
      </c>
      <c r="M9" s="3"/>
      <c r="N9" s="4">
        <f t="shared" si="4"/>
        <v>0</v>
      </c>
      <c r="O9" s="3"/>
      <c r="P9" s="5">
        <f>O9*13</f>
        <v>0</v>
      </c>
    </row>
    <row r="10" spans="1:16" x14ac:dyDescent="0.25">
      <c r="A10" s="1">
        <v>6</v>
      </c>
      <c r="B10" s="2" t="s">
        <v>19</v>
      </c>
      <c r="C10" s="1">
        <v>44</v>
      </c>
      <c r="D10" s="3" t="s">
        <v>10</v>
      </c>
      <c r="E10" s="3"/>
      <c r="F10" s="4">
        <f t="shared" si="0"/>
        <v>0</v>
      </c>
      <c r="G10" s="3"/>
      <c r="H10" s="4">
        <f t="shared" si="1"/>
        <v>0</v>
      </c>
      <c r="I10" s="3"/>
      <c r="J10" s="4">
        <f t="shared" si="2"/>
        <v>0</v>
      </c>
      <c r="K10" s="3"/>
      <c r="L10" s="4">
        <f t="shared" si="3"/>
        <v>0</v>
      </c>
      <c r="M10" s="3"/>
      <c r="N10" s="4">
        <f t="shared" si="4"/>
        <v>0</v>
      </c>
      <c r="O10" s="3"/>
      <c r="P10" s="5">
        <f t="shared" si="5"/>
        <v>0</v>
      </c>
    </row>
    <row r="11" spans="1:16" x14ac:dyDescent="0.25">
      <c r="A11" s="1">
        <v>7</v>
      </c>
      <c r="B11" s="2" t="s">
        <v>20</v>
      </c>
      <c r="C11" s="1">
        <v>12</v>
      </c>
      <c r="D11" s="3" t="s">
        <v>10</v>
      </c>
      <c r="E11" s="3"/>
      <c r="F11" s="4">
        <f t="shared" si="0"/>
        <v>0</v>
      </c>
      <c r="G11" s="3"/>
      <c r="H11" s="4">
        <f t="shared" si="1"/>
        <v>0</v>
      </c>
      <c r="I11" s="3"/>
      <c r="J11" s="4">
        <f t="shared" si="2"/>
        <v>0</v>
      </c>
      <c r="K11" s="3"/>
      <c r="L11" s="4">
        <f t="shared" si="3"/>
        <v>0</v>
      </c>
      <c r="M11" s="3"/>
      <c r="N11" s="4">
        <f t="shared" si="4"/>
        <v>0</v>
      </c>
      <c r="O11" s="3"/>
      <c r="P11" s="5">
        <f t="shared" si="5"/>
        <v>0</v>
      </c>
    </row>
    <row r="12" spans="1:16" x14ac:dyDescent="0.25">
      <c r="A12" s="1">
        <v>8</v>
      </c>
      <c r="B12" s="2" t="s">
        <v>21</v>
      </c>
      <c r="C12" s="1">
        <v>52</v>
      </c>
      <c r="D12" s="3" t="s">
        <v>10</v>
      </c>
      <c r="E12" s="3"/>
      <c r="F12" s="4">
        <f t="shared" si="0"/>
        <v>0</v>
      </c>
      <c r="G12" s="3"/>
      <c r="H12" s="4">
        <f t="shared" si="1"/>
        <v>0</v>
      </c>
      <c r="I12" s="3"/>
      <c r="J12" s="4">
        <f t="shared" si="2"/>
        <v>0</v>
      </c>
      <c r="K12" s="3"/>
      <c r="L12" s="4">
        <f t="shared" si="3"/>
        <v>0</v>
      </c>
      <c r="M12" s="3"/>
      <c r="N12" s="4">
        <f t="shared" si="4"/>
        <v>0</v>
      </c>
      <c r="O12" s="3"/>
      <c r="P12" s="5">
        <f t="shared" si="5"/>
        <v>0</v>
      </c>
    </row>
    <row r="13" spans="1:16" x14ac:dyDescent="0.25">
      <c r="A13" s="1">
        <v>9</v>
      </c>
      <c r="B13" s="2" t="s">
        <v>22</v>
      </c>
      <c r="C13" s="1">
        <v>6</v>
      </c>
      <c r="D13" s="3" t="s">
        <v>10</v>
      </c>
      <c r="E13" s="3"/>
      <c r="F13" s="4">
        <f t="shared" si="0"/>
        <v>0</v>
      </c>
      <c r="G13" s="3"/>
      <c r="H13" s="4">
        <f t="shared" si="1"/>
        <v>0</v>
      </c>
      <c r="I13" s="3"/>
      <c r="J13" s="4">
        <f t="shared" si="2"/>
        <v>0</v>
      </c>
      <c r="K13" s="3"/>
      <c r="L13" s="4">
        <f t="shared" si="3"/>
        <v>0</v>
      </c>
      <c r="M13" s="3"/>
      <c r="N13" s="4">
        <f t="shared" si="4"/>
        <v>0</v>
      </c>
      <c r="O13" s="3"/>
      <c r="P13" s="5">
        <f t="shared" si="5"/>
        <v>0</v>
      </c>
    </row>
    <row r="14" spans="1:16" x14ac:dyDescent="0.25">
      <c r="A14" s="1">
        <v>10</v>
      </c>
      <c r="B14" s="2" t="s">
        <v>23</v>
      </c>
      <c r="C14" s="1">
        <v>12</v>
      </c>
      <c r="D14" s="3" t="s">
        <v>10</v>
      </c>
      <c r="E14" s="3"/>
      <c r="F14" s="4">
        <f t="shared" si="0"/>
        <v>0</v>
      </c>
      <c r="G14" s="3"/>
      <c r="H14" s="4">
        <f t="shared" si="1"/>
        <v>0</v>
      </c>
      <c r="I14" s="3"/>
      <c r="J14" s="4">
        <f t="shared" si="2"/>
        <v>0</v>
      </c>
      <c r="K14" s="3"/>
      <c r="L14" s="4">
        <f t="shared" si="3"/>
        <v>0</v>
      </c>
      <c r="M14" s="3"/>
      <c r="N14" s="4">
        <f t="shared" si="4"/>
        <v>0</v>
      </c>
      <c r="O14" s="3"/>
      <c r="P14" s="5">
        <f t="shared" si="5"/>
        <v>0</v>
      </c>
    </row>
    <row r="15" spans="1:16" x14ac:dyDescent="0.25">
      <c r="A15" s="1">
        <v>11</v>
      </c>
      <c r="B15" s="2" t="s">
        <v>24</v>
      </c>
      <c r="C15" s="1">
        <v>2</v>
      </c>
      <c r="D15" s="3" t="s">
        <v>10</v>
      </c>
      <c r="E15" s="3"/>
      <c r="F15" s="4">
        <f t="shared" si="0"/>
        <v>0</v>
      </c>
      <c r="G15" s="3"/>
      <c r="H15" s="4">
        <f t="shared" si="1"/>
        <v>0</v>
      </c>
      <c r="I15" s="3"/>
      <c r="J15" s="4">
        <f t="shared" si="2"/>
        <v>0</v>
      </c>
      <c r="K15" s="3"/>
      <c r="L15" s="4">
        <f t="shared" si="3"/>
        <v>0</v>
      </c>
      <c r="M15" s="3"/>
      <c r="N15" s="4">
        <f t="shared" si="4"/>
        <v>0</v>
      </c>
      <c r="O15" s="3"/>
      <c r="P15" s="5">
        <f t="shared" si="5"/>
        <v>0</v>
      </c>
    </row>
    <row r="16" spans="1:16" x14ac:dyDescent="0.25">
      <c r="A16" s="1">
        <v>12</v>
      </c>
      <c r="B16" s="2" t="s">
        <v>25</v>
      </c>
      <c r="C16" s="1">
        <v>3</v>
      </c>
      <c r="D16" s="3" t="s">
        <v>10</v>
      </c>
      <c r="E16" s="11"/>
      <c r="F16" s="4">
        <f t="shared" si="0"/>
        <v>0</v>
      </c>
      <c r="G16" s="11"/>
      <c r="H16" s="4">
        <f t="shared" si="1"/>
        <v>0</v>
      </c>
      <c r="I16" s="11"/>
      <c r="J16" s="4">
        <f t="shared" si="2"/>
        <v>0</v>
      </c>
      <c r="K16" s="11"/>
      <c r="L16" s="4">
        <f t="shared" si="3"/>
        <v>0</v>
      </c>
      <c r="M16" s="11"/>
      <c r="N16" s="4">
        <f t="shared" si="4"/>
        <v>0</v>
      </c>
      <c r="O16" s="11"/>
      <c r="P16" s="5">
        <f>O16*2</f>
        <v>0</v>
      </c>
    </row>
    <row r="17" spans="1:16" x14ac:dyDescent="0.25">
      <c r="A17" s="1">
        <v>13</v>
      </c>
      <c r="B17" s="2" t="s">
        <v>26</v>
      </c>
      <c r="C17" s="1">
        <v>3</v>
      </c>
      <c r="D17" s="3" t="s">
        <v>10</v>
      </c>
      <c r="E17" s="11"/>
      <c r="F17" s="4">
        <f t="shared" si="0"/>
        <v>0</v>
      </c>
      <c r="G17" s="11"/>
      <c r="H17" s="4">
        <f t="shared" si="1"/>
        <v>0</v>
      </c>
      <c r="I17" s="11"/>
      <c r="J17" s="4">
        <f t="shared" si="2"/>
        <v>0</v>
      </c>
      <c r="K17" s="11"/>
      <c r="L17" s="4">
        <f t="shared" si="3"/>
        <v>0</v>
      </c>
      <c r="M17" s="11"/>
      <c r="N17" s="4">
        <f t="shared" si="4"/>
        <v>0</v>
      </c>
      <c r="O17" s="11"/>
      <c r="P17" s="5">
        <f>O17*2</f>
        <v>0</v>
      </c>
    </row>
    <row r="18" spans="1:16" x14ac:dyDescent="0.25">
      <c r="A18" s="1">
        <v>14</v>
      </c>
      <c r="B18" s="2" t="s">
        <v>27</v>
      </c>
      <c r="C18" s="1">
        <v>56</v>
      </c>
      <c r="D18" s="3" t="s">
        <v>28</v>
      </c>
      <c r="E18" s="11"/>
      <c r="F18" s="4">
        <f t="shared" ref="F18" si="6">C18*E18</f>
        <v>0</v>
      </c>
      <c r="G18" s="11"/>
      <c r="H18" s="4">
        <f t="shared" ref="H18" si="7">C18*G18</f>
        <v>0</v>
      </c>
      <c r="I18" s="11"/>
      <c r="J18" s="4">
        <f t="shared" ref="J18" si="8">I18*C18</f>
        <v>0</v>
      </c>
      <c r="K18" s="11"/>
      <c r="L18" s="4">
        <f t="shared" ref="L18" si="9">K18*C18</f>
        <v>0</v>
      </c>
      <c r="M18" s="11"/>
      <c r="N18" s="4">
        <f t="shared" ref="N18" si="10">M18*C18</f>
        <v>0</v>
      </c>
      <c r="O18" s="11"/>
      <c r="P18" s="5">
        <f>O18*2</f>
        <v>0</v>
      </c>
    </row>
    <row r="19" spans="1:16" x14ac:dyDescent="0.25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3"/>
    </row>
    <row r="20" spans="1:16" x14ac:dyDescent="0.25">
      <c r="A20" s="6" t="s">
        <v>7</v>
      </c>
      <c r="B20" s="6"/>
      <c r="C20" s="7"/>
      <c r="D20" s="6"/>
      <c r="E20" s="6"/>
      <c r="F20" s="8">
        <f>SUM(F5:F17)</f>
        <v>0</v>
      </c>
      <c r="G20" s="8"/>
      <c r="H20" s="8">
        <f t="shared" ref="H20:P20" si="11">SUM(H5:H17)</f>
        <v>0</v>
      </c>
      <c r="I20" s="8"/>
      <c r="J20" s="8">
        <f t="shared" si="11"/>
        <v>0</v>
      </c>
      <c r="K20" s="8"/>
      <c r="L20" s="8">
        <f t="shared" si="11"/>
        <v>0</v>
      </c>
      <c r="M20" s="8"/>
      <c r="N20" s="8">
        <f t="shared" si="11"/>
        <v>0</v>
      </c>
      <c r="O20" s="8"/>
      <c r="P20" s="8">
        <f t="shared" si="11"/>
        <v>0</v>
      </c>
    </row>
    <row r="21" spans="1:16" x14ac:dyDescent="0.25">
      <c r="A21" s="9"/>
      <c r="B21" s="10"/>
      <c r="C21" s="10"/>
      <c r="D21" s="10"/>
      <c r="E21" s="10"/>
      <c r="F21" s="29"/>
      <c r="G21" s="29"/>
      <c r="H21" s="29"/>
      <c r="I21" s="29"/>
      <c r="J21" s="32"/>
      <c r="K21" s="32"/>
      <c r="L21" s="32"/>
      <c r="M21" s="32"/>
      <c r="N21" s="32"/>
      <c r="O21" s="32"/>
      <c r="P21" s="33"/>
    </row>
    <row r="22" spans="1:16" x14ac:dyDescent="0.25">
      <c r="A22" s="15" t="s">
        <v>8</v>
      </c>
      <c r="B22" s="16"/>
      <c r="C22" s="19">
        <f>SUM(F20, H20, J20, L20, N20, P20)</f>
        <v>0</v>
      </c>
      <c r="D22" s="20"/>
      <c r="E22" s="21"/>
      <c r="F22" s="30"/>
      <c r="G22" s="30"/>
      <c r="H22" s="30"/>
      <c r="I22" s="30"/>
      <c r="J22" s="30"/>
      <c r="K22" s="32"/>
      <c r="L22" s="32"/>
      <c r="M22" s="32"/>
      <c r="N22" s="32"/>
      <c r="O22" s="32"/>
      <c r="P22" s="33"/>
    </row>
    <row r="23" spans="1:16" x14ac:dyDescent="0.25">
      <c r="A23" s="17"/>
      <c r="B23" s="18"/>
      <c r="C23" s="22"/>
      <c r="D23" s="23"/>
      <c r="E23" s="24"/>
      <c r="F23" s="34"/>
      <c r="G23" s="34"/>
      <c r="H23" s="34"/>
      <c r="I23" s="34"/>
      <c r="J23" s="34"/>
      <c r="K23" s="35"/>
      <c r="L23" s="35"/>
      <c r="M23" s="35"/>
      <c r="N23" s="35"/>
      <c r="O23" s="35"/>
      <c r="P23" s="36"/>
    </row>
  </sheetData>
  <mergeCells count="5">
    <mergeCell ref="A22:B23"/>
    <mergeCell ref="C22:E23"/>
    <mergeCell ref="A1:P1"/>
    <mergeCell ref="A2:P2"/>
    <mergeCell ref="A3:P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EBAD9AC9BCDB4694ED868E38A17F48" ma:contentTypeVersion="13" ma:contentTypeDescription="Create a new document." ma:contentTypeScope="" ma:versionID="93b908940d6284561e3f98244ece7ccc">
  <xsd:schema xmlns:xsd="http://www.w3.org/2001/XMLSchema" xmlns:xs="http://www.w3.org/2001/XMLSchema" xmlns:p="http://schemas.microsoft.com/office/2006/metadata/properties" xmlns:ns2="66c30d70-2bda-4f91-bcb5-9160118d44b7" xmlns:ns3="59898819-4172-4f64-80a1-3b7f16c02612" targetNamespace="http://schemas.microsoft.com/office/2006/metadata/properties" ma:root="true" ma:fieldsID="63aa06f787c2903b228b1e284e972058" ns2:_="" ns3:_="">
    <xsd:import namespace="66c30d70-2bda-4f91-bcb5-9160118d44b7"/>
    <xsd:import namespace="59898819-4172-4f64-80a1-3b7f16c02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c30d70-2bda-4f91-bcb5-9160118d44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898819-4172-4f64-80a1-3b7f16c02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497e056-d6b8-4310-8140-8e2afd014f84}" ma:internalName="TaxCatchAll" ma:showField="CatchAllData" ma:web="59898819-4172-4f64-80a1-3b7f16c02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898819-4172-4f64-80a1-3b7f16c02612" xsi:nil="true"/>
    <lcf76f155ced4ddcb4097134ff3c332f xmlns="66c30d70-2bda-4f91-bcb5-9160118d44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0FA70A-6674-4557-9B38-0BC6B450BF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c30d70-2bda-4f91-bcb5-9160118d44b7"/>
    <ds:schemaRef ds:uri="59898819-4172-4f64-80a1-3b7f16c02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9CB5E8-55F9-424C-AAE3-A8C786977758}">
  <ds:schemaRefs>
    <ds:schemaRef ds:uri="http://schemas.microsoft.com/office/2006/metadata/properties"/>
    <ds:schemaRef ds:uri="http://schemas.microsoft.com/office/infopath/2007/PartnerControls"/>
    <ds:schemaRef ds:uri="59898819-4172-4f64-80a1-3b7f16c02612"/>
    <ds:schemaRef ds:uri="66c30d70-2bda-4f91-bcb5-9160118d44b7"/>
  </ds:schemaRefs>
</ds:datastoreItem>
</file>

<file path=customXml/itemProps3.xml><?xml version="1.0" encoding="utf-8"?>
<ds:datastoreItem xmlns:ds="http://schemas.openxmlformats.org/officeDocument/2006/customXml" ds:itemID="{E4C377F2-240F-4DF6-AC0C-76DE9501D3E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Sherell G CIV USN NAVSUP FLCN (USA)</dc:creator>
  <cp:lastModifiedBy>Clark, Justin T CIV USN NAVSUP FLCN (USA)</cp:lastModifiedBy>
  <dcterms:created xsi:type="dcterms:W3CDTF">2026-02-06T23:54:35Z</dcterms:created>
  <dcterms:modified xsi:type="dcterms:W3CDTF">2026-03-04T17:07:14Z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0x01010044EBAD9AC9BCDB4694ED868E38A17F48</vt:lpwstr>
  </property>
  <property fmtid="{D5CDD505-2E9C-101B-9397-08002B2CF9AE}" pid="3" name="MediaServiceImageTags">
    <vt:lpwstr/>
  </property>
</Properties>
</file>