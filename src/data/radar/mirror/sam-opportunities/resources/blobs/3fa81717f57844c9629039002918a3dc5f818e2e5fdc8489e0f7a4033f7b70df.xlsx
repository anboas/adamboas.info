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flankspeed-my.sharepoint-mil.us/personal/grace_k_haley_civ_us_navy_mil/Documents/PIDs/24-RFPREQ-PD-42-0134 Arbor Buy/"/>
    </mc:Choice>
  </mc:AlternateContent>
  <xr:revisionPtr revIDLastSave="0" documentId="8_{F7E61C21-E90C-4B0F-8FB7-BB5D17E96686}" xr6:coauthVersionLast="47" xr6:coauthVersionMax="47" xr10:uidLastSave="{00000000-0000-0000-0000-000000000000}"/>
  <bookViews>
    <workbookView xWindow="-28898" yWindow="8" windowWidth="28996" windowHeight="15569" xr2:uid="{00000000-000D-0000-FFFF-FFFF00000000}"/>
  </bookViews>
  <sheets>
    <sheet name="Summary SBPCD" sheetId="1" r:id="rId1"/>
    <sheet name="Direct Labor" sheetId="2" r:id="rId2"/>
    <sheet name="ODC" sheetId="5" r:id="rId3"/>
    <sheet name="List" sheetId="4" state="hidden" r:id="rId4"/>
  </sheets>
  <definedNames>
    <definedName name="DLSB">'Direct Labor'!$F$4:$F$23</definedName>
    <definedName name="ODCSB">ODC!$C$4:$C$23</definedName>
    <definedName name="_xlnm.Print_Area" localSheetId="0">'Summary SBPCD'!$A$1:$G$22</definedName>
    <definedName name="SBCAT1">'Direct Labor'!$B$4:$B$23</definedName>
    <definedName name="SBCAT2">ODC!#REF!</definedName>
    <definedName name="SBP">List!$B$10</definedName>
    <definedName name="TCV">List!$B$9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B13" i="1" l="1"/>
  <c r="B10" i="1" l="1"/>
  <c r="B15" i="1" l="1"/>
  <c r="B12" i="1"/>
  <c r="B11" i="1"/>
  <c r="D5" i="5" l="1"/>
  <c r="D6" i="5"/>
  <c r="D7" i="5"/>
  <c r="D8" i="5"/>
  <c r="D9" i="5"/>
  <c r="D10" i="5"/>
  <c r="D11" i="5"/>
  <c r="D12" i="5"/>
  <c r="D13" i="5"/>
  <c r="D14" i="5"/>
  <c r="D15" i="5"/>
  <c r="D16" i="5"/>
  <c r="D17" i="5"/>
  <c r="D18" i="5"/>
  <c r="D19" i="5"/>
  <c r="D20" i="5"/>
  <c r="D21" i="5"/>
  <c r="D22" i="5"/>
  <c r="D23" i="5"/>
  <c r="D4" i="5"/>
  <c r="G5" i="2"/>
  <c r="G6" i="2"/>
  <c r="G7" i="2"/>
  <c r="G8" i="2"/>
  <c r="G9" i="2"/>
  <c r="G10" i="2"/>
  <c r="G11" i="2"/>
  <c r="G12" i="2"/>
  <c r="G13" i="2"/>
  <c r="G14" i="2"/>
  <c r="G15" i="2"/>
  <c r="G16" i="2"/>
  <c r="G17" i="2"/>
  <c r="G18" i="2"/>
  <c r="G19" i="2"/>
  <c r="G20" i="2"/>
  <c r="G21" i="2"/>
  <c r="G22" i="2"/>
  <c r="G23" i="2"/>
  <c r="G4" i="2"/>
  <c r="B10" i="4"/>
  <c r="B9" i="4"/>
  <c r="D24" i="5" l="1"/>
  <c r="G24" i="2"/>
  <c r="C24" i="5"/>
  <c r="B17" i="1" s="1"/>
  <c r="F24" i="2"/>
  <c r="B16" i="1" s="1"/>
  <c r="B18" i="1" s="1"/>
  <c r="B5" i="1" l="1"/>
  <c r="D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Tung, Doris S NSWC Philadelphia, 021</author>
  </authors>
  <commentList>
    <comment ref="D4" authorId="0" shapeId="0" xr:uid="{00000000-0006-0000-0000-000001000000}">
      <text>
        <r>
          <rPr>
            <b/>
            <sz val="9"/>
            <color indexed="81"/>
            <rFont val="Tahoma"/>
            <family val="2"/>
          </rPr>
          <t>Input total proposed contract amount.  This amount must be equal to the total amounts proposed under Section B for all CLINs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Tung, Doris S NSWC Philadelphia, 021</author>
  </authors>
  <commentList>
    <comment ref="B3" authorId="0" shapeId="0" xr:uid="{00000000-0006-0000-0100-000001000000}">
      <text>
        <r>
          <rPr>
            <b/>
            <sz val="9"/>
            <color indexed="81"/>
            <rFont val="Tahoma"/>
            <family val="2"/>
          </rPr>
          <t xml:space="preserve">Use the dropdown to select the appropriate SB category
</t>
        </r>
      </text>
    </comment>
  </commentList>
</comments>
</file>

<file path=xl/sharedStrings.xml><?xml version="1.0" encoding="utf-8"?>
<sst xmlns="http://schemas.openxmlformats.org/spreadsheetml/2006/main" count="58" uniqueCount="43">
  <si>
    <t>DIRECT LABOR</t>
  </si>
  <si>
    <t>Name of Proposed SB Firm</t>
  </si>
  <si>
    <t>Small Business Category</t>
  </si>
  <si>
    <t>TOTAL CONTRACT VALUE (TCV)</t>
  </si>
  <si>
    <t>Description of Work</t>
  </si>
  <si>
    <t>SOW Paragraph Reference (Section C)</t>
  </si>
  <si>
    <t>Small Business</t>
  </si>
  <si>
    <t>Small Disadvantaged Business</t>
  </si>
  <si>
    <t>Women-Owned Small Business</t>
  </si>
  <si>
    <t>Veteran-Owned Small Business</t>
  </si>
  <si>
    <t>HUBZone Small Business</t>
  </si>
  <si>
    <t>SB</t>
  </si>
  <si>
    <t>SDB</t>
  </si>
  <si>
    <t>WOSB</t>
  </si>
  <si>
    <t>HUBZone</t>
  </si>
  <si>
    <t>TOTAL SB PARTICIPATION</t>
  </si>
  <si>
    <t>OTHER DIRECT COSTS (ODC)</t>
  </si>
  <si>
    <t>Identify the SB firms that will be subcontracted work under ODC CLINs (travel, material, specialized services)</t>
  </si>
  <si>
    <t>TOTAL</t>
  </si>
  <si>
    <t>OFFEROR TOTAL PROPOSED SB %</t>
  </si>
  <si>
    <t>% of TCV</t>
  </si>
  <si>
    <t>Percentage</t>
  </si>
  <si>
    <t>Dollars</t>
  </si>
  <si>
    <t>% of  TCV)</t>
  </si>
  <si>
    <t>as % of TCV</t>
  </si>
  <si>
    <t>as % of Total SB Participation</t>
  </si>
  <si>
    <t>Direct Labor:</t>
  </si>
  <si>
    <t xml:space="preserve">  Small Business Category</t>
  </si>
  <si>
    <t>Total Proposed $ SB Subcontract</t>
  </si>
  <si>
    <t>Nane of Subcontractor (if known)</t>
  </si>
  <si>
    <t>Total Proposed SB Subcontract $</t>
  </si>
  <si>
    <t>NAICS</t>
  </si>
  <si>
    <t>SDVOSB</t>
  </si>
  <si>
    <t>SB1</t>
  </si>
  <si>
    <t>SB2</t>
  </si>
  <si>
    <t>Identify the SB firms that will be subcontracted direct labor hours, repeat rows for each socio-economic category for each small business (i.e. one small business may have multiple rows)</t>
  </si>
  <si>
    <t>Proposed 
SB Labor and ODC                            $</t>
  </si>
  <si>
    <t xml:space="preserve">  Total Small Business Participation-Labor</t>
  </si>
  <si>
    <r>
      <rPr>
        <b/>
        <sz val="12"/>
        <color theme="1"/>
        <rFont val="Calibri"/>
        <family val="2"/>
        <scheme val="minor"/>
      </rPr>
      <t xml:space="preserve">Note: </t>
    </r>
    <r>
      <rPr>
        <sz val="12"/>
        <color theme="1"/>
        <rFont val="Calibri"/>
        <family val="2"/>
        <scheme val="minor"/>
      </rPr>
      <t xml:space="preserve"> Offerors shall complete cells highlighted in grey.    Offerors are responsbile for validating each proposed subcontractor, identifying the appropriate NAICS code and the appropriate small business size determination.  Small Business (SB) includes Small Businesses, Small Disadvantaged Business, Women-Owned Small Business, Veteran-Owned Small Business,  HUBZone Small Business.</t>
    </r>
  </si>
  <si>
    <t>Total Small Business Participation - ODC</t>
  </si>
  <si>
    <t>SD Veteran-Owned Small Business</t>
  </si>
  <si>
    <t>VOSB</t>
  </si>
  <si>
    <t>Solicitation __N6449826R0012_______Attachment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</si>
</sst>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9"/>
      <color indexed="81"/>
      <name val="Tahoma"/>
      <family val="2"/>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2" fillId="0" borderId="1" xfId="0" applyFont="1" applyFill="1" applyBorder="1" applyAlignment="1">
      <alignment wrapText="1"/>
    </xf>
    <xf numFmtId="0" fontId="2" fillId="0" borderId="1" xfId="0" applyFont="1" applyBorder="1" applyAlignment="1">
      <alignment wrapText="1"/>
    </xf>
    <xf numFmtId="9" fontId="0" fillId="0" borderId="1" xfId="1" applyFont="1" applyBorder="1"/>
    <xf numFmtId="0" fontId="0" fillId="2" borderId="1" xfId="0" applyFill="1" applyBorder="1"/>
    <xf numFmtId="0" fontId="0" fillId="2" borderId="1" xfId="0" applyFill="1" applyBorder="1" applyAlignment="1">
      <alignment wrapText="1"/>
    </xf>
    <xf numFmtId="164" fontId="0" fillId="2" borderId="1" xfId="0" applyNumberFormat="1" applyFill="1" applyBorder="1"/>
    <xf numFmtId="0" fontId="4" fillId="0" borderId="0" xfId="0" applyFont="1"/>
    <xf numFmtId="0" fontId="5" fillId="0" borderId="0" xfId="0" applyFont="1"/>
    <xf numFmtId="164" fontId="5" fillId="0" borderId="0" xfId="0" applyNumberFormat="1" applyFont="1" applyFill="1" applyBorder="1"/>
    <xf numFmtId="0" fontId="4" fillId="0" borderId="1" xfId="0" applyFont="1" applyBorder="1" applyAlignment="1">
      <alignment horizontal="center" vertical="center" wrapText="1"/>
    </xf>
    <xf numFmtId="0" fontId="4" fillId="0" borderId="1" xfId="0" applyFont="1" applyBorder="1" applyAlignment="1">
      <alignment horizontal="center"/>
    </xf>
    <xf numFmtId="0" fontId="4" fillId="0" borderId="0" xfId="0" applyFont="1" applyFill="1"/>
    <xf numFmtId="0" fontId="2" fillId="0" borderId="1" xfId="0" applyFont="1" applyBorder="1"/>
    <xf numFmtId="0" fontId="0" fillId="4" borderId="1" xfId="0" applyFill="1" applyBorder="1"/>
    <xf numFmtId="164" fontId="0" fillId="0" borderId="1" xfId="0" applyNumberFormat="1" applyBorder="1"/>
    <xf numFmtId="9" fontId="0" fillId="0" borderId="1" xfId="1" applyNumberFormat="1" applyFont="1" applyBorder="1"/>
    <xf numFmtId="0" fontId="4" fillId="0" borderId="6" xfId="0" applyFont="1" applyBorder="1"/>
    <xf numFmtId="0" fontId="4" fillId="0" borderId="8" xfId="0" applyFont="1" applyBorder="1"/>
    <xf numFmtId="9" fontId="5" fillId="0" borderId="6" xfId="1" applyFont="1" applyFill="1" applyBorder="1"/>
    <xf numFmtId="165" fontId="5" fillId="0" borderId="7" xfId="0" applyNumberFormat="1" applyFont="1" applyBorder="1"/>
    <xf numFmtId="165" fontId="5" fillId="2" borderId="9" xfId="0" applyNumberFormat="1" applyFont="1" applyFill="1" applyBorder="1"/>
    <xf numFmtId="0" fontId="0" fillId="4" borderId="5" xfId="0" applyFill="1" applyBorder="1"/>
    <xf numFmtId="0" fontId="4" fillId="0" borderId="10" xfId="0" applyFont="1" applyBorder="1" applyAlignment="1">
      <alignment horizontal="center"/>
    </xf>
    <xf numFmtId="0" fontId="4" fillId="0" borderId="1" xfId="0" applyFont="1" applyBorder="1" applyAlignment="1">
      <alignment horizontal="left"/>
    </xf>
    <xf numFmtId="0" fontId="4" fillId="4" borderId="1" xfId="0" applyFont="1" applyFill="1" applyBorder="1" applyAlignment="1">
      <alignment horizontal="center" vertical="center" wrapText="1"/>
    </xf>
    <xf numFmtId="0" fontId="0" fillId="4" borderId="12" xfId="0" applyFill="1" applyBorder="1"/>
    <xf numFmtId="9" fontId="5" fillId="0" borderId="13" xfId="1" applyFont="1" applyFill="1" applyBorder="1"/>
    <xf numFmtId="164" fontId="0" fillId="0" borderId="0" xfId="0" applyNumberFormat="1"/>
    <xf numFmtId="9" fontId="0" fillId="0" borderId="0" xfId="0" applyNumberFormat="1"/>
    <xf numFmtId="0" fontId="4" fillId="0" borderId="10" xfId="0" applyFont="1" applyBorder="1"/>
    <xf numFmtId="165" fontId="5" fillId="3" borderId="1" xfId="0" applyNumberFormat="1" applyFont="1" applyFill="1" applyBorder="1"/>
    <xf numFmtId="165" fontId="5" fillId="3" borderId="10" xfId="0" applyNumberFormat="1" applyFont="1" applyFill="1" applyBorder="1"/>
    <xf numFmtId="165" fontId="4" fillId="3" borderId="15" xfId="1" applyNumberFormat="1" applyFont="1" applyFill="1" applyBorder="1"/>
    <xf numFmtId="0" fontId="4" fillId="0" borderId="11" xfId="0" applyFont="1" applyFill="1" applyBorder="1" applyAlignment="1">
      <alignment horizontal="right"/>
    </xf>
    <xf numFmtId="165" fontId="4" fillId="3" borderId="11" xfId="0" applyNumberFormat="1" applyFont="1" applyFill="1" applyBorder="1"/>
    <xf numFmtId="0" fontId="4" fillId="3" borderId="11" xfId="0" applyFont="1" applyFill="1" applyBorder="1" applyAlignment="1">
      <alignment horizontal="right"/>
    </xf>
    <xf numFmtId="165" fontId="5" fillId="3" borderId="10" xfId="1" applyNumberFormat="1" applyFont="1" applyFill="1" applyBorder="1"/>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0" xfId="0" applyFont="1" applyBorder="1" applyAlignment="1">
      <alignment horizontal="left"/>
    </xf>
    <xf numFmtId="0" fontId="0" fillId="0" borderId="0" xfId="0" applyAlignment="1"/>
    <xf numFmtId="0" fontId="0" fillId="0" borderId="14" xfId="0"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zoomScale="110" zoomScaleNormal="110" workbookViewId="0">
      <selection activeCell="A2" sqref="A2:G2"/>
    </sheetView>
  </sheetViews>
  <sheetFormatPr defaultRowHeight="14.25" x14ac:dyDescent="0.45"/>
  <cols>
    <col min="1" max="1" width="50" customWidth="1"/>
    <col min="2" max="3" width="16.73046875" customWidth="1"/>
    <col min="4" max="4" width="18" bestFit="1" customWidth="1"/>
    <col min="5" max="6" width="22.1328125" customWidth="1"/>
    <col min="7" max="7" width="19" customWidth="1"/>
    <col min="8" max="8" width="20.59765625" customWidth="1"/>
  </cols>
  <sheetData>
    <row r="1" spans="1:7" ht="15.75" x14ac:dyDescent="0.5">
      <c r="A1" s="12" t="s">
        <v>42</v>
      </c>
      <c r="B1" s="7"/>
      <c r="C1" s="7"/>
      <c r="D1" s="7"/>
      <c r="E1" s="7"/>
      <c r="F1" s="7"/>
      <c r="G1" s="7"/>
    </row>
    <row r="2" spans="1:7" ht="65.25" customHeight="1" x14ac:dyDescent="0.45">
      <c r="A2" s="38" t="s">
        <v>38</v>
      </c>
      <c r="B2" s="39"/>
      <c r="C2" s="39"/>
      <c r="D2" s="39"/>
      <c r="E2" s="39"/>
      <c r="F2" s="39"/>
      <c r="G2" s="39"/>
    </row>
    <row r="3" spans="1:7" ht="16.149999999999999" thickBot="1" x14ac:dyDescent="0.55000000000000004">
      <c r="A3" s="8"/>
      <c r="B3" s="18" t="s">
        <v>21</v>
      </c>
      <c r="C3" s="18"/>
      <c r="D3" s="18" t="s">
        <v>22</v>
      </c>
      <c r="E3" s="8"/>
      <c r="F3" s="8"/>
      <c r="G3" s="8"/>
    </row>
    <row r="4" spans="1:7" ht="16.149999999999999" thickBot="1" x14ac:dyDescent="0.55000000000000004">
      <c r="A4" s="7" t="s">
        <v>3</v>
      </c>
      <c r="B4" s="22"/>
      <c r="C4" s="26"/>
      <c r="D4" s="21">
        <v>50000000</v>
      </c>
      <c r="E4" s="8"/>
      <c r="F4" s="8"/>
      <c r="G4" s="8"/>
    </row>
    <row r="5" spans="1:7" ht="16.149999999999999" thickBot="1" x14ac:dyDescent="0.55000000000000004">
      <c r="A5" s="17" t="s">
        <v>19</v>
      </c>
      <c r="B5" s="19">
        <f>B18/D4</f>
        <v>0.48</v>
      </c>
      <c r="C5" s="27"/>
      <c r="D5" s="20">
        <f>D4*B5</f>
        <v>24000000</v>
      </c>
      <c r="E5" s="8"/>
      <c r="F5" s="8"/>
      <c r="G5" s="8"/>
    </row>
    <row r="6" spans="1:7" ht="15.75" x14ac:dyDescent="0.5">
      <c r="A6" s="7"/>
      <c r="B6" s="9"/>
      <c r="C6" s="9"/>
      <c r="D6" s="8"/>
      <c r="E6" s="8"/>
      <c r="F6" s="8"/>
      <c r="G6" s="8"/>
    </row>
    <row r="7" spans="1:7" ht="15.75" x14ac:dyDescent="0.5">
      <c r="A7" s="7" t="s">
        <v>15</v>
      </c>
      <c r="B7" s="8"/>
      <c r="C7" s="8"/>
      <c r="D7" s="8"/>
      <c r="E7" s="8"/>
      <c r="F7" s="8"/>
      <c r="G7" s="8"/>
    </row>
    <row r="8" spans="1:7" ht="47.25" x14ac:dyDescent="0.5">
      <c r="A8" s="7" t="s">
        <v>26</v>
      </c>
      <c r="B8" s="10" t="s">
        <v>36</v>
      </c>
      <c r="D8" s="8"/>
      <c r="E8" s="8"/>
      <c r="F8" s="8"/>
    </row>
    <row r="9" spans="1:7" ht="15.75" x14ac:dyDescent="0.5">
      <c r="A9" s="24" t="s">
        <v>27</v>
      </c>
      <c r="B9" s="25"/>
      <c r="D9" s="8"/>
    </row>
    <row r="10" spans="1:7" ht="15.75" x14ac:dyDescent="0.5">
      <c r="A10" s="11" t="s">
        <v>6</v>
      </c>
      <c r="B10" s="31">
        <f>SUMIF(SBCAT1,"SB",DLSB)</f>
        <v>5000000</v>
      </c>
      <c r="D10" s="8"/>
    </row>
    <row r="11" spans="1:7" ht="15.75" x14ac:dyDescent="0.5">
      <c r="A11" s="11" t="s">
        <v>7</v>
      </c>
      <c r="B11" s="31">
        <f>SUMIF(SBCAT1,"SDB",DLSB)</f>
        <v>5000000</v>
      </c>
      <c r="D11" s="8"/>
    </row>
    <row r="12" spans="1:7" ht="15.75" x14ac:dyDescent="0.5">
      <c r="A12" s="11" t="s">
        <v>8</v>
      </c>
      <c r="B12" s="31">
        <f>SUMIF(SBCAT1,"WOSB",DLSB)</f>
        <v>2000000</v>
      </c>
      <c r="D12" s="8"/>
    </row>
    <row r="13" spans="1:7" ht="15.75" x14ac:dyDescent="0.5">
      <c r="A13" s="11" t="s">
        <v>40</v>
      </c>
      <c r="B13" s="31">
        <f>SUMIF(SBCAT1,"SDVOSB",DLSB)</f>
        <v>2000000</v>
      </c>
      <c r="D13" s="8"/>
    </row>
    <row r="14" spans="1:7" ht="15.75" x14ac:dyDescent="0.5">
      <c r="A14" s="23" t="s">
        <v>9</v>
      </c>
      <c r="B14" s="31">
        <f>SUMIF(SBCAT1,"VOSB",DLSB)</f>
        <v>0</v>
      </c>
      <c r="D14" s="8"/>
    </row>
    <row r="15" spans="1:7" ht="16.149999999999999" thickBot="1" x14ac:dyDescent="0.55000000000000004">
      <c r="A15" s="23" t="s">
        <v>10</v>
      </c>
      <c r="B15" s="32">
        <f>SUMIF(SBCAT1,"Hubzone",DLSB)</f>
        <v>0</v>
      </c>
      <c r="D15" s="8"/>
    </row>
    <row r="16" spans="1:7" ht="15.75" x14ac:dyDescent="0.5">
      <c r="A16" s="36" t="s">
        <v>37</v>
      </c>
      <c r="B16" s="33">
        <f>'Direct Labor'!F24</f>
        <v>14000000</v>
      </c>
      <c r="D16" s="8"/>
    </row>
    <row r="17" spans="1:5" ht="16.149999999999999" thickBot="1" x14ac:dyDescent="0.55000000000000004">
      <c r="A17" s="30" t="s">
        <v>39</v>
      </c>
      <c r="B17" s="37">
        <f>ODC!C24</f>
        <v>10000000</v>
      </c>
      <c r="D17" s="8"/>
    </row>
    <row r="18" spans="1:5" ht="15.75" x14ac:dyDescent="0.5">
      <c r="A18" s="34" t="s">
        <v>15</v>
      </c>
      <c r="B18" s="35">
        <f>B16+B17</f>
        <v>24000000</v>
      </c>
    </row>
    <row r="19" spans="1:5" ht="15.75" x14ac:dyDescent="0.5">
      <c r="C19" s="28"/>
      <c r="E19" s="8"/>
    </row>
    <row r="20" spans="1:5" x14ac:dyDescent="0.45">
      <c r="E20" s="29"/>
    </row>
  </sheetData>
  <mergeCells count="1">
    <mergeCell ref="A2:G2"/>
  </mergeCells>
  <pageMargins left="0.7" right="0.7" top="0.75" bottom="0.75" header="0.3" footer="0.3"/>
  <pageSetup orientation="landscape" r:id="rId1"/>
  <headerFooter>
    <oddHeader>&amp;C&amp;"-,Bold"NSWCPD Small Business Participation Commitment Document (SBPCD)</oddHeader>
    <oddFooter>&amp;C&amp;P&amp;N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zoomScaleNormal="100" workbookViewId="0">
      <selection activeCell="C28" sqref="C28"/>
    </sheetView>
  </sheetViews>
  <sheetFormatPr defaultRowHeight="14.25" x14ac:dyDescent="0.45"/>
  <cols>
    <col min="1" max="1" width="16.1328125" customWidth="1"/>
    <col min="2" max="2" width="23.86328125" customWidth="1"/>
    <col min="3" max="4" width="35.265625" customWidth="1"/>
    <col min="5" max="5" width="13.3984375" customWidth="1"/>
    <col min="6" max="6" width="17.73046875" customWidth="1"/>
    <col min="7" max="7" width="8.86328125" customWidth="1"/>
    <col min="8" max="8" width="9.1328125" hidden="1" customWidth="1"/>
    <col min="9" max="9" width="6" hidden="1" customWidth="1"/>
    <col min="10" max="12" width="9.1328125" hidden="1" customWidth="1"/>
  </cols>
  <sheetData>
    <row r="1" spans="1:12" x14ac:dyDescent="0.45">
      <c r="A1" s="40" t="s">
        <v>0</v>
      </c>
      <c r="B1" s="41"/>
      <c r="C1" s="41"/>
      <c r="D1" s="41"/>
      <c r="E1" s="41"/>
      <c r="F1" s="41"/>
      <c r="G1" s="41"/>
      <c r="H1" s="41"/>
      <c r="I1" s="41"/>
      <c r="J1" s="41"/>
      <c r="K1" s="41"/>
      <c r="L1" s="42"/>
    </row>
    <row r="2" spans="1:12" x14ac:dyDescent="0.45">
      <c r="A2" t="s">
        <v>35</v>
      </c>
    </row>
    <row r="3" spans="1:12" ht="57" x14ac:dyDescent="0.45">
      <c r="A3" s="1" t="s">
        <v>1</v>
      </c>
      <c r="B3" s="2" t="s">
        <v>2</v>
      </c>
      <c r="C3" s="2" t="s">
        <v>4</v>
      </c>
      <c r="D3" s="2" t="s">
        <v>31</v>
      </c>
      <c r="E3" s="2" t="s">
        <v>5</v>
      </c>
      <c r="F3" s="2" t="s">
        <v>28</v>
      </c>
      <c r="G3" s="2" t="s">
        <v>23</v>
      </c>
    </row>
    <row r="4" spans="1:12" ht="18" customHeight="1" x14ac:dyDescent="0.45">
      <c r="A4" s="5" t="s">
        <v>33</v>
      </c>
      <c r="B4" s="4" t="s">
        <v>12</v>
      </c>
      <c r="C4" s="5"/>
      <c r="D4" s="5"/>
      <c r="E4" s="4"/>
      <c r="F4" s="6">
        <v>5000000</v>
      </c>
      <c r="G4" s="3">
        <f>F4/'Summary SBPCD'!$D$4</f>
        <v>0.1</v>
      </c>
    </row>
    <row r="5" spans="1:12" ht="18" customHeight="1" x14ac:dyDescent="0.45">
      <c r="A5" s="5" t="s">
        <v>33</v>
      </c>
      <c r="B5" s="4" t="s">
        <v>11</v>
      </c>
      <c r="C5" s="5"/>
      <c r="D5" s="5"/>
      <c r="E5" s="4"/>
      <c r="F5" s="6">
        <v>5000000</v>
      </c>
      <c r="G5" s="3">
        <f>F5/'Summary SBPCD'!$D$4</f>
        <v>0.1</v>
      </c>
    </row>
    <row r="6" spans="1:12" ht="18" customHeight="1" x14ac:dyDescent="0.45">
      <c r="A6" s="5" t="s">
        <v>33</v>
      </c>
      <c r="B6" s="4" t="s">
        <v>13</v>
      </c>
      <c r="C6" s="5"/>
      <c r="D6" s="5"/>
      <c r="E6" s="4"/>
      <c r="F6" s="6">
        <v>2000000</v>
      </c>
      <c r="G6" s="3">
        <f>F6/'Summary SBPCD'!$D$4</f>
        <v>0.04</v>
      </c>
    </row>
    <row r="7" spans="1:12" ht="18" customHeight="1" x14ac:dyDescent="0.45">
      <c r="A7" s="5" t="s">
        <v>34</v>
      </c>
      <c r="B7" s="4" t="s">
        <v>32</v>
      </c>
      <c r="C7" s="5"/>
      <c r="D7" s="5"/>
      <c r="E7" s="4"/>
      <c r="F7" s="6">
        <v>2000000</v>
      </c>
      <c r="G7" s="3">
        <f>F7/'Summary SBPCD'!$D$4</f>
        <v>0.04</v>
      </c>
    </row>
    <row r="8" spans="1:12" ht="18" customHeight="1" x14ac:dyDescent="0.45">
      <c r="A8" s="5"/>
      <c r="B8" s="4"/>
      <c r="C8" s="5"/>
      <c r="D8" s="5"/>
      <c r="E8" s="4"/>
      <c r="F8" s="6"/>
      <c r="G8" s="3">
        <f>F8/'Summary SBPCD'!$D$4</f>
        <v>0</v>
      </c>
    </row>
    <row r="9" spans="1:12" ht="18" customHeight="1" x14ac:dyDescent="0.45">
      <c r="A9" s="5"/>
      <c r="B9" s="4"/>
      <c r="C9" s="5"/>
      <c r="D9" s="5"/>
      <c r="E9" s="4"/>
      <c r="F9" s="6"/>
      <c r="G9" s="3">
        <f>F9/'Summary SBPCD'!$D$4</f>
        <v>0</v>
      </c>
    </row>
    <row r="10" spans="1:12" ht="18" customHeight="1" x14ac:dyDescent="0.45">
      <c r="A10" s="5"/>
      <c r="B10" s="4"/>
      <c r="C10" s="5"/>
      <c r="D10" s="5"/>
      <c r="E10" s="4"/>
      <c r="F10" s="6"/>
      <c r="G10" s="3">
        <f>F10/'Summary SBPCD'!$D$4</f>
        <v>0</v>
      </c>
    </row>
    <row r="11" spans="1:12" ht="18" customHeight="1" x14ac:dyDescent="0.45">
      <c r="A11" s="5"/>
      <c r="B11" s="4"/>
      <c r="C11" s="5"/>
      <c r="D11" s="5"/>
      <c r="E11" s="4"/>
      <c r="F11" s="6"/>
      <c r="G11" s="3">
        <f>F11/'Summary SBPCD'!$D$4</f>
        <v>0</v>
      </c>
    </row>
    <row r="12" spans="1:12" ht="18" customHeight="1" x14ac:dyDescent="0.45">
      <c r="A12" s="5"/>
      <c r="B12" s="4"/>
      <c r="C12" s="5"/>
      <c r="D12" s="5"/>
      <c r="E12" s="4"/>
      <c r="F12" s="6"/>
      <c r="G12" s="3">
        <f>F12/'Summary SBPCD'!$D$4</f>
        <v>0</v>
      </c>
    </row>
    <row r="13" spans="1:12" ht="18" customHeight="1" x14ac:dyDescent="0.45">
      <c r="A13" s="5"/>
      <c r="B13" s="4"/>
      <c r="C13" s="5"/>
      <c r="D13" s="5"/>
      <c r="E13" s="4"/>
      <c r="F13" s="6"/>
      <c r="G13" s="3">
        <f>F13/'Summary SBPCD'!$D$4</f>
        <v>0</v>
      </c>
    </row>
    <row r="14" spans="1:12" ht="18" customHeight="1" x14ac:dyDescent="0.45">
      <c r="A14" s="5"/>
      <c r="B14" s="4"/>
      <c r="C14" s="5"/>
      <c r="D14" s="5"/>
      <c r="E14" s="4"/>
      <c r="F14" s="6"/>
      <c r="G14" s="3">
        <f>F14/'Summary SBPCD'!$D$4</f>
        <v>0</v>
      </c>
    </row>
    <row r="15" spans="1:12" ht="18" customHeight="1" x14ac:dyDescent="0.45">
      <c r="A15" s="5"/>
      <c r="B15" s="4"/>
      <c r="C15" s="5"/>
      <c r="D15" s="5"/>
      <c r="E15" s="4"/>
      <c r="F15" s="6"/>
      <c r="G15" s="3">
        <f>F15/'Summary SBPCD'!$D$4</f>
        <v>0</v>
      </c>
    </row>
    <row r="16" spans="1:12" ht="18" customHeight="1" x14ac:dyDescent="0.45">
      <c r="A16" s="5"/>
      <c r="B16" s="4"/>
      <c r="C16" s="5"/>
      <c r="D16" s="5"/>
      <c r="E16" s="4"/>
      <c r="F16" s="6"/>
      <c r="G16" s="3">
        <f>F16/'Summary SBPCD'!$D$4</f>
        <v>0</v>
      </c>
    </row>
    <row r="17" spans="1:7" ht="18" customHeight="1" x14ac:dyDescent="0.45">
      <c r="A17" s="5"/>
      <c r="B17" s="4"/>
      <c r="C17" s="5"/>
      <c r="D17" s="5"/>
      <c r="E17" s="4"/>
      <c r="F17" s="6"/>
      <c r="G17" s="3">
        <f>F17/'Summary SBPCD'!$D$4</f>
        <v>0</v>
      </c>
    </row>
    <row r="18" spans="1:7" ht="18" customHeight="1" x14ac:dyDescent="0.45">
      <c r="A18" s="5"/>
      <c r="B18" s="4"/>
      <c r="C18" s="5"/>
      <c r="D18" s="5"/>
      <c r="E18" s="4"/>
      <c r="F18" s="6"/>
      <c r="G18" s="3">
        <f>F18/'Summary SBPCD'!$D$4</f>
        <v>0</v>
      </c>
    </row>
    <row r="19" spans="1:7" ht="18" customHeight="1" x14ac:dyDescent="0.45">
      <c r="A19" s="5"/>
      <c r="B19" s="4"/>
      <c r="C19" s="5"/>
      <c r="D19" s="5"/>
      <c r="E19" s="4"/>
      <c r="F19" s="6"/>
      <c r="G19" s="3">
        <f>F19/'Summary SBPCD'!$D$4</f>
        <v>0</v>
      </c>
    </row>
    <row r="20" spans="1:7" ht="18" customHeight="1" x14ac:dyDescent="0.45">
      <c r="A20" s="5"/>
      <c r="B20" s="4"/>
      <c r="C20" s="5"/>
      <c r="D20" s="5"/>
      <c r="E20" s="4"/>
      <c r="F20" s="6"/>
      <c r="G20" s="3">
        <f>F20/'Summary SBPCD'!$D$4</f>
        <v>0</v>
      </c>
    </row>
    <row r="21" spans="1:7" ht="18" customHeight="1" x14ac:dyDescent="0.45">
      <c r="A21" s="5"/>
      <c r="B21" s="4"/>
      <c r="C21" s="5"/>
      <c r="D21" s="5"/>
      <c r="E21" s="4"/>
      <c r="F21" s="6"/>
      <c r="G21" s="3">
        <f>F21/'Summary SBPCD'!$D$4</f>
        <v>0</v>
      </c>
    </row>
    <row r="22" spans="1:7" ht="18" customHeight="1" x14ac:dyDescent="0.45">
      <c r="A22" s="5"/>
      <c r="B22" s="4"/>
      <c r="C22" s="5"/>
      <c r="D22" s="5"/>
      <c r="E22" s="4"/>
      <c r="F22" s="6"/>
      <c r="G22" s="3">
        <f>F22/'Summary SBPCD'!$D$4</f>
        <v>0</v>
      </c>
    </row>
    <row r="23" spans="1:7" ht="18" customHeight="1" x14ac:dyDescent="0.45">
      <c r="A23" s="5"/>
      <c r="B23" s="4"/>
      <c r="C23" s="5"/>
      <c r="D23" s="5"/>
      <c r="E23" s="4"/>
      <c r="F23" s="6"/>
      <c r="G23" s="3">
        <f>F23/'Summary SBPCD'!$D$4</f>
        <v>0</v>
      </c>
    </row>
    <row r="24" spans="1:7" x14ac:dyDescent="0.45">
      <c r="A24" s="13" t="s">
        <v>18</v>
      </c>
      <c r="B24" s="14"/>
      <c r="C24" s="14"/>
      <c r="D24" s="14"/>
      <c r="E24" s="14"/>
      <c r="F24" s="15">
        <f>SUM(F4:F23)</f>
        <v>14000000</v>
      </c>
      <c r="G24" s="3">
        <f>SUM(G4:G23)</f>
        <v>0.28000000000000003</v>
      </c>
    </row>
  </sheetData>
  <mergeCells count="1">
    <mergeCell ref="A1:L1"/>
  </mergeCells>
  <pageMargins left="0.7" right="0.7" top="0.75" bottom="0.75" header="0.3" footer="0.3"/>
  <pageSetup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List!$B$1:$B$6</xm:f>
          </x14:formula1>
          <xm:sqref>B4:B23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
  <sheetViews>
    <sheetView zoomScaleNormal="100" workbookViewId="0">
      <selection activeCell="C5" sqref="C5"/>
    </sheetView>
  </sheetViews>
  <sheetFormatPr defaultRowHeight="14.25" x14ac:dyDescent="0.45"/>
  <cols>
    <col min="1" max="1" width="15.73046875" customWidth="1"/>
    <col min="2" max="2" width="28.59765625" customWidth="1"/>
    <col min="3" max="3" width="23.86328125" customWidth="1"/>
    <col min="4" max="4" width="13.59765625" customWidth="1"/>
    <col min="5" max="5" width="13.3984375" customWidth="1"/>
    <col min="6" max="6" width="17.73046875" customWidth="1"/>
    <col min="7" max="7" width="8.86328125" customWidth="1"/>
    <col min="8" max="8" width="9.1328125" hidden="1" customWidth="1"/>
    <col min="9" max="9" width="6" hidden="1" customWidth="1"/>
    <col min="10" max="12" width="9.1328125" hidden="1" customWidth="1"/>
  </cols>
  <sheetData>
    <row r="1" spans="1:12" x14ac:dyDescent="0.45">
      <c r="A1" s="43" t="s">
        <v>16</v>
      </c>
      <c r="B1" s="44"/>
      <c r="C1" s="44"/>
      <c r="D1" s="44"/>
      <c r="E1" s="44"/>
      <c r="F1" s="44"/>
      <c r="G1" s="44"/>
      <c r="H1" s="44"/>
      <c r="I1" s="44"/>
      <c r="J1" s="44"/>
      <c r="K1" s="44"/>
      <c r="L1" s="45"/>
    </row>
    <row r="2" spans="1:12" x14ac:dyDescent="0.45">
      <c r="A2" t="s">
        <v>17</v>
      </c>
    </row>
    <row r="3" spans="1:12" ht="42.75" x14ac:dyDescent="0.45">
      <c r="A3" s="2" t="s">
        <v>29</v>
      </c>
      <c r="B3" s="2" t="s">
        <v>4</v>
      </c>
      <c r="C3" s="2" t="s">
        <v>30</v>
      </c>
      <c r="D3" s="2" t="s">
        <v>20</v>
      </c>
    </row>
    <row r="4" spans="1:12" ht="18" customHeight="1" x14ac:dyDescent="0.45">
      <c r="A4" s="5"/>
      <c r="B4" s="5"/>
      <c r="C4" s="6">
        <v>10000000</v>
      </c>
      <c r="D4" s="3">
        <f>C4/'Summary SBPCD'!$D$4</f>
        <v>0.2</v>
      </c>
    </row>
    <row r="5" spans="1:12" ht="18" customHeight="1" x14ac:dyDescent="0.45">
      <c r="A5" s="5"/>
      <c r="B5" s="5"/>
      <c r="C5" s="6"/>
      <c r="D5" s="3">
        <f>C5/'Summary SBPCD'!$D$4</f>
        <v>0</v>
      </c>
    </row>
    <row r="6" spans="1:12" ht="18" customHeight="1" x14ac:dyDescent="0.45">
      <c r="A6" s="5"/>
      <c r="B6" s="5"/>
      <c r="C6" s="6"/>
      <c r="D6" s="3">
        <f>C6/'Summary SBPCD'!$D$4</f>
        <v>0</v>
      </c>
    </row>
    <row r="7" spans="1:12" ht="18" customHeight="1" x14ac:dyDescent="0.45">
      <c r="A7" s="5"/>
      <c r="B7" s="5"/>
      <c r="C7" s="6"/>
      <c r="D7" s="3">
        <f>C7/'Summary SBPCD'!$D$4</f>
        <v>0</v>
      </c>
    </row>
    <row r="8" spans="1:12" ht="18" customHeight="1" x14ac:dyDescent="0.45">
      <c r="A8" s="5"/>
      <c r="B8" s="5"/>
      <c r="C8" s="6"/>
      <c r="D8" s="3">
        <f>C8/'Summary SBPCD'!$D$4</f>
        <v>0</v>
      </c>
    </row>
    <row r="9" spans="1:12" ht="18" customHeight="1" x14ac:dyDescent="0.45">
      <c r="A9" s="5"/>
      <c r="B9" s="5"/>
      <c r="C9" s="6"/>
      <c r="D9" s="3">
        <f>C9/'Summary SBPCD'!$D$4</f>
        <v>0</v>
      </c>
    </row>
    <row r="10" spans="1:12" ht="18" customHeight="1" x14ac:dyDescent="0.45">
      <c r="A10" s="5"/>
      <c r="B10" s="5"/>
      <c r="C10" s="6"/>
      <c r="D10" s="3">
        <f>C10/'Summary SBPCD'!$D$4</f>
        <v>0</v>
      </c>
    </row>
    <row r="11" spans="1:12" ht="18" customHeight="1" x14ac:dyDescent="0.45">
      <c r="A11" s="5"/>
      <c r="B11" s="5"/>
      <c r="C11" s="6"/>
      <c r="D11" s="3">
        <f>C11/'Summary SBPCD'!$D$4</f>
        <v>0</v>
      </c>
    </row>
    <row r="12" spans="1:12" ht="18" customHeight="1" x14ac:dyDescent="0.45">
      <c r="A12" s="5"/>
      <c r="B12" s="5"/>
      <c r="C12" s="6"/>
      <c r="D12" s="3">
        <f>C12/'Summary SBPCD'!$D$4</f>
        <v>0</v>
      </c>
    </row>
    <row r="13" spans="1:12" ht="18" customHeight="1" x14ac:dyDescent="0.45">
      <c r="A13" s="5"/>
      <c r="B13" s="5"/>
      <c r="C13" s="6"/>
      <c r="D13" s="3">
        <f>C13/'Summary SBPCD'!$D$4</f>
        <v>0</v>
      </c>
    </row>
    <row r="14" spans="1:12" ht="18" customHeight="1" x14ac:dyDescent="0.45">
      <c r="A14" s="5"/>
      <c r="B14" s="5"/>
      <c r="C14" s="6"/>
      <c r="D14" s="3">
        <f>C14/'Summary SBPCD'!$D$4</f>
        <v>0</v>
      </c>
    </row>
    <row r="15" spans="1:12" ht="18" customHeight="1" x14ac:dyDescent="0.45">
      <c r="A15" s="5"/>
      <c r="B15" s="5"/>
      <c r="C15" s="6"/>
      <c r="D15" s="3">
        <f>C15/'Summary SBPCD'!$D$4</f>
        <v>0</v>
      </c>
    </row>
    <row r="16" spans="1:12" ht="18" customHeight="1" x14ac:dyDescent="0.45">
      <c r="A16" s="5"/>
      <c r="B16" s="5"/>
      <c r="C16" s="6"/>
      <c r="D16" s="3">
        <f>C16/'Summary SBPCD'!$D$4</f>
        <v>0</v>
      </c>
    </row>
    <row r="17" spans="1:4" ht="18" customHeight="1" x14ac:dyDescent="0.45">
      <c r="A17" s="5"/>
      <c r="B17" s="5"/>
      <c r="C17" s="6"/>
      <c r="D17" s="3">
        <f>C17/'Summary SBPCD'!$D$4</f>
        <v>0</v>
      </c>
    </row>
    <row r="18" spans="1:4" ht="18" customHeight="1" x14ac:dyDescent="0.45">
      <c r="A18" s="5"/>
      <c r="B18" s="5"/>
      <c r="C18" s="6"/>
      <c r="D18" s="3">
        <f>C18/'Summary SBPCD'!$D$4</f>
        <v>0</v>
      </c>
    </row>
    <row r="19" spans="1:4" ht="18" customHeight="1" x14ac:dyDescent="0.45">
      <c r="A19" s="5"/>
      <c r="B19" s="5"/>
      <c r="C19" s="6"/>
      <c r="D19" s="3">
        <f>C19/'Summary SBPCD'!$D$4</f>
        <v>0</v>
      </c>
    </row>
    <row r="20" spans="1:4" ht="18" customHeight="1" x14ac:dyDescent="0.45">
      <c r="A20" s="5"/>
      <c r="B20" s="5"/>
      <c r="C20" s="6"/>
      <c r="D20" s="3">
        <f>C20/'Summary SBPCD'!$D$4</f>
        <v>0</v>
      </c>
    </row>
    <row r="21" spans="1:4" ht="18" customHeight="1" x14ac:dyDescent="0.45">
      <c r="A21" s="5"/>
      <c r="B21" s="5"/>
      <c r="C21" s="6"/>
      <c r="D21" s="3">
        <f>C21/'Summary SBPCD'!$D$4</f>
        <v>0</v>
      </c>
    </row>
    <row r="22" spans="1:4" ht="18" customHeight="1" x14ac:dyDescent="0.45">
      <c r="A22" s="5"/>
      <c r="B22" s="5"/>
      <c r="C22" s="6"/>
      <c r="D22" s="3">
        <f>C22/'Summary SBPCD'!$D$4</f>
        <v>0</v>
      </c>
    </row>
    <row r="23" spans="1:4" ht="18" customHeight="1" x14ac:dyDescent="0.45">
      <c r="A23" s="5"/>
      <c r="B23" s="5"/>
      <c r="C23" s="6"/>
      <c r="D23" s="3">
        <f>C23/'Summary SBPCD'!$D$4</f>
        <v>0</v>
      </c>
    </row>
    <row r="24" spans="1:4" x14ac:dyDescent="0.45">
      <c r="A24" s="13" t="s">
        <v>18</v>
      </c>
      <c r="B24" s="13"/>
      <c r="C24" s="15">
        <f>SUM(C4:C23)</f>
        <v>10000000</v>
      </c>
      <c r="D24" s="16">
        <f>SUM(D4:D23)</f>
        <v>0.2</v>
      </c>
    </row>
  </sheetData>
  <mergeCells count="1">
    <mergeCell ref="A1:L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election activeCell="A7" sqref="A7"/>
    </sheetView>
  </sheetViews>
  <sheetFormatPr defaultRowHeight="14.25" x14ac:dyDescent="0.45"/>
  <cols>
    <col min="1" max="1" width="29.265625" bestFit="1" customWidth="1"/>
  </cols>
  <sheetData>
    <row r="1" spans="1:2" x14ac:dyDescent="0.45">
      <c r="A1" t="s">
        <v>6</v>
      </c>
      <c r="B1" t="s">
        <v>11</v>
      </c>
    </row>
    <row r="2" spans="1:2" x14ac:dyDescent="0.45">
      <c r="A2" t="s">
        <v>7</v>
      </c>
      <c r="B2" t="s">
        <v>12</v>
      </c>
    </row>
    <row r="3" spans="1:2" x14ac:dyDescent="0.45">
      <c r="A3" t="s">
        <v>8</v>
      </c>
      <c r="B3" t="s">
        <v>13</v>
      </c>
    </row>
    <row r="4" spans="1:2" x14ac:dyDescent="0.45">
      <c r="A4" t="s">
        <v>40</v>
      </c>
      <c r="B4" t="s">
        <v>32</v>
      </c>
    </row>
    <row r="5" spans="1:2" x14ac:dyDescent="0.45">
      <c r="A5" t="s">
        <v>10</v>
      </c>
      <c r="B5" t="s">
        <v>14</v>
      </c>
    </row>
    <row r="6" spans="1:2" x14ac:dyDescent="0.45">
      <c r="A6" t="s">
        <v>9</v>
      </c>
      <c r="B6" t="s">
        <v>41</v>
      </c>
    </row>
    <row r="9" spans="1:2" x14ac:dyDescent="0.45">
      <c r="A9" t="s">
        <v>24</v>
      </c>
      <c r="B9" t="e">
        <f>A9='Summary SBPCD'!#REF!</f>
        <v>#REF!</v>
      </c>
    </row>
    <row r="10" spans="1:2" x14ac:dyDescent="0.45">
      <c r="A10" t="s">
        <v>25</v>
      </c>
      <c r="B10" t="e">
        <f>A10='Summary SBPCD'!#REF!</f>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A8AE44F6014446AE35C4F611A88C18" ma:contentTypeVersion="14" ma:contentTypeDescription="Create a new document." ma:contentTypeScope="" ma:versionID="d2e6369dd852b1d8e8a009c19e183f13">
  <xsd:schema xmlns:xsd="http://www.w3.org/2001/XMLSchema" xmlns:xs="http://www.w3.org/2001/XMLSchema" xmlns:p="http://schemas.microsoft.com/office/2006/metadata/properties" xmlns:ns3="3e8a292c-4044-41e3-8e3c-d345a6b191d4" xmlns:ns4="376ade44-45b2-4504-a29f-842eeacde065" targetNamespace="http://schemas.microsoft.com/office/2006/metadata/properties" ma:root="true" ma:fieldsID="4721b7cdc6d6176a6a4deff38d4d1780" ns3:_="" ns4:_="">
    <xsd:import namespace="3e8a292c-4044-41e3-8e3c-d345a6b191d4"/>
    <xsd:import namespace="376ade44-45b2-4504-a29f-842eeacde065"/>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8a292c-4044-41e3-8e3c-d345a6b191d4"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6ade44-45b2-4504-a29f-842eeacde065"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e8a292c-4044-41e3-8e3c-d345a6b191d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4BDC90-2371-4CFA-9424-B26F9E530C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8a292c-4044-41e3-8e3c-d345a6b191d4"/>
    <ds:schemaRef ds:uri="376ade44-45b2-4504-a29f-842eeacde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6A4F91-F75E-4F8B-A003-9895AF033FD6}">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376ade44-45b2-4504-a29f-842eeacde065"/>
    <ds:schemaRef ds:uri="3e8a292c-4044-41e3-8e3c-d345a6b191d4"/>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F5B35F5-EEAB-4D89-8BB4-BC367C39E0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Summary SBPCD</vt:lpstr>
      <vt:lpstr>Direct Labor</vt:lpstr>
      <vt:lpstr>ODC</vt:lpstr>
      <vt:lpstr>List</vt:lpstr>
      <vt:lpstr>DLSB</vt:lpstr>
      <vt:lpstr>ODCSB</vt:lpstr>
      <vt:lpstr>'Summary SBPCD'!Print_Area</vt:lpstr>
      <vt:lpstr>SBCAT1</vt:lpstr>
      <vt:lpstr>SBP</vt:lpstr>
      <vt:lpstr>TCV</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Tung, Doris S NSWC Philadelphia, 021</dc:creator>
  <cp:lastModifiedBy>Haley, Grace K CIV USN NSWCDIV  PHL PA (USA)</cp:lastModifiedBy>
  <cp:lastPrinted>2017-08-02T19:33:22Z</cp:lastPrinted>
  <dcterms:created xsi:type="dcterms:W3CDTF">2017-08-02T16:53:32Z</dcterms:created>
  <dcterms:modified xsi:type="dcterms:W3CDTF">2025-12-03T20:08:04Z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0x01010046A8AE44F6014446AE35C4F611A88C18</vt:lpwstr>
  </property>
</Properties>
</file>