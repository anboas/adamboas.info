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31" documentId="8_{035C57ED-EF01-4A10-9A5C-AE95DD6F84FF}" xr6:coauthVersionLast="47" xr6:coauthVersionMax="47" xr10:uidLastSave="{22E9C6A7-BB9E-49E3-A804-254AF7EA11C8}"/>
  <bookViews>
    <workbookView xWindow="-57720" yWindow="-5730" windowWidth="29040" windowHeight="1545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<sst xmlns="http://schemas.openxmlformats.org/spreadsheetml/2006/main" count="179" uniqueCount="112">
  <si>
    <t>ACC-APG Huachuca Division - Opportunities</t>
  </si>
  <si>
    <t>As of:    September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</si>
  <si>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</si>
  <si>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</si>
  <si>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</si>
  <si>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</si>
  <si>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</si>
  <si>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</si>
  <si>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</si>
  <si>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</si>
  <si>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</si>
  <si>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</si>
  <si>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</si>
  <si>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</si>
  <si>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</si>
  <si>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</si>
  <si>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</si>
  <si>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</si>
  <si>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</si>
  <si>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</si>
  <si>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01 September 2025 through 30 August 2026 Plus 4- Option Years (Will be updated based on new Award)</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</si>
  <si>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</si>
  <si>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</si>
  <si>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</si>
  <si>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</si>
  <si>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</si>
  <si>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W91RUS-25-R-EGA1</t>
  </si>
  <si>
    <t>INFORMATION TECHNOLOGY SERVICES (ITS) SOUTH ATLANTIC REGIONAL NETWORK ENTERPRISE CENTER (RNEC) FORT EUSTIS/FORT STORY/FORT GREGG-ADAMS, VIRGINIA</t>
  </si>
  <si>
    <t>W91RUS21C0009- Contract Awarded through SBA 8(a)</t>
  </si>
  <si>
    <t xml:space="preserve">Kupono Governmnet Services LLC. </t>
  </si>
  <si>
    <t>October 2025 through September 2026 plus 4-option periods</t>
  </si>
  <si>
    <t>FFP</t>
  </si>
  <si>
    <t>Tamrah Pehrson/Cailee Huish</t>
  </si>
  <si>
    <t>Pre-Award/Package Development</t>
  </si>
  <si>
    <t xml:space="preserve">Contractor shall provide non-personal Information Technology Services (ITS) support to the South Atlantic Regional Network Enterprise Center (RNEC) located on Fort Eustis/Fort Story, Virginia (VA) and Fort Gregg-Adams, VA. The Contractor shall deliver comprehensive, integrated, end-to-end ITS including, but are not limited to Network Administration, Systems Administration, Systems Integration and Testing, Configuration Management (CM), Infrastructure Management, End-User Support and Training, Hardware/Software Fielding, Quality Control (QC), Information Assurance (IA) and Compliance, Network Security Services, Webmaster, Video Teleconference (VTC) and Database Support. </t>
  </si>
  <si>
    <t>FHED501</t>
  </si>
  <si>
    <t>ISEC</t>
  </si>
  <si>
    <t>US Military Academy CYBER &amp; ENGINEERING</t>
  </si>
  <si>
    <t>New</t>
  </si>
  <si>
    <t>October 2025 through September 2027</t>
  </si>
  <si>
    <t>Adelle Kostur/Nadia Firestone</t>
  </si>
  <si>
    <t>Awarded</t>
  </si>
  <si>
    <t>TEIS IV only</t>
  </si>
  <si>
    <t>Contractor shall provide Audiovisual (AV) system functional/performance requirements analysis, detailed AV design and engineering for all four (4) floors of the CEAC, AV, Network and Mission-unique equipment procurement with associated logistics management, secure storage &amp; transport, equipment installation, functional testing, and systems acceptance with subsequent turnover to the Government at project closeout For United States Military Academy (USMA) Academic Building Upgrade Program (ABUP) at West Point, NY.</t>
  </si>
  <si>
    <t>FDED 602</t>
  </si>
  <si>
    <t>Site Survey &amp; Engineer Dafting</t>
  </si>
  <si>
    <t>Base and 4 Option Years</t>
  </si>
  <si>
    <t>Ana Brear/Maren Marcy</t>
  </si>
  <si>
    <t>Contractor shall provide IT services in the form of site surveys, engineering, and drafting in the Continental United States (CONUS).</t>
  </si>
  <si>
    <t>FDED603</t>
  </si>
  <si>
    <t>QAQC Installation &amp; Decommission</t>
  </si>
  <si>
    <t>Ana Brear/Scott Layden</t>
  </si>
  <si>
    <t>Contractor shall provide IT services in the form of QA/QC and TDM decommissioning and removal in the Continental United States (CONUS)</t>
  </si>
  <si>
    <t>MED 501</t>
  </si>
  <si>
    <t>Army Metering Systems</t>
  </si>
  <si>
    <t>Adelle Kostur/Elizabeth Ferro</t>
  </si>
  <si>
    <t>Contractor shall provide engineering and technical support services to the ISEC-MED for the U.S. Army Materiel Command execution of its Army Metering Program (AMP)</t>
  </si>
  <si>
    <t>NCRED 501</t>
  </si>
  <si>
    <t>NolAn Building Phsae 4</t>
  </si>
  <si>
    <t>Adelle Kostur/Craig Metzger</t>
  </si>
  <si>
    <t>Contractor shall provide  Command, Control, Computers, Communications, Cyber-Defense (C5), Intelligence, Surveillance, and Reconnaissance (ISR) (C5ISR) Systems Engineering Support for the INSCOM Fort Belvoir VA.</t>
  </si>
  <si>
    <t>ACE25-04</t>
  </si>
  <si>
    <t xml:space="preserve">Warehouse Support Services </t>
  </si>
  <si>
    <t>W91RUS21C0002</t>
  </si>
  <si>
    <t>8(a) set-aside</t>
  </si>
  <si>
    <t>Contractor shall provide logistical support for the G-4 Warehouse, logistical and maintenance support for NETCOM’s Headquarters (HQ) facility furniture and furniture systems.</t>
  </si>
  <si>
    <t>TBD</t>
  </si>
  <si>
    <t>Joint Base Meyer Henderson Hall</t>
  </si>
  <si>
    <t>W91RUS21C0027 &amp; C0017</t>
  </si>
  <si>
    <t>GC&amp;E</t>
  </si>
  <si>
    <t>Charles Friend</t>
  </si>
  <si>
    <t xml:space="preserve">Computer system support services in the areas of system analysis and computer hardware and software troubleshooting for the daily operational support services for users and their desktop devices </t>
  </si>
  <si>
    <t>Regional Cyber Center Europe</t>
  </si>
  <si>
    <t>W91RUS23F0373</t>
  </si>
  <si>
    <t>Peraton</t>
  </si>
  <si>
    <t>Charles Friend /Claudia Blackwell</t>
  </si>
  <si>
    <t>CHESS IT Services</t>
  </si>
  <si>
    <t xml:space="preserve">Information technology (IT) services for classified and unclassified systems, 24 hours per day, seven (7) days per week, including federal holidays for the United States Army Regional Cyber Center - Europe (RCC-E) </t>
  </si>
  <si>
    <t>MARS RECOMPETE</t>
  </si>
  <si>
    <t>W91RUS20C0025</t>
  </si>
  <si>
    <t>Compass Point</t>
  </si>
  <si>
    <t>Regan Alexander/Tom Carpenter</t>
  </si>
  <si>
    <t>Solicitation</t>
  </si>
  <si>
    <t>USAICoE G6 requires an onsite contractor/technician to maintain the MFD and plotters device service with timely uptime and minimal downtime to support the training and administrative unclassified and classified networks/locations. USAICoE G6 requires the MFD and plotters device service solution to maintain network compliance and certification in accordance with government, DOD, TRADOC and ARMY regulations and policies over the life of the contract.</t>
  </si>
  <si>
    <t>Access Control</t>
  </si>
  <si>
    <t>W91RUS20C0032</t>
  </si>
  <si>
    <t>Lockwood Hills Federal</t>
  </si>
  <si>
    <t>Shelby Burroughs/Matt Ray</t>
  </si>
  <si>
    <t>100% access control, including entry, exits and escort services for Kelly Ops, Freidman Hall, Rowe Hall</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</si>
  <si>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</si>
  <si>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</si>
  <si>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</si>
  <si>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</si>
  <si>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</si>
  <si>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</si>
  <si>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FDED 601</t>
  </si>
  <si>
    <t>OSP &amp; DataCenter Modernization - Camp Fertterd</t>
  </si>
  <si>
    <t>Base and 1 Option Year</t>
  </si>
  <si>
    <t>Ana Brear/Craig Meztger</t>
  </si>
  <si>
    <t>furnish, install, test, and document a turnkey solution to upgrade the existing Data Center and OSP infrastructure using Government and commercial standards at Camp Fretterd, MD.</t>
  </si>
  <si>
    <t>Status</t>
  </si>
  <si>
    <t>Definition</t>
  </si>
  <si>
    <t>This status applies from the time a mission partner/customer and ACC-APG begin talking about the requirement through the mission partner/customer submission of a complete and accurate acquisition requirements package.</t>
  </si>
  <si>
    <t>Package Received</t>
  </si>
  <si>
    <t>This status applies from the time the Contracting Officer accepts a complete, accurate, and actionable requirements package through the development and preparation of the solicitation.</t>
  </si>
  <si>
    <t>This status applies when the solicitation has been released to industry through to the receipt of proposals.</t>
  </si>
  <si>
    <t>This status applies from the receipt of proposals through the development and preparation of award.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</si>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</sst>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1"/>
      <color rgb="FF242424"/>
      <name val="Arial"/>
    </font>
    <font>
      <sz val="11"/>
      <color rgb="FF000000"/>
      <name val="Arial"/>
    </font>
    <font>
      <sz val="12"/>
      <color theme="1"/>
      <name val="Arial"/>
      <family val="2"/>
      <charset val="1"/>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cellStyleXfs>
  <cellXfs count="45">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7" fillId="0" borderId="16" xfId="0" applyFont="1" applyBorder="1"/>
    <xf numFmtId="0" fontId="8" fillId="0" borderId="16" xfId="0" applyFont="1" applyFill="1" applyBorder="1" applyAlignment="1">
      <alignment horizontal="center"/>
    </xf>
    <xf numFmtId="0" fontId="8" fillId="0" borderId="16" xfId="0" applyFont="1" applyFill="1" applyBorder="1" applyAlignment="1">
      <alignment horizontal="center" wrapText="1"/>
    </xf>
    <xf numFmtId="0" fontId="5" fillId="0" borderId="18" xfId="0" applyFont="1" applyBorder="1" applyAlignment="1">
      <alignment horizontal="center"/>
    </xf>
    <xf numFmtId="17" fontId="5" fillId="0" borderId="18" xfId="0" applyNumberFormat="1" applyFont="1" applyBorder="1" applyAlignment="1">
      <alignment horizontal="center"/>
    </xf>
    <xf numFmtId="0" fontId="5" fillId="0" borderId="18" xfId="0" applyFont="1" applyBorder="1" applyAlignment="1">
      <alignment horizontal="center" wrapText="1"/>
    </xf>
    <xf numFmtId="0" fontId="5" fillId="0" borderId="18" xfId="0" applyFont="1" applyBorder="1" applyAlignment="1">
      <alignment wrapText="1"/>
    </xf>
    <xf numFmtId="0" fontId="5" fillId="0" borderId="16" xfId="0"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0" xfId="0" applyFont="1" applyAlignment="1">
      <alignment horizontal="center"/>
    </xf>
    <xf numFmtId="0" fontId="5" fillId="0" borderId="0" xfId="0" applyFont="1" applyAlignment="1">
      <alignment horizontal="center" wrapText="1"/>
    </xf>
    <xf numFmtId="0" fontId="5" fillId="0" borderId="18" xfId="0" applyFont="1" applyFill="1" applyBorder="1" applyAlignment="1">
      <alignment horizontal="center"/>
    </xf>
    <xf numFmtId="0" fontId="9" fillId="0" borderId="0" xfId="0" applyFont="1" applyAlignment="1">
      <alignment wrapText="1"/>
    </xf>
    <xf numFmtId="16" fontId="5" fillId="0" borderId="16" xfId="0" applyNumberFormat="1" applyFont="1" applyFill="1" applyBorder="1" applyAlignment="1">
      <alignment horizontal="center"/>
    </xf>
    <xf numFmtId="0" fontId="5" fillId="0" borderId="17" xfId="0" applyFont="1" applyFill="1" applyBorder="1" applyAlignment="1">
      <alignment wrapText="1"/>
    </xf>
    <xf numFmtId="0" fontId="5" fillId="0"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
  <sheetViews>
    <sheetView tabSelected="1" zoomScale="80" zoomScaleNormal="80" workbookViewId="0">
      <pane ySplit="3" topLeftCell="A4" activePane="bottomLeft" state="frozen"/>
      <selection pane="bottomLeft" activeCell="A4" sqref="A4"/>
    </sheetView>
  </sheetViews>
  <sheetFormatPr defaultColWidth="9.140625" defaultRowHeight="13.9"/>
  <cols>
    <col min="1" max="1" width="40.140625" style="38" customWidth="1"/>
    <col min="2" max="2" width="27.42578125" style="38" customWidth="1"/>
    <col min="3" max="3" width="61.5703125" style="38" customWidth="1"/>
    <col min="4" max="4" width="39.5703125" style="38" bestFit="1" customWidth="1"/>
    <col min="5" max="5" width="25" style="38" bestFit="1" customWidth="1"/>
    <col min="6" max="6" width="24.7109375" style="38" customWidth="1"/>
    <col min="7" max="7" width="29.5703125" style="38" bestFit="1" customWidth="1"/>
    <col min="8" max="8" width="17.7109375" style="39" bestFit="1" customWidth="1"/>
    <col min="9" max="9" width="33.140625" style="38" bestFit="1" customWidth="1"/>
    <col min="10" max="10" width="48.28515625" style="38" customWidth="1"/>
    <col min="11" max="11" width="39.5703125" style="38" customWidth="1"/>
    <col min="12" max="12" width="40.85546875" style="38"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c r="A3" s="21" t="s">
        <v>2</v>
      </c>
      <c r="B3" s="21" t="s">
        <v>3</v>
      </c>
      <c r="C3" s="21" t="s">
        <v>4</v>
      </c>
      <c r="D3" s="21" t="s">
        <v>5</v>
      </c>
      <c r="E3" s="21" t="s">
        <v>6</v>
      </c>
      <c r="F3" s="21" t="s">
        <v>7</v>
      </c>
      <c r="G3" s="21" t="s">
        <v>8</v>
      </c>
      <c r="H3" s="22" t="s">
        <v>9</v>
      </c>
      <c r="I3" s="21" t="s">
        <v>10</v>
      </c>
      <c r="J3" s="21" t="s">
        <v>11</v>
      </c>
      <c r="K3" s="21" t="s">
        <v>12</v>
      </c>
      <c r="L3" s="21" t="s">
        <v>13</v>
      </c>
      <c r="M3" s="21" t="s">
        <v>14</v>
      </c>
    </row>
    <row r="4" spans="1:17" ht="126.75">
      <c r="A4" s="23" t="s">
        <v>15</v>
      </c>
      <c r="B4" s="23" t="s">
        <v>16</v>
      </c>
      <c r="C4" s="24" t="s">
        <v>17</v>
      </c>
      <c r="D4" s="24" t="s">
        <v>18</v>
      </c>
      <c r="E4" s="23" t="s">
        <v>19</v>
      </c>
      <c r="F4" s="25">
        <v>45947</v>
      </c>
      <c r="G4" s="24" t="s">
        <v>20</v>
      </c>
      <c r="H4" s="23" t="s">
        <v>21</v>
      </c>
      <c r="I4" s="23" t="s">
        <v>22</v>
      </c>
      <c r="J4" s="23" t="s">
        <v>23</v>
      </c>
      <c r="K4" s="26">
        <v>45699</v>
      </c>
      <c r="L4" s="23" t="s">
        <v>24</v>
      </c>
      <c r="M4" s="27" t="s">
        <v>25</v>
      </c>
    </row>
    <row r="5" spans="1:17" ht="82.9">
      <c r="A5" s="23" t="s">
        <v>26</v>
      </c>
      <c r="B5" s="23" t="s">
        <v>16</v>
      </c>
      <c r="C5" s="24" t="s">
        <v>27</v>
      </c>
      <c r="D5" s="24" t="s">
        <v>28</v>
      </c>
      <c r="E5" s="24" t="s">
        <v>29</v>
      </c>
      <c r="F5" s="25">
        <v>45931</v>
      </c>
      <c r="G5" s="24" t="s">
        <v>30</v>
      </c>
      <c r="H5" s="23" t="s">
        <v>31</v>
      </c>
      <c r="I5" s="23" t="s">
        <v>32</v>
      </c>
      <c r="J5" s="23" t="s">
        <v>33</v>
      </c>
      <c r="K5" s="26">
        <v>45809</v>
      </c>
      <c r="L5" s="23" t="s">
        <v>13</v>
      </c>
      <c r="M5" s="27" t="s">
        <v>34</v>
      </c>
    </row>
    <row r="6" spans="1:17" ht="70.5">
      <c r="A6" s="23" t="s">
        <v>35</v>
      </c>
      <c r="B6" s="23" t="s">
        <v>36</v>
      </c>
      <c r="C6" s="23" t="s">
        <v>37</v>
      </c>
      <c r="D6" s="23" t="s">
        <v>38</v>
      </c>
      <c r="E6" s="23"/>
      <c r="F6" s="25">
        <v>45930</v>
      </c>
      <c r="G6" s="28" t="s">
        <v>39</v>
      </c>
      <c r="H6" s="23" t="s">
        <v>21</v>
      </c>
      <c r="I6" s="23" t="s">
        <v>40</v>
      </c>
      <c r="J6" s="23" t="s">
        <v>41</v>
      </c>
      <c r="K6" s="26">
        <v>45809</v>
      </c>
      <c r="L6" s="23" t="s">
        <v>42</v>
      </c>
      <c r="M6" s="27" t="s">
        <v>43</v>
      </c>
    </row>
    <row r="7" spans="1:17" ht="34.5" customHeight="1">
      <c r="A7" s="23" t="s">
        <v>44</v>
      </c>
      <c r="B7" s="23" t="s">
        <v>36</v>
      </c>
      <c r="C7" s="23" t="s">
        <v>45</v>
      </c>
      <c r="D7" s="23" t="s">
        <v>38</v>
      </c>
      <c r="E7" s="23"/>
      <c r="F7" s="25">
        <v>45930</v>
      </c>
      <c r="G7" s="23" t="s">
        <v>46</v>
      </c>
      <c r="H7" s="23" t="s">
        <v>31</v>
      </c>
      <c r="I7" s="23" t="s">
        <v>47</v>
      </c>
      <c r="J7" s="23" t="s">
        <v>33</v>
      </c>
      <c r="K7" s="26">
        <v>45809</v>
      </c>
      <c r="L7" s="23" t="s">
        <v>42</v>
      </c>
      <c r="M7" s="27" t="s">
        <v>48</v>
      </c>
    </row>
    <row r="8" spans="1:17" ht="31.5" customHeight="1">
      <c r="A8" s="23" t="s">
        <v>49</v>
      </c>
      <c r="B8" s="23" t="s">
        <v>36</v>
      </c>
      <c r="C8" s="23" t="s">
        <v>50</v>
      </c>
      <c r="D8" s="23" t="s">
        <v>38</v>
      </c>
      <c r="E8" s="23"/>
      <c r="F8" s="25">
        <v>45930</v>
      </c>
      <c r="G8" s="23" t="s">
        <v>46</v>
      </c>
      <c r="H8" s="23" t="s">
        <v>31</v>
      </c>
      <c r="I8" s="23" t="s">
        <v>51</v>
      </c>
      <c r="J8" s="23" t="s">
        <v>33</v>
      </c>
      <c r="K8" s="26">
        <v>45809</v>
      </c>
      <c r="L8" s="23" t="s">
        <v>42</v>
      </c>
      <c r="M8" s="27" t="s">
        <v>52</v>
      </c>
    </row>
    <row r="9" spans="1:17" ht="27.6">
      <c r="A9" s="23" t="s">
        <v>53</v>
      </c>
      <c r="B9" s="23" t="s">
        <v>36</v>
      </c>
      <c r="C9" s="23" t="s">
        <v>54</v>
      </c>
      <c r="D9" s="23" t="s">
        <v>38</v>
      </c>
      <c r="E9" s="23"/>
      <c r="F9" s="25">
        <v>45930</v>
      </c>
      <c r="G9" s="23" t="s">
        <v>46</v>
      </c>
      <c r="H9" s="23" t="s">
        <v>21</v>
      </c>
      <c r="I9" s="23" t="s">
        <v>55</v>
      </c>
      <c r="J9" s="23" t="s">
        <v>23</v>
      </c>
      <c r="K9" s="26">
        <v>45809</v>
      </c>
      <c r="L9" s="23" t="s">
        <v>42</v>
      </c>
      <c r="M9" s="27" t="s">
        <v>56</v>
      </c>
    </row>
    <row r="10" spans="1:17" ht="27.6">
      <c r="A10" s="23" t="s">
        <v>57</v>
      </c>
      <c r="B10" s="23" t="s">
        <v>36</v>
      </c>
      <c r="C10" s="23" t="s">
        <v>58</v>
      </c>
      <c r="D10" s="23" t="s">
        <v>38</v>
      </c>
      <c r="E10" s="23"/>
      <c r="F10" s="25">
        <v>45930</v>
      </c>
      <c r="G10" s="23" t="s">
        <v>46</v>
      </c>
      <c r="H10" s="23" t="s">
        <v>21</v>
      </c>
      <c r="I10" s="23" t="s">
        <v>59</v>
      </c>
      <c r="J10" s="23" t="s">
        <v>33</v>
      </c>
      <c r="K10" s="26">
        <v>45901</v>
      </c>
      <c r="L10" s="23" t="s">
        <v>42</v>
      </c>
      <c r="M10" s="27" t="s">
        <v>60</v>
      </c>
    </row>
    <row r="11" spans="1:17" ht="27.6">
      <c r="A11" s="29" t="s">
        <v>61</v>
      </c>
      <c r="B11" s="23" t="s">
        <v>16</v>
      </c>
      <c r="C11" s="30" t="s">
        <v>62</v>
      </c>
      <c r="D11" s="23" t="s">
        <v>63</v>
      </c>
      <c r="E11" s="23"/>
      <c r="F11" s="25">
        <v>45930</v>
      </c>
      <c r="G11" s="23" t="s">
        <v>46</v>
      </c>
      <c r="H11" s="24" t="s">
        <v>31</v>
      </c>
      <c r="I11" s="23" t="s">
        <v>40</v>
      </c>
      <c r="J11" s="23" t="s">
        <v>33</v>
      </c>
      <c r="K11" s="26">
        <v>45901</v>
      </c>
      <c r="L11" s="23" t="s">
        <v>64</v>
      </c>
      <c r="M11" s="27" t="s">
        <v>65</v>
      </c>
    </row>
    <row r="12" spans="1:17" ht="28.5">
      <c r="A12" s="23" t="s">
        <v>66</v>
      </c>
      <c r="B12" s="23" t="s">
        <v>16</v>
      </c>
      <c r="C12" s="23" t="s">
        <v>67</v>
      </c>
      <c r="D12" s="24" t="s">
        <v>68</v>
      </c>
      <c r="E12" s="23" t="s">
        <v>69</v>
      </c>
      <c r="F12" s="26">
        <v>46082</v>
      </c>
      <c r="G12" s="23" t="s">
        <v>46</v>
      </c>
      <c r="H12" s="24" t="s">
        <v>31</v>
      </c>
      <c r="I12" s="35" t="s">
        <v>70</v>
      </c>
      <c r="J12" s="23" t="s">
        <v>33</v>
      </c>
      <c r="K12" s="26">
        <v>45870</v>
      </c>
      <c r="L12" s="23" t="s">
        <v>64</v>
      </c>
      <c r="M12" s="27" t="s">
        <v>71</v>
      </c>
    </row>
    <row r="13" spans="1:17" ht="27.6">
      <c r="A13" s="31" t="s">
        <v>66</v>
      </c>
      <c r="B13" s="31" t="s">
        <v>16</v>
      </c>
      <c r="C13" s="31" t="s">
        <v>72</v>
      </c>
      <c r="D13" s="31" t="s">
        <v>73</v>
      </c>
      <c r="E13" s="31" t="s">
        <v>74</v>
      </c>
      <c r="F13" s="32">
        <v>46113</v>
      </c>
      <c r="G13" s="31" t="s">
        <v>46</v>
      </c>
      <c r="H13" s="33" t="s">
        <v>21</v>
      </c>
      <c r="I13" s="40" t="s">
        <v>75</v>
      </c>
      <c r="J13" s="31" t="s">
        <v>33</v>
      </c>
      <c r="K13" s="32">
        <v>46023</v>
      </c>
      <c r="L13" s="31" t="s">
        <v>76</v>
      </c>
      <c r="M13" s="34" t="s">
        <v>77</v>
      </c>
    </row>
    <row r="14" spans="1:17" s="44" customFormat="1" ht="56.25">
      <c r="A14" s="35" t="s">
        <v>66</v>
      </c>
      <c r="B14" s="35" t="s">
        <v>16</v>
      </c>
      <c r="C14" s="35" t="s">
        <v>78</v>
      </c>
      <c r="D14" s="35" t="s">
        <v>79</v>
      </c>
      <c r="E14" s="35" t="s">
        <v>80</v>
      </c>
      <c r="F14" s="42">
        <v>45833</v>
      </c>
      <c r="G14" s="35" t="s">
        <v>46</v>
      </c>
      <c r="H14" s="36" t="s">
        <v>31</v>
      </c>
      <c r="I14" s="35" t="s">
        <v>81</v>
      </c>
      <c r="J14" s="35" t="s">
        <v>82</v>
      </c>
      <c r="K14" s="42">
        <v>45772</v>
      </c>
      <c r="L14" s="35" t="s">
        <v>64</v>
      </c>
      <c r="M14" s="37" t="s">
        <v>83</v>
      </c>
      <c r="N14" s="43"/>
      <c r="O14" s="37"/>
      <c r="P14" s="37"/>
      <c r="Q14" s="37"/>
    </row>
    <row r="15" spans="1:17" s="44" customFormat="1" ht="15" customHeight="1">
      <c r="A15" s="35" t="s">
        <v>66</v>
      </c>
      <c r="B15" s="35" t="s">
        <v>16</v>
      </c>
      <c r="C15" s="35" t="s">
        <v>84</v>
      </c>
      <c r="D15" s="35" t="s">
        <v>85</v>
      </c>
      <c r="E15" s="35" t="s">
        <v>86</v>
      </c>
      <c r="F15" s="42">
        <v>45833</v>
      </c>
      <c r="G15" s="35" t="s">
        <v>46</v>
      </c>
      <c r="H15" s="36" t="s">
        <v>31</v>
      </c>
      <c r="I15" s="35" t="s">
        <v>87</v>
      </c>
      <c r="J15" s="35" t="s">
        <v>82</v>
      </c>
      <c r="K15" s="42">
        <v>45772</v>
      </c>
      <c r="L15" s="35" t="s">
        <v>64</v>
      </c>
      <c r="M15" s="37" t="s">
        <v>88</v>
      </c>
      <c r="N15" s="37"/>
      <c r="O15" s="37"/>
      <c r="P15" s="37"/>
      <c r="Q15" s="37"/>
    </row>
    <row r="16" spans="1:17" ht="56.25" customHeight="1">
      <c r="A16" s="35" t="s">
        <v>66</v>
      </c>
      <c r="B16" s="35" t="s">
        <v>16</v>
      </c>
      <c r="C16" s="35" t="s">
        <v>89</v>
      </c>
      <c r="D16" s="35" t="s">
        <v>90</v>
      </c>
      <c r="E16" s="35" t="s">
        <v>91</v>
      </c>
      <c r="F16" s="35" t="s">
        <v>66</v>
      </c>
      <c r="G16" s="35" t="s">
        <v>46</v>
      </c>
      <c r="H16" s="36" t="s">
        <v>21</v>
      </c>
      <c r="I16" s="35" t="s">
        <v>92</v>
      </c>
      <c r="J16" s="31" t="s">
        <v>33</v>
      </c>
      <c r="K16" s="35" t="s">
        <v>66</v>
      </c>
      <c r="L16" s="35" t="s">
        <v>93</v>
      </c>
      <c r="M16" s="37" t="s">
        <v>94</v>
      </c>
      <c r="N16" s="37"/>
      <c r="O16" s="37"/>
      <c r="P16" s="37"/>
      <c r="Q16" s="37"/>
    </row>
    <row r="17" spans="1:13" ht="36.75" customHeight="1">
      <c r="A17" s="35" t="s">
        <v>95</v>
      </c>
      <c r="B17" s="23" t="s">
        <v>36</v>
      </c>
      <c r="C17" s="23" t="s">
        <v>96</v>
      </c>
      <c r="D17" s="35"/>
      <c r="E17" s="35"/>
      <c r="F17" s="25">
        <v>45930</v>
      </c>
      <c r="G17" s="35" t="s">
        <v>97</v>
      </c>
      <c r="H17" s="23" t="s">
        <v>21</v>
      </c>
      <c r="I17" s="23" t="s">
        <v>98</v>
      </c>
      <c r="J17" s="23" t="s">
        <v>33</v>
      </c>
      <c r="K17" s="26">
        <v>45870</v>
      </c>
      <c r="L17" s="23" t="s">
        <v>42</v>
      </c>
      <c r="M17" s="41" t="s">
        <v>99</v>
      </c>
    </row>
    <row r="18" spans="1:13" ht="14.25"/>
  </sheetData>
  <autoFilter ref="A3:M17" xr:uid="{00000000-0009-0000-0000-000000000000}">
    <sortState xmlns:xlrd2="http://schemas.microsoft.com/office/spreadsheetml/2017/richdata2" ref="A4:M4">
      <sortCondition ref="F3"/>
    </sortState>
  </autoFilter>
  <dataValidations count="1">
    <dataValidation type="list" allowBlank="1" showErrorMessage="1" sqref="J4:J161"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4.45"/>
  <cols>
    <col min="1" max="1" width="36" customWidth="1"/>
    <col min="2" max="2" width="112.5703125" customWidth="1"/>
  </cols>
  <sheetData>
    <row r="1" spans="1:2" ht="25.5" customHeight="1" thickBot="1">
      <c r="A1" s="1" t="s">
        <v>100</v>
      </c>
      <c r="B1" s="2" t="s">
        <v>101</v>
      </c>
    </row>
    <row r="2" spans="1:2" ht="30" customHeight="1">
      <c r="A2" s="3" t="s">
        <v>33</v>
      </c>
      <c r="B2" s="6" t="s">
        <v>102</v>
      </c>
    </row>
    <row r="3" spans="1:2" ht="30" customHeight="1">
      <c r="A3" s="4" t="s">
        <v>103</v>
      </c>
      <c r="B3" s="7" t="s">
        <v>104</v>
      </c>
    </row>
    <row r="4" spans="1:2" ht="15.6">
      <c r="A4" s="4" t="s">
        <v>82</v>
      </c>
      <c r="B4" s="7" t="s">
        <v>105</v>
      </c>
    </row>
    <row r="5" spans="1:2" ht="15.6">
      <c r="A5" s="4" t="s">
        <v>23</v>
      </c>
      <c r="B5" s="8" t="s">
        <v>106</v>
      </c>
    </row>
    <row r="6" spans="1:2" ht="30" customHeight="1">
      <c r="A6" s="4" t="s">
        <v>41</v>
      </c>
      <c r="B6" s="9" t="s">
        <v>107</v>
      </c>
    </row>
    <row r="7" spans="1:2" ht="30" customHeight="1" thickBot="1">
      <c r="A7" s="5" t="s">
        <v>108</v>
      </c>
      <c r="B7" s="10" t="s">
        <v>109</v>
      </c>
    </row>
    <row r="8" spans="1:2" ht="30" customHeight="1" thickBot="1">
      <c r="A8" s="5" t="s">
        <v>110</v>
      </c>
      <c r="B8" s="10" t="s">
        <v>111</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1" ma:contentTypeDescription="Create a new document." ma:contentTypeScope="" ma:versionID="fd52a50f58ad406ec0238c10114a042d">
  <xsd:schema xmlns:xsd="http://www.w3.org/2001/XMLSchema" xmlns:xs="http://www.w3.org/2001/XMLSchema" xmlns:p="http://schemas.microsoft.com/office/2006/metadata/properties" xmlns:ns2="ea12915a-4525-4bf8-a26d-f40bb7e666c6" xmlns:ns3="17f7d562-d96a-4d57-9a09-1b42430b8cd0" targetNamespace="http://schemas.microsoft.com/office/2006/metadata/properties" ma:root="true" ma:fieldsID="610b0b53c9da5df981dd23b842f76f00" ns2:_="" ns3:_="">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9A421-D8CE-4D05-8F9D-0EA7E19A20D3}"/>
</file>

<file path=customXml/itemProps2.xml><?xml version="1.0" encoding="utf-8"?>
<ds:datastoreItem xmlns:ds="http://schemas.openxmlformats.org/officeDocument/2006/customXml" ds:itemID="{942460E6-4A91-4A97-BB78-A7D53EDA8C63}"/>
</file>

<file path=customXml/itemProps3.xml><?xml version="1.0" encoding="utf-8"?>
<ds:datastoreItem xmlns:ds="http://schemas.openxmlformats.org/officeDocument/2006/customXml" ds:itemID="{D58E912C-B35E-4CA3-AD4E-D66E08315263}"/>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2025-09-22T17:11:13Z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