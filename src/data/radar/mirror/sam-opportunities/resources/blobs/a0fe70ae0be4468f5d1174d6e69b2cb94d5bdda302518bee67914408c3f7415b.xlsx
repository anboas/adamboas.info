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eric.jackson26\OneDrive - US Army\Documents\CAN DELETE LATER\GPS Solicitation\AMD 0004\"/>
    </mc:Choice>
  </mc:AlternateContent>
  <xr:revisionPtr revIDLastSave="0" documentId="13_ncr:1_{0A0A57C9-E3DE-4268-9084-796C54F2B1A7}" xr6:coauthVersionLast="47" xr6:coauthVersionMax="47" xr10:uidLastSave="{00000000-0000-0000-0000-000000000000}"/>
  <bookViews>
    <workbookView xWindow="-28920" yWindow="-90" windowWidth="29040" windowHeight="15690" activeTab="2" xr2:uid="{0B905C85-FD1E-4D08-8580-C56C546CF737}"/>
  </bookViews>
  <sheets>
    <sheet name="Instructions" sheetId="4" r:id="rId1"/>
    <sheet name="Tab 1" sheetId="3" r:id="rId2"/>
    <sheet name="Tab 2 " sheetId="1"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4" l="1"/>
  <c r="K10" i="1"/>
  <c r="K19" i="1"/>
  <c r="K12" i="1"/>
  <c r="K11" i="1"/>
  <c r="D6" i="3"/>
  <c r="D7" i="3"/>
  <c r="K5" i="1"/>
  <c r="K8" i="1"/>
  <c r="K20" i="1" l="1"/>
  <c r="K16" i="1"/>
  <c r="K13" i="1"/>
  <c r="K9" i="1"/>
  <c r="K14" i="1"/>
  <c r="K18" i="1"/>
  <c r="K17" i="1"/>
  <c r="K15" i="1"/>
  <c r="K7" i="1"/>
  <c r="K6" i="1"/>
  <c r="K21" i="1" l="1"/>
</calcChain>
</file>

<file path=xl/sharedStrings.xml><?xml version="1.0" encoding="utf-8"?>
<sst xmlns="http://schemas.openxmlformats.org/spreadsheetml/2006/main" count="91" uniqueCount="80">
  <si>
    <t>HTRO Scoring Matrix Instructions</t>
  </si>
  <si>
    <t>Total Number of Points Available: 72,000</t>
  </si>
  <si>
    <t xml:space="preserve">Minimum Technical Rating Threshold (MTTR): </t>
  </si>
  <si>
    <r>
      <t xml:space="preserve">1. </t>
    </r>
    <r>
      <rPr>
        <b/>
        <sz val="12"/>
        <color theme="1"/>
        <rFont val="Arial"/>
        <family val="2"/>
      </rPr>
      <t>TAB 1</t>
    </r>
    <r>
      <rPr>
        <sz val="12"/>
        <color theme="1"/>
        <rFont val="Arial"/>
        <family val="2"/>
      </rPr>
      <t>: Offeror will input Company Name in cell A3.</t>
    </r>
  </si>
  <si>
    <r>
      <t xml:space="preserve">2. </t>
    </r>
    <r>
      <rPr>
        <b/>
        <sz val="12"/>
        <color theme="1"/>
        <rFont val="Arial"/>
        <family val="2"/>
      </rPr>
      <t>TAB 1</t>
    </r>
    <r>
      <rPr>
        <sz val="12"/>
        <color theme="1"/>
        <rFont val="Arial"/>
        <family val="2"/>
      </rPr>
      <t xml:space="preserve">: Offeror will indicate if they have (Yes)/have not (No) had an ANSI PSC1 Audit and Top Secret Facilities clearance by using the drop down menu in Column B. </t>
    </r>
  </si>
  <si>
    <t xml:space="preserve">STOP HERE.  If Offeror did not PASS both questions in STEP 1 Rows 5 &amp; 6, Offeror may NOT submit a proposal. </t>
  </si>
  <si>
    <t xml:space="preserve"> If Offeror DID PASS both questions in STEP 1 Rows 5 &amp; 6, Offeror may submit a proposal and proceed to Step 2. </t>
  </si>
  <si>
    <r>
      <t>3.</t>
    </r>
    <r>
      <rPr>
        <b/>
        <sz val="12"/>
        <color theme="1"/>
        <rFont val="Arial"/>
        <family val="2"/>
      </rPr>
      <t xml:space="preserve"> TAB 2</t>
    </r>
    <r>
      <rPr>
        <sz val="12"/>
        <color theme="1"/>
        <rFont val="Arial"/>
        <family val="2"/>
      </rPr>
      <t>: Offeror will input Company Name in cell B3.</t>
    </r>
  </si>
  <si>
    <r>
      <t xml:space="preserve">4. </t>
    </r>
    <r>
      <rPr>
        <b/>
        <sz val="12"/>
        <color theme="1"/>
        <rFont val="Arial"/>
        <family val="2"/>
      </rPr>
      <t>TAB 2:</t>
    </r>
    <r>
      <rPr>
        <sz val="12"/>
        <color theme="1"/>
        <rFont val="Arial"/>
        <family val="2"/>
      </rPr>
      <t xml:space="preserve"> Offeror will utilize the drop downs in Column J to input their Self-Score for the Evaluation Categories listed in column B.</t>
    </r>
  </si>
  <si>
    <r>
      <t xml:space="preserve">5. </t>
    </r>
    <r>
      <rPr>
        <b/>
        <sz val="12"/>
        <color theme="1"/>
        <rFont val="Arial"/>
        <family val="2"/>
      </rPr>
      <t xml:space="preserve">TAB 2: </t>
    </r>
    <r>
      <rPr>
        <sz val="12"/>
        <color theme="1"/>
        <rFont val="Arial"/>
        <family val="2"/>
      </rPr>
      <t>Evaluation Categories where the Offeror cannot demonstrate experience shall be left blank and the Offeror will receive zero (0) points.</t>
    </r>
  </si>
  <si>
    <r>
      <t xml:space="preserve">6. </t>
    </r>
    <r>
      <rPr>
        <b/>
        <sz val="12"/>
        <color theme="1"/>
        <rFont val="Arial"/>
        <family val="2"/>
      </rPr>
      <t>TAB 2:</t>
    </r>
    <r>
      <rPr>
        <sz val="12"/>
        <color theme="1"/>
        <rFont val="Arial"/>
        <family val="2"/>
      </rPr>
      <t xml:space="preserve"> Scores will automatically adjust based on the Weight Factor in column H. Example: If an Evaluation Category has a Weight Factor of 5, the maximum number of points that an Offeror can receive for that Evaluation Category is 5000.</t>
    </r>
  </si>
  <si>
    <r>
      <t xml:space="preserve">7. </t>
    </r>
    <r>
      <rPr>
        <b/>
        <sz val="12"/>
        <color theme="1"/>
        <rFont val="Arial"/>
        <family val="2"/>
      </rPr>
      <t>TAB 2:</t>
    </r>
    <r>
      <rPr>
        <sz val="12"/>
        <color theme="1"/>
        <rFont val="Arial"/>
        <family val="2"/>
      </rPr>
      <t xml:space="preserve"> Once all scores have been input, cell K30 will show the Offeror's Self-Score Total. The cell will show</t>
    </r>
    <r>
      <rPr>
        <sz val="12"/>
        <color rgb="FFFF0000"/>
        <rFont val="Arial"/>
        <family val="2"/>
      </rPr>
      <t xml:space="preserve"> red</t>
    </r>
    <r>
      <rPr>
        <sz val="12"/>
        <color theme="1"/>
        <rFont val="Arial"/>
        <family val="2"/>
      </rPr>
      <t xml:space="preserve"> if the Offeror has not met the MTTR or will show </t>
    </r>
    <r>
      <rPr>
        <sz val="12"/>
        <color theme="9"/>
        <rFont val="Arial"/>
        <family val="2"/>
      </rPr>
      <t>green</t>
    </r>
    <r>
      <rPr>
        <sz val="12"/>
        <color theme="1"/>
        <rFont val="Arial"/>
        <family val="2"/>
      </rPr>
      <t xml:space="preserve"> if the Offeror has met the MTTR. </t>
    </r>
  </si>
  <si>
    <r>
      <rPr>
        <b/>
        <sz val="12"/>
        <color theme="1"/>
        <rFont val="Arial"/>
        <family val="2"/>
      </rPr>
      <t>NOTE:</t>
    </r>
    <r>
      <rPr>
        <sz val="12"/>
        <color theme="1"/>
        <rFont val="Arial"/>
        <family val="2"/>
      </rPr>
      <t xml:space="preserve"> Only Offerors who have met or exceeded the MTTR will be eligible for award.</t>
    </r>
  </si>
  <si>
    <t>*Note on ANSI PSC.1 Standard/Audits:</t>
  </si>
  <si>
    <t xml:space="preserve">Applicable to companies proposing as part of a larger Joint Venture (JV); it is NOT necessary for both/all companies within the JV to be PSC.1 certified to meet the requirment in Cell A5 of Step 1 or Cell B5 of Step 2. Although the overarching goal is for all companies that make up a JV become PSC.1 certified (and should be actively working towards total certification), as long as at least one of the venturers is PSC.1 compliant, the minimum qualification is considered to be met. </t>
  </si>
  <si>
    <t>Factor 1: HTRO Self-Scoring Matrix</t>
  </si>
  <si>
    <t xml:space="preserve">Offeror Name: </t>
  </si>
  <si>
    <t xml:space="preserve">Answer </t>
  </si>
  <si>
    <t xml:space="preserve">Pass </t>
  </si>
  <si>
    <t>Have you passed an ANSI PSC1 Audit or an ISO 18788 Audit in the past 6 years?</t>
  </si>
  <si>
    <t xml:space="preserve">Do you have Secret or NATO Secret Clearance with the ability to obtain Top Secret or NATO COSMIC TOP SECRET Facility Clearance? </t>
  </si>
  <si>
    <t>Factor 2: HTRO Self-Scoring Matrix</t>
  </si>
  <si>
    <t>Sec L Ref</t>
  </si>
  <si>
    <t>Evaluation Category</t>
  </si>
  <si>
    <t>Weight Factor</t>
  </si>
  <si>
    <t>Max Possible Pts</t>
  </si>
  <si>
    <t>Offeror's Response</t>
  </si>
  <si>
    <t>Offeror's Weighted Score</t>
  </si>
  <si>
    <t>L-3.3.5.1</t>
  </si>
  <si>
    <t xml:space="preserve"># of Passed ANSI PSC.1 2012, PSC.1 2022 or ISO 18788 Audits in past 6 years </t>
  </si>
  <si>
    <t xml:space="preserve">L-3.3.5.2 </t>
  </si>
  <si>
    <t>&gt;400</t>
  </si>
  <si>
    <t>301-400</t>
  </si>
  <si>
    <t>201-300</t>
  </si>
  <si>
    <t>101-200</t>
  </si>
  <si>
    <t>1-100</t>
  </si>
  <si>
    <t>L-3.3.5.3</t>
  </si>
  <si>
    <t xml:space="preserve">Annual value of largest Contract/TO performing Armed Security Services OCONUS (in Millions of Dollars)  </t>
  </si>
  <si>
    <t>&gt;100</t>
  </si>
  <si>
    <t>70.1-100</t>
  </si>
  <si>
    <t>40.1-70</t>
  </si>
  <si>
    <t>20.1-40</t>
  </si>
  <si>
    <t>5-20</t>
  </si>
  <si>
    <t>&gt;20</t>
  </si>
  <si>
    <t>15-19</t>
  </si>
  <si>
    <t>10-14</t>
  </si>
  <si>
    <t>5-9</t>
  </si>
  <si>
    <t>1-4</t>
  </si>
  <si>
    <t>L-3.3.5.4</t>
  </si>
  <si>
    <t>&gt;200</t>
  </si>
  <si>
    <t>151-200</t>
  </si>
  <si>
    <t>101-150</t>
  </si>
  <si>
    <t>51-100</t>
  </si>
  <si>
    <t>1-50</t>
  </si>
  <si>
    <t>L-3.3.5.5</t>
  </si>
  <si>
    <t xml:space="preserve">Number of Armed Security Contracts/Task Orders administered in the last 7 years (Prime Only) with performance in CENTCOM </t>
  </si>
  <si>
    <t xml:space="preserve">Number of Armed Security Contracts/Task Orders administered in the last 7 years (Prime Only) with performance in AFRICOM </t>
  </si>
  <si>
    <t>16-20</t>
  </si>
  <si>
    <t>11-15</t>
  </si>
  <si>
    <t>6-10</t>
  </si>
  <si>
    <t>1-5</t>
  </si>
  <si>
    <t xml:space="preserve">Number of Armed Security Contracts/Task Orders administered in the last 7 years (Prime Only) with performance in EUCOM  </t>
  </si>
  <si>
    <t>&gt;90</t>
  </si>
  <si>
    <t>71-90</t>
  </si>
  <si>
    <t>51-70</t>
  </si>
  <si>
    <t>31-50</t>
  </si>
  <si>
    <t>1-30</t>
  </si>
  <si>
    <t xml:space="preserve">Number of Armed Security Contracts/Task Orders administered in the last 7 years (Prime Only) with performance in INDOPACOM </t>
  </si>
  <si>
    <t xml:space="preserve">Number of Armed Security Contracts/Task Orders administered in the last 7 years (Prime Only) with performance in SOUTHCOM </t>
  </si>
  <si>
    <t>Points Available</t>
  </si>
  <si>
    <t>MTTR</t>
  </si>
  <si>
    <t>Offerors Self-Score Total</t>
  </si>
  <si>
    <t># of FTEs at a single point in time on largest Contract/TO performing Security functions OCONUS (armed personal protective or armed guard) administered as Prime in last 7 years (include subcontractors in the FTE count)</t>
  </si>
  <si>
    <t># of FN or OCN FTE employed performing Security Functions OCONUS at a single point in time in the past 7 years (include subcontractors in the FTE count)</t>
  </si>
  <si>
    <t xml:space="preserve">Total number of OCONUS Armed Security Service Contracts or Task Orders performed in the past 7 years (as a prime or subcontractor) </t>
  </si>
  <si>
    <t>Number of Armed Contracts/Task Orders administered in the last 7 years (Prime or Subcontractor) at a single point in time at OCONUS Geographic Locations  providing Protective Security Details (PSD) or  Protective Security Services (PSS)</t>
  </si>
  <si>
    <r>
      <t>Number of EDD)/DDD Teams that are trained, certified, deployed, and managed OCONUS at a single point in time in past 7 years (Prime or Subcontractor)</t>
    </r>
    <r>
      <rPr>
        <b/>
        <sz val="11"/>
        <rFont val="Arial"/>
        <family val="2"/>
      </rPr>
      <t xml:space="preserve"> </t>
    </r>
  </si>
  <si>
    <t>W519TC-24-R-0011 ATTACHMENT 0006 - HTRO SELF-SCORING MATRIX</t>
  </si>
  <si>
    <r>
      <t xml:space="preserve"># of OCONUS Armed Security Contracts/TOs administered in the last 7 years (prime only) with performance in at least two separate locations </t>
    </r>
    <r>
      <rPr>
        <b/>
        <sz val="11"/>
        <rFont val="Arial"/>
        <family val="2"/>
      </rPr>
      <t xml:space="preserve">(≥10 FTEs at each location) </t>
    </r>
  </si>
  <si>
    <t>Number of personnel on Armed Security Contracts/Task Orders who received OCONUS contractor-provided housing and life support at a single point in time in the past 7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</si>
</sst>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6"/>
      <color theme="1"/>
      <name val="Calibri"/>
      <family val="2"/>
      <scheme val="minor"/>
    </font>
    <font>
      <b/>
      <sz val="16"/>
      <color rgb="FFFF0000"/>
      <name val="Arial"/>
      <family val="2"/>
    </font>
    <font>
      <sz val="11"/>
      <color theme="1"/>
      <name val="Arial"/>
      <family val="2"/>
    </font>
    <font>
      <b/>
      <sz val="12"/>
      <color theme="1"/>
      <name val="Arial"/>
      <family val="2"/>
    </font>
    <font>
      <sz val="12"/>
      <color theme="1"/>
      <name val="Arial"/>
      <family val="2"/>
    </font>
    <font>
      <sz val="12"/>
      <color rgb="FFFF0000"/>
      <name val="Arial"/>
      <family val="2"/>
    </font>
    <font>
      <sz val="12"/>
      <color theme="9"/>
      <name val="Arial"/>
      <family val="2"/>
    </font>
    <font>
      <b/>
      <sz val="16"/>
      <color theme="1"/>
      <name val="Arial"/>
      <family val="2"/>
    </font>
    <font>
      <sz val="11"/>
      <name val="Arial"/>
      <family val="2"/>
    </font>
    <font>
      <b/>
      <sz val="11"/>
      <name val="Arial"/>
      <family val="2"/>
    </font>
    <font>
      <b/>
      <sz val="16"/>
      <name val="Arial"/>
      <family val="2"/>
    </font>
    <font>
      <sz val="11"/>
      <color theme="1"/>
      <name val="Arial"/>
      <family val="2"/>
    </font>
    <font>
      <b/>
      <sz val="14"/>
      <color theme="1"/>
      <name val="Arial"/>
      <family val="2"/>
    </font>
    <font>
      <b/>
      <sz val="12"/>
      <color theme="1"/>
      <name val="Arial"/>
      <family val="2"/>
    </font>
    <font>
      <sz val="12"/>
      <color theme="1"/>
      <name val="Arial"/>
      <family val="2"/>
    </font>
    <font>
      <b/>
      <sz val="12"/>
      <color rgb="FFFF0000"/>
      <name val="Arial"/>
      <family val="2"/>
    </font>
    <font>
      <b/>
      <sz val="12"/>
      <color rgb="FF00B050"/>
      <name val="Arial"/>
      <family val="2"/>
    </font>
  </fonts>
  <fills count="10">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rgb="FF00B0F0"/>
        <bgColor indexed="64"/>
      </patternFill>
    </fill>
  </fills>
  <borders count="4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ck">
        <color indexed="64"/>
      </right>
      <top style="medium">
        <color indexed="64"/>
      </top>
      <bottom style="medium">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medium">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diagonal/>
    </border>
    <border>
      <left style="thick">
        <color indexed="64"/>
      </left>
      <right style="thick">
        <color indexed="64"/>
      </right>
      <top style="medium">
        <color indexed="64"/>
      </top>
      <bottom/>
      <diagonal/>
    </border>
    <border>
      <left style="thick">
        <color indexed="64"/>
      </left>
      <right style="thick">
        <color indexed="64"/>
      </right>
      <top style="medium">
        <color indexed="64"/>
      </top>
      <bottom style="medium">
        <color indexed="64"/>
      </bottom>
      <diagonal/>
    </border>
    <border>
      <left style="thick">
        <color indexed="64"/>
      </left>
      <right style="thick">
        <color indexed="64"/>
      </right>
      <top style="thin">
        <color indexed="64"/>
      </top>
      <bottom style="thin">
        <color indexed="64"/>
      </bottom>
      <diagonal/>
    </border>
    <border>
      <left/>
      <right style="thick">
        <color indexed="64"/>
      </right>
      <top style="thin">
        <color indexed="64"/>
      </top>
      <bottom style="thin">
        <color indexed="64"/>
      </bottom>
      <diagonal/>
    </border>
    <border>
      <left/>
      <right style="thick">
        <color indexed="64"/>
      </right>
      <top style="thin">
        <color indexed="64"/>
      </top>
      <bottom style="thick">
        <color indexed="64"/>
      </bottom>
      <diagonal/>
    </border>
    <border>
      <left style="thick">
        <color indexed="64"/>
      </left>
      <right/>
      <top style="thick">
        <color indexed="64"/>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right style="thick">
        <color indexed="64"/>
      </right>
      <top style="thick">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medium">
        <color indexed="64"/>
      </right>
      <top style="medium">
        <color indexed="64"/>
      </top>
      <bottom/>
      <diagonal/>
    </border>
    <border>
      <left style="medium">
        <color indexed="64"/>
      </left>
      <right style="thick">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medium">
        <color indexed="64"/>
      </left>
      <right style="thick">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s>
  <cellStyleXfs count="1">
    <xf numFmtId="0" fontId="0" fillId="0" borderId="0"/>
  </cellStyleXfs>
  <cellXfs count="115">
    <xf numFmtId="0" fontId="0" fillId="0" borderId="0" xfId="0"/>
    <xf numFmtId="0" fontId="0" fillId="0" borderId="0" xfId="0" applyAlignment="1">
      <alignment horizontal="center"/>
    </xf>
    <xf numFmtId="0" fontId="0" fillId="0" borderId="0" xfId="0" applyAlignment="1">
      <alignment horizontal="center" wrapText="1"/>
    </xf>
    <xf numFmtId="0" fontId="2" fillId="0" borderId="0" xfId="0" applyFont="1" applyBorder="1" applyAlignment="1">
      <alignment horizontal="center" wrapText="1"/>
    </xf>
    <xf numFmtId="0" fontId="1" fillId="0" borderId="0" xfId="0" applyFont="1" applyBorder="1" applyAlignment="1">
      <alignment horizontal="center"/>
    </xf>
    <xf numFmtId="0" fontId="3" fillId="0" borderId="0" xfId="0" applyFont="1"/>
    <xf numFmtId="0" fontId="4" fillId="0" borderId="6" xfId="0" applyFont="1" applyBorder="1" applyAlignment="1">
      <alignment vertical="center"/>
    </xf>
    <xf numFmtId="0" fontId="3" fillId="0" borderId="5" xfId="0" applyFont="1" applyBorder="1" applyAlignment="1">
      <alignment horizontal="center"/>
    </xf>
    <xf numFmtId="0" fontId="3" fillId="0" borderId="8" xfId="0" applyFont="1" applyBorder="1" applyAlignment="1">
      <alignment horizontal="center"/>
    </xf>
    <xf numFmtId="0" fontId="3" fillId="2" borderId="6" xfId="0" applyFont="1" applyFill="1" applyBorder="1" applyAlignment="1">
      <alignment horizontal="left" vertical="center" wrapText="1"/>
    </xf>
    <xf numFmtId="0" fontId="3" fillId="0" borderId="8" xfId="0" applyFont="1" applyBorder="1"/>
    <xf numFmtId="0" fontId="3" fillId="0" borderId="11" xfId="0" applyFont="1" applyBorder="1"/>
    <xf numFmtId="0" fontId="3" fillId="0" borderId="0" xfId="0" applyFont="1" applyAlignment="1">
      <alignment horizontal="center"/>
    </xf>
    <xf numFmtId="0" fontId="4" fillId="0" borderId="4" xfId="0" applyFont="1" applyBorder="1" applyAlignment="1">
      <alignment horizontal="center" vertical="center"/>
    </xf>
    <xf numFmtId="0" fontId="4" fillId="0" borderId="0" xfId="0" applyFont="1"/>
    <xf numFmtId="3" fontId="4" fillId="0" borderId="0" xfId="0" applyNumberFormat="1" applyFont="1" applyAlignment="1">
      <alignment horizontal="center" vertical="center"/>
    </xf>
    <xf numFmtId="0" fontId="4" fillId="0" borderId="0" xfId="0" applyFont="1" applyAlignment="1">
      <alignment horizontal="center" vertical="center"/>
    </xf>
    <xf numFmtId="0" fontId="3" fillId="0" borderId="9" xfId="0" applyFont="1" applyBorder="1" applyAlignment="1">
      <alignment wrapText="1"/>
    </xf>
    <xf numFmtId="0" fontId="4" fillId="0" borderId="14" xfId="0" applyFont="1" applyBorder="1" applyAlignment="1">
      <alignment horizontal="center" vertical="center"/>
    </xf>
    <xf numFmtId="0" fontId="3" fillId="0" borderId="15" xfId="0" applyFont="1" applyBorder="1"/>
    <xf numFmtId="0" fontId="3" fillId="0" borderId="16" xfId="0" applyFont="1" applyBorder="1"/>
    <xf numFmtId="0" fontId="4" fillId="0" borderId="12" xfId="0" applyFont="1" applyBorder="1" applyAlignment="1">
      <alignment horizontal="center" vertical="center"/>
    </xf>
    <xf numFmtId="0" fontId="3" fillId="0" borderId="17" xfId="0" applyFont="1" applyBorder="1" applyAlignment="1">
      <alignment horizontal="center"/>
    </xf>
    <xf numFmtId="0" fontId="4" fillId="0" borderId="18" xfId="0" applyFont="1" applyBorder="1" applyAlignment="1">
      <alignment horizontal="center" vertical="center" wrapText="1"/>
    </xf>
    <xf numFmtId="0" fontId="5" fillId="2" borderId="25" xfId="0" applyFont="1" applyFill="1" applyBorder="1" applyAlignment="1">
      <alignment horizontal="center"/>
    </xf>
    <xf numFmtId="0" fontId="5" fillId="2" borderId="20" xfId="0" applyFont="1" applyFill="1" applyBorder="1" applyAlignment="1">
      <alignment horizontal="center"/>
    </xf>
    <xf numFmtId="0" fontId="5" fillId="2" borderId="21" xfId="0" applyFont="1" applyFill="1" applyBorder="1" applyAlignment="1">
      <alignment horizontal="center"/>
    </xf>
    <xf numFmtId="0" fontId="3" fillId="3" borderId="19" xfId="0" applyFont="1" applyFill="1" applyBorder="1" applyAlignment="1" applyProtection="1">
      <alignment horizontal="center" vertical="center"/>
      <protection locked="0"/>
    </xf>
    <xf numFmtId="0" fontId="0" fillId="0" borderId="0" xfId="0" applyBorder="1" applyAlignment="1">
      <alignment horizontal="center"/>
    </xf>
    <xf numFmtId="0" fontId="0" fillId="0" borderId="0" xfId="0" applyAlignment="1">
      <alignment horizontal="center"/>
    </xf>
    <xf numFmtId="0" fontId="0" fillId="0" borderId="0" xfId="0" applyBorder="1"/>
    <xf numFmtId="0" fontId="3" fillId="0" borderId="0" xfId="0" applyFont="1" applyBorder="1"/>
    <xf numFmtId="0" fontId="3" fillId="0" borderId="32" xfId="0" applyFont="1" applyBorder="1" applyAlignment="1">
      <alignment horizontal="center"/>
    </xf>
    <xf numFmtId="0" fontId="4" fillId="0" borderId="1" xfId="0" applyFont="1" applyBorder="1" applyAlignment="1">
      <alignment horizontal="left" vertical="center"/>
    </xf>
    <xf numFmtId="0" fontId="4" fillId="0" borderId="3" xfId="0" applyFont="1" applyBorder="1" applyAlignment="1">
      <alignment horizontal="center" vertical="center" wrapText="1"/>
    </xf>
    <xf numFmtId="0" fontId="3" fillId="2" borderId="34" xfId="0" applyFont="1" applyFill="1" applyBorder="1" applyAlignment="1">
      <alignment horizontal="center" vertical="center"/>
    </xf>
    <xf numFmtId="0" fontId="3" fillId="3" borderId="39" xfId="0" applyFont="1" applyFill="1" applyBorder="1" applyAlignment="1" applyProtection="1">
      <alignment horizontal="center" vertical="center"/>
      <protection locked="0"/>
    </xf>
    <xf numFmtId="0" fontId="3" fillId="2" borderId="40" xfId="0" applyFont="1" applyFill="1" applyBorder="1" applyAlignment="1">
      <alignment horizontal="center" vertical="center"/>
    </xf>
    <xf numFmtId="0" fontId="12" fillId="0" borderId="0" xfId="0" applyFont="1" applyBorder="1"/>
    <xf numFmtId="0" fontId="9" fillId="5" borderId="35" xfId="0" applyFont="1" applyFill="1" applyBorder="1" applyAlignment="1">
      <alignment horizontal="left" vertical="center" wrapText="1"/>
    </xf>
    <xf numFmtId="0" fontId="9" fillId="5" borderId="7" xfId="0" applyFont="1" applyFill="1" applyBorder="1" applyAlignment="1">
      <alignment horizontal="center" vertical="center" wrapText="1"/>
    </xf>
    <xf numFmtId="0" fontId="9" fillId="5" borderId="5" xfId="0" applyFont="1" applyFill="1" applyBorder="1" applyAlignment="1">
      <alignment horizontal="center" vertical="center" wrapText="1"/>
    </xf>
    <xf numFmtId="49" fontId="9" fillId="5" borderId="13" xfId="0" applyNumberFormat="1" applyFont="1" applyFill="1" applyBorder="1" applyAlignment="1">
      <alignment horizontal="center" vertical="center" wrapText="1"/>
    </xf>
    <xf numFmtId="0" fontId="9" fillId="5" borderId="19" xfId="0" applyFont="1" applyFill="1" applyBorder="1" applyAlignment="1">
      <alignment horizontal="center" vertical="center"/>
    </xf>
    <xf numFmtId="0" fontId="9" fillId="5" borderId="7" xfId="0" applyFont="1" applyFill="1" applyBorder="1" applyAlignment="1">
      <alignment horizontal="center" vertical="center"/>
    </xf>
    <xf numFmtId="0" fontId="9" fillId="5" borderId="5" xfId="0" applyFont="1" applyFill="1" applyBorder="1" applyAlignment="1">
      <alignment horizontal="center" vertical="center"/>
    </xf>
    <xf numFmtId="49" fontId="9" fillId="5" borderId="5" xfId="0" applyNumberFormat="1" applyFont="1" applyFill="1" applyBorder="1" applyAlignment="1">
      <alignment horizontal="center" vertical="center"/>
    </xf>
    <xf numFmtId="49" fontId="9" fillId="5" borderId="13" xfId="0" applyNumberFormat="1" applyFont="1" applyFill="1" applyBorder="1" applyAlignment="1">
      <alignment horizontal="center" vertical="center"/>
    </xf>
    <xf numFmtId="0" fontId="9" fillId="6" borderId="35" xfId="0" applyFont="1" applyFill="1" applyBorder="1" applyAlignment="1">
      <alignment horizontal="left" vertical="center" wrapText="1"/>
    </xf>
    <xf numFmtId="0" fontId="9" fillId="6" borderId="7" xfId="0" applyFont="1" applyFill="1" applyBorder="1" applyAlignment="1">
      <alignment horizontal="center" vertical="center"/>
    </xf>
    <xf numFmtId="0" fontId="9" fillId="6" borderId="5" xfId="0" applyFont="1" applyFill="1" applyBorder="1" applyAlignment="1">
      <alignment horizontal="center" vertical="center"/>
    </xf>
    <xf numFmtId="49" fontId="9" fillId="6" borderId="13" xfId="0" applyNumberFormat="1" applyFont="1" applyFill="1" applyBorder="1" applyAlignment="1">
      <alignment horizontal="center" vertical="center"/>
    </xf>
    <xf numFmtId="0" fontId="9" fillId="6" borderId="19" xfId="0" applyFont="1" applyFill="1" applyBorder="1" applyAlignment="1">
      <alignment horizontal="center" vertical="center"/>
    </xf>
    <xf numFmtId="0" fontId="9" fillId="6" borderId="13" xfId="0" applyFont="1" applyFill="1" applyBorder="1" applyAlignment="1">
      <alignment horizontal="center" vertical="center"/>
    </xf>
    <xf numFmtId="0" fontId="9" fillId="7" borderId="35" xfId="0" applyFont="1" applyFill="1" applyBorder="1" applyAlignment="1">
      <alignment horizontal="left" vertical="center" wrapText="1"/>
    </xf>
    <xf numFmtId="0" fontId="9" fillId="7" borderId="7" xfId="0" applyFont="1" applyFill="1" applyBorder="1" applyAlignment="1">
      <alignment horizontal="center" vertical="center"/>
    </xf>
    <xf numFmtId="0" fontId="9" fillId="7" borderId="5" xfId="0" applyFont="1" applyFill="1" applyBorder="1" applyAlignment="1">
      <alignment horizontal="center" vertical="center"/>
    </xf>
    <xf numFmtId="49" fontId="9" fillId="7" borderId="13" xfId="0" applyNumberFormat="1" applyFont="1" applyFill="1" applyBorder="1" applyAlignment="1">
      <alignment horizontal="center" vertical="center"/>
    </xf>
    <xf numFmtId="0" fontId="9" fillId="7" borderId="19" xfId="0" applyFont="1" applyFill="1" applyBorder="1" applyAlignment="1">
      <alignment horizontal="center" vertical="center"/>
    </xf>
    <xf numFmtId="0" fontId="9" fillId="7" borderId="13" xfId="0" applyFont="1" applyFill="1" applyBorder="1" applyAlignment="1">
      <alignment horizontal="center" vertical="center"/>
    </xf>
    <xf numFmtId="49" fontId="9" fillId="7" borderId="5" xfId="0" applyNumberFormat="1" applyFont="1" applyFill="1" applyBorder="1" applyAlignment="1">
      <alignment horizontal="center" vertical="center"/>
    </xf>
    <xf numFmtId="0" fontId="9" fillId="8" borderId="35" xfId="0" applyFont="1" applyFill="1" applyBorder="1" applyAlignment="1">
      <alignment horizontal="left" vertical="center" wrapText="1"/>
    </xf>
    <xf numFmtId="0" fontId="9" fillId="8" borderId="7" xfId="0" applyFont="1" applyFill="1" applyBorder="1" applyAlignment="1">
      <alignment horizontal="center" vertical="center"/>
    </xf>
    <xf numFmtId="0" fontId="9" fillId="8" borderId="5" xfId="0" applyFont="1" applyFill="1" applyBorder="1" applyAlignment="1">
      <alignment horizontal="center" vertical="center"/>
    </xf>
    <xf numFmtId="0" fontId="9" fillId="8" borderId="13" xfId="0" applyFont="1" applyFill="1" applyBorder="1" applyAlignment="1">
      <alignment horizontal="center" vertical="center"/>
    </xf>
    <xf numFmtId="0" fontId="9" fillId="8" borderId="19" xfId="0" applyFont="1" applyFill="1" applyBorder="1" applyAlignment="1">
      <alignment horizontal="center" vertical="center"/>
    </xf>
    <xf numFmtId="0" fontId="9" fillId="8" borderId="36" xfId="0" applyFont="1" applyFill="1" applyBorder="1" applyAlignment="1">
      <alignment horizontal="left" vertical="center" wrapText="1"/>
    </xf>
    <xf numFmtId="0" fontId="9" fillId="8" borderId="37" xfId="0" applyFont="1" applyFill="1" applyBorder="1" applyAlignment="1">
      <alignment horizontal="center" vertical="center"/>
    </xf>
    <xf numFmtId="0" fontId="9" fillId="8" borderId="10" xfId="0" applyFont="1" applyFill="1" applyBorder="1" applyAlignment="1">
      <alignment horizontal="center" vertical="center"/>
    </xf>
    <xf numFmtId="0" fontId="9" fillId="8" borderId="38" xfId="0" applyFont="1" applyFill="1" applyBorder="1" applyAlignment="1">
      <alignment horizontal="center" vertical="center"/>
    </xf>
    <xf numFmtId="0" fontId="9" fillId="8" borderId="39" xfId="0" applyFont="1" applyFill="1" applyBorder="1" applyAlignment="1">
      <alignment horizontal="center" vertical="center"/>
    </xf>
    <xf numFmtId="0" fontId="9" fillId="9" borderId="33" xfId="0" applyFont="1" applyFill="1" applyBorder="1" applyAlignment="1">
      <alignment horizontal="left" vertical="center" wrapText="1"/>
    </xf>
    <xf numFmtId="0" fontId="9" fillId="9" borderId="7" xfId="0" applyFont="1" applyFill="1" applyBorder="1" applyAlignment="1">
      <alignment horizontal="center" vertical="center"/>
    </xf>
    <xf numFmtId="0" fontId="9" fillId="9" borderId="5" xfId="0" applyFont="1" applyFill="1" applyBorder="1" applyAlignment="1">
      <alignment horizontal="center" vertical="center"/>
    </xf>
    <xf numFmtId="0" fontId="9" fillId="9" borderId="13" xfId="0" applyFont="1" applyFill="1" applyBorder="1" applyAlignment="1">
      <alignment horizontal="center" vertical="center"/>
    </xf>
    <xf numFmtId="0" fontId="9" fillId="9" borderId="19" xfId="0" applyFont="1" applyFill="1" applyBorder="1" applyAlignment="1">
      <alignment horizontal="center" vertical="center"/>
    </xf>
    <xf numFmtId="0" fontId="4" fillId="3" borderId="1" xfId="0" applyFont="1" applyFill="1" applyBorder="1" applyAlignment="1" applyProtection="1">
      <alignment vertical="center"/>
      <protection locked="0"/>
    </xf>
    <xf numFmtId="0" fontId="3" fillId="3" borderId="5" xfId="0" applyFont="1" applyFill="1" applyBorder="1" applyProtection="1">
      <protection locked="0"/>
    </xf>
    <xf numFmtId="0" fontId="3" fillId="3" borderId="10" xfId="0" applyFont="1" applyFill="1" applyBorder="1" applyProtection="1">
      <protection locked="0"/>
    </xf>
    <xf numFmtId="0" fontId="14" fillId="0" borderId="0" xfId="0" applyFont="1" applyAlignment="1">
      <alignment horizontal="center" wrapText="1"/>
    </xf>
    <xf numFmtId="1" fontId="14" fillId="0" borderId="0" xfId="0" applyNumberFormat="1" applyFont="1" applyAlignment="1">
      <alignment horizontal="center" wrapText="1"/>
    </xf>
    <xf numFmtId="0" fontId="15" fillId="0" borderId="0" xfId="0" applyFont="1"/>
    <xf numFmtId="0" fontId="3" fillId="0" borderId="0" xfId="0" applyFont="1" applyFill="1" applyBorder="1"/>
    <xf numFmtId="0" fontId="3" fillId="0" borderId="0" xfId="0" applyFont="1" applyFill="1"/>
    <xf numFmtId="0" fontId="15" fillId="0" borderId="0" xfId="0" applyFont="1" applyAlignment="1"/>
    <xf numFmtId="0" fontId="0" fillId="0" borderId="0" xfId="0" applyAlignment="1"/>
    <xf numFmtId="0" fontId="13" fillId="0" borderId="0" xfId="0" applyFont="1" applyAlignment="1">
      <alignment horizontal="center" wrapText="1"/>
    </xf>
    <xf numFmtId="0" fontId="15" fillId="0" borderId="0" xfId="0" applyFont="1" applyAlignment="1">
      <alignment horizontal="left"/>
    </xf>
    <xf numFmtId="0" fontId="16" fillId="0" borderId="0" xfId="0" applyFont="1" applyAlignment="1">
      <alignment horizontal="center"/>
    </xf>
    <xf numFmtId="0" fontId="17" fillId="0" borderId="0" xfId="0" applyFont="1" applyAlignment="1">
      <alignment horizontal="center"/>
    </xf>
    <xf numFmtId="0" fontId="15" fillId="0" borderId="0" xfId="0" applyFont="1" applyAlignment="1">
      <alignment wrapText="1"/>
    </xf>
    <xf numFmtId="0" fontId="0" fillId="0" borderId="0" xfId="0" applyAlignment="1">
      <alignment wrapText="1"/>
    </xf>
    <xf numFmtId="0" fontId="14" fillId="4" borderId="30" xfId="0" applyFont="1" applyFill="1" applyBorder="1" applyAlignment="1">
      <alignment horizontal="center" vertical="center" wrapText="1"/>
    </xf>
    <xf numFmtId="0" fontId="14" fillId="4" borderId="31" xfId="0" applyFont="1" applyFill="1" applyBorder="1" applyAlignment="1">
      <alignment horizontal="center" vertical="center" wrapText="1"/>
    </xf>
    <xf numFmtId="0" fontId="15" fillId="4" borderId="26" xfId="0" applyFont="1" applyFill="1" applyBorder="1" applyAlignment="1">
      <alignment horizontal="center" wrapText="1"/>
    </xf>
    <xf numFmtId="0" fontId="15" fillId="4" borderId="27" xfId="0" applyFont="1" applyFill="1" applyBorder="1" applyAlignment="1">
      <alignment horizontal="center" wrapText="1"/>
    </xf>
    <xf numFmtId="0" fontId="15" fillId="4" borderId="28" xfId="0" applyFont="1" applyFill="1" applyBorder="1" applyAlignment="1">
      <alignment horizontal="center" wrapText="1"/>
    </xf>
    <xf numFmtId="0" fontId="15" fillId="4" borderId="29" xfId="0" applyFont="1" applyFill="1" applyBorder="1" applyAlignment="1">
      <alignment horizontal="center" wrapText="1"/>
    </xf>
    <xf numFmtId="0" fontId="2" fillId="0" borderId="0" xfId="0" applyFont="1" applyBorder="1" applyAlignment="1">
      <alignment horizontal="center" vertical="top" wrapText="1"/>
    </xf>
    <xf numFmtId="0" fontId="8" fillId="0" borderId="41" xfId="0" applyFont="1" applyBorder="1" applyAlignment="1">
      <alignment horizontal="center" vertical="top"/>
    </xf>
    <xf numFmtId="0" fontId="8" fillId="0" borderId="42" xfId="0" applyFont="1" applyBorder="1" applyAlignment="1">
      <alignment horizontal="center" vertical="top"/>
    </xf>
    <xf numFmtId="0" fontId="8" fillId="0" borderId="40" xfId="0" applyFont="1" applyBorder="1" applyAlignment="1">
      <alignment horizontal="center" vertical="top"/>
    </xf>
    <xf numFmtId="0" fontId="4" fillId="3" borderId="43" xfId="0" applyFont="1" applyFill="1" applyBorder="1" applyAlignment="1" applyProtection="1">
      <alignment vertical="center"/>
      <protection locked="0"/>
    </xf>
    <xf numFmtId="0" fontId="4" fillId="3" borderId="44" xfId="0" applyFont="1" applyFill="1" applyBorder="1" applyAlignment="1" applyProtection="1">
      <alignment vertical="center"/>
      <protection locked="0"/>
    </xf>
    <xf numFmtId="0" fontId="4" fillId="3" borderId="45" xfId="0" applyFont="1" applyFill="1" applyBorder="1" applyAlignment="1" applyProtection="1">
      <alignment vertical="center"/>
      <protection locked="0"/>
    </xf>
    <xf numFmtId="0" fontId="11" fillId="0" borderId="0" xfId="0" applyFont="1" applyBorder="1" applyAlignment="1">
      <alignment horizontal="center"/>
    </xf>
    <xf numFmtId="0" fontId="8" fillId="0" borderId="1" xfId="0" applyFont="1" applyBorder="1" applyAlignment="1">
      <alignment horizontal="center"/>
    </xf>
    <xf numFmtId="0" fontId="8" fillId="0" borderId="2" xfId="0" applyFont="1" applyBorder="1" applyAlignment="1">
      <alignment horizontal="center"/>
    </xf>
    <xf numFmtId="0" fontId="8" fillId="0" borderId="3" xfId="0" applyFont="1" applyBorder="1" applyAlignment="1">
      <alignment horizontal="center"/>
    </xf>
    <xf numFmtId="0" fontId="3" fillId="0" borderId="22" xfId="0" applyFont="1" applyBorder="1" applyAlignment="1">
      <alignment horizontal="center"/>
    </xf>
    <xf numFmtId="0" fontId="3" fillId="0" borderId="25" xfId="0" applyFont="1" applyBorder="1" applyAlignment="1">
      <alignment horizontal="center"/>
    </xf>
    <xf numFmtId="0" fontId="5" fillId="0" borderId="23" xfId="0" applyFont="1" applyBorder="1" applyAlignment="1">
      <alignment horizontal="center" wrapText="1"/>
    </xf>
    <xf numFmtId="0" fontId="5" fillId="0" borderId="20" xfId="0" applyFont="1" applyBorder="1" applyAlignment="1">
      <alignment horizontal="center" wrapText="1"/>
    </xf>
    <xf numFmtId="0" fontId="5" fillId="0" borderId="24" xfId="0" applyFont="1" applyBorder="1" applyAlignment="1">
      <alignment horizontal="center"/>
    </xf>
    <xf numFmtId="0" fontId="5" fillId="0" borderId="21" xfId="0" applyFont="1" applyBorder="1" applyAlignment="1">
      <alignment horizontal="center"/>
    </xf>
  </cellXfs>
  <cellStyles count="1">
    <cellStyle name="Normal" xfId="0" builtinId="0"/>
  </cellStyles>
  <dxfs count="7">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0000"/>
        </patternFill>
      </fill>
    </dxf>
    <dxf>
      <fill>
        <patternFill>
          <bgColor rgb="FF00B050"/>
        </patternFill>
      </fill>
    </dxf>
    <dxf>
      <fill>
        <patternFill>
          <bgColor rgb="FF00B050"/>
        </patternFill>
      </fill>
    </dxf>
    <dxf>
      <fill>
        <patternFill>
          <bgColor rgb="FFFF0000"/>
        </patternFill>
      </fill>
    </dxf>
  </dxfs>
  <tableStyles count="0" defaultTableStyle="TableStyleMedium2" defaultPivotStyle="PivotStyleLight16"/>
  <colors>
    <mruColors>
      <color rgb="FFCC99FF"/>
      <color rgb="FF00FFFF"/>
      <color rgb="FF33CCFF"/>
      <color rgb="FF9999FF"/>
      <color rgb="FF9966FF"/>
      <color rgb="FFFF99FF"/>
      <color rgb="FFFF66CC"/>
      <color rgb="FF3204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nthony.m.patera\Downloads\A-%2002%20GPS%20Attachment%200006%20-%20HTRO%20Self%20Scoring%20Matrix%20-%20FINAL%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 2 "/>
    </sheetNames>
    <sheetDataSet>
      <sheetData sheetId="0">
        <row r="29">
          <cell r="K29">
            <v>57600</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3C9D0-3E53-49ED-A794-A0F81437C8F4}">
  <dimension ref="A1:Q17"/>
  <sheetViews>
    <sheetView topLeftCell="A2" workbookViewId="0">
      <selection activeCell="A9" sqref="A9:Q9"/>
    </sheetView>
  </sheetViews>
  <sheetFormatPr defaultRowHeight="15" x14ac:dyDescent="0.25"/>
  <cols>
    <col min="1" max="1" width="24.28515625" customWidth="1"/>
    <col min="2" max="2" width="36.42578125" customWidth="1"/>
    <col min="3" max="3" width="9.5703125" bestFit="1" customWidth="1"/>
    <col min="4" max="4" width="17.7109375" customWidth="1"/>
  </cols>
  <sheetData>
    <row r="1" spans="1:17" ht="18" customHeight="1" x14ac:dyDescent="0.25">
      <c r="A1" s="86" t="s">
        <v>0</v>
      </c>
      <c r="B1" s="86"/>
      <c r="C1" s="86"/>
      <c r="D1" s="86"/>
      <c r="E1" s="86"/>
      <c r="F1" s="86"/>
      <c r="G1" s="86"/>
    </row>
    <row r="2" spans="1:17" ht="47.25" x14ac:dyDescent="0.25">
      <c r="A2" s="79" t="s">
        <v>1</v>
      </c>
      <c r="B2" s="79" t="s">
        <v>2</v>
      </c>
      <c r="C2" s="80">
        <f>'[1]Tab 2 '!K29</f>
        <v>57600</v>
      </c>
      <c r="D2" s="2"/>
      <c r="E2" s="2"/>
      <c r="F2" s="2"/>
      <c r="G2" s="2"/>
    </row>
    <row r="3" spans="1:17" x14ac:dyDescent="0.25">
      <c r="A3" s="2"/>
      <c r="B3" s="2"/>
      <c r="C3" s="2"/>
      <c r="D3" s="2"/>
      <c r="E3" s="2"/>
      <c r="F3" s="2"/>
      <c r="G3" s="2"/>
    </row>
    <row r="4" spans="1:17" ht="15.75" customHeight="1" x14ac:dyDescent="0.25">
      <c r="A4" s="84" t="s">
        <v>3</v>
      </c>
      <c r="B4" s="85"/>
      <c r="C4" s="85"/>
      <c r="D4" s="85"/>
      <c r="E4" s="85"/>
      <c r="F4" s="85"/>
      <c r="G4" s="85"/>
      <c r="H4" s="85"/>
      <c r="I4" s="85"/>
      <c r="J4" s="85"/>
      <c r="K4" s="85"/>
      <c r="L4" s="85"/>
      <c r="M4" s="85"/>
      <c r="N4" s="85"/>
      <c r="O4" s="85"/>
      <c r="P4" s="85"/>
      <c r="Q4" s="85"/>
    </row>
    <row r="5" spans="1:17" ht="15.75" customHeight="1" x14ac:dyDescent="0.25">
      <c r="A5" s="87" t="s">
        <v>4</v>
      </c>
      <c r="B5" s="87"/>
      <c r="C5" s="87"/>
      <c r="D5" s="87"/>
      <c r="E5" s="87"/>
      <c r="F5" s="87"/>
      <c r="G5" s="87"/>
      <c r="H5" s="87"/>
      <c r="I5" s="87"/>
      <c r="J5" s="87"/>
      <c r="K5" s="87"/>
      <c r="L5" s="87"/>
      <c r="M5" s="87"/>
      <c r="N5" s="87"/>
      <c r="O5" s="87"/>
      <c r="P5" s="87"/>
      <c r="Q5" s="87"/>
    </row>
    <row r="6" spans="1:17" ht="15.75" customHeight="1" x14ac:dyDescent="0.25">
      <c r="A6" s="88" t="s">
        <v>5</v>
      </c>
      <c r="B6" s="88"/>
      <c r="C6" s="88"/>
      <c r="D6" s="88"/>
      <c r="E6" s="88"/>
      <c r="F6" s="88"/>
      <c r="G6" s="88"/>
      <c r="H6" s="88"/>
      <c r="I6" s="88"/>
      <c r="J6" s="88"/>
      <c r="K6" s="88"/>
      <c r="L6" s="88"/>
      <c r="M6" s="88"/>
      <c r="N6" s="88"/>
      <c r="O6" s="88"/>
      <c r="P6" s="88"/>
      <c r="Q6" s="88"/>
    </row>
    <row r="7" spans="1:17" ht="15.75" customHeight="1" x14ac:dyDescent="0.25">
      <c r="A7" s="89" t="s">
        <v>6</v>
      </c>
      <c r="B7" s="89"/>
      <c r="C7" s="89"/>
      <c r="D7" s="89"/>
      <c r="E7" s="89"/>
      <c r="F7" s="89"/>
      <c r="G7" s="89"/>
      <c r="H7" s="89"/>
      <c r="I7" s="89"/>
      <c r="J7" s="89"/>
      <c r="K7" s="89"/>
      <c r="L7" s="89"/>
      <c r="M7" s="89"/>
      <c r="N7" s="89"/>
      <c r="O7" s="89"/>
      <c r="P7" s="89"/>
      <c r="Q7" s="89"/>
    </row>
    <row r="8" spans="1:17" ht="15.75" customHeight="1" x14ac:dyDescent="0.25">
      <c r="A8" s="84" t="s">
        <v>7</v>
      </c>
      <c r="B8" s="85"/>
      <c r="C8" s="85"/>
      <c r="D8" s="85"/>
      <c r="E8" s="85"/>
      <c r="F8" s="85"/>
      <c r="G8" s="85"/>
      <c r="H8" s="85"/>
      <c r="I8" s="85"/>
      <c r="J8" s="85"/>
      <c r="K8" s="85"/>
      <c r="L8" s="85"/>
      <c r="M8" s="85"/>
      <c r="N8" s="85"/>
      <c r="O8" s="85"/>
      <c r="P8" s="85"/>
      <c r="Q8" s="85"/>
    </row>
    <row r="9" spans="1:17" ht="15.75" customHeight="1" x14ac:dyDescent="0.25">
      <c r="A9" s="84" t="s">
        <v>8</v>
      </c>
      <c r="B9" s="85"/>
      <c r="C9" s="85"/>
      <c r="D9" s="85"/>
      <c r="E9" s="85"/>
      <c r="F9" s="85"/>
      <c r="G9" s="85"/>
      <c r="H9" s="85"/>
      <c r="I9" s="85"/>
      <c r="J9" s="85"/>
      <c r="K9" s="85"/>
      <c r="L9" s="85"/>
      <c r="M9" s="85"/>
      <c r="N9" s="85"/>
      <c r="O9" s="85"/>
      <c r="P9" s="85"/>
      <c r="Q9" s="85"/>
    </row>
    <row r="10" spans="1:17" ht="15.75" customHeight="1" x14ac:dyDescent="0.25">
      <c r="A10" s="84" t="s">
        <v>9</v>
      </c>
      <c r="B10" s="85"/>
      <c r="C10" s="85"/>
      <c r="D10" s="85"/>
      <c r="E10" s="85"/>
      <c r="F10" s="85"/>
      <c r="G10" s="85"/>
      <c r="H10" s="85"/>
      <c r="I10" s="85"/>
      <c r="J10" s="85"/>
      <c r="K10" s="85"/>
      <c r="L10" s="85"/>
      <c r="M10" s="85"/>
      <c r="N10" s="85"/>
      <c r="O10" s="85"/>
      <c r="P10" s="85"/>
      <c r="Q10" s="85"/>
    </row>
    <row r="11" spans="1:17" ht="15" customHeight="1" x14ac:dyDescent="0.25">
      <c r="A11" s="90" t="s">
        <v>10</v>
      </c>
      <c r="B11" s="91"/>
      <c r="C11" s="91"/>
      <c r="D11" s="91"/>
      <c r="E11" s="91"/>
      <c r="F11" s="91"/>
      <c r="G11" s="91"/>
      <c r="H11" s="91"/>
      <c r="I11" s="91"/>
      <c r="J11" s="91"/>
      <c r="K11" s="91"/>
      <c r="L11" s="91"/>
      <c r="M11" s="91"/>
      <c r="N11" s="91"/>
      <c r="O11" s="91"/>
      <c r="P11" s="91"/>
      <c r="Q11" s="91"/>
    </row>
    <row r="12" spans="1:17" ht="15.75" x14ac:dyDescent="0.25">
      <c r="A12" s="81" t="s">
        <v>11</v>
      </c>
      <c r="B12" s="81"/>
      <c r="C12" s="81"/>
      <c r="D12" s="81"/>
      <c r="E12" s="81"/>
      <c r="F12" s="81"/>
      <c r="G12" s="81"/>
      <c r="H12" s="81"/>
      <c r="I12" s="81"/>
      <c r="J12" s="81"/>
      <c r="K12" s="81"/>
      <c r="L12" s="81"/>
      <c r="M12" s="81"/>
      <c r="N12" s="81"/>
      <c r="O12" s="81"/>
      <c r="P12" s="81"/>
      <c r="Q12" s="81"/>
    </row>
    <row r="13" spans="1:17" ht="15.75" x14ac:dyDescent="0.25">
      <c r="A13" s="81"/>
      <c r="B13" s="81"/>
      <c r="C13" s="81"/>
      <c r="D13" s="81"/>
      <c r="E13" s="81"/>
      <c r="F13" s="81"/>
      <c r="G13" s="81"/>
      <c r="H13" s="81"/>
      <c r="I13" s="81"/>
      <c r="J13" s="81"/>
      <c r="K13" s="81"/>
      <c r="L13" s="81"/>
      <c r="M13" s="81"/>
      <c r="N13" s="81"/>
      <c r="O13" s="81"/>
      <c r="P13" s="81"/>
      <c r="Q13" s="81"/>
    </row>
    <row r="14" spans="1:17" ht="15.75" customHeight="1" x14ac:dyDescent="0.25">
      <c r="A14" s="87" t="s">
        <v>12</v>
      </c>
      <c r="B14" s="87"/>
      <c r="C14" s="87"/>
      <c r="D14" s="87"/>
      <c r="E14" s="87"/>
      <c r="F14" s="87"/>
      <c r="G14" s="87"/>
      <c r="H14" s="87"/>
      <c r="I14" s="87"/>
      <c r="J14" s="87"/>
      <c r="K14" s="87"/>
      <c r="L14" s="87"/>
      <c r="M14" s="87"/>
      <c r="N14" s="87"/>
      <c r="O14" s="87"/>
      <c r="P14" s="87"/>
      <c r="Q14" s="87"/>
    </row>
    <row r="16" spans="1:17" ht="15" customHeight="1" x14ac:dyDescent="0.25">
      <c r="A16" s="92" t="s">
        <v>13</v>
      </c>
      <c r="B16" s="94" t="s">
        <v>14</v>
      </c>
      <c r="C16" s="94"/>
      <c r="D16" s="95"/>
    </row>
    <row r="17" spans="1:4" ht="15" customHeight="1" x14ac:dyDescent="0.25">
      <c r="A17" s="93"/>
      <c r="B17" s="96"/>
      <c r="C17" s="96"/>
      <c r="D17" s="97"/>
    </row>
  </sheetData>
  <sheetProtection algorithmName="SHA-512" hashValue="z4MIvTzdi9oIwhbWLZ8jUWQg7eF6s4IiwrUC24iQZGKRQq+maOQQ4OkkeCMXeWoXNMhXGxfNHVnVfLzURPnq2w==" saltValue="2nyP0wEmgNhDMpqqsyQZFg==" spinCount="100000" sheet="1" objects="1" scenarios="1"/>
  <mergeCells count="12">
    <mergeCell ref="A9:Q9"/>
    <mergeCell ref="A10:Q10"/>
    <mergeCell ref="A11:Q11"/>
    <mergeCell ref="A14:Q14"/>
    <mergeCell ref="A16:A17"/>
    <mergeCell ref="B16:D17"/>
    <mergeCell ref="A8:Q8"/>
    <mergeCell ref="A1:G1"/>
    <mergeCell ref="A4:Q4"/>
    <mergeCell ref="A5:Q5"/>
    <mergeCell ref="A6:Q6"/>
    <mergeCell ref="A7:Q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C47B3-54CC-4E48-A845-19A27C1B4C8A}">
  <dimension ref="A2:K7"/>
  <sheetViews>
    <sheetView showGridLines="0" workbookViewId="0">
      <selection activeCell="B33" sqref="B33"/>
    </sheetView>
  </sheetViews>
  <sheetFormatPr defaultRowHeight="15" customHeight="1" x14ac:dyDescent="0.25"/>
  <cols>
    <col min="2" max="2" width="59.28515625" customWidth="1"/>
    <col min="11" max="11" width="9.140625" customWidth="1"/>
  </cols>
  <sheetData>
    <row r="2" spans="1:11" ht="20.25" x14ac:dyDescent="0.3">
      <c r="A2" s="30"/>
      <c r="B2" s="98"/>
      <c r="C2" s="98"/>
      <c r="D2" s="98"/>
      <c r="E2" s="3"/>
      <c r="F2" s="3"/>
      <c r="G2" s="3"/>
      <c r="H2" s="3"/>
      <c r="I2" s="3"/>
      <c r="J2" s="3"/>
      <c r="K2" s="3"/>
    </row>
    <row r="3" spans="1:11" ht="21" x14ac:dyDescent="0.35">
      <c r="B3" s="99" t="s">
        <v>15</v>
      </c>
      <c r="C3" s="100"/>
      <c r="D3" s="101"/>
      <c r="E3" s="4"/>
      <c r="F3" s="4"/>
      <c r="G3" s="4"/>
      <c r="H3" s="4"/>
      <c r="I3" s="4"/>
      <c r="J3" s="4"/>
      <c r="K3" s="4"/>
    </row>
    <row r="4" spans="1:11" ht="15.75" x14ac:dyDescent="0.25">
      <c r="B4" s="102" t="s">
        <v>16</v>
      </c>
      <c r="C4" s="103"/>
      <c r="D4" s="104"/>
      <c r="E4" s="28"/>
      <c r="F4" s="28"/>
      <c r="G4" s="28"/>
      <c r="H4" s="28"/>
      <c r="I4" s="28"/>
      <c r="J4" s="28"/>
      <c r="K4" s="28"/>
    </row>
    <row r="5" spans="1:11" ht="15.75" x14ac:dyDescent="0.25">
      <c r="B5" s="6"/>
      <c r="C5" s="7" t="s">
        <v>17</v>
      </c>
      <c r="D5" s="8" t="s">
        <v>18</v>
      </c>
      <c r="E5" s="28"/>
      <c r="F5" s="28"/>
      <c r="G5" s="28"/>
      <c r="H5" s="28"/>
      <c r="I5" s="28"/>
      <c r="J5" s="28"/>
      <c r="K5" s="28"/>
    </row>
    <row r="6" spans="1:11" ht="28.5" x14ac:dyDescent="0.25">
      <c r="B6" s="9" t="s">
        <v>19</v>
      </c>
      <c r="C6" s="77"/>
      <c r="D6" s="10">
        <f>C6</f>
        <v>0</v>
      </c>
    </row>
    <row r="7" spans="1:11" ht="43.5" x14ac:dyDescent="0.25">
      <c r="B7" s="17" t="s">
        <v>20</v>
      </c>
      <c r="C7" s="78"/>
      <c r="D7" s="11">
        <f>C7</f>
        <v>0</v>
      </c>
    </row>
  </sheetData>
  <sheetProtection algorithmName="SHA-512" hashValue="loFjSuSigNbWGqfLlA7iXX57nM/Ivgl9p6CRaNTQrck8dapYsXVx+TbG1nRr3HK7bxeEBUTEVWGuRtec65xpdw==" saltValue="EfUyZqcEDMeust9Igj8Y4g==" spinCount="100000" sheet="1" objects="1" scenarios="1"/>
  <mergeCells count="3">
    <mergeCell ref="B2:D2"/>
    <mergeCell ref="B3:D3"/>
    <mergeCell ref="B4:D4"/>
  </mergeCells>
  <conditionalFormatting sqref="D6">
    <cfRule type="expression" dxfId="6" priority="5">
      <formula>$D$6="No"</formula>
    </cfRule>
    <cfRule type="expression" dxfId="5" priority="6">
      <formula>$D$6="Yes"</formula>
    </cfRule>
  </conditionalFormatting>
  <conditionalFormatting sqref="D7">
    <cfRule type="expression" dxfId="4" priority="1">
      <formula>$D$7="Yes"</formula>
    </cfRule>
    <cfRule type="expression" dxfId="3" priority="2">
      <formula>$D$7="No"</formula>
    </cfRule>
  </conditionalFormatting>
  <dataValidations count="1">
    <dataValidation type="list" allowBlank="1" showInputMessage="1" showErrorMessage="1" sqref="C6:C7" xr:uid="{5F033696-39C0-4990-801E-ECA0D4C6ECCA}">
      <formula1>"Yes, 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FE0E9-A765-4D4D-A90C-2FD74CC73ED9}">
  <dimension ref="A1:K22"/>
  <sheetViews>
    <sheetView showGridLines="0" tabSelected="1" topLeftCell="A6" workbookViewId="0">
      <selection activeCell="B11" sqref="B11"/>
    </sheetView>
  </sheetViews>
  <sheetFormatPr defaultRowHeight="15" customHeight="1" x14ac:dyDescent="0.25"/>
  <cols>
    <col min="1" max="1" width="10.5703125" bestFit="1" customWidth="1"/>
    <col min="2" max="2" width="74.140625" customWidth="1"/>
    <col min="4" max="4" width="10.85546875" bestFit="1" customWidth="1"/>
    <col min="5" max="5" width="9.7109375" bestFit="1" customWidth="1"/>
    <col min="7" max="7" width="8.5703125" bestFit="1" customWidth="1"/>
    <col min="8" max="8" width="8.85546875" style="1" bestFit="1" customWidth="1"/>
    <col min="9" max="9" width="13.7109375" style="1" customWidth="1"/>
    <col min="10" max="10" width="12.42578125" style="1" bestFit="1" customWidth="1"/>
    <col min="11" max="11" width="12" style="1" customWidth="1"/>
  </cols>
  <sheetData>
    <row r="1" spans="1:11" ht="20.25" x14ac:dyDescent="0.3">
      <c r="B1" s="105" t="s">
        <v>77</v>
      </c>
      <c r="C1" s="105"/>
      <c r="D1" s="105"/>
      <c r="E1" s="105"/>
      <c r="F1" s="105"/>
      <c r="G1" s="105"/>
      <c r="H1" s="105"/>
      <c r="I1" s="105"/>
      <c r="J1" s="105"/>
      <c r="K1" s="105"/>
    </row>
    <row r="2" spans="1:11" ht="20.25" x14ac:dyDescent="0.3">
      <c r="A2" s="30"/>
      <c r="B2" s="106" t="s">
        <v>21</v>
      </c>
      <c r="C2" s="107"/>
      <c r="D2" s="107"/>
      <c r="E2" s="107"/>
      <c r="F2" s="107"/>
      <c r="G2" s="107"/>
      <c r="H2" s="107"/>
      <c r="I2" s="107"/>
      <c r="J2" s="107"/>
      <c r="K2" s="108"/>
    </row>
    <row r="3" spans="1:11" ht="15.75" x14ac:dyDescent="0.25">
      <c r="A3" s="30"/>
      <c r="B3" s="76" t="s">
        <v>16</v>
      </c>
      <c r="C3" s="19"/>
      <c r="D3" s="31"/>
      <c r="E3" s="31"/>
      <c r="F3" s="31"/>
      <c r="G3" s="20"/>
      <c r="H3" s="22"/>
      <c r="I3" s="22"/>
      <c r="J3" s="22"/>
      <c r="K3" s="32"/>
    </row>
    <row r="4" spans="1:11" ht="47.25" x14ac:dyDescent="0.25">
      <c r="A4" s="38" t="s">
        <v>22</v>
      </c>
      <c r="B4" s="33" t="s">
        <v>23</v>
      </c>
      <c r="C4" s="18">
        <v>1000</v>
      </c>
      <c r="D4" s="13">
        <v>800</v>
      </c>
      <c r="E4" s="13">
        <v>600</v>
      </c>
      <c r="F4" s="13">
        <v>400</v>
      </c>
      <c r="G4" s="21">
        <v>200</v>
      </c>
      <c r="H4" s="23" t="s">
        <v>24</v>
      </c>
      <c r="I4" s="23" t="s">
        <v>25</v>
      </c>
      <c r="J4" s="23" t="s">
        <v>26</v>
      </c>
      <c r="K4" s="34" t="s">
        <v>27</v>
      </c>
    </row>
    <row r="5" spans="1:11" ht="28.5" x14ac:dyDescent="0.25">
      <c r="A5" s="82" t="s">
        <v>28</v>
      </c>
      <c r="B5" s="71" t="s">
        <v>29</v>
      </c>
      <c r="C5" s="72">
        <v>5</v>
      </c>
      <c r="D5" s="73">
        <v>4</v>
      </c>
      <c r="E5" s="73">
        <v>3</v>
      </c>
      <c r="F5" s="73">
        <v>2</v>
      </c>
      <c r="G5" s="74">
        <v>1</v>
      </c>
      <c r="H5" s="75">
        <v>10</v>
      </c>
      <c r="I5" s="75">
        <v>10000</v>
      </c>
      <c r="J5" s="27"/>
      <c r="K5" s="35">
        <f t="shared" ref="K5:K7" si="0">(J5)*(H5)</f>
        <v>0</v>
      </c>
    </row>
    <row r="6" spans="1:11" ht="57" x14ac:dyDescent="0.25">
      <c r="A6" s="82" t="s">
        <v>30</v>
      </c>
      <c r="B6" s="48" t="s">
        <v>72</v>
      </c>
      <c r="C6" s="49" t="s">
        <v>31</v>
      </c>
      <c r="D6" s="50" t="s">
        <v>32</v>
      </c>
      <c r="E6" s="50" t="s">
        <v>33</v>
      </c>
      <c r="F6" s="50" t="s">
        <v>34</v>
      </c>
      <c r="G6" s="51" t="s">
        <v>35</v>
      </c>
      <c r="H6" s="52">
        <v>9</v>
      </c>
      <c r="I6" s="52">
        <v>9000</v>
      </c>
      <c r="J6" s="27"/>
      <c r="K6" s="35">
        <f t="shared" si="0"/>
        <v>0</v>
      </c>
    </row>
    <row r="7" spans="1:11" ht="28.5" x14ac:dyDescent="0.25">
      <c r="A7" s="82" t="s">
        <v>36</v>
      </c>
      <c r="B7" s="39" t="s">
        <v>37</v>
      </c>
      <c r="C7" s="40" t="s">
        <v>38</v>
      </c>
      <c r="D7" s="41" t="s">
        <v>39</v>
      </c>
      <c r="E7" s="41" t="s">
        <v>40</v>
      </c>
      <c r="F7" s="41" t="s">
        <v>41</v>
      </c>
      <c r="G7" s="42" t="s">
        <v>42</v>
      </c>
      <c r="H7" s="43">
        <v>9</v>
      </c>
      <c r="I7" s="43">
        <v>9000</v>
      </c>
      <c r="J7" s="27"/>
      <c r="K7" s="35">
        <f t="shared" si="0"/>
        <v>0</v>
      </c>
    </row>
    <row r="8" spans="1:11" ht="28.5" x14ac:dyDescent="0.25">
      <c r="A8" s="82" t="s">
        <v>36</v>
      </c>
      <c r="B8" s="39" t="s">
        <v>74</v>
      </c>
      <c r="C8" s="44" t="s">
        <v>43</v>
      </c>
      <c r="D8" s="45" t="s">
        <v>44</v>
      </c>
      <c r="E8" s="46" t="s">
        <v>45</v>
      </c>
      <c r="F8" s="46" t="s">
        <v>46</v>
      </c>
      <c r="G8" s="47" t="s">
        <v>47</v>
      </c>
      <c r="H8" s="43">
        <v>8</v>
      </c>
      <c r="I8" s="43">
        <v>8000</v>
      </c>
      <c r="J8" s="27"/>
      <c r="K8" s="35">
        <f t="shared" ref="K8:K18" si="1">(J8)*(H8)</f>
        <v>0</v>
      </c>
    </row>
    <row r="9" spans="1:11" ht="42.75" x14ac:dyDescent="0.25">
      <c r="A9" s="82" t="s">
        <v>48</v>
      </c>
      <c r="B9" s="54" t="s">
        <v>79</v>
      </c>
      <c r="C9" s="55" t="s">
        <v>49</v>
      </c>
      <c r="D9" s="56" t="s">
        <v>50</v>
      </c>
      <c r="E9" s="56" t="s">
        <v>51</v>
      </c>
      <c r="F9" s="56" t="s">
        <v>52</v>
      </c>
      <c r="G9" s="57" t="s">
        <v>53</v>
      </c>
      <c r="H9" s="58">
        <v>8</v>
      </c>
      <c r="I9" s="58">
        <v>8000</v>
      </c>
      <c r="J9" s="27"/>
      <c r="K9" s="35">
        <f>(J9)*(H9)</f>
        <v>0</v>
      </c>
    </row>
    <row r="10" spans="1:11" ht="44.25" x14ac:dyDescent="0.25">
      <c r="A10" s="83" t="s">
        <v>30</v>
      </c>
      <c r="B10" s="48" t="s">
        <v>78</v>
      </c>
      <c r="C10" s="49">
        <v>5</v>
      </c>
      <c r="D10" s="50">
        <v>4</v>
      </c>
      <c r="E10" s="50">
        <v>3</v>
      </c>
      <c r="F10" s="50">
        <v>2</v>
      </c>
      <c r="G10" s="53">
        <v>1</v>
      </c>
      <c r="H10" s="52">
        <v>6</v>
      </c>
      <c r="I10" s="52">
        <v>6000</v>
      </c>
      <c r="J10" s="27"/>
      <c r="K10" s="35">
        <f t="shared" ref="K10" si="2">(J10)*(H10)</f>
        <v>0</v>
      </c>
    </row>
    <row r="11" spans="1:11" ht="28.5" x14ac:dyDescent="0.25">
      <c r="A11" s="82" t="s">
        <v>54</v>
      </c>
      <c r="B11" s="61" t="s">
        <v>55</v>
      </c>
      <c r="C11" s="62">
        <v>5</v>
      </c>
      <c r="D11" s="63">
        <v>4</v>
      </c>
      <c r="E11" s="63">
        <v>3</v>
      </c>
      <c r="F11" s="63">
        <v>2</v>
      </c>
      <c r="G11" s="64">
        <v>1</v>
      </c>
      <c r="H11" s="65">
        <v>4</v>
      </c>
      <c r="I11" s="65">
        <v>4000</v>
      </c>
      <c r="J11" s="27"/>
      <c r="K11" s="35">
        <f t="shared" si="1"/>
        <v>0</v>
      </c>
    </row>
    <row r="12" spans="1:11" ht="28.5" x14ac:dyDescent="0.25">
      <c r="A12" s="82" t="s">
        <v>54</v>
      </c>
      <c r="B12" s="61" t="s">
        <v>56</v>
      </c>
      <c r="C12" s="62">
        <v>5</v>
      </c>
      <c r="D12" s="63">
        <v>4</v>
      </c>
      <c r="E12" s="63">
        <v>3</v>
      </c>
      <c r="F12" s="63">
        <v>2</v>
      </c>
      <c r="G12" s="64">
        <v>1</v>
      </c>
      <c r="H12" s="65">
        <v>4</v>
      </c>
      <c r="I12" s="65">
        <v>4000</v>
      </c>
      <c r="J12" s="27"/>
      <c r="K12" s="35">
        <f t="shared" ref="K12:K16" si="3">(J12)*(H12)</f>
        <v>0</v>
      </c>
    </row>
    <row r="13" spans="1:11" ht="57" x14ac:dyDescent="0.25">
      <c r="A13" s="82" t="s">
        <v>48</v>
      </c>
      <c r="B13" s="54" t="s">
        <v>75</v>
      </c>
      <c r="C13" s="55">
        <v>5</v>
      </c>
      <c r="D13" s="56">
        <v>4</v>
      </c>
      <c r="E13" s="56">
        <v>3</v>
      </c>
      <c r="F13" s="56">
        <v>2</v>
      </c>
      <c r="G13" s="59">
        <v>1</v>
      </c>
      <c r="H13" s="58">
        <v>3</v>
      </c>
      <c r="I13" s="58">
        <v>3000</v>
      </c>
      <c r="J13" s="27"/>
      <c r="K13" s="35">
        <f t="shared" si="3"/>
        <v>0</v>
      </c>
    </row>
    <row r="14" spans="1:11" ht="42.75" x14ac:dyDescent="0.25">
      <c r="A14" s="82" t="s">
        <v>48</v>
      </c>
      <c r="B14" s="54" t="s">
        <v>76</v>
      </c>
      <c r="C14" s="55" t="s">
        <v>43</v>
      </c>
      <c r="D14" s="60" t="s">
        <v>57</v>
      </c>
      <c r="E14" s="60" t="s">
        <v>58</v>
      </c>
      <c r="F14" s="60" t="s">
        <v>59</v>
      </c>
      <c r="G14" s="57" t="s">
        <v>60</v>
      </c>
      <c r="H14" s="58">
        <v>3</v>
      </c>
      <c r="I14" s="58">
        <v>3000</v>
      </c>
      <c r="J14" s="27"/>
      <c r="K14" s="35">
        <f t="shared" si="3"/>
        <v>0</v>
      </c>
    </row>
    <row r="15" spans="1:11" ht="28.5" x14ac:dyDescent="0.25">
      <c r="A15" s="82" t="s">
        <v>54</v>
      </c>
      <c r="B15" s="61" t="s">
        <v>61</v>
      </c>
      <c r="C15" s="62">
        <v>5</v>
      </c>
      <c r="D15" s="63">
        <v>4</v>
      </c>
      <c r="E15" s="63">
        <v>3</v>
      </c>
      <c r="F15" s="63">
        <v>2</v>
      </c>
      <c r="G15" s="64">
        <v>1</v>
      </c>
      <c r="H15" s="65">
        <v>3</v>
      </c>
      <c r="I15" s="65">
        <v>3000</v>
      </c>
      <c r="J15" s="27"/>
      <c r="K15" s="35">
        <f t="shared" si="3"/>
        <v>0</v>
      </c>
    </row>
    <row r="16" spans="1:11" ht="42.75" x14ac:dyDescent="0.25">
      <c r="A16" s="82" t="s">
        <v>30</v>
      </c>
      <c r="B16" s="48" t="s">
        <v>73</v>
      </c>
      <c r="C16" s="49" t="s">
        <v>62</v>
      </c>
      <c r="D16" s="50" t="s">
        <v>63</v>
      </c>
      <c r="E16" s="50" t="s">
        <v>64</v>
      </c>
      <c r="F16" s="50" t="s">
        <v>65</v>
      </c>
      <c r="G16" s="51" t="s">
        <v>66</v>
      </c>
      <c r="H16" s="52">
        <v>2</v>
      </c>
      <c r="I16" s="52">
        <v>2000</v>
      </c>
      <c r="J16" s="27"/>
      <c r="K16" s="35">
        <f t="shared" si="3"/>
        <v>0</v>
      </c>
    </row>
    <row r="17" spans="1:11" ht="28.5" x14ac:dyDescent="0.25">
      <c r="A17" s="82" t="s">
        <v>54</v>
      </c>
      <c r="B17" s="61" t="s">
        <v>67</v>
      </c>
      <c r="C17" s="62">
        <v>5</v>
      </c>
      <c r="D17" s="63">
        <v>4</v>
      </c>
      <c r="E17" s="63">
        <v>3</v>
      </c>
      <c r="F17" s="63">
        <v>2</v>
      </c>
      <c r="G17" s="64">
        <v>1</v>
      </c>
      <c r="H17" s="65">
        <v>2</v>
      </c>
      <c r="I17" s="65">
        <v>2000</v>
      </c>
      <c r="J17" s="27"/>
      <c r="K17" s="35">
        <f t="shared" si="1"/>
        <v>0</v>
      </c>
    </row>
    <row r="18" spans="1:11" ht="29.25" thickBot="1" x14ac:dyDescent="0.3">
      <c r="A18" s="82" t="s">
        <v>54</v>
      </c>
      <c r="B18" s="66" t="s">
        <v>68</v>
      </c>
      <c r="C18" s="67">
        <v>5</v>
      </c>
      <c r="D18" s="68">
        <v>4</v>
      </c>
      <c r="E18" s="68">
        <v>3</v>
      </c>
      <c r="F18" s="68">
        <v>2</v>
      </c>
      <c r="G18" s="69">
        <v>1</v>
      </c>
      <c r="H18" s="70">
        <v>1</v>
      </c>
      <c r="I18" s="70">
        <v>1000</v>
      </c>
      <c r="J18" s="36"/>
      <c r="K18" s="37">
        <f t="shared" si="1"/>
        <v>0</v>
      </c>
    </row>
    <row r="19" spans="1:11" ht="16.5" thickTop="1" x14ac:dyDescent="0.25">
      <c r="B19" s="14"/>
      <c r="C19" s="15"/>
      <c r="D19" s="16"/>
      <c r="E19" s="16"/>
      <c r="F19" s="5"/>
      <c r="G19" s="5"/>
      <c r="H19" s="12"/>
      <c r="I19" s="109" t="s">
        <v>69</v>
      </c>
      <c r="J19" s="110"/>
      <c r="K19" s="24">
        <f>SUM(I5:I18)</f>
        <v>72000</v>
      </c>
    </row>
    <row r="20" spans="1:11" ht="15.75" x14ac:dyDescent="0.25">
      <c r="B20" s="5"/>
      <c r="C20" s="5"/>
      <c r="D20" s="5"/>
      <c r="E20" s="5"/>
      <c r="F20" s="5"/>
      <c r="G20" s="5"/>
      <c r="H20" s="5"/>
      <c r="I20" s="111" t="s">
        <v>70</v>
      </c>
      <c r="J20" s="112"/>
      <c r="K20" s="25">
        <f>K19*0.8</f>
        <v>57600</v>
      </c>
    </row>
    <row r="21" spans="1:11" ht="15.75" x14ac:dyDescent="0.25">
      <c r="B21" s="5"/>
      <c r="C21" s="5"/>
      <c r="D21" s="5"/>
      <c r="E21" s="5"/>
      <c r="F21" s="5"/>
      <c r="G21" s="5"/>
      <c r="H21" s="12"/>
      <c r="I21" s="113" t="s">
        <v>71</v>
      </c>
      <c r="J21" s="114"/>
      <c r="K21" s="26">
        <f>SUM(K5:K18)</f>
        <v>0</v>
      </c>
    </row>
    <row r="22" spans="1:11" x14ac:dyDescent="0.25">
      <c r="H22" s="29"/>
      <c r="I22" s="29"/>
      <c r="J22" s="29"/>
      <c r="K22" s="29"/>
    </row>
  </sheetData>
  <mergeCells count="5">
    <mergeCell ref="B1:K1"/>
    <mergeCell ref="B2:K2"/>
    <mergeCell ref="I19:J19"/>
    <mergeCell ref="I20:J20"/>
    <mergeCell ref="I21:J21"/>
  </mergeCells>
  <conditionalFormatting sqref="K21">
    <cfRule type="cellIs" dxfId="2" priority="1" operator="equal">
      <formula>$K$20</formula>
    </cfRule>
    <cfRule type="cellIs" dxfId="1" priority="2" operator="lessThan">
      <formula>$K$20</formula>
    </cfRule>
    <cfRule type="cellIs" dxfId="0" priority="3" operator="greaterThan">
      <formula>$K$20</formula>
    </cfRule>
  </conditionalFormatting>
  <dataValidations count="1">
    <dataValidation type="list" allowBlank="1" showInputMessage="1" showErrorMessage="1" sqref="J5:J18" xr:uid="{7959F2C9-190C-4259-9824-A6B8EEF91BDB}">
      <formula1>"1000,800,600,400,200"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8204700A5BAB408D1495C8A82CB5B4" ma:contentTypeVersion="17" ma:contentTypeDescription="Create a new document." ma:contentTypeScope="" ma:versionID="017d5a5bd11b5a09fdbdc4239bbfb7e3">
  <xsd:schema xmlns:xsd="http://www.w3.org/2001/XMLSchema" xmlns:xs="http://www.w3.org/2001/XMLSchema" xmlns:p="http://schemas.microsoft.com/office/2006/metadata/properties" xmlns:ns1="http://schemas.microsoft.com/sharepoint/v3" xmlns:ns2="b310901b-0056-4f28-a706-6a9f226340fc" xmlns:ns3="6313b06e-58fc-476d-a73d-46281d15280d" targetNamespace="http://schemas.microsoft.com/office/2006/metadata/properties" ma:root="true" ma:fieldsID="73ce46ac25319bc8bd631d0efedcd08f" ns1:_="" ns2:_="" ns3:_="">
    <xsd:import namespace="http://schemas.microsoft.com/sharepoint/v3"/>
    <xsd:import namespace="b310901b-0056-4f28-a706-6a9f226340fc"/>
    <xsd:import namespace="6313b06e-58fc-476d-a73d-46281d15280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SearchProperties" minOccurs="0"/>
                <xsd:element ref="ns1:_ip_UnifiedCompliancePolicyProperties" minOccurs="0"/>
                <xsd:element ref="ns1:_ip_UnifiedCompliancePolicyUIAc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10901b-0056-4f28-a706-6a9f226340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313b06e-58fc-476d-a73d-46281d15280d"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4eccff57-7f23-495c-abb5-845a12ff7f41}" ma:internalName="TaxCatchAll" ma:showField="CatchAllData" ma:web="6313b06e-58fc-476d-a73d-46281d1528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310901b-0056-4f28-a706-6a9f226340fc">
      <Terms xmlns="http://schemas.microsoft.com/office/infopath/2007/PartnerControls"/>
    </lcf76f155ced4ddcb4097134ff3c332f>
    <TaxCatchAll xmlns="6313b06e-58fc-476d-a73d-46281d15280d"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4A3D74-36BF-4180-8DB8-EC5DC24F91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310901b-0056-4f28-a706-6a9f226340fc"/>
    <ds:schemaRef ds:uri="6313b06e-58fc-476d-a73d-46281d1528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0BDFA25-037A-4E57-84F4-D2AFDB6D1A60}">
  <ds:schemaRefs>
    <ds:schemaRef ds:uri="http://schemas.microsoft.com/office/infopath/2007/PartnerControls"/>
    <ds:schemaRef ds:uri="http://schemas.openxmlformats.org/package/2006/metadata/core-properties"/>
    <ds:schemaRef ds:uri="http://schemas.microsoft.com/office/2006/documentManagement/types"/>
    <ds:schemaRef ds:uri="b310901b-0056-4f28-a706-6a9f226340fc"/>
    <ds:schemaRef ds:uri="http://purl.org/dc/dcmitype/"/>
    <ds:schemaRef ds:uri="http://schemas.microsoft.com/office/2006/metadata/properties"/>
    <ds:schemaRef ds:uri="http://purl.org/dc/elements/1.1/"/>
    <ds:schemaRef ds:uri="http://www.w3.org/XML/1998/namespace"/>
    <ds:schemaRef ds:uri="6313b06e-58fc-476d-a73d-46281d15280d"/>
    <ds:schemaRef ds:uri="http://schemas.microsoft.com/sharepoint/v3"/>
    <ds:schemaRef ds:uri="http://purl.org/dc/terms/"/>
  </ds:schemaRefs>
</ds:datastoreItem>
</file>

<file path=customXml/itemProps3.xml><?xml version="1.0" encoding="utf-8"?>
<ds:datastoreItem xmlns:ds="http://schemas.openxmlformats.org/officeDocument/2006/customXml" ds:itemID="{165C3F68-CC7B-4223-BB3B-21D405B46F40}">
  <ds:schemaRefs>
    <ds:schemaRef ds:uri="http://schemas.microsoft.com/sharepoint/v3/contenttype/forms"/>
  </ds:schemaRefs>
</ds:datastoreItem>
</file>

<file path=docMetadata/LabelInfo.xml><?xml version="1.0" encoding="utf-8"?>
<clbl:labelList xmlns:clbl="http://schemas.microsoft.com/office/2020/mipLabelMetadata">
  <clbl:label id="{fae6d70f-954b-4811-92b6-0530d6f84c43}" enabled="0" method="" siteId="{fae6d70f-954b-4811-92b6-0530d6f84c4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Tab 1</vt:lpstr>
      <vt:lpstr>Tab 2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Patera, Anthony M MSG USARMY ACC (USA)</dc:creator>
  <cp:keywords/>
  <dc:description/>
  <cp:lastModifiedBy>Jackson, Eric M CIV (USA)</cp:lastModifiedBy>
  <cp:revision/>
  <dcterms:created xsi:type="dcterms:W3CDTF">2023-12-21T16:47:58Z</dcterms:created>
  <dcterms:modified xsi:type="dcterms:W3CDTF">2025-02-12T20:36:06Z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0x0101000D8204700A5BAB408D1495C8A82CB5B4</vt:lpwstr>
  </property>
  <property fmtid="{D5CDD505-2E9C-101B-9397-08002B2CF9AE}" pid="3" name="MediaServiceImageTags">
    <vt:lpwstr/>
  </property>
</Properties>
</file>