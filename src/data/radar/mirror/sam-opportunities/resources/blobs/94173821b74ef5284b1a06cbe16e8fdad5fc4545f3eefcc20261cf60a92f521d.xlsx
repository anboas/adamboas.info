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USFF-NCTAMSLANT-SharePortal-CUI/N00FM/Contracts/FY26/OPTIONS/N70272/PRE AWD/26Q0015 KINGSVL ROTHR B+4 (FUNDS)/1 PRE AWD/4 Solicitation/"/>
    </mc:Choice>
  </mc:AlternateContent>
  <xr:revisionPtr revIDLastSave="48" documentId="8_{CDA27198-AA07-458F-BCAF-202A50B0A9F6}" xr6:coauthVersionLast="47" xr6:coauthVersionMax="47" xr10:uidLastSave="{078B4868-9D06-41B5-A07E-BC46481D9DF0}"/>
  <bookViews>
    <workbookView xWindow="34380" yWindow="2910" windowWidth="21600" windowHeight="11145" activeTab="1" xr2:uid="{F84BAB37-8A40-410C-954B-447350D1CC29}"/>
  </bookViews>
  <sheets>
    <sheet name="Summary" sheetId="1" r:id="rId1"/>
    <sheet name="BASE" sheetId="2" r:id="rId2"/>
    <sheet name="OPT 1" sheetId="3" r:id="rId3"/>
    <sheet name="OPT 2" sheetId="4" r:id="rId4"/>
    <sheet name="OPT 3" sheetId="9" r:id="rId5"/>
    <sheet name="OPT 4" sheetId="8" r:id="rId6"/>
    <sheet name="52.217-8" sheetId="7" r:id="rId7"/>
  </sheets>
  <externalReferences>
    <externalReference r:id="rId8"/>
  </externalReferences>
  <definedNames>
    <definedName name="FY_Total" localSheetId="1">BASE!$G$21</definedName>
    <definedName name="FY_Total" localSheetId="2">'OPT 1'!$G$23</definedName>
    <definedName name="FY_Total" localSheetId="3">'OPT 2'!$G$21</definedName>
    <definedName name="FY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H17" i="8"/>
  <c r="G22" i="8" s="1"/>
  <c r="E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D5" i="8"/>
  <c r="B4" i="8"/>
  <c r="H17" i="9"/>
  <c r="G22" i="9" s="1"/>
  <c r="E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D5" i="9"/>
  <c r="B4" i="9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B4" i="4"/>
  <c r="G22" i="3"/>
  <c r="H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B4" i="3"/>
  <c r="F17" i="7"/>
  <c r="F16" i="7"/>
  <c r="F15" i="7"/>
  <c r="F14" i="7"/>
  <c r="F13" i="7"/>
  <c r="F12" i="7"/>
  <c r="F11" i="7"/>
  <c r="F10" i="7"/>
  <c r="F16" i="2"/>
  <c r="F15" i="2"/>
  <c r="F14" i="2"/>
  <c r="F13" i="2"/>
  <c r="F12" i="2"/>
  <c r="F11" i="2"/>
  <c r="F10" i="2"/>
  <c r="F9" i="2"/>
  <c r="G9" i="2"/>
  <c r="G10" i="2"/>
  <c r="G11" i="2"/>
  <c r="G12" i="2"/>
  <c r="G13" i="2"/>
  <c r="G14" i="2"/>
  <c r="G15" i="2"/>
  <c r="G16" i="2"/>
  <c r="E18" i="7"/>
  <c r="E17" i="4"/>
  <c r="E17" i="2"/>
  <c r="F18" i="7" l="1"/>
  <c r="F17" i="4"/>
  <c r="G17" i="4"/>
  <c r="G17" i="3"/>
  <c r="F17" i="3"/>
  <c r="G17" i="9"/>
  <c r="F17" i="9"/>
  <c r="G17" i="8"/>
  <c r="F17" i="8"/>
  <c r="F17" i="2"/>
  <c r="G17" i="2"/>
  <c r="G21" i="2" s="1"/>
  <c r="H18" i="7"/>
  <c r="G23" i="7" s="1"/>
  <c r="H17" i="4"/>
  <c r="G22" i="4" s="1"/>
  <c r="H17" i="2"/>
  <c r="G22" i="2" s="1"/>
  <c r="G17" i="7"/>
  <c r="G16" i="7"/>
  <c r="G15" i="7"/>
  <c r="G14" i="7"/>
  <c r="G13" i="7"/>
  <c r="G12" i="7"/>
  <c r="G11" i="7"/>
  <c r="G10" i="7"/>
  <c r="B5" i="7"/>
  <c r="B4" i="7"/>
  <c r="B4" i="2"/>
  <c r="G21" i="8" l="1"/>
  <c r="G23" i="8" s="1"/>
  <c r="E11" i="1"/>
  <c r="G21" i="9"/>
  <c r="G23" i="9" s="1"/>
  <c r="E10" i="1"/>
  <c r="G23" i="2"/>
  <c r="G21" i="3"/>
  <c r="E8" i="1"/>
  <c r="G21" i="4"/>
  <c r="G18" i="7"/>
  <c r="E12" i="1" s="1"/>
  <c r="G23" i="4" l="1"/>
  <c r="D5" i="4"/>
  <c r="G22" i="7"/>
  <c r="E9" i="1"/>
  <c r="D5" i="2"/>
  <c r="E7" i="1"/>
  <c r="G24" i="7" l="1"/>
  <c r="D6" i="7"/>
  <c r="E14" i="1" l="1"/>
  <c r="D5" i="3"/>
  <c r="G23" i="3"/>
</calcChain>
</file>

<file path=xl/sharedStrings.xml><?xml version="1.0" encoding="utf-8"?>
<sst xmlns="http://schemas.openxmlformats.org/spreadsheetml/2006/main" count="152" uniqueCount="43">
  <si>
    <t>CUI</t>
  </si>
  <si>
    <t>Summary data, below, is autopulated from the yearly worksheets. Do not edit this section.</t>
  </si>
  <si>
    <t>SUMMARY DATA</t>
  </si>
  <si>
    <t>TOTAL</t>
  </si>
  <si>
    <t>BASE:</t>
  </si>
  <si>
    <t>OPTION 1</t>
  </si>
  <si>
    <t>OPTION 2</t>
  </si>
  <si>
    <t>Option (6) months:</t>
  </si>
  <si>
    <t>PROCUREMENT TOTAL:</t>
  </si>
  <si>
    <t>Total</t>
  </si>
  <si>
    <t>LOCATION/ACCOUNT</t>
  </si>
  <si>
    <t>QTY</t>
  </si>
  <si>
    <t>DESCRIPTION</t>
  </si>
  <si>
    <t>MONTHS</t>
  </si>
  <si>
    <t xml:space="preserve">Charge </t>
  </si>
  <si>
    <t>Amount</t>
  </si>
  <si>
    <t>SUBTOTAL</t>
  </si>
  <si>
    <t>FY TOTAL</t>
  </si>
  <si>
    <t>PRICE DETAILS WITH OPTIONS</t>
  </si>
  <si>
    <t>BASE PRICING</t>
  </si>
  <si>
    <t>OPTION 2 PRICING</t>
  </si>
  <si>
    <t>52.217-8 PRICING</t>
  </si>
  <si>
    <t>MOD 1</t>
  </si>
  <si>
    <t>MODS</t>
  </si>
  <si>
    <t>GR TOTAL</t>
  </si>
  <si>
    <t>MONTHLY</t>
  </si>
  <si>
    <t xml:space="preserve"> </t>
  </si>
  <si>
    <t>OPTION 3</t>
  </si>
  <si>
    <t>OPTION 4</t>
  </si>
  <si>
    <t>Extended Local Calling</t>
  </si>
  <si>
    <t>Mileage</t>
  </si>
  <si>
    <t>Federal Subscriber</t>
  </si>
  <si>
    <t>Analog Lines: Federal Universal Service Fund</t>
  </si>
  <si>
    <t>Analog Lines:  Access Recovery Charge</t>
  </si>
  <si>
    <t xml:space="preserve">OPTION 1 </t>
  </si>
  <si>
    <t>OPTION 4 PRICING</t>
  </si>
  <si>
    <t>OPTION 3 PRICING</t>
  </si>
  <si>
    <t>POP : 28 MARCH 2026 TO 27 MARCH 2027</t>
  </si>
  <si>
    <t>POP : 28 MARCH 2027 TO 27 MARCH 2028</t>
  </si>
  <si>
    <t>POP : 28 MARCH 2028 TO 27 MARCH 2029</t>
  </si>
  <si>
    <t>POP : 28 MARCH 2029 TO 27 MARCH 2030</t>
  </si>
  <si>
    <t>POP : 28 MARCH 2030 TO 27 MARCH 2031</t>
  </si>
  <si>
    <t>POP : 28 MARCH 2031 TO 27 SEPTEMBER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</si>
</sst>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name val="Arial"/>
      <family val="2"/>
    </font>
    <font>
      <i/>
      <sz val="11"/>
      <name val="Arial"/>
      <family val="2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4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4" fontId="9" fillId="0" borderId="0" xfId="0" applyNumberFormat="1" applyFont="1"/>
    <xf numFmtId="0" fontId="3" fillId="0" borderId="4" xfId="0" applyFont="1" applyBorder="1"/>
    <xf numFmtId="0" fontId="3" fillId="0" borderId="0" xfId="0" applyFont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right" indent="1"/>
    </xf>
    <xf numFmtId="164" fontId="10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0" fillId="0" borderId="6" xfId="0" applyBorder="1"/>
    <xf numFmtId="0" fontId="6" fillId="0" borderId="6" xfId="0" applyFont="1" applyBorder="1" applyAlignment="1">
      <alignment horizontal="center"/>
    </xf>
    <xf numFmtId="44" fontId="0" fillId="0" borderId="6" xfId="1" applyFont="1" applyBorder="1"/>
    <xf numFmtId="0" fontId="0" fillId="0" borderId="2" xfId="0" applyBorder="1"/>
    <xf numFmtId="0" fontId="12" fillId="2" borderId="3" xfId="0" applyFont="1" applyFill="1" applyBorder="1" applyAlignment="1">
      <alignment horizontal="left"/>
    </xf>
    <xf numFmtId="0" fontId="14" fillId="4" borderId="3" xfId="0" applyFont="1" applyFill="1" applyBorder="1"/>
    <xf numFmtId="0" fontId="15" fillId="4" borderId="3" xfId="0" applyFont="1" applyFill="1" applyBorder="1" applyAlignment="1">
      <alignment horizontal="left" vertical="center"/>
    </xf>
    <xf numFmtId="0" fontId="15" fillId="0" borderId="3" xfId="0" applyFont="1" applyBorder="1"/>
    <xf numFmtId="0" fontId="12" fillId="0" borderId="2" xfId="0" applyFont="1" applyBorder="1" applyAlignment="1">
      <alignment horizontal="left"/>
    </xf>
    <xf numFmtId="164" fontId="12" fillId="2" borderId="3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center"/>
    </xf>
    <xf numFmtId="44" fontId="13" fillId="0" borderId="2" xfId="1" applyFont="1" applyBorder="1" applyAlignment="1">
      <alignment horizontal="center"/>
    </xf>
    <xf numFmtId="44" fontId="13" fillId="0" borderId="3" xfId="1" applyFont="1" applyBorder="1" applyAlignment="1">
      <alignment horizontal="center"/>
    </xf>
    <xf numFmtId="0" fontId="0" fillId="0" borderId="1" xfId="0" applyBorder="1"/>
    <xf numFmtId="0" fontId="16" fillId="3" borderId="8" xfId="0" applyFont="1" applyFill="1" applyBorder="1"/>
    <xf numFmtId="0" fontId="17" fillId="0" borderId="9" xfId="0" applyFont="1" applyBorder="1"/>
    <xf numFmtId="0" fontId="17" fillId="0" borderId="9" xfId="0" applyFont="1" applyBorder="1" applyAlignment="1">
      <alignment horizontal="center"/>
    </xf>
    <xf numFmtId="44" fontId="17" fillId="0" borderId="9" xfId="1" applyFont="1" applyBorder="1" applyAlignment="1">
      <alignment horizontal="center"/>
    </xf>
    <xf numFmtId="0" fontId="0" fillId="0" borderId="3" xfId="0" applyBorder="1"/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44" fontId="18" fillId="0" borderId="9" xfId="1" applyFont="1" applyBorder="1" applyAlignment="1">
      <alignment horizontal="center" vertical="center"/>
    </xf>
    <xf numFmtId="44" fontId="18" fillId="0" borderId="9" xfId="1" applyFont="1" applyBorder="1" applyAlignment="1">
      <alignment horizontal="right"/>
    </xf>
    <xf numFmtId="44" fontId="18" fillId="0" borderId="0" xfId="1" applyFont="1" applyBorder="1" applyAlignment="1">
      <alignment horizontal="right"/>
    </xf>
    <xf numFmtId="0" fontId="3" fillId="0" borderId="6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/>
    <xf numFmtId="0" fontId="18" fillId="5" borderId="11" xfId="0" applyFont="1" applyFill="1" applyBorder="1" applyAlignment="1">
      <alignment horizontal="center"/>
    </xf>
    <xf numFmtId="44" fontId="18" fillId="5" borderId="12" xfId="1" applyFont="1" applyFill="1" applyBorder="1" applyAlignment="1">
      <alignment horizontal="center"/>
    </xf>
    <xf numFmtId="44" fontId="17" fillId="5" borderId="13" xfId="1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44" fontId="18" fillId="0" borderId="0" xfId="1" applyFont="1" applyBorder="1" applyAlignment="1">
      <alignment horizontal="center"/>
    </xf>
    <xf numFmtId="0" fontId="18" fillId="0" borderId="6" xfId="0" applyFont="1" applyBorder="1"/>
    <xf numFmtId="44" fontId="18" fillId="0" borderId="6" xfId="1" applyFont="1" applyBorder="1"/>
    <xf numFmtId="44" fontId="18" fillId="0" borderId="3" xfId="1" applyFont="1" applyBorder="1"/>
    <xf numFmtId="44" fontId="17" fillId="0" borderId="0" xfId="1" applyFont="1"/>
    <xf numFmtId="44" fontId="0" fillId="0" borderId="3" xfId="1" applyFont="1" applyBorder="1"/>
    <xf numFmtId="0" fontId="11" fillId="0" borderId="14" xfId="0" applyFont="1" applyBorder="1"/>
    <xf numFmtId="0" fontId="11" fillId="0" borderId="15" xfId="0" applyFont="1" applyBorder="1"/>
    <xf numFmtId="0" fontId="0" fillId="5" borderId="0" xfId="0" applyFill="1" applyAlignment="1">
      <alignment horizontal="right" indent="1"/>
    </xf>
    <xf numFmtId="0" fontId="16" fillId="3" borderId="8" xfId="0" applyFont="1" applyFill="1" applyBorder="1"/>
    <xf numFmtId="0" fontId="12" fillId="2" borderId="3" xfId="0" applyFont="1" applyFill="1" applyBorder="1" applyAlignment="1">
      <alignment horizontal="left"/>
    </xf>
    <xf numFmtId="0" fontId="14" fillId="4" borderId="3" xfId="0" applyFont="1" applyFill="1" applyBorder="1"/>
    <xf numFmtId="0" fontId="15" fillId="4" borderId="3" xfId="0" applyFont="1" applyFill="1" applyBorder="1" applyAlignment="1">
      <alignment horizontal="left" vertical="center"/>
    </xf>
    <xf numFmtId="0" fontId="15" fillId="0" borderId="3" xfId="0" applyFont="1" applyBorder="1"/>
    <xf numFmtId="164" fontId="12" fillId="2" borderId="3" xfId="0" applyNumberFormat="1" applyFont="1" applyFill="1" applyBorder="1" applyAlignment="1">
      <alignment horizontal="right" vertical="center"/>
    </xf>
    <xf numFmtId="0" fontId="16" fillId="3" borderId="0" xfId="0" applyFont="1" applyFill="1" applyBorder="1" applyAlignment="1">
      <alignment horizontal="right"/>
    </xf>
    <xf numFmtId="0" fontId="19" fillId="0" borderId="9" xfId="0" applyFont="1" applyBorder="1" applyAlignment="1">
      <alignment horizontal="left" vertical="center"/>
    </xf>
    <xf numFmtId="0" fontId="18" fillId="0" borderId="9" xfId="0" applyFont="1" applyBorder="1"/>
    <xf numFmtId="0" fontId="18" fillId="0" borderId="9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5" borderId="0" xfId="0" applyFill="1" applyAlignment="1">
      <alignment horizontal="right" indent="1"/>
    </xf>
    <xf numFmtId="0" fontId="10" fillId="3" borderId="0" xfId="0" applyFont="1" applyFill="1" applyAlignment="1">
      <alignment horizontal="right" inden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6" fillId="3" borderId="7" xfId="0" applyFont="1" applyFill="1" applyBorder="1"/>
    <xf numFmtId="0" fontId="16" fillId="3" borderId="5" xfId="0" applyFont="1" applyFill="1" applyBorder="1"/>
    <xf numFmtId="0" fontId="16" fillId="3" borderId="8" xfId="0" applyFont="1" applyFill="1" applyBorder="1"/>
    <xf numFmtId="0" fontId="16" fillId="3" borderId="1" xfId="0" applyFont="1" applyFill="1" applyBorder="1" applyAlignment="1">
      <alignment horizontal="right"/>
    </xf>
    <xf numFmtId="0" fontId="16" fillId="3" borderId="2" xfId="0" applyFont="1" applyFill="1" applyBorder="1" applyAlignment="1">
      <alignment horizontal="right"/>
    </xf>
    <xf numFmtId="0" fontId="16" fillId="3" borderId="3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3" fillId="4" borderId="1" xfId="0" applyFont="1" applyFill="1" applyBorder="1"/>
    <xf numFmtId="0" fontId="14" fillId="4" borderId="2" xfId="0" applyFont="1" applyFill="1" applyBorder="1"/>
    <xf numFmtId="0" fontId="14" fillId="4" borderId="3" xfId="0" applyFont="1" applyFill="1" applyBorder="1"/>
    <xf numFmtId="0" fontId="15" fillId="0" borderId="2" xfId="0" applyFont="1" applyBorder="1"/>
    <xf numFmtId="0" fontId="15" fillId="0" borderId="3" xfId="0" applyFont="1" applyBorder="1"/>
    <xf numFmtId="0" fontId="12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nkspeed.sharepoint-mil.us/sites/USFF-NCTAMSLANT-SharePortal-CUI/N00FM/Contracts/TEMPLATES/IGCE%20TELECOM%20TEMPLATE.xlsx" TargetMode="External"/><Relationship Id="rId1" Type="http://schemas.openxmlformats.org/officeDocument/2006/relationships/externalLinkPath" Target="/sites/USFF-NCTAMSLANT-SharePortal-CUI/N00FM/Contracts/TEMPLATES/IGCE%20TELECOM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ASE"/>
      <sheetName val="OPT 1"/>
      <sheetName val="OPT 2"/>
      <sheetName val="OPT 3"/>
      <sheetName val="OPT 4"/>
      <sheetName val="52.217-8"/>
    </sheetNames>
    <sheetDataSet>
      <sheetData sheetId="0">
        <row r="6">
          <cell r="C6"/>
        </row>
        <row r="7">
          <cell r="C7" t="str">
            <v>FFP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764-2836-457F-B45D-01276A89D434}">
  <dimension ref="A1:J19"/>
  <sheetViews>
    <sheetView workbookViewId="0">
      <selection activeCell="K12" sqref="K12"/>
    </sheetView>
  </sheetViews>
  <sheetFormatPr defaultRowHeight="15" x14ac:dyDescent="0.25"/>
  <cols>
    <col min="1" max="1" width="10.7109375" customWidth="1"/>
    <col min="2" max="2" width="11.42578125" customWidth="1"/>
    <col min="3" max="4" width="15.7109375" customWidth="1"/>
    <col min="5" max="5" width="18.7109375" customWidth="1"/>
    <col min="6" max="6" width="14.140625" customWidth="1"/>
  </cols>
  <sheetData>
    <row r="1" spans="1:6" ht="26.25" x14ac:dyDescent="0.4">
      <c r="A1" s="75" t="s">
        <v>18</v>
      </c>
      <c r="B1" s="76"/>
      <c r="C1" s="76"/>
      <c r="D1" s="76"/>
      <c r="E1" s="76"/>
      <c r="F1" s="77"/>
    </row>
    <row r="2" spans="1:6" ht="18.75" x14ac:dyDescent="0.3">
      <c r="A2" s="78" t="s">
        <v>0</v>
      </c>
      <c r="B2" s="79"/>
      <c r="C2" s="79"/>
      <c r="D2" s="79"/>
      <c r="E2" s="79"/>
      <c r="F2" s="79"/>
    </row>
    <row r="3" spans="1:6" x14ac:dyDescent="0.25">
      <c r="A3" s="1"/>
      <c r="B3" s="2"/>
      <c r="C3" s="2"/>
      <c r="D3" s="2"/>
      <c r="E3" s="2"/>
      <c r="F3" s="3"/>
    </row>
    <row r="4" spans="1:6" x14ac:dyDescent="0.25">
      <c r="A4" s="4"/>
      <c r="B4" s="5"/>
      <c r="C4" s="6"/>
      <c r="D4" s="6"/>
      <c r="E4" s="6"/>
      <c r="F4" s="6"/>
    </row>
    <row r="5" spans="1:6" x14ac:dyDescent="0.25">
      <c r="A5" s="7" t="s">
        <v>1</v>
      </c>
      <c r="B5" s="8"/>
      <c r="C5" s="8"/>
      <c r="D5" s="8"/>
      <c r="E5" s="8"/>
      <c r="F5" s="8"/>
    </row>
    <row r="6" spans="1:6" x14ac:dyDescent="0.25">
      <c r="A6" s="72" t="s">
        <v>2</v>
      </c>
      <c r="B6" s="72"/>
      <c r="C6" s="9"/>
      <c r="D6" s="9"/>
      <c r="E6" s="10" t="s">
        <v>3</v>
      </c>
      <c r="F6" s="10"/>
    </row>
    <row r="7" spans="1:6" x14ac:dyDescent="0.25">
      <c r="A7" s="73" t="s">
        <v>4</v>
      </c>
      <c r="B7" s="73"/>
      <c r="C7" s="73"/>
      <c r="D7" s="73"/>
      <c r="E7" s="11">
        <f>BASE!FY_Total</f>
        <v>0</v>
      </c>
      <c r="F7" s="11"/>
    </row>
    <row r="8" spans="1:6" x14ac:dyDescent="0.25">
      <c r="A8" s="12"/>
      <c r="B8" s="12"/>
      <c r="C8" s="12"/>
      <c r="D8" s="12" t="s">
        <v>5</v>
      </c>
      <c r="E8" s="11">
        <f>'OPT 1'!G17</f>
        <v>0</v>
      </c>
      <c r="F8" s="11"/>
    </row>
    <row r="9" spans="1:6" x14ac:dyDescent="0.25">
      <c r="A9" s="12"/>
      <c r="B9" s="12"/>
      <c r="C9" s="12"/>
      <c r="D9" s="59" t="s">
        <v>6</v>
      </c>
      <c r="E9" s="11">
        <f>'OPT 2'!FY_Total</f>
        <v>0</v>
      </c>
      <c r="F9" s="11"/>
    </row>
    <row r="10" spans="1:6" x14ac:dyDescent="0.25">
      <c r="A10" s="59"/>
      <c r="B10" s="59"/>
      <c r="C10" s="59"/>
      <c r="D10" s="12" t="s">
        <v>27</v>
      </c>
      <c r="E10" s="11">
        <f>'OPT 3'!G17</f>
        <v>0</v>
      </c>
      <c r="F10" s="11"/>
    </row>
    <row r="11" spans="1:6" x14ac:dyDescent="0.25">
      <c r="A11" s="59"/>
      <c r="B11" s="59"/>
      <c r="C11" s="59"/>
      <c r="D11" s="59" t="s">
        <v>28</v>
      </c>
      <c r="E11" s="11">
        <f>'OPT 4'!G17</f>
        <v>0</v>
      </c>
      <c r="F11" s="11"/>
    </row>
    <row r="12" spans="1:6" x14ac:dyDescent="0.25">
      <c r="A12" s="12"/>
      <c r="B12" s="12"/>
      <c r="C12" s="12"/>
      <c r="D12" s="12" t="s">
        <v>7</v>
      </c>
      <c r="E12" s="11">
        <f>'52.217-8'!G18</f>
        <v>0</v>
      </c>
      <c r="F12" s="11"/>
    </row>
    <row r="13" spans="1:6" x14ac:dyDescent="0.25">
      <c r="A13" s="12"/>
      <c r="B13" s="12"/>
      <c r="C13" s="12"/>
      <c r="D13" s="12"/>
      <c r="E13" s="11"/>
      <c r="F13" s="11"/>
    </row>
    <row r="14" spans="1:6" ht="18.75" x14ac:dyDescent="0.3">
      <c r="A14" s="74" t="s">
        <v>8</v>
      </c>
      <c r="B14" s="74"/>
      <c r="C14" s="74"/>
      <c r="D14" s="74"/>
      <c r="E14" s="13">
        <f>SUM(E7:E13)</f>
        <v>0</v>
      </c>
      <c r="F14" s="13"/>
    </row>
    <row r="16" spans="1:6" x14ac:dyDescent="0.25">
      <c r="A16" s="70"/>
      <c r="B16" s="71"/>
      <c r="C16" s="71"/>
      <c r="D16" s="71"/>
      <c r="E16" s="71"/>
      <c r="F16" s="71"/>
    </row>
    <row r="17" spans="3:10" ht="18.75" x14ac:dyDescent="0.3">
      <c r="C17" s="14" t="s">
        <v>0</v>
      </c>
    </row>
    <row r="19" spans="3:10" x14ac:dyDescent="0.25">
      <c r="J19" t="s">
        <v>26</v>
      </c>
    </row>
  </sheetData>
  <mergeCells count="6">
    <mergeCell ref="A16:F16"/>
    <mergeCell ref="A6:B6"/>
    <mergeCell ref="A7:D7"/>
    <mergeCell ref="A14:D14"/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937B-E759-4537-8E0D-E8A762DA740A}">
  <dimension ref="A1:M58"/>
  <sheetViews>
    <sheetView tabSelected="1" workbookViewId="0">
      <selection activeCell="E17" sqref="E17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4.7109375" style="15" customWidth="1"/>
    <col min="10" max="10" width="12.7109375" style="15" bestFit="1" customWidth="1"/>
    <col min="11" max="12" width="9.140625" style="15"/>
    <col min="13" max="13" width="15.7109375" style="15" customWidth="1"/>
    <col min="14" max="16384" width="9.140625" style="15"/>
  </cols>
  <sheetData>
    <row r="1" spans="1:13" ht="18.75" x14ac:dyDescent="0.3">
      <c r="C1" s="16" t="s">
        <v>0</v>
      </c>
    </row>
    <row r="2" spans="1:13" ht="24" x14ac:dyDescent="0.4">
      <c r="A2" s="18"/>
      <c r="B2" s="86" t="s">
        <v>19</v>
      </c>
      <c r="C2" s="87"/>
      <c r="D2" s="87"/>
      <c r="E2" s="87"/>
      <c r="F2" s="87"/>
      <c r="G2" s="88"/>
      <c r="H2" s="19"/>
    </row>
    <row r="3" spans="1:13" ht="18.75" x14ac:dyDescent="0.3">
      <c r="A3" s="18"/>
      <c r="B3" s="89" t="s">
        <v>37</v>
      </c>
      <c r="C3" s="90"/>
      <c r="D3" s="90"/>
      <c r="E3" s="90"/>
      <c r="F3" s="90"/>
      <c r="G3" s="91"/>
      <c r="H3" s="20"/>
    </row>
    <row r="4" spans="1:13" ht="15.75" hidden="1" x14ac:dyDescent="0.25">
      <c r="A4" s="18"/>
      <c r="B4" s="92" t="str">
        <f>[1]Summary!C7</f>
        <v>FFP</v>
      </c>
      <c r="C4" s="92"/>
      <c r="D4" s="92"/>
      <c r="E4" s="92"/>
      <c r="F4" s="92"/>
      <c r="G4" s="93"/>
      <c r="H4" s="22"/>
    </row>
    <row r="5" spans="1:13" ht="24" hidden="1" x14ac:dyDescent="0.4">
      <c r="A5" s="23"/>
      <c r="B5" s="94" t="s">
        <v>9</v>
      </c>
      <c r="C5" s="94"/>
      <c r="D5" s="95">
        <f>FY_Total</f>
        <v>0</v>
      </c>
      <c r="E5" s="95"/>
      <c r="F5" s="95"/>
      <c r="G5" s="96"/>
      <c r="H5" s="24"/>
    </row>
    <row r="6" spans="1:13" ht="18.75" hidden="1" x14ac:dyDescent="0.3">
      <c r="A6" s="25"/>
      <c r="B6" s="25"/>
      <c r="C6" s="25"/>
      <c r="D6" s="25"/>
      <c r="E6" s="26"/>
      <c r="F6" s="26"/>
      <c r="G6" s="27"/>
      <c r="H6" s="27"/>
    </row>
    <row r="7" spans="1:13" x14ac:dyDescent="0.25">
      <c r="A7" s="28"/>
      <c r="B7" s="80" t="s">
        <v>10</v>
      </c>
      <c r="C7" s="81"/>
      <c r="D7" s="81"/>
      <c r="E7" s="81"/>
      <c r="F7" s="81"/>
      <c r="G7" s="82"/>
      <c r="H7" s="29" t="s">
        <v>22</v>
      </c>
    </row>
    <row r="8" spans="1:13" x14ac:dyDescent="0.25">
      <c r="A8" s="28"/>
      <c r="B8" s="30" t="s">
        <v>11</v>
      </c>
      <c r="C8" s="31" t="s">
        <v>12</v>
      </c>
      <c r="D8" s="31" t="s">
        <v>13</v>
      </c>
      <c r="E8" s="32" t="s">
        <v>14</v>
      </c>
      <c r="F8" s="32" t="s">
        <v>25</v>
      </c>
      <c r="G8" s="32" t="s">
        <v>15</v>
      </c>
      <c r="H8" s="32" t="s">
        <v>15</v>
      </c>
      <c r="I8" s="33"/>
    </row>
    <row r="9" spans="1:13" ht="15.75" x14ac:dyDescent="0.25">
      <c r="A9" s="28"/>
      <c r="B9" s="34">
        <v>1</v>
      </c>
      <c r="C9" s="67">
        <v>3613482038</v>
      </c>
      <c r="D9" s="35">
        <v>12</v>
      </c>
      <c r="E9" s="36">
        <v>0</v>
      </c>
      <c r="F9" s="36">
        <f>B9*E9</f>
        <v>0</v>
      </c>
      <c r="G9" s="37">
        <f t="shared" ref="G9:G15" si="0">B9*D9*E9</f>
        <v>0</v>
      </c>
      <c r="H9" s="37">
        <v>0</v>
      </c>
      <c r="I9" s="33"/>
    </row>
    <row r="10" spans="1:13" ht="15.75" x14ac:dyDescent="0.25">
      <c r="A10" s="28"/>
      <c r="B10" s="34">
        <v>1</v>
      </c>
      <c r="C10" s="67">
        <v>3613482916</v>
      </c>
      <c r="D10" s="35">
        <v>12</v>
      </c>
      <c r="E10" s="36">
        <v>0</v>
      </c>
      <c r="F10" s="36">
        <f t="shared" ref="F10:F16" si="1">B10*E10</f>
        <v>0</v>
      </c>
      <c r="G10" s="37">
        <f t="shared" si="0"/>
        <v>0</v>
      </c>
      <c r="H10" s="37">
        <v>0</v>
      </c>
      <c r="I10" s="33"/>
      <c r="M10" s="39"/>
    </row>
    <row r="11" spans="1:13" ht="15.75" x14ac:dyDescent="0.25">
      <c r="A11" s="28"/>
      <c r="B11" s="34">
        <v>1</v>
      </c>
      <c r="C11" s="67">
        <v>3613482767</v>
      </c>
      <c r="D11" s="35">
        <v>12</v>
      </c>
      <c r="E11" s="36">
        <v>0</v>
      </c>
      <c r="F11" s="36">
        <f t="shared" si="1"/>
        <v>0</v>
      </c>
      <c r="G11" s="37">
        <f t="shared" si="0"/>
        <v>0</v>
      </c>
      <c r="H11" s="37">
        <v>0</v>
      </c>
      <c r="I11" s="33"/>
    </row>
    <row r="12" spans="1:13" x14ac:dyDescent="0.25">
      <c r="A12" s="40"/>
      <c r="B12" s="34">
        <v>3</v>
      </c>
      <c r="C12" s="68" t="s">
        <v>29</v>
      </c>
      <c r="D12" s="35">
        <v>12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  <c r="I12" s="33"/>
    </row>
    <row r="13" spans="1:13" s="42" customFormat="1" x14ac:dyDescent="0.25">
      <c r="A13" s="28"/>
      <c r="B13" s="34">
        <v>3</v>
      </c>
      <c r="C13" s="68" t="s">
        <v>30</v>
      </c>
      <c r="D13" s="35">
        <v>12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  <c r="I13" s="41"/>
    </row>
    <row r="14" spans="1:13" x14ac:dyDescent="0.25">
      <c r="A14" s="28"/>
      <c r="B14" s="34">
        <v>3</v>
      </c>
      <c r="C14" s="68" t="s">
        <v>31</v>
      </c>
      <c r="D14" s="35">
        <v>12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  <c r="I14" s="33"/>
    </row>
    <row r="15" spans="1:13" ht="30" x14ac:dyDescent="0.25">
      <c r="A15" s="28"/>
      <c r="B15" s="34">
        <v>3</v>
      </c>
      <c r="C15" s="69" t="s">
        <v>32</v>
      </c>
      <c r="D15" s="35">
        <v>12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  <c r="I15" s="33"/>
      <c r="K15" s="42"/>
    </row>
    <row r="16" spans="1:13" ht="30.75" thickBot="1" x14ac:dyDescent="0.3">
      <c r="A16" s="28"/>
      <c r="B16" s="34">
        <v>3</v>
      </c>
      <c r="C16" s="69" t="s">
        <v>33</v>
      </c>
      <c r="D16" s="35">
        <v>12</v>
      </c>
      <c r="E16" s="36">
        <v>0</v>
      </c>
      <c r="F16" s="36">
        <f t="shared" si="1"/>
        <v>0</v>
      </c>
      <c r="G16" s="37">
        <f>B16*D16*E16</f>
        <v>0</v>
      </c>
      <c r="H16" s="37">
        <v>0</v>
      </c>
      <c r="I16" s="33"/>
    </row>
    <row r="17" spans="1:11" ht="15.75" thickBot="1" x14ac:dyDescent="0.3">
      <c r="A17" s="28"/>
      <c r="B17" s="43" t="s">
        <v>16</v>
      </c>
      <c r="C17" s="44"/>
      <c r="D17" s="45"/>
      <c r="E17" s="46">
        <f>SUM(E9:E16)</f>
        <v>0</v>
      </c>
      <c r="F17" s="46">
        <f>SUM(F9:F16)</f>
        <v>0</v>
      </c>
      <c r="G17" s="47">
        <f>SUM(G9:G16)</f>
        <v>0</v>
      </c>
      <c r="H17" s="47">
        <f>SUM(H9:H16)</f>
        <v>0</v>
      </c>
      <c r="I17" s="33"/>
    </row>
    <row r="18" spans="1:11" x14ac:dyDescent="0.25">
      <c r="A18" s="28"/>
      <c r="B18" s="48"/>
      <c r="C18" s="49"/>
      <c r="D18" s="50"/>
      <c r="E18" s="51"/>
      <c r="F18" s="51"/>
      <c r="G18" s="38"/>
      <c r="H18" s="38"/>
      <c r="I18" s="33"/>
    </row>
    <row r="19" spans="1:11" x14ac:dyDescent="0.25">
      <c r="A19" s="28"/>
      <c r="B19" s="48"/>
      <c r="C19" s="49"/>
      <c r="D19" s="50"/>
      <c r="E19" s="51"/>
      <c r="F19" s="51"/>
      <c r="G19" s="38"/>
      <c r="H19" s="38"/>
      <c r="I19" s="33"/>
    </row>
    <row r="20" spans="1:11" x14ac:dyDescent="0.25">
      <c r="A20" s="28"/>
      <c r="B20" s="52"/>
      <c r="C20" s="52"/>
      <c r="D20" s="52"/>
      <c r="E20" s="53"/>
      <c r="F20" s="53"/>
      <c r="G20" s="53"/>
      <c r="H20" s="54"/>
      <c r="I20" s="33"/>
    </row>
    <row r="21" spans="1:11" x14ac:dyDescent="0.25">
      <c r="A21" s="28"/>
      <c r="B21" s="83" t="s">
        <v>17</v>
      </c>
      <c r="C21" s="84"/>
      <c r="D21" s="84"/>
      <c r="E21" s="85"/>
      <c r="F21" s="66"/>
      <c r="G21" s="55">
        <f>G17</f>
        <v>0</v>
      </c>
      <c r="H21" s="55"/>
      <c r="I21" s="33"/>
    </row>
    <row r="22" spans="1:11" x14ac:dyDescent="0.25">
      <c r="A22" s="28"/>
      <c r="E22" s="17" t="s">
        <v>23</v>
      </c>
      <c r="G22" s="17">
        <f>H17</f>
        <v>0</v>
      </c>
      <c r="H22" s="56"/>
      <c r="I22" s="33"/>
    </row>
    <row r="23" spans="1:11" x14ac:dyDescent="0.25">
      <c r="E23" s="17" t="s">
        <v>24</v>
      </c>
      <c r="G23" s="17">
        <f>FY_Total+G22</f>
        <v>0</v>
      </c>
      <c r="K23" s="57"/>
    </row>
    <row r="24" spans="1:11" x14ac:dyDescent="0.25">
      <c r="K24" s="58"/>
    </row>
    <row r="25" spans="1:11" x14ac:dyDescent="0.25">
      <c r="A25" s="28"/>
    </row>
    <row r="26" spans="1:11" x14ac:dyDescent="0.25">
      <c r="A26" s="28"/>
    </row>
    <row r="31" spans="1:11" x14ac:dyDescent="0.25">
      <c r="A31" s="28"/>
      <c r="K31" s="42"/>
    </row>
    <row r="32" spans="1:11" x14ac:dyDescent="0.25">
      <c r="A32" s="28"/>
      <c r="K32" s="42"/>
    </row>
    <row r="33" spans="1:11" x14ac:dyDescent="0.25">
      <c r="A33" s="28"/>
      <c r="K33" s="42"/>
    </row>
    <row r="38" spans="1:11" x14ac:dyDescent="0.25">
      <c r="A38" s="28"/>
    </row>
    <row r="39" spans="1:11" x14ac:dyDescent="0.25">
      <c r="A39" s="28"/>
    </row>
    <row r="40" spans="1:11" x14ac:dyDescent="0.25">
      <c r="A40" s="28"/>
    </row>
    <row r="42" spans="1:11" x14ac:dyDescent="0.25">
      <c r="A42" s="39"/>
    </row>
    <row r="44" spans="1:11" x14ac:dyDescent="0.25">
      <c r="A44" s="39"/>
    </row>
    <row r="58" spans="3:3" ht="18.75" x14ac:dyDescent="0.3">
      <c r="C58" s="16" t="s">
        <v>0</v>
      </c>
    </row>
  </sheetData>
  <mergeCells count="7">
    <mergeCell ref="B7:G7"/>
    <mergeCell ref="B21:E21"/>
    <mergeCell ref="B2:G2"/>
    <mergeCell ref="B3:G3"/>
    <mergeCell ref="B4:G4"/>
    <mergeCell ref="B5:C5"/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947C-9C71-42FA-A3CF-BC6FF36E21DE}">
  <dimension ref="A1:M58"/>
  <sheetViews>
    <sheetView workbookViewId="0">
      <selection activeCell="E17" sqref="E17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4.7109375" style="15" customWidth="1"/>
    <col min="10" max="10" width="12.7109375" style="15" bestFit="1" customWidth="1"/>
    <col min="11" max="12" width="9.140625" style="15"/>
    <col min="13" max="13" width="15.7109375" style="15" customWidth="1"/>
    <col min="14" max="16384" width="9.140625" style="15"/>
  </cols>
  <sheetData>
    <row r="1" spans="1:13" ht="18.75" x14ac:dyDescent="0.3">
      <c r="C1" s="16" t="s">
        <v>0</v>
      </c>
    </row>
    <row r="2" spans="1:13" ht="24" x14ac:dyDescent="0.4">
      <c r="A2" s="18"/>
      <c r="B2" s="86" t="s">
        <v>34</v>
      </c>
      <c r="C2" s="87"/>
      <c r="D2" s="87"/>
      <c r="E2" s="87"/>
      <c r="F2" s="87"/>
      <c r="G2" s="88"/>
      <c r="H2" s="61"/>
    </row>
    <row r="3" spans="1:13" ht="18.75" x14ac:dyDescent="0.3">
      <c r="A3" s="18"/>
      <c r="B3" s="89" t="s">
        <v>38</v>
      </c>
      <c r="C3" s="90"/>
      <c r="D3" s="90"/>
      <c r="E3" s="90"/>
      <c r="F3" s="90"/>
      <c r="G3" s="91"/>
      <c r="H3" s="62"/>
    </row>
    <row r="4" spans="1:13" ht="15.75" hidden="1" x14ac:dyDescent="0.25">
      <c r="A4" s="18"/>
      <c r="B4" s="92" t="str">
        <f>[1]Summary!C7</f>
        <v>FFP</v>
      </c>
      <c r="C4" s="92"/>
      <c r="D4" s="92"/>
      <c r="E4" s="92"/>
      <c r="F4" s="92"/>
      <c r="G4" s="93"/>
      <c r="H4" s="64"/>
    </row>
    <row r="5" spans="1:13" ht="24" hidden="1" x14ac:dyDescent="0.4">
      <c r="A5" s="23"/>
      <c r="B5" s="94" t="s">
        <v>9</v>
      </c>
      <c r="C5" s="94"/>
      <c r="D5" s="95">
        <f ca="1">FY_Total</f>
        <v>2706.84</v>
      </c>
      <c r="E5" s="95"/>
      <c r="F5" s="95"/>
      <c r="G5" s="96"/>
      <c r="H5" s="65"/>
    </row>
    <row r="6" spans="1:13" ht="18.75" hidden="1" x14ac:dyDescent="0.3">
      <c r="A6" s="25"/>
      <c r="B6" s="25"/>
      <c r="C6" s="25"/>
      <c r="D6" s="25"/>
      <c r="E6" s="26"/>
      <c r="F6" s="26"/>
      <c r="G6" s="27"/>
      <c r="H6" s="27"/>
    </row>
    <row r="7" spans="1:13" x14ac:dyDescent="0.25">
      <c r="A7" s="28"/>
      <c r="B7" s="80" t="s">
        <v>10</v>
      </c>
      <c r="C7" s="81"/>
      <c r="D7" s="81"/>
      <c r="E7" s="81"/>
      <c r="F7" s="81"/>
      <c r="G7" s="82"/>
      <c r="H7" s="60" t="s">
        <v>22</v>
      </c>
    </row>
    <row r="8" spans="1:13" x14ac:dyDescent="0.25">
      <c r="A8" s="28"/>
      <c r="B8" s="30" t="s">
        <v>11</v>
      </c>
      <c r="C8" s="31" t="s">
        <v>12</v>
      </c>
      <c r="D8" s="31" t="s">
        <v>13</v>
      </c>
      <c r="E8" s="32" t="s">
        <v>14</v>
      </c>
      <c r="F8" s="32" t="s">
        <v>25</v>
      </c>
      <c r="G8" s="32" t="s">
        <v>15</v>
      </c>
      <c r="H8" s="32" t="s">
        <v>15</v>
      </c>
      <c r="I8" s="33"/>
    </row>
    <row r="9" spans="1:13" ht="15.75" x14ac:dyDescent="0.25">
      <c r="A9" s="28"/>
      <c r="B9" s="34">
        <v>1</v>
      </c>
      <c r="C9" s="67">
        <v>3613482038</v>
      </c>
      <c r="D9" s="35">
        <v>12</v>
      </c>
      <c r="E9" s="36">
        <v>0</v>
      </c>
      <c r="F9" s="36">
        <f>B9*E9</f>
        <v>0</v>
      </c>
      <c r="G9" s="37">
        <f t="shared" ref="G9:G15" si="0">B9*D9*E9</f>
        <v>0</v>
      </c>
      <c r="H9" s="37">
        <v>0</v>
      </c>
      <c r="I9" s="33"/>
    </row>
    <row r="10" spans="1:13" ht="15.75" x14ac:dyDescent="0.25">
      <c r="A10" s="28"/>
      <c r="B10" s="34">
        <v>1</v>
      </c>
      <c r="C10" s="67">
        <v>3613482916</v>
      </c>
      <c r="D10" s="35">
        <v>12</v>
      </c>
      <c r="E10" s="36">
        <v>0</v>
      </c>
      <c r="F10" s="36">
        <f t="shared" ref="F10:F16" si="1">B10*E10</f>
        <v>0</v>
      </c>
      <c r="G10" s="37">
        <f t="shared" si="0"/>
        <v>0</v>
      </c>
      <c r="H10" s="37">
        <v>0</v>
      </c>
      <c r="I10" s="33"/>
      <c r="M10" s="39"/>
    </row>
    <row r="11" spans="1:13" ht="15.75" x14ac:dyDescent="0.25">
      <c r="A11" s="28"/>
      <c r="B11" s="34">
        <v>1</v>
      </c>
      <c r="C11" s="67">
        <v>3613482767</v>
      </c>
      <c r="D11" s="35">
        <v>12</v>
      </c>
      <c r="E11" s="36">
        <v>0</v>
      </c>
      <c r="F11" s="36">
        <f t="shared" si="1"/>
        <v>0</v>
      </c>
      <c r="G11" s="37">
        <f t="shared" si="0"/>
        <v>0</v>
      </c>
      <c r="H11" s="37">
        <v>0</v>
      </c>
      <c r="I11" s="33"/>
    </row>
    <row r="12" spans="1:13" x14ac:dyDescent="0.25">
      <c r="A12" s="40"/>
      <c r="B12" s="34">
        <v>3</v>
      </c>
      <c r="C12" s="68" t="s">
        <v>29</v>
      </c>
      <c r="D12" s="35">
        <v>12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  <c r="I12" s="33"/>
    </row>
    <row r="13" spans="1:13" s="42" customFormat="1" x14ac:dyDescent="0.25">
      <c r="A13" s="28"/>
      <c r="B13" s="34">
        <v>3</v>
      </c>
      <c r="C13" s="68" t="s">
        <v>30</v>
      </c>
      <c r="D13" s="35">
        <v>12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  <c r="I13" s="41"/>
    </row>
    <row r="14" spans="1:13" x14ac:dyDescent="0.25">
      <c r="A14" s="28"/>
      <c r="B14" s="34">
        <v>3</v>
      </c>
      <c r="C14" s="68" t="s">
        <v>31</v>
      </c>
      <c r="D14" s="35">
        <v>12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  <c r="I14" s="33"/>
    </row>
    <row r="15" spans="1:13" ht="30" x14ac:dyDescent="0.25">
      <c r="A15" s="28"/>
      <c r="B15" s="34">
        <v>3</v>
      </c>
      <c r="C15" s="69" t="s">
        <v>32</v>
      </c>
      <c r="D15" s="35">
        <v>12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  <c r="I15" s="33"/>
      <c r="K15" s="42"/>
    </row>
    <row r="16" spans="1:13" ht="30.75" thickBot="1" x14ac:dyDescent="0.3">
      <c r="A16" s="28"/>
      <c r="B16" s="34">
        <v>3</v>
      </c>
      <c r="C16" s="69" t="s">
        <v>33</v>
      </c>
      <c r="D16" s="35">
        <v>12</v>
      </c>
      <c r="E16" s="36">
        <v>0</v>
      </c>
      <c r="F16" s="36">
        <f t="shared" si="1"/>
        <v>0</v>
      </c>
      <c r="G16" s="37">
        <f>B16*D16*E16</f>
        <v>0</v>
      </c>
      <c r="H16" s="37">
        <v>0</v>
      </c>
      <c r="I16" s="33"/>
    </row>
    <row r="17" spans="1:11" ht="15.75" thickBot="1" x14ac:dyDescent="0.3">
      <c r="A17" s="28"/>
      <c r="B17" s="43" t="s">
        <v>16</v>
      </c>
      <c r="C17" s="44"/>
      <c r="D17" s="45"/>
      <c r="E17" s="46">
        <f>SUM(E9:E16)</f>
        <v>0</v>
      </c>
      <c r="F17" s="46">
        <f>SUM(F9:F16)</f>
        <v>0</v>
      </c>
      <c r="G17" s="47">
        <f>SUM(G9:G16)</f>
        <v>0</v>
      </c>
      <c r="H17" s="47">
        <f>SUM(H9:H16)</f>
        <v>0</v>
      </c>
      <c r="I17" s="33"/>
    </row>
    <row r="18" spans="1:11" x14ac:dyDescent="0.25">
      <c r="A18" s="28"/>
      <c r="B18" s="48"/>
      <c r="C18" s="49"/>
      <c r="D18" s="50"/>
      <c r="E18" s="51"/>
      <c r="F18" s="51"/>
      <c r="G18" s="38"/>
      <c r="H18" s="38"/>
      <c r="I18" s="33"/>
    </row>
    <row r="19" spans="1:11" x14ac:dyDescent="0.25">
      <c r="A19" s="28"/>
      <c r="B19" s="48"/>
      <c r="C19" s="49"/>
      <c r="D19" s="50"/>
      <c r="E19" s="51"/>
      <c r="F19" s="51"/>
      <c r="G19" s="38"/>
      <c r="H19" s="38"/>
      <c r="I19" s="33"/>
    </row>
    <row r="20" spans="1:11" x14ac:dyDescent="0.25">
      <c r="A20" s="28"/>
      <c r="B20" s="52"/>
      <c r="C20" s="52"/>
      <c r="D20" s="52"/>
      <c r="E20" s="53"/>
      <c r="F20" s="53"/>
      <c r="G20" s="53"/>
      <c r="H20" s="54"/>
      <c r="I20" s="33"/>
    </row>
    <row r="21" spans="1:11" x14ac:dyDescent="0.25">
      <c r="A21" s="28"/>
      <c r="B21" s="83" t="s">
        <v>17</v>
      </c>
      <c r="C21" s="84"/>
      <c r="D21" s="84"/>
      <c r="E21" s="85"/>
      <c r="F21" s="66"/>
      <c r="G21" s="55">
        <f>G17</f>
        <v>0</v>
      </c>
      <c r="H21" s="55"/>
      <c r="I21" s="33"/>
    </row>
    <row r="22" spans="1:11" x14ac:dyDescent="0.25">
      <c r="A22" s="28"/>
      <c r="E22" s="17" t="s">
        <v>23</v>
      </c>
      <c r="G22" s="17">
        <f>H17</f>
        <v>0</v>
      </c>
      <c r="H22" s="56"/>
      <c r="I22" s="33"/>
    </row>
    <row r="23" spans="1:11" x14ac:dyDescent="0.25">
      <c r="E23" s="17" t="s">
        <v>24</v>
      </c>
      <c r="G23" s="17">
        <f ca="1">FY_Total+G22</f>
        <v>2706.84</v>
      </c>
      <c r="K23" s="57"/>
    </row>
    <row r="24" spans="1:11" x14ac:dyDescent="0.25">
      <c r="K24" s="58"/>
    </row>
    <row r="25" spans="1:11" x14ac:dyDescent="0.25">
      <c r="A25" s="28"/>
    </row>
    <row r="26" spans="1:11" x14ac:dyDescent="0.25">
      <c r="A26" s="28"/>
    </row>
    <row r="31" spans="1:11" x14ac:dyDescent="0.25">
      <c r="A31" s="28"/>
      <c r="K31" s="42"/>
    </row>
    <row r="32" spans="1:11" x14ac:dyDescent="0.25">
      <c r="A32" s="28"/>
      <c r="K32" s="42"/>
    </row>
    <row r="33" spans="1:11" x14ac:dyDescent="0.25">
      <c r="A33" s="28"/>
      <c r="K33" s="42"/>
    </row>
    <row r="38" spans="1:11" x14ac:dyDescent="0.25">
      <c r="A38" s="28"/>
    </row>
    <row r="39" spans="1:11" x14ac:dyDescent="0.25">
      <c r="A39" s="28"/>
    </row>
    <row r="40" spans="1:11" x14ac:dyDescent="0.25">
      <c r="A40" s="28"/>
    </row>
    <row r="42" spans="1:11" x14ac:dyDescent="0.25">
      <c r="A42" s="39"/>
    </row>
    <row r="44" spans="1:11" x14ac:dyDescent="0.25">
      <c r="A44" s="39"/>
    </row>
    <row r="58" spans="3:3" ht="18.75" x14ac:dyDescent="0.3">
      <c r="C58" s="16" t="s">
        <v>0</v>
      </c>
    </row>
  </sheetData>
  <mergeCells count="7">
    <mergeCell ref="B7:G7"/>
    <mergeCell ref="B21:E21"/>
    <mergeCell ref="B2:G2"/>
    <mergeCell ref="B3:G3"/>
    <mergeCell ref="B4:G4"/>
    <mergeCell ref="B5:C5"/>
    <mergeCell ref="D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0D08-4AFD-4DE5-A179-0BF110711195}">
  <dimension ref="A1:M58"/>
  <sheetViews>
    <sheetView workbookViewId="0">
      <selection activeCell="E17" sqref="E17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4.7109375" style="15" customWidth="1"/>
    <col min="10" max="10" width="12.7109375" style="15" bestFit="1" customWidth="1"/>
    <col min="11" max="12" width="9.140625" style="15"/>
    <col min="13" max="13" width="15.7109375" style="15" customWidth="1"/>
    <col min="14" max="16384" width="9.140625" style="15"/>
  </cols>
  <sheetData>
    <row r="1" spans="1:13" ht="18.75" x14ac:dyDescent="0.3">
      <c r="C1" s="16" t="s">
        <v>0</v>
      </c>
    </row>
    <row r="2" spans="1:13" ht="24" x14ac:dyDescent="0.4">
      <c r="A2" s="18"/>
      <c r="B2" s="86" t="s">
        <v>20</v>
      </c>
      <c r="C2" s="87"/>
      <c r="D2" s="87"/>
      <c r="E2" s="87"/>
      <c r="F2" s="87"/>
      <c r="G2" s="88"/>
      <c r="H2" s="19"/>
    </row>
    <row r="3" spans="1:13" ht="18.75" x14ac:dyDescent="0.3">
      <c r="A3" s="18"/>
      <c r="B3" s="89" t="s">
        <v>39</v>
      </c>
      <c r="C3" s="90"/>
      <c r="D3" s="90"/>
      <c r="E3" s="90"/>
      <c r="F3" s="90"/>
      <c r="G3" s="91"/>
      <c r="H3" s="20"/>
    </row>
    <row r="4" spans="1:13" ht="15.75" hidden="1" customHeight="1" x14ac:dyDescent="0.25">
      <c r="A4" s="18"/>
      <c r="B4" s="92" t="str">
        <f>[1]Summary!C7</f>
        <v>FFP</v>
      </c>
      <c r="C4" s="92"/>
      <c r="D4" s="92"/>
      <c r="E4" s="92"/>
      <c r="F4" s="92"/>
      <c r="G4" s="93"/>
      <c r="H4" s="21"/>
    </row>
    <row r="5" spans="1:13" ht="15.75" hidden="1" customHeight="1" x14ac:dyDescent="0.25">
      <c r="A5" s="18"/>
      <c r="B5" s="94" t="s">
        <v>9</v>
      </c>
      <c r="C5" s="94"/>
      <c r="D5" s="95">
        <f>FY_Total</f>
        <v>0</v>
      </c>
      <c r="E5" s="95"/>
      <c r="F5" s="95"/>
      <c r="G5" s="96"/>
      <c r="H5" s="22"/>
    </row>
    <row r="6" spans="1:13" ht="24" hidden="1" customHeight="1" x14ac:dyDescent="0.4">
      <c r="A6" s="23"/>
      <c r="B6" s="25"/>
      <c r="C6" s="25"/>
      <c r="D6" s="25"/>
      <c r="E6" s="26"/>
      <c r="F6" s="26"/>
      <c r="G6" s="27"/>
      <c r="H6" s="24"/>
    </row>
    <row r="7" spans="1:13" ht="18.75" hidden="1" customHeight="1" x14ac:dyDescent="0.3">
      <c r="A7" s="25"/>
      <c r="B7" s="80" t="s">
        <v>10</v>
      </c>
      <c r="C7" s="81"/>
      <c r="D7" s="81"/>
      <c r="E7" s="81"/>
      <c r="F7" s="81"/>
      <c r="G7" s="82"/>
      <c r="H7" s="27"/>
    </row>
    <row r="8" spans="1:13" x14ac:dyDescent="0.25">
      <c r="A8" s="28"/>
      <c r="B8" s="30" t="s">
        <v>11</v>
      </c>
      <c r="C8" s="31" t="s">
        <v>12</v>
      </c>
      <c r="D8" s="31" t="s">
        <v>13</v>
      </c>
      <c r="E8" s="32" t="s">
        <v>14</v>
      </c>
      <c r="F8" s="32" t="s">
        <v>25</v>
      </c>
      <c r="G8" s="32" t="s">
        <v>15</v>
      </c>
      <c r="H8" s="29" t="s">
        <v>22</v>
      </c>
    </row>
    <row r="9" spans="1:13" ht="15.75" x14ac:dyDescent="0.25">
      <c r="A9" s="28"/>
      <c r="B9" s="34">
        <v>1</v>
      </c>
      <c r="C9" s="67">
        <v>3613482038</v>
      </c>
      <c r="D9" s="35">
        <v>12</v>
      </c>
      <c r="E9" s="36">
        <v>0</v>
      </c>
      <c r="F9" s="36">
        <f>B9*E9</f>
        <v>0</v>
      </c>
      <c r="G9" s="37">
        <f t="shared" ref="G9:G15" si="0">B9*D9*E9</f>
        <v>0</v>
      </c>
      <c r="H9" s="32" t="s">
        <v>15</v>
      </c>
      <c r="I9" s="33"/>
    </row>
    <row r="10" spans="1:13" ht="15.75" x14ac:dyDescent="0.25">
      <c r="A10" s="28"/>
      <c r="B10" s="34">
        <v>1</v>
      </c>
      <c r="C10" s="67">
        <v>3613482916</v>
      </c>
      <c r="D10" s="35">
        <v>12</v>
      </c>
      <c r="E10" s="36">
        <v>0</v>
      </c>
      <c r="F10" s="36">
        <f t="shared" ref="F10:F16" si="1">B10*E10</f>
        <v>0</v>
      </c>
      <c r="G10" s="37">
        <f t="shared" si="0"/>
        <v>0</v>
      </c>
      <c r="H10" s="37">
        <v>0</v>
      </c>
      <c r="I10" s="33"/>
    </row>
    <row r="11" spans="1:13" ht="15.75" x14ac:dyDescent="0.25">
      <c r="A11" s="28"/>
      <c r="B11" s="34">
        <v>1</v>
      </c>
      <c r="C11" s="67">
        <v>3613482767</v>
      </c>
      <c r="D11" s="35">
        <v>12</v>
      </c>
      <c r="E11" s="36">
        <v>0</v>
      </c>
      <c r="F11" s="36">
        <f t="shared" si="1"/>
        <v>0</v>
      </c>
      <c r="G11" s="37">
        <f t="shared" si="0"/>
        <v>0</v>
      </c>
      <c r="H11" s="37">
        <v>0</v>
      </c>
      <c r="I11" s="33"/>
      <c r="M11" s="39"/>
    </row>
    <row r="12" spans="1:13" x14ac:dyDescent="0.25">
      <c r="A12" s="28"/>
      <c r="B12" s="34">
        <v>3</v>
      </c>
      <c r="C12" s="68" t="s">
        <v>29</v>
      </c>
      <c r="D12" s="35">
        <v>12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  <c r="I12" s="33"/>
    </row>
    <row r="13" spans="1:13" x14ac:dyDescent="0.25">
      <c r="A13" s="40"/>
      <c r="B13" s="34">
        <v>3</v>
      </c>
      <c r="C13" s="68" t="s">
        <v>30</v>
      </c>
      <c r="D13" s="35">
        <v>12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  <c r="I13" s="33"/>
    </row>
    <row r="14" spans="1:13" s="42" customFormat="1" x14ac:dyDescent="0.25">
      <c r="A14" s="28"/>
      <c r="B14" s="34">
        <v>3</v>
      </c>
      <c r="C14" s="68" t="s">
        <v>31</v>
      </c>
      <c r="D14" s="35">
        <v>12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  <c r="I14" s="41"/>
    </row>
    <row r="15" spans="1:13" ht="30" x14ac:dyDescent="0.25">
      <c r="A15" s="28"/>
      <c r="B15" s="34">
        <v>3</v>
      </c>
      <c r="C15" s="69" t="s">
        <v>32</v>
      </c>
      <c r="D15" s="35">
        <v>12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  <c r="I15" s="33"/>
    </row>
    <row r="16" spans="1:13" ht="30.75" thickBot="1" x14ac:dyDescent="0.3">
      <c r="A16" s="28"/>
      <c r="B16" s="34">
        <v>3</v>
      </c>
      <c r="C16" s="69" t="s">
        <v>33</v>
      </c>
      <c r="D16" s="35">
        <v>12</v>
      </c>
      <c r="E16" s="36">
        <v>0</v>
      </c>
      <c r="F16" s="36">
        <f t="shared" si="1"/>
        <v>0</v>
      </c>
      <c r="G16" s="37">
        <f>B16*D16*E16</f>
        <v>0</v>
      </c>
      <c r="H16" s="37">
        <v>0</v>
      </c>
      <c r="I16" s="33"/>
      <c r="K16" s="42"/>
    </row>
    <row r="17" spans="1:11" ht="15.75" thickBot="1" x14ac:dyDescent="0.3">
      <c r="A17" s="28"/>
      <c r="B17" s="43" t="s">
        <v>16</v>
      </c>
      <c r="C17" s="44"/>
      <c r="D17" s="45"/>
      <c r="E17" s="46">
        <f>SUM(E10:E16)</f>
        <v>0</v>
      </c>
      <c r="F17" s="46">
        <f>SUM(F10:F16)</f>
        <v>0</v>
      </c>
      <c r="G17" s="47">
        <f>SUM(G9:G16)</f>
        <v>0</v>
      </c>
      <c r="H17" s="47">
        <f>SUM(H10:H16)</f>
        <v>0</v>
      </c>
      <c r="I17" s="33"/>
    </row>
    <row r="18" spans="1:11" x14ac:dyDescent="0.25">
      <c r="A18" s="28"/>
      <c r="B18" s="48"/>
      <c r="C18" s="49"/>
      <c r="D18" s="50"/>
      <c r="E18" s="51"/>
      <c r="F18" s="51"/>
      <c r="G18" s="38"/>
      <c r="H18" s="38"/>
      <c r="I18" s="33"/>
    </row>
    <row r="19" spans="1:11" x14ac:dyDescent="0.25">
      <c r="A19" s="28"/>
      <c r="B19" s="48"/>
      <c r="C19" s="49"/>
      <c r="D19" s="50"/>
      <c r="E19" s="51"/>
      <c r="F19" s="51"/>
      <c r="G19" s="38"/>
      <c r="H19" s="38"/>
      <c r="I19" s="33"/>
    </row>
    <row r="20" spans="1:11" x14ac:dyDescent="0.25">
      <c r="A20" s="28"/>
      <c r="B20" s="52"/>
      <c r="C20" s="52"/>
      <c r="D20" s="52"/>
      <c r="E20" s="53"/>
      <c r="F20" s="53"/>
      <c r="G20" s="53"/>
      <c r="H20" s="54"/>
      <c r="I20" s="33"/>
    </row>
    <row r="21" spans="1:11" x14ac:dyDescent="0.25">
      <c r="A21" s="28"/>
      <c r="B21" s="83" t="s">
        <v>17</v>
      </c>
      <c r="C21" s="84"/>
      <c r="D21" s="84"/>
      <c r="E21" s="85"/>
      <c r="F21" s="66"/>
      <c r="G21" s="55">
        <f>G17</f>
        <v>0</v>
      </c>
      <c r="H21" s="55"/>
      <c r="I21" s="33"/>
    </row>
    <row r="22" spans="1:11" x14ac:dyDescent="0.25">
      <c r="A22" s="28"/>
      <c r="E22" s="17" t="s">
        <v>23</v>
      </c>
      <c r="G22" s="17">
        <f>H17</f>
        <v>0</v>
      </c>
      <c r="H22" s="56"/>
      <c r="I22" s="33"/>
    </row>
    <row r="23" spans="1:11" x14ac:dyDescent="0.25">
      <c r="E23" s="17" t="s">
        <v>24</v>
      </c>
      <c r="G23" s="17">
        <f>FY_Total+G22</f>
        <v>0</v>
      </c>
      <c r="K23" s="57"/>
    </row>
    <row r="24" spans="1:11" x14ac:dyDescent="0.25">
      <c r="K24" s="58"/>
    </row>
    <row r="25" spans="1:11" x14ac:dyDescent="0.25">
      <c r="A25" s="28"/>
    </row>
    <row r="26" spans="1:11" x14ac:dyDescent="0.25">
      <c r="A26" s="28"/>
    </row>
    <row r="31" spans="1:11" x14ac:dyDescent="0.25">
      <c r="A31" s="28"/>
      <c r="K31" s="42"/>
    </row>
    <row r="32" spans="1:11" x14ac:dyDescent="0.25">
      <c r="A32" s="28"/>
      <c r="K32" s="42"/>
    </row>
    <row r="33" spans="1:11" x14ac:dyDescent="0.25">
      <c r="A33" s="28"/>
      <c r="K33" s="42"/>
    </row>
    <row r="38" spans="1:11" x14ac:dyDescent="0.25">
      <c r="A38" s="28"/>
    </row>
    <row r="39" spans="1:11" x14ac:dyDescent="0.25">
      <c r="A39" s="28"/>
    </row>
    <row r="40" spans="1:11" x14ac:dyDescent="0.25">
      <c r="A40" s="28"/>
    </row>
    <row r="42" spans="1:11" x14ac:dyDescent="0.25">
      <c r="A42" s="39"/>
    </row>
    <row r="44" spans="1:11" x14ac:dyDescent="0.25">
      <c r="A44" s="39"/>
    </row>
    <row r="58" spans="3:3" ht="18.75" x14ac:dyDescent="0.3">
      <c r="C58" s="16" t="s">
        <v>0</v>
      </c>
    </row>
  </sheetData>
  <mergeCells count="7">
    <mergeCell ref="B21:E21"/>
    <mergeCell ref="B2:G2"/>
    <mergeCell ref="B3:G3"/>
    <mergeCell ref="B4:G4"/>
    <mergeCell ref="B5:C5"/>
    <mergeCell ref="D5:G5"/>
    <mergeCell ref="B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832A-1105-4142-9503-D854350E7E00}">
  <dimension ref="A1:M58"/>
  <sheetViews>
    <sheetView workbookViewId="0">
      <selection activeCell="E17" sqref="E17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4.7109375" style="15" customWidth="1"/>
    <col min="10" max="10" width="12.7109375" style="15" bestFit="1" customWidth="1"/>
    <col min="11" max="12" width="9.140625" style="15"/>
    <col min="13" max="13" width="15.7109375" style="15" customWidth="1"/>
    <col min="14" max="16384" width="9.140625" style="15"/>
  </cols>
  <sheetData>
    <row r="1" spans="1:13" ht="18.75" x14ac:dyDescent="0.3">
      <c r="C1" s="16" t="s">
        <v>0</v>
      </c>
    </row>
    <row r="2" spans="1:13" ht="24" x14ac:dyDescent="0.4">
      <c r="A2" s="18"/>
      <c r="B2" s="86" t="s">
        <v>36</v>
      </c>
      <c r="C2" s="87"/>
      <c r="D2" s="87"/>
      <c r="E2" s="87"/>
      <c r="F2" s="87"/>
      <c r="G2" s="88"/>
      <c r="H2" s="61"/>
    </row>
    <row r="3" spans="1:13" ht="18.75" x14ac:dyDescent="0.3">
      <c r="A3" s="18"/>
      <c r="B3" s="89" t="s">
        <v>40</v>
      </c>
      <c r="C3" s="90"/>
      <c r="D3" s="90"/>
      <c r="E3" s="90"/>
      <c r="F3" s="90"/>
      <c r="G3" s="91"/>
      <c r="H3" s="62"/>
    </row>
    <row r="4" spans="1:13" ht="15.75" hidden="1" customHeight="1" x14ac:dyDescent="0.25">
      <c r="A4" s="18"/>
      <c r="B4" s="92" t="str">
        <f>[1]Summary!C7</f>
        <v>FFP</v>
      </c>
      <c r="C4" s="92"/>
      <c r="D4" s="92"/>
      <c r="E4" s="92"/>
      <c r="F4" s="92"/>
      <c r="G4" s="93"/>
      <c r="H4" s="63"/>
    </row>
    <row r="5" spans="1:13" ht="15.75" hidden="1" customHeight="1" x14ac:dyDescent="0.25">
      <c r="A5" s="18"/>
      <c r="B5" s="94" t="s">
        <v>9</v>
      </c>
      <c r="C5" s="94"/>
      <c r="D5" s="95" t="e">
        <f>FY_Total</f>
        <v>#REF!</v>
      </c>
      <c r="E5" s="95"/>
      <c r="F5" s="95"/>
      <c r="G5" s="96"/>
      <c r="H5" s="64"/>
    </row>
    <row r="6" spans="1:13" ht="24" hidden="1" customHeight="1" x14ac:dyDescent="0.4">
      <c r="A6" s="23"/>
      <c r="B6" s="25"/>
      <c r="C6" s="25"/>
      <c r="D6" s="25"/>
      <c r="E6" s="26"/>
      <c r="F6" s="26"/>
      <c r="G6" s="27"/>
      <c r="H6" s="65"/>
    </row>
    <row r="7" spans="1:13" ht="18.75" hidden="1" customHeight="1" x14ac:dyDescent="0.3">
      <c r="A7" s="25"/>
      <c r="B7" s="80" t="s">
        <v>10</v>
      </c>
      <c r="C7" s="81"/>
      <c r="D7" s="81"/>
      <c r="E7" s="81"/>
      <c r="F7" s="81"/>
      <c r="G7" s="82"/>
      <c r="H7" s="27"/>
    </row>
    <row r="8" spans="1:13" x14ac:dyDescent="0.25">
      <c r="A8" s="28"/>
      <c r="B8" s="30" t="s">
        <v>11</v>
      </c>
      <c r="C8" s="31" t="s">
        <v>12</v>
      </c>
      <c r="D8" s="31" t="s">
        <v>13</v>
      </c>
      <c r="E8" s="32" t="s">
        <v>14</v>
      </c>
      <c r="F8" s="32" t="s">
        <v>25</v>
      </c>
      <c r="G8" s="32" t="s">
        <v>15</v>
      </c>
      <c r="H8" s="60" t="s">
        <v>22</v>
      </c>
    </row>
    <row r="9" spans="1:13" ht="15.75" x14ac:dyDescent="0.25">
      <c r="A9" s="28"/>
      <c r="B9" s="34">
        <v>1</v>
      </c>
      <c r="C9" s="67">
        <v>3613482038</v>
      </c>
      <c r="D9" s="35">
        <v>12</v>
      </c>
      <c r="E9" s="36">
        <v>0</v>
      </c>
      <c r="F9" s="36">
        <f>B9*E9</f>
        <v>0</v>
      </c>
      <c r="G9" s="37">
        <f t="shared" ref="G9:G15" si="0">B9*D9*E9</f>
        <v>0</v>
      </c>
      <c r="H9" s="32" t="s">
        <v>15</v>
      </c>
      <c r="I9" s="33"/>
    </row>
    <row r="10" spans="1:13" ht="15.75" x14ac:dyDescent="0.25">
      <c r="A10" s="28"/>
      <c r="B10" s="34">
        <v>1</v>
      </c>
      <c r="C10" s="67">
        <v>3613482916</v>
      </c>
      <c r="D10" s="35">
        <v>12</v>
      </c>
      <c r="E10" s="36">
        <v>0</v>
      </c>
      <c r="F10" s="36">
        <f t="shared" ref="F10:F16" si="1">B10*E10</f>
        <v>0</v>
      </c>
      <c r="G10" s="37">
        <f t="shared" si="0"/>
        <v>0</v>
      </c>
      <c r="H10" s="37">
        <v>0</v>
      </c>
      <c r="I10" s="33"/>
    </row>
    <row r="11" spans="1:13" ht="15.75" x14ac:dyDescent="0.25">
      <c r="A11" s="28"/>
      <c r="B11" s="34">
        <v>1</v>
      </c>
      <c r="C11" s="67">
        <v>3613482767</v>
      </c>
      <c r="D11" s="35">
        <v>12</v>
      </c>
      <c r="E11" s="36">
        <v>0</v>
      </c>
      <c r="F11" s="36">
        <f t="shared" si="1"/>
        <v>0</v>
      </c>
      <c r="G11" s="37">
        <f t="shared" si="0"/>
        <v>0</v>
      </c>
      <c r="H11" s="37">
        <v>0</v>
      </c>
      <c r="I11" s="33"/>
      <c r="M11" s="39"/>
    </row>
    <row r="12" spans="1:13" x14ac:dyDescent="0.25">
      <c r="A12" s="28"/>
      <c r="B12" s="34">
        <v>3</v>
      </c>
      <c r="C12" s="68" t="s">
        <v>29</v>
      </c>
      <c r="D12" s="35">
        <v>12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  <c r="I12" s="33"/>
    </row>
    <row r="13" spans="1:13" x14ac:dyDescent="0.25">
      <c r="A13" s="40"/>
      <c r="B13" s="34">
        <v>3</v>
      </c>
      <c r="C13" s="68" t="s">
        <v>30</v>
      </c>
      <c r="D13" s="35">
        <v>12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  <c r="I13" s="33"/>
    </row>
    <row r="14" spans="1:13" s="42" customFormat="1" x14ac:dyDescent="0.25">
      <c r="A14" s="28"/>
      <c r="B14" s="34">
        <v>3</v>
      </c>
      <c r="C14" s="68" t="s">
        <v>31</v>
      </c>
      <c r="D14" s="35">
        <v>12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  <c r="I14" s="41"/>
    </row>
    <row r="15" spans="1:13" ht="30" x14ac:dyDescent="0.25">
      <c r="A15" s="28"/>
      <c r="B15" s="34">
        <v>3</v>
      </c>
      <c r="C15" s="69" t="s">
        <v>32</v>
      </c>
      <c r="D15" s="35">
        <v>12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  <c r="I15" s="33"/>
    </row>
    <row r="16" spans="1:13" ht="30.75" thickBot="1" x14ac:dyDescent="0.3">
      <c r="A16" s="28"/>
      <c r="B16" s="34">
        <v>3</v>
      </c>
      <c r="C16" s="69" t="s">
        <v>33</v>
      </c>
      <c r="D16" s="35">
        <v>12</v>
      </c>
      <c r="E16" s="36">
        <v>0</v>
      </c>
      <c r="F16" s="36">
        <f t="shared" si="1"/>
        <v>0</v>
      </c>
      <c r="G16" s="37">
        <f>B16*D16*E16</f>
        <v>0</v>
      </c>
      <c r="H16" s="37">
        <v>0</v>
      </c>
      <c r="I16" s="33"/>
      <c r="K16" s="42"/>
    </row>
    <row r="17" spans="1:11" ht="15.75" thickBot="1" x14ac:dyDescent="0.3">
      <c r="A17" s="28"/>
      <c r="B17" s="43" t="s">
        <v>16</v>
      </c>
      <c r="C17" s="44"/>
      <c r="D17" s="45"/>
      <c r="E17" s="46">
        <f>SUM(E10:E16)</f>
        <v>0</v>
      </c>
      <c r="F17" s="46">
        <f>SUM(F10:F16)</f>
        <v>0</v>
      </c>
      <c r="G17" s="47">
        <f>SUM(G9:G16)</f>
        <v>0</v>
      </c>
      <c r="H17" s="47">
        <f>SUM(H10:H16)</f>
        <v>0</v>
      </c>
      <c r="I17" s="33"/>
    </row>
    <row r="18" spans="1:11" x14ac:dyDescent="0.25">
      <c r="A18" s="28"/>
      <c r="B18" s="48"/>
      <c r="C18" s="49"/>
      <c r="D18" s="50"/>
      <c r="E18" s="51"/>
      <c r="F18" s="51"/>
      <c r="G18" s="38"/>
      <c r="H18" s="38"/>
      <c r="I18" s="33"/>
    </row>
    <row r="19" spans="1:11" x14ac:dyDescent="0.25">
      <c r="A19" s="28"/>
      <c r="B19" s="48"/>
      <c r="C19" s="49"/>
      <c r="D19" s="50"/>
      <c r="E19" s="51"/>
      <c r="F19" s="51"/>
      <c r="G19" s="38"/>
      <c r="H19" s="38"/>
      <c r="I19" s="33"/>
    </row>
    <row r="20" spans="1:11" x14ac:dyDescent="0.25">
      <c r="A20" s="28"/>
      <c r="B20" s="52"/>
      <c r="C20" s="52"/>
      <c r="D20" s="52"/>
      <c r="E20" s="53"/>
      <c r="F20" s="53"/>
      <c r="G20" s="53"/>
      <c r="H20" s="54"/>
      <c r="I20" s="33"/>
    </row>
    <row r="21" spans="1:11" x14ac:dyDescent="0.25">
      <c r="A21" s="28"/>
      <c r="B21" s="83" t="s">
        <v>17</v>
      </c>
      <c r="C21" s="84"/>
      <c r="D21" s="84"/>
      <c r="E21" s="85"/>
      <c r="F21" s="66"/>
      <c r="G21" s="55">
        <f>G17</f>
        <v>0</v>
      </c>
      <c r="H21" s="55"/>
      <c r="I21" s="33"/>
    </row>
    <row r="22" spans="1:11" x14ac:dyDescent="0.25">
      <c r="A22" s="28"/>
      <c r="E22" s="17" t="s">
        <v>23</v>
      </c>
      <c r="G22" s="17">
        <f>H17</f>
        <v>0</v>
      </c>
      <c r="H22" s="56"/>
      <c r="I22" s="33"/>
    </row>
    <row r="23" spans="1:11" x14ac:dyDescent="0.25">
      <c r="E23" s="17" t="s">
        <v>24</v>
      </c>
      <c r="G23" s="17">
        <f>G21+G22</f>
        <v>0</v>
      </c>
      <c r="K23" s="57"/>
    </row>
    <row r="24" spans="1:11" x14ac:dyDescent="0.25">
      <c r="K24" s="58"/>
    </row>
    <row r="25" spans="1:11" x14ac:dyDescent="0.25">
      <c r="A25" s="28"/>
    </row>
    <row r="26" spans="1:11" x14ac:dyDescent="0.25">
      <c r="A26" s="28"/>
    </row>
    <row r="31" spans="1:11" x14ac:dyDescent="0.25">
      <c r="A31" s="28"/>
      <c r="K31" s="42"/>
    </row>
    <row r="32" spans="1:11" x14ac:dyDescent="0.25">
      <c r="A32" s="28"/>
      <c r="K32" s="42"/>
    </row>
    <row r="33" spans="1:11" x14ac:dyDescent="0.25">
      <c r="A33" s="28"/>
      <c r="K33" s="42"/>
    </row>
    <row r="38" spans="1:11" x14ac:dyDescent="0.25">
      <c r="A38" s="28"/>
    </row>
    <row r="39" spans="1:11" x14ac:dyDescent="0.25">
      <c r="A39" s="28"/>
    </row>
    <row r="40" spans="1:11" x14ac:dyDescent="0.25">
      <c r="A40" s="28"/>
    </row>
    <row r="42" spans="1:11" x14ac:dyDescent="0.25">
      <c r="A42" s="39"/>
    </row>
    <row r="44" spans="1:11" x14ac:dyDescent="0.25">
      <c r="A44" s="39"/>
    </row>
    <row r="58" spans="3:3" ht="18.75" x14ac:dyDescent="0.3">
      <c r="C58" s="16" t="s">
        <v>0</v>
      </c>
    </row>
  </sheetData>
  <mergeCells count="7">
    <mergeCell ref="B21:E21"/>
    <mergeCell ref="B2:G2"/>
    <mergeCell ref="B3:G3"/>
    <mergeCell ref="B4:G4"/>
    <mergeCell ref="B5:C5"/>
    <mergeCell ref="D5:G5"/>
    <mergeCell ref="B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E49D-5376-4D27-B6EC-80EF3885E445}">
  <dimension ref="A1:M58"/>
  <sheetViews>
    <sheetView workbookViewId="0">
      <selection activeCell="E17" sqref="E17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4.7109375" style="15" customWidth="1"/>
    <col min="10" max="10" width="12.7109375" style="15" bestFit="1" customWidth="1"/>
    <col min="11" max="12" width="9.140625" style="15"/>
    <col min="13" max="13" width="15.7109375" style="15" customWidth="1"/>
    <col min="14" max="16384" width="9.140625" style="15"/>
  </cols>
  <sheetData>
    <row r="1" spans="1:13" ht="18.75" x14ac:dyDescent="0.3">
      <c r="C1" s="16" t="s">
        <v>0</v>
      </c>
    </row>
    <row r="2" spans="1:13" ht="24" x14ac:dyDescent="0.4">
      <c r="A2" s="18"/>
      <c r="B2" s="86" t="s">
        <v>35</v>
      </c>
      <c r="C2" s="87"/>
      <c r="D2" s="87"/>
      <c r="E2" s="87"/>
      <c r="F2" s="87"/>
      <c r="G2" s="88"/>
      <c r="H2" s="61"/>
    </row>
    <row r="3" spans="1:13" ht="18.75" x14ac:dyDescent="0.3">
      <c r="A3" s="18"/>
      <c r="B3" s="89" t="s">
        <v>41</v>
      </c>
      <c r="C3" s="90"/>
      <c r="D3" s="90"/>
      <c r="E3" s="90"/>
      <c r="F3" s="90"/>
      <c r="G3" s="91"/>
      <c r="H3" s="62"/>
    </row>
    <row r="4" spans="1:13" ht="15.75" hidden="1" customHeight="1" x14ac:dyDescent="0.25">
      <c r="A4" s="18"/>
      <c r="B4" s="92" t="str">
        <f>[1]Summary!C7</f>
        <v>FFP</v>
      </c>
      <c r="C4" s="92"/>
      <c r="D4" s="92"/>
      <c r="E4" s="92"/>
      <c r="F4" s="92"/>
      <c r="G4" s="93"/>
      <c r="H4" s="63"/>
    </row>
    <row r="5" spans="1:13" ht="15.75" hidden="1" customHeight="1" x14ac:dyDescent="0.25">
      <c r="A5" s="18"/>
      <c r="B5" s="94" t="s">
        <v>9</v>
      </c>
      <c r="C5" s="94"/>
      <c r="D5" s="95" t="e">
        <f>FY_Total</f>
        <v>#REF!</v>
      </c>
      <c r="E5" s="95"/>
      <c r="F5" s="95"/>
      <c r="G5" s="96"/>
      <c r="H5" s="64"/>
    </row>
    <row r="6" spans="1:13" ht="24" hidden="1" customHeight="1" x14ac:dyDescent="0.4">
      <c r="A6" s="23"/>
      <c r="B6" s="25"/>
      <c r="C6" s="25"/>
      <c r="D6" s="25"/>
      <c r="E6" s="26"/>
      <c r="F6" s="26"/>
      <c r="G6" s="27"/>
      <c r="H6" s="65"/>
    </row>
    <row r="7" spans="1:13" ht="18.75" hidden="1" customHeight="1" x14ac:dyDescent="0.3">
      <c r="A7" s="25"/>
      <c r="B7" s="80" t="s">
        <v>10</v>
      </c>
      <c r="C7" s="81"/>
      <c r="D7" s="81"/>
      <c r="E7" s="81"/>
      <c r="F7" s="81"/>
      <c r="G7" s="82"/>
      <c r="H7" s="27"/>
    </row>
    <row r="8" spans="1:13" x14ac:dyDescent="0.25">
      <c r="A8" s="28"/>
      <c r="B8" s="30" t="s">
        <v>11</v>
      </c>
      <c r="C8" s="31" t="s">
        <v>12</v>
      </c>
      <c r="D8" s="31" t="s">
        <v>13</v>
      </c>
      <c r="E8" s="32" t="s">
        <v>14</v>
      </c>
      <c r="F8" s="32" t="s">
        <v>25</v>
      </c>
      <c r="G8" s="32" t="s">
        <v>15</v>
      </c>
      <c r="H8" s="60" t="s">
        <v>22</v>
      </c>
    </row>
    <row r="9" spans="1:13" ht="15.75" x14ac:dyDescent="0.25">
      <c r="A9" s="28"/>
      <c r="B9" s="34">
        <v>1</v>
      </c>
      <c r="C9" s="67">
        <v>3613482038</v>
      </c>
      <c r="D9" s="35">
        <v>12</v>
      </c>
      <c r="E9" s="36">
        <v>0</v>
      </c>
      <c r="F9" s="36">
        <f>B9*E9</f>
        <v>0</v>
      </c>
      <c r="G9" s="37">
        <f t="shared" ref="G9:G15" si="0">B9*D9*E9</f>
        <v>0</v>
      </c>
      <c r="H9" s="32" t="s">
        <v>15</v>
      </c>
      <c r="I9" s="33"/>
    </row>
    <row r="10" spans="1:13" ht="15.75" x14ac:dyDescent="0.25">
      <c r="A10" s="28"/>
      <c r="B10" s="34">
        <v>1</v>
      </c>
      <c r="C10" s="67">
        <v>3613482916</v>
      </c>
      <c r="D10" s="35">
        <v>12</v>
      </c>
      <c r="E10" s="36">
        <v>0</v>
      </c>
      <c r="F10" s="36">
        <f t="shared" ref="F10:F16" si="1">B10*E10</f>
        <v>0</v>
      </c>
      <c r="G10" s="37">
        <f t="shared" si="0"/>
        <v>0</v>
      </c>
      <c r="H10" s="37">
        <v>0</v>
      </c>
      <c r="I10" s="33"/>
    </row>
    <row r="11" spans="1:13" ht="15.75" x14ac:dyDescent="0.25">
      <c r="A11" s="28"/>
      <c r="B11" s="34">
        <v>1</v>
      </c>
      <c r="C11" s="67">
        <v>3613482767</v>
      </c>
      <c r="D11" s="35">
        <v>12</v>
      </c>
      <c r="E11" s="36">
        <v>0</v>
      </c>
      <c r="F11" s="36">
        <f t="shared" si="1"/>
        <v>0</v>
      </c>
      <c r="G11" s="37">
        <f t="shared" si="0"/>
        <v>0</v>
      </c>
      <c r="H11" s="37">
        <v>0</v>
      </c>
      <c r="I11" s="33"/>
      <c r="M11" s="39"/>
    </row>
    <row r="12" spans="1:13" x14ac:dyDescent="0.25">
      <c r="A12" s="28"/>
      <c r="B12" s="34">
        <v>3</v>
      </c>
      <c r="C12" s="68" t="s">
        <v>29</v>
      </c>
      <c r="D12" s="35">
        <v>12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  <c r="I12" s="33"/>
    </row>
    <row r="13" spans="1:13" x14ac:dyDescent="0.25">
      <c r="A13" s="40"/>
      <c r="B13" s="34">
        <v>3</v>
      </c>
      <c r="C13" s="68" t="s">
        <v>30</v>
      </c>
      <c r="D13" s="35">
        <v>12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  <c r="I13" s="33"/>
    </row>
    <row r="14" spans="1:13" s="42" customFormat="1" x14ac:dyDescent="0.25">
      <c r="A14" s="28"/>
      <c r="B14" s="34">
        <v>3</v>
      </c>
      <c r="C14" s="68" t="s">
        <v>31</v>
      </c>
      <c r="D14" s="35">
        <v>12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  <c r="I14" s="41"/>
    </row>
    <row r="15" spans="1:13" ht="30" x14ac:dyDescent="0.25">
      <c r="A15" s="28"/>
      <c r="B15" s="34">
        <v>3</v>
      </c>
      <c r="C15" s="69" t="s">
        <v>32</v>
      </c>
      <c r="D15" s="35">
        <v>12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  <c r="I15" s="33"/>
    </row>
    <row r="16" spans="1:13" ht="30.75" thickBot="1" x14ac:dyDescent="0.3">
      <c r="A16" s="28"/>
      <c r="B16" s="34">
        <v>3</v>
      </c>
      <c r="C16" s="69" t="s">
        <v>33</v>
      </c>
      <c r="D16" s="35">
        <v>12</v>
      </c>
      <c r="E16" s="36">
        <v>0</v>
      </c>
      <c r="F16" s="36">
        <f t="shared" si="1"/>
        <v>0</v>
      </c>
      <c r="G16" s="37">
        <f>B16*D16*E16</f>
        <v>0</v>
      </c>
      <c r="H16" s="37">
        <v>0</v>
      </c>
      <c r="I16" s="33"/>
      <c r="K16" s="42"/>
    </row>
    <row r="17" spans="1:11" ht="15.75" thickBot="1" x14ac:dyDescent="0.3">
      <c r="A17" s="28"/>
      <c r="B17" s="43" t="s">
        <v>16</v>
      </c>
      <c r="C17" s="44"/>
      <c r="D17" s="45"/>
      <c r="E17" s="46">
        <f>SUM(E10:E16)</f>
        <v>0</v>
      </c>
      <c r="F17" s="46">
        <f>SUM(F10:F16)</f>
        <v>0</v>
      </c>
      <c r="G17" s="47">
        <f>SUM(G9:G16)</f>
        <v>0</v>
      </c>
      <c r="H17" s="47">
        <f>SUM(H10:H16)</f>
        <v>0</v>
      </c>
      <c r="I17" s="33"/>
    </row>
    <row r="18" spans="1:11" x14ac:dyDescent="0.25">
      <c r="A18" s="28"/>
      <c r="B18" s="48"/>
      <c r="C18" s="49"/>
      <c r="D18" s="50"/>
      <c r="E18" s="51"/>
      <c r="F18" s="51"/>
      <c r="G18" s="38"/>
      <c r="H18" s="38"/>
      <c r="I18" s="33"/>
    </row>
    <row r="19" spans="1:11" x14ac:dyDescent="0.25">
      <c r="A19" s="28"/>
      <c r="B19" s="48"/>
      <c r="C19" s="49"/>
      <c r="D19" s="50"/>
      <c r="E19" s="51"/>
      <c r="F19" s="51"/>
      <c r="G19" s="38"/>
      <c r="H19" s="38"/>
      <c r="I19" s="33"/>
    </row>
    <row r="20" spans="1:11" x14ac:dyDescent="0.25">
      <c r="A20" s="28"/>
      <c r="B20" s="52"/>
      <c r="C20" s="52"/>
      <c r="D20" s="52"/>
      <c r="E20" s="53"/>
      <c r="F20" s="53"/>
      <c r="G20" s="53"/>
      <c r="H20" s="54"/>
      <c r="I20" s="33"/>
    </row>
    <row r="21" spans="1:11" x14ac:dyDescent="0.25">
      <c r="A21" s="28"/>
      <c r="B21" s="83" t="s">
        <v>17</v>
      </c>
      <c r="C21" s="84"/>
      <c r="D21" s="84"/>
      <c r="E21" s="85"/>
      <c r="F21" s="66"/>
      <c r="G21" s="55">
        <f>G17</f>
        <v>0</v>
      </c>
      <c r="H21" s="55"/>
      <c r="I21" s="33"/>
    </row>
    <row r="22" spans="1:11" x14ac:dyDescent="0.25">
      <c r="A22" s="28"/>
      <c r="E22" s="17" t="s">
        <v>23</v>
      </c>
      <c r="G22" s="17">
        <f>H17</f>
        <v>0</v>
      </c>
      <c r="H22" s="56"/>
      <c r="I22" s="33"/>
    </row>
    <row r="23" spans="1:11" x14ac:dyDescent="0.25">
      <c r="E23" s="17" t="s">
        <v>24</v>
      </c>
      <c r="G23" s="17">
        <f>G21+G22</f>
        <v>0</v>
      </c>
      <c r="K23" s="57"/>
    </row>
    <row r="24" spans="1:11" x14ac:dyDescent="0.25">
      <c r="K24" s="58"/>
    </row>
    <row r="25" spans="1:11" x14ac:dyDescent="0.25">
      <c r="A25" s="28"/>
    </row>
    <row r="26" spans="1:11" x14ac:dyDescent="0.25">
      <c r="A26" s="28"/>
    </row>
    <row r="31" spans="1:11" x14ac:dyDescent="0.25">
      <c r="A31" s="28"/>
      <c r="K31" s="42"/>
    </row>
    <row r="32" spans="1:11" x14ac:dyDescent="0.25">
      <c r="A32" s="28"/>
      <c r="K32" s="42"/>
    </row>
    <row r="33" spans="1:11" x14ac:dyDescent="0.25">
      <c r="A33" s="28"/>
      <c r="K33" s="42"/>
    </row>
    <row r="38" spans="1:11" x14ac:dyDescent="0.25">
      <c r="A38" s="28"/>
    </row>
    <row r="39" spans="1:11" x14ac:dyDescent="0.25">
      <c r="A39" s="28"/>
    </row>
    <row r="40" spans="1:11" x14ac:dyDescent="0.25">
      <c r="A40" s="28"/>
    </row>
    <row r="42" spans="1:11" x14ac:dyDescent="0.25">
      <c r="A42" s="39"/>
    </row>
    <row r="44" spans="1:11" x14ac:dyDescent="0.25">
      <c r="A44" s="39"/>
    </row>
    <row r="58" spans="3:3" ht="18.75" x14ac:dyDescent="0.3">
      <c r="C58" s="16" t="s">
        <v>0</v>
      </c>
    </row>
  </sheetData>
  <mergeCells count="7">
    <mergeCell ref="B21:E21"/>
    <mergeCell ref="B2:G2"/>
    <mergeCell ref="B3:G3"/>
    <mergeCell ref="B4:G4"/>
    <mergeCell ref="B5:C5"/>
    <mergeCell ref="D5:G5"/>
    <mergeCell ref="B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106C-F5B9-425A-956A-AEA3A5162D25}">
  <dimension ref="A1:L59"/>
  <sheetViews>
    <sheetView topLeftCell="A5" workbookViewId="0">
      <selection activeCell="I14" sqref="I14"/>
    </sheetView>
  </sheetViews>
  <sheetFormatPr defaultColWidth="9.140625" defaultRowHeight="15" x14ac:dyDescent="0.25"/>
  <cols>
    <col min="1" max="1" width="4.28515625" style="15" customWidth="1"/>
    <col min="2" max="2" width="10.5703125" style="15" customWidth="1"/>
    <col min="3" max="3" width="30.7109375" style="15" customWidth="1"/>
    <col min="4" max="4" width="16.7109375" style="15" customWidth="1"/>
    <col min="5" max="8" width="16.7109375" style="17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12" ht="18.75" x14ac:dyDescent="0.3">
      <c r="C1" s="16" t="s">
        <v>0</v>
      </c>
    </row>
    <row r="2" spans="1:12" ht="24" x14ac:dyDescent="0.4">
      <c r="A2" s="18"/>
      <c r="B2" s="86" t="s">
        <v>21</v>
      </c>
      <c r="C2" s="87"/>
      <c r="D2" s="87"/>
      <c r="E2" s="87"/>
      <c r="F2" s="87"/>
      <c r="G2" s="88"/>
      <c r="H2" s="19"/>
    </row>
    <row r="3" spans="1:12" ht="18.75" x14ac:dyDescent="0.3">
      <c r="A3" s="18"/>
      <c r="B3" s="89" t="s">
        <v>42</v>
      </c>
      <c r="C3" s="90"/>
      <c r="D3" s="90"/>
      <c r="E3" s="90"/>
      <c r="F3" s="90"/>
      <c r="G3" s="91"/>
      <c r="H3" s="20"/>
    </row>
    <row r="4" spans="1:12" ht="15.75" x14ac:dyDescent="0.25">
      <c r="A4" s="18"/>
      <c r="B4" s="97">
        <f>[1]Summary!C6</f>
        <v>0</v>
      </c>
      <c r="C4" s="98"/>
      <c r="D4" s="98"/>
      <c r="E4" s="98"/>
      <c r="F4" s="98"/>
      <c r="G4" s="99"/>
      <c r="H4" s="21"/>
    </row>
    <row r="5" spans="1:12" ht="15.75" x14ac:dyDescent="0.25">
      <c r="A5" s="18"/>
      <c r="B5" s="92" t="str">
        <f>[1]Summary!C7</f>
        <v>FFP</v>
      </c>
      <c r="C5" s="92"/>
      <c r="D5" s="92"/>
      <c r="E5" s="92"/>
      <c r="F5" s="92"/>
      <c r="G5" s="93"/>
      <c r="H5" s="22"/>
    </row>
    <row r="6" spans="1:12" ht="24" x14ac:dyDescent="0.4">
      <c r="A6" s="23"/>
      <c r="B6" s="94" t="s">
        <v>9</v>
      </c>
      <c r="C6" s="94"/>
      <c r="D6" s="95">
        <f>G22</f>
        <v>0</v>
      </c>
      <c r="E6" s="95"/>
      <c r="F6" s="95"/>
      <c r="G6" s="96"/>
      <c r="H6" s="24"/>
    </row>
    <row r="7" spans="1:12" ht="18.75" x14ac:dyDescent="0.3">
      <c r="A7" s="25"/>
      <c r="B7" s="25"/>
      <c r="C7" s="25"/>
      <c r="D7" s="25"/>
      <c r="E7" s="26"/>
      <c r="F7" s="26"/>
      <c r="G7" s="27"/>
      <c r="H7" s="27"/>
    </row>
    <row r="8" spans="1:12" x14ac:dyDescent="0.25">
      <c r="A8" s="28"/>
      <c r="B8" s="80" t="s">
        <v>10</v>
      </c>
      <c r="C8" s="81"/>
      <c r="D8" s="81"/>
      <c r="E8" s="81"/>
      <c r="F8" s="81"/>
      <c r="G8" s="82"/>
      <c r="H8" s="29" t="s">
        <v>22</v>
      </c>
    </row>
    <row r="9" spans="1:12" x14ac:dyDescent="0.25">
      <c r="A9" s="28"/>
      <c r="B9" s="30" t="s">
        <v>11</v>
      </c>
      <c r="C9" s="31" t="s">
        <v>12</v>
      </c>
      <c r="D9" s="31" t="s">
        <v>13</v>
      </c>
      <c r="E9" s="32" t="s">
        <v>14</v>
      </c>
      <c r="F9" s="32" t="s">
        <v>25</v>
      </c>
      <c r="G9" s="32" t="s">
        <v>15</v>
      </c>
      <c r="H9" s="32" t="s">
        <v>15</v>
      </c>
    </row>
    <row r="10" spans="1:12" ht="15.75" x14ac:dyDescent="0.25">
      <c r="A10" s="28"/>
      <c r="B10" s="34">
        <v>1</v>
      </c>
      <c r="C10" s="67">
        <v>3613482038</v>
      </c>
      <c r="D10" s="35">
        <v>6</v>
      </c>
      <c r="E10" s="36">
        <v>0</v>
      </c>
      <c r="F10" s="36">
        <f>B10*E10</f>
        <v>0</v>
      </c>
      <c r="G10" s="37">
        <f t="shared" ref="G10:G16" si="0">B10*D10*E10</f>
        <v>0</v>
      </c>
      <c r="H10" s="37">
        <v>0</v>
      </c>
    </row>
    <row r="11" spans="1:12" ht="15.75" x14ac:dyDescent="0.25">
      <c r="A11" s="28"/>
      <c r="B11" s="34">
        <v>1</v>
      </c>
      <c r="C11" s="67">
        <v>3613482916</v>
      </c>
      <c r="D11" s="35">
        <v>6</v>
      </c>
      <c r="E11" s="36">
        <v>0</v>
      </c>
      <c r="F11" s="36">
        <f t="shared" ref="F11:F17" si="1">B11*E11</f>
        <v>0</v>
      </c>
      <c r="G11" s="37">
        <f t="shared" si="0"/>
        <v>0</v>
      </c>
      <c r="H11" s="37">
        <v>0</v>
      </c>
      <c r="L11" s="39"/>
    </row>
    <row r="12" spans="1:12" ht="15.75" x14ac:dyDescent="0.25">
      <c r="A12" s="28"/>
      <c r="B12" s="34">
        <v>1</v>
      </c>
      <c r="C12" s="67">
        <v>3613482767</v>
      </c>
      <c r="D12" s="35">
        <v>6</v>
      </c>
      <c r="E12" s="36">
        <v>0</v>
      </c>
      <c r="F12" s="36">
        <f t="shared" si="1"/>
        <v>0</v>
      </c>
      <c r="G12" s="37">
        <f t="shared" si="0"/>
        <v>0</v>
      </c>
      <c r="H12" s="37">
        <v>0</v>
      </c>
    </row>
    <row r="13" spans="1:12" x14ac:dyDescent="0.25">
      <c r="A13" s="40"/>
      <c r="B13" s="34">
        <v>3</v>
      </c>
      <c r="C13" s="68" t="s">
        <v>29</v>
      </c>
      <c r="D13" s="35">
        <v>6</v>
      </c>
      <c r="E13" s="36">
        <v>0</v>
      </c>
      <c r="F13" s="36">
        <f t="shared" si="1"/>
        <v>0</v>
      </c>
      <c r="G13" s="37">
        <f t="shared" si="0"/>
        <v>0</v>
      </c>
      <c r="H13" s="37">
        <v>0</v>
      </c>
    </row>
    <row r="14" spans="1:12" s="42" customFormat="1" x14ac:dyDescent="0.25">
      <c r="A14" s="28"/>
      <c r="B14" s="34">
        <v>3</v>
      </c>
      <c r="C14" s="68" t="s">
        <v>30</v>
      </c>
      <c r="D14" s="35">
        <v>6</v>
      </c>
      <c r="E14" s="36">
        <v>0</v>
      </c>
      <c r="F14" s="36">
        <f t="shared" si="1"/>
        <v>0</v>
      </c>
      <c r="G14" s="37">
        <f t="shared" si="0"/>
        <v>0</v>
      </c>
      <c r="H14" s="37">
        <v>0</v>
      </c>
    </row>
    <row r="15" spans="1:12" x14ac:dyDescent="0.25">
      <c r="A15" s="28"/>
      <c r="B15" s="34">
        <v>3</v>
      </c>
      <c r="C15" s="68" t="s">
        <v>31</v>
      </c>
      <c r="D15" s="35">
        <v>6</v>
      </c>
      <c r="E15" s="36">
        <v>0</v>
      </c>
      <c r="F15" s="36">
        <f t="shared" si="1"/>
        <v>0</v>
      </c>
      <c r="G15" s="37">
        <f t="shared" si="0"/>
        <v>0</v>
      </c>
      <c r="H15" s="37">
        <v>0</v>
      </c>
    </row>
    <row r="16" spans="1:12" ht="30" x14ac:dyDescent="0.25">
      <c r="A16" s="28"/>
      <c r="B16" s="34">
        <v>3</v>
      </c>
      <c r="C16" s="69" t="s">
        <v>32</v>
      </c>
      <c r="D16" s="35">
        <v>6</v>
      </c>
      <c r="E16" s="36">
        <v>0</v>
      </c>
      <c r="F16" s="36">
        <f t="shared" si="1"/>
        <v>0</v>
      </c>
      <c r="G16" s="37">
        <f t="shared" si="0"/>
        <v>0</v>
      </c>
      <c r="H16" s="37">
        <v>0</v>
      </c>
      <c r="J16" s="42"/>
    </row>
    <row r="17" spans="1:10" ht="30.75" thickBot="1" x14ac:dyDescent="0.3">
      <c r="A17" s="28"/>
      <c r="B17" s="34">
        <v>3</v>
      </c>
      <c r="C17" s="69" t="s">
        <v>33</v>
      </c>
      <c r="D17" s="35">
        <v>6</v>
      </c>
      <c r="E17" s="36">
        <v>0</v>
      </c>
      <c r="F17" s="36">
        <f t="shared" si="1"/>
        <v>0</v>
      </c>
      <c r="G17" s="37">
        <f>B17*D17*E17</f>
        <v>0</v>
      </c>
      <c r="H17" s="37">
        <v>0</v>
      </c>
    </row>
    <row r="18" spans="1:10" ht="15.75" thickBot="1" x14ac:dyDescent="0.3">
      <c r="A18" s="28"/>
      <c r="B18" s="43" t="s">
        <v>16</v>
      </c>
      <c r="C18" s="44"/>
      <c r="D18" s="45"/>
      <c r="E18" s="46">
        <f>SUM(E10:E17)</f>
        <v>0</v>
      </c>
      <c r="F18" s="46">
        <f>SUM(F10:F17)</f>
        <v>0</v>
      </c>
      <c r="G18" s="47">
        <f>SUM(G10:G17)</f>
        <v>0</v>
      </c>
      <c r="H18" s="47">
        <f>SUM(H10:H17)</f>
        <v>0</v>
      </c>
    </row>
    <row r="19" spans="1:10" x14ac:dyDescent="0.25">
      <c r="A19" s="28"/>
      <c r="B19" s="48"/>
      <c r="C19" s="49"/>
      <c r="D19" s="50"/>
      <c r="E19" s="51"/>
      <c r="F19" s="51"/>
      <c r="G19" s="38"/>
      <c r="H19" s="38"/>
    </row>
    <row r="20" spans="1:10" x14ac:dyDescent="0.25">
      <c r="A20" s="28"/>
      <c r="B20" s="48"/>
      <c r="C20" s="49"/>
      <c r="D20" s="50"/>
      <c r="E20" s="51"/>
      <c r="F20" s="51"/>
      <c r="G20" s="38"/>
      <c r="H20" s="38"/>
    </row>
    <row r="21" spans="1:10" x14ac:dyDescent="0.25">
      <c r="A21" s="28"/>
      <c r="B21" s="52"/>
      <c r="C21" s="52"/>
      <c r="D21" s="52"/>
      <c r="E21" s="53"/>
      <c r="F21" s="53"/>
      <c r="G21" s="53"/>
      <c r="H21" s="54"/>
    </row>
    <row r="22" spans="1:10" x14ac:dyDescent="0.25">
      <c r="A22" s="28"/>
      <c r="B22" s="83" t="s">
        <v>17</v>
      </c>
      <c r="C22" s="84"/>
      <c r="D22" s="84"/>
      <c r="E22" s="85"/>
      <c r="F22" s="66"/>
      <c r="G22" s="55">
        <f>G18</f>
        <v>0</v>
      </c>
      <c r="H22" s="55"/>
    </row>
    <row r="23" spans="1:10" x14ac:dyDescent="0.25">
      <c r="A23" s="28"/>
      <c r="E23" s="17" t="s">
        <v>23</v>
      </c>
      <c r="G23" s="17">
        <f>H18</f>
        <v>0</v>
      </c>
      <c r="H23" s="56"/>
    </row>
    <row r="24" spans="1:10" x14ac:dyDescent="0.25">
      <c r="E24" s="17" t="s">
        <v>24</v>
      </c>
      <c r="G24" s="17">
        <f>G22+G23</f>
        <v>0</v>
      </c>
      <c r="J24" s="57"/>
    </row>
    <row r="25" spans="1:10" x14ac:dyDescent="0.25">
      <c r="J25" s="58"/>
    </row>
    <row r="26" spans="1:10" x14ac:dyDescent="0.25">
      <c r="A26" s="28"/>
    </row>
    <row r="27" spans="1:10" x14ac:dyDescent="0.25">
      <c r="A27" s="28"/>
    </row>
    <row r="32" spans="1:10" x14ac:dyDescent="0.25">
      <c r="A32" s="28"/>
      <c r="J32" s="42"/>
    </row>
    <row r="33" spans="1:10" x14ac:dyDescent="0.25">
      <c r="A33" s="28"/>
      <c r="J33" s="42"/>
    </row>
    <row r="34" spans="1:10" x14ac:dyDescent="0.25">
      <c r="A34" s="28"/>
      <c r="J34" s="42"/>
    </row>
    <row r="39" spans="1:10" x14ac:dyDescent="0.25">
      <c r="A39" s="28"/>
    </row>
    <row r="40" spans="1:10" x14ac:dyDescent="0.25">
      <c r="A40" s="28"/>
    </row>
    <row r="41" spans="1:10" x14ac:dyDescent="0.25">
      <c r="A41" s="28"/>
    </row>
    <row r="43" spans="1:10" x14ac:dyDescent="0.25">
      <c r="A43" s="39"/>
    </row>
    <row r="45" spans="1:10" x14ac:dyDescent="0.25">
      <c r="A45" s="39"/>
    </row>
    <row r="59" spans="3:3" ht="18.75" x14ac:dyDescent="0.3">
      <c r="C59" s="16" t="s">
        <v>0</v>
      </c>
    </row>
  </sheetData>
  <mergeCells count="8">
    <mergeCell ref="B8:G8"/>
    <mergeCell ref="B22:E22"/>
    <mergeCell ref="B2:G2"/>
    <mergeCell ref="B3:G3"/>
    <mergeCell ref="B4:G4"/>
    <mergeCell ref="B5:G5"/>
    <mergeCell ref="B6:C6"/>
    <mergeCell ref="D6:G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F962A91E4EA4EB4BBA8ADC187A3E2" ma:contentTypeVersion="1120" ma:contentTypeDescription="Create a new document." ma:contentTypeScope="" ma:versionID="3c93bc2271f9babe247f02611673d3c2">
  <xsd:schema xmlns:xsd="http://www.w3.org/2001/XMLSchema" xmlns:xs="http://www.w3.org/2001/XMLSchema" xmlns:p="http://schemas.microsoft.com/office/2006/metadata/properties" xmlns:ns1="http://schemas.microsoft.com/sharepoint/v3" xmlns:ns2="1b53dda8-0729-4086-afe2-0d6e0453e5c0" xmlns:ns3="99d952c5-4aeb-4450-9de6-852c25c04e62" targetNamespace="http://schemas.microsoft.com/office/2006/metadata/properties" ma:root="true" ma:fieldsID="e157ad9e279e98c636e5d230d41e8874" ns1:_="" ns2:_="" ns3:_="">
    <xsd:import namespace="http://schemas.microsoft.com/sharepoint/v3"/>
    <xsd:import namespace="1b53dda8-0729-4086-afe2-0d6e0453e5c0"/>
    <xsd:import namespace="99d952c5-4aeb-4450-9de6-852c25c04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3dda8-0729-4086-afe2-0d6e0453e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952c5-4aeb-4450-9de6-852c25c04e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d067e43-5f86-4622-ae74-8ed2cd33b2d7}" ma:internalName="TaxCatchAll" ma:showField="CatchAllData" ma:web="99d952c5-4aeb-4450-9de6-852c25c04e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3dda8-0729-4086-afe2-0d6e0453e5c0" xsi:nil="true"/>
    <_ip_UnifiedCompliancePolicyUIAction xmlns="http://schemas.microsoft.com/sharepoint/v3" xsi:nil="true"/>
    <TaxCatchAll xmlns="99d952c5-4aeb-4450-9de6-852c25c04e62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32AEAD-09AC-4B52-B2FF-3430914BB43C}"/>
</file>

<file path=customXml/itemProps2.xml><?xml version="1.0" encoding="utf-8"?>
<ds:datastoreItem xmlns:ds="http://schemas.openxmlformats.org/officeDocument/2006/customXml" ds:itemID="{00C3565F-EC28-4A38-A448-2846F4A751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FCB98-E073-48A7-B99A-BB1178CE91C9}">
  <ds:schemaRefs>
    <ds:schemaRef ds:uri="http://schemas.microsoft.com/office/2006/metadata/properties"/>
    <ds:schemaRef ds:uri="http://schemas.microsoft.com/office/infopath/2007/PartnerControls"/>
    <ds:schemaRef ds:uri="1b53dda8-0729-4086-afe2-0d6e0453e5c0"/>
    <ds:schemaRef ds:uri="http://schemas.microsoft.com/sharepoint/v3"/>
    <ds:schemaRef ds:uri="99d952c5-4aeb-4450-9de6-852c25c04e62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Summary</vt:lpstr>
      <vt:lpstr>BASE</vt:lpstr>
      <vt:lpstr>OPT 1</vt:lpstr>
      <vt:lpstr>OPT 2</vt:lpstr>
      <vt:lpstr>OPT 3</vt:lpstr>
      <vt:lpstr>OPT 4</vt:lpstr>
      <vt:lpstr>52.217-8</vt:lpstr>
      <vt:lpstr>BASE!FY_Total</vt:lpstr>
      <vt:lpstr>'OPT 1'!FY_Total</vt:lpstr>
      <vt:lpstr>'OPT 2'!FY_Total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Joas, Robert P CIV USN NCTAMS LANT NOR VA (USA)</dc:creator>
  <cp:lastModifiedBy>Joas, Robert P CIV USN NCTAMS LANT NOR VA (USA)</cp:lastModifiedBy>
  <dcterms:created xsi:type="dcterms:W3CDTF">2026-02-25T16:10:42Z</dcterms:created>
  <dcterms:modified xsi:type="dcterms:W3CDTF">2026-03-06T18:13:45Z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0x010100F0EF962A91E4EA4EB4BBA8ADC187A3E2</vt:lpwstr>
  </property>
</Properties>
</file>