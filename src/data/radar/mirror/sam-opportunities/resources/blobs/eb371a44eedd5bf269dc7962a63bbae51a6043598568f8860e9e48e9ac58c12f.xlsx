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armyeitaas-my.sharepoint-mil.us/personal/bella_e_lucio_mil_army_mil/Documents/Desktop/0. 1 - DEERS CONTRACT/CASO/0. PWS/Technical Exibits/"/>
    </mc:Choice>
  </mc:AlternateContent>
  <xr:revisionPtr revIDLastSave="9" documentId="8_{990A8DEC-1D56-42D3-B4DF-FA37288DE54A}" xr6:coauthVersionLast="47" xr6:coauthVersionMax="47" xr10:uidLastSave="{A2709FE2-D94F-4A59-B1EA-EED2DF05F3B7}"/>
  <bookViews>
    <workbookView xWindow="57480" yWindow="60" windowWidth="29040" windowHeight="15540" activeTab="2" xr2:uid="{00000000-000D-0000-FFFF-FFFF00000000}"/>
  </bookViews>
  <sheets>
    <sheet name="Exhibit 3" sheetId="1" r:id="rId1"/>
    <sheet name="Exhibit 4" sheetId="2" r:id="rId2"/>
    <sheet name="Exhibit 5" sheetId="3" r:id="rId3"/>
  </sheets>
  <definedNames>
    <definedName name="_xlnm._FilterDatabase" localSheetId="0" hidden="1">'Exhibit 3'!$A$2:$H$2</definedName>
    <definedName name="_xlnm._FilterDatabase" localSheetId="1" hidden="1">'Exhibit 4'!$A$2:$F$2</definedName>
    <definedName name="_xlnm._FilterDatabase" localSheetId="2" hidden="1">'Exhibit 5'!$A$2:$C$2</definedName>
    <definedName name="_xlnm.Print_Area" localSheetId="0">'Exhibit 3'!$A$2:$H$35</definedName>
    <definedName name="_xlnm.Print_Area" localSheetId="1">'Exhibit 4'!$A$2:$F$34</definedName>
    <definedName name="_xlnm.Print_Area" localSheetId="2">'Exhibit 5'!$A$2:$C$34</definedName>
    <definedName name="_xlnm.Print_Titles" localSheetId="0">'Exhibit 3'!$2:$2</definedName>
    <definedName name="_xlnm.Print_Titles" localSheetId="1">'Exhibit 4'!$2:$2</definedName>
    <definedName name="_xlnm.Print_Titles" localSheetId="2">'Exhibit 5'!$2:$2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3" l="1"/>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5" i="3"/>
  <c r="F4" i="3"/>
  <c r="F3" i="3"/>
  <c r="E36" i="3"/>
  <c r="C36" i="3"/>
  <c r="D36" i="3"/>
  <c r="G36" i="1"/>
</calcChain>
</file>

<file path=xl/sharedStrings.xml><?xml version="1.0" encoding="utf-8"?>
<sst xmlns="http://schemas.openxmlformats.org/spreadsheetml/2006/main" count="396" uniqueCount="187">
  <si>
    <t>Facility Sites and Hours of Operations</t>
  </si>
  <si>
    <r>
      <rPr>
        <b/>
        <sz val="11"/>
        <rFont val="Arial"/>
        <family val="2"/>
      </rPr>
      <t>Site
Number</t>
    </r>
  </si>
  <si>
    <t>Name of Site</t>
  </si>
  <si>
    <t>Address</t>
  </si>
  <si>
    <t>City</t>
  </si>
  <si>
    <t>State</t>
  </si>
  <si>
    <t>Site ID</t>
  </si>
  <si>
    <t>FTE</t>
  </si>
  <si>
    <r>
      <rPr>
        <b/>
        <sz val="11"/>
        <rFont val="Arial"/>
        <family val="2"/>
      </rPr>
      <t>HOURS OF
OPERATION</t>
    </r>
  </si>
  <si>
    <t>ID Card Facility, 81st RD, Birmingham, AL</t>
  </si>
  <si>
    <t>1400 Golden Acorn Drive</t>
  </si>
  <si>
    <t>Hoover</t>
  </si>
  <si>
    <t>AL</t>
  </si>
  <si>
    <t>ID Card Facility, American Samoa Army Reserve Center</t>
  </si>
  <si>
    <t>PO Box 2508 Pago Pago, 96799</t>
  </si>
  <si>
    <t>Pago Pago</t>
  </si>
  <si>
    <t>AS</t>
  </si>
  <si>
    <t>ID Card Facility, 63rd RD, Los Alamitos, CA</t>
  </si>
  <si>
    <t>11200 Lexington Dr, Bldg 244</t>
  </si>
  <si>
    <t>Los Alamitos</t>
  </si>
  <si>
    <t>CA</t>
  </si>
  <si>
    <t>0700-1530 M-F</t>
  </si>
  <si>
    <t>Los Angeles</t>
  </si>
  <si>
    <t>ID Card Facility, 63rd RD, Moffet Field, CA</t>
  </si>
  <si>
    <t>685 Venon Ave</t>
  </si>
  <si>
    <t>Mountain View</t>
  </si>
  <si>
    <t>0800-1600 M-F</t>
  </si>
  <si>
    <t>ID Card Facility, 5502nd USAH, Aurora, CO</t>
  </si>
  <si>
    <t>12963 East 23d Ave.</t>
  </si>
  <si>
    <t>Aurora</t>
  </si>
  <si>
    <t>CO</t>
  </si>
  <si>
    <t>0730-1500 M-F</t>
  </si>
  <si>
    <t>3701 Corrine Drive</t>
  </si>
  <si>
    <t>Orlando</t>
  </si>
  <si>
    <t>FL</t>
  </si>
  <si>
    <t>ID Card Facility, 335th Signal Command, Fort Gillem, GA</t>
  </si>
  <si>
    <t>Kane Hall Bldg 714 Rm 104</t>
  </si>
  <si>
    <t>Fort Gillem</t>
  </si>
  <si>
    <t>GA</t>
  </si>
  <si>
    <t>USAR Daviel K. Inouye Complex, Ft Shafter Flats, HI</t>
  </si>
  <si>
    <t>1557 Suehiro Road</t>
  </si>
  <si>
    <t>HI</t>
  </si>
  <si>
    <t>ID Card Facility, 416th TEC, Darien, IL</t>
  </si>
  <si>
    <t>10 South 100 S Frontage Road</t>
  </si>
  <si>
    <t>Darien</t>
  </si>
  <si>
    <t>IL</t>
  </si>
  <si>
    <t>0800-1500 M-F</t>
  </si>
  <si>
    <t>1515 West Central Rd. Bldg. 203</t>
  </si>
  <si>
    <t>Arlington Hts</t>
  </si>
  <si>
    <t>0800-1530 M-F</t>
  </si>
  <si>
    <t>ID Card Facility, 308th Civil Affairs BDE, Forest Park, IL</t>
  </si>
  <si>
    <t>Devens</t>
  </si>
  <si>
    <t>MA</t>
  </si>
  <si>
    <t>ID Card Facility, HQs, 1st Bde. 84th, Livonia, MI</t>
  </si>
  <si>
    <t>34451 Schoolcraft Rd</t>
  </si>
  <si>
    <t>Livonia</t>
  </si>
  <si>
    <t>MI</t>
  </si>
  <si>
    <t>1265 Porters Chapel Rd.</t>
  </si>
  <si>
    <t>Vicksburg</t>
  </si>
  <si>
    <t>MS</t>
  </si>
  <si>
    <t>ID Card Facility, 81st RD, Charlotte (108th Tng Cmd)</t>
  </si>
  <si>
    <t>1330 Westover St</t>
  </si>
  <si>
    <t>Charlotte</t>
  </si>
  <si>
    <t>NC</t>
  </si>
  <si>
    <t>Fort Bragg</t>
  </si>
  <si>
    <t>ID Card Facility, 99th RD, 167th CSB, Londonderry, NH</t>
  </si>
  <si>
    <t>64 Harvey Road</t>
  </si>
  <si>
    <t>Londonderry</t>
  </si>
  <si>
    <t>NH</t>
  </si>
  <si>
    <t>ID Card Facility, 99th RD, Fort Totten, NY</t>
  </si>
  <si>
    <t>Fort Totten</t>
  </si>
  <si>
    <t>NY</t>
  </si>
  <si>
    <t>49 Jetview Dr Rm. 114</t>
  </si>
  <si>
    <t>Rochester</t>
  </si>
  <si>
    <t>ID Card Facility 99th RD, Williamsport, PA</t>
  </si>
  <si>
    <t>1307 Grove St.</t>
  </si>
  <si>
    <t>Williamsport</t>
  </si>
  <si>
    <t>PA</t>
  </si>
  <si>
    <t>ID Card Facility, 99th RD, Johnstown, PA</t>
  </si>
  <si>
    <t>295 Goucher St</t>
  </si>
  <si>
    <t>Johnstown</t>
  </si>
  <si>
    <t>ID Card Facility Ft. Buchanan, PR</t>
  </si>
  <si>
    <t>Welcome Center</t>
  </si>
  <si>
    <t>Ft. Buchanan</t>
  </si>
  <si>
    <t>PR</t>
  </si>
  <si>
    <t>Saipan</t>
  </si>
  <si>
    <t>814 Perimeter Road</t>
  </si>
  <si>
    <t>Greenville</t>
  </si>
  <si>
    <t>SC</t>
  </si>
  <si>
    <t>ID Card Facility, Grand Praire, TX</t>
  </si>
  <si>
    <t>397 Armed Forces Drive</t>
  </si>
  <si>
    <t>Grand Prairie</t>
  </si>
  <si>
    <t>TX</t>
  </si>
  <si>
    <t>ID Card Facility, 75th TSD, (Ellington Field) Houston, TX</t>
  </si>
  <si>
    <t>Houston</t>
  </si>
  <si>
    <t>Salt Lake City</t>
  </si>
  <si>
    <t>UT</t>
  </si>
  <si>
    <t>ID Card Facility, 99th RD, Abingdon, VA</t>
  </si>
  <si>
    <t>Abingdon</t>
  </si>
  <si>
    <t>VA</t>
  </si>
  <si>
    <t>0800-1800 T-F</t>
  </si>
  <si>
    <t>ID Card Facility Marysville, WA</t>
  </si>
  <si>
    <t>Marysville</t>
  </si>
  <si>
    <t>WA</t>
  </si>
  <si>
    <t>ID Card Facility, Vancouver, WA</t>
  </si>
  <si>
    <t>15005 NE 65th St</t>
  </si>
  <si>
    <t>Vancouver</t>
  </si>
  <si>
    <t>Facility Locations</t>
  </si>
  <si>
    <t>1250 Federal Ave</t>
  </si>
  <si>
    <t>ID Card Facility, 311th SIGC, Los Angeles, CA</t>
  </si>
  <si>
    <t>ID Card Facility, 81st RD, 347th DIV, Orlando, FL</t>
  </si>
  <si>
    <t>151833 620907</t>
  </si>
  <si>
    <t xml:space="preserve">Fort Shafter </t>
  </si>
  <si>
    <t>ID Card Facility, 85th SC, Arlington Hts., IL</t>
  </si>
  <si>
    <t xml:space="preserve">18960 S Halsted St </t>
  </si>
  <si>
    <t>Forest Park       Homewood</t>
  </si>
  <si>
    <t>ID Card Facility, 99th RD, Fort Devens, MA</t>
  </si>
  <si>
    <t>30 Quebec St, Bldg 666</t>
  </si>
  <si>
    <t>ID Card Facility, CNMI Saipan Army Reserve Center</t>
  </si>
  <si>
    <t>P.O. Box 501490 Saipan 96950-1490</t>
  </si>
  <si>
    <t>MP</t>
  </si>
  <si>
    <t>ID Card Facility, 412th TEC, Jackson, MS</t>
  </si>
  <si>
    <t xml:space="preserve">CAC Office, USARC HQ, Fort Bragg, NC </t>
  </si>
  <si>
    <t>4710 Knox Street Bldg 8-1808</t>
  </si>
  <si>
    <t>Ernie Pyle Reserve Center, 200 Duane Rd, Bldg 128</t>
  </si>
  <si>
    <t>ID Card Facility, 99th RD, 490th QM Comp, Rochester, NY</t>
  </si>
  <si>
    <t>McGarity Reserve Center</t>
  </si>
  <si>
    <t xml:space="preserve">99 Soldiers Lane  </t>
  </si>
  <si>
    <t>Moon Township</t>
  </si>
  <si>
    <t>103631     620362</t>
  </si>
  <si>
    <t>1LT Thomas Kukowski Army Reserve Center, Greenville, SC</t>
  </si>
  <si>
    <t>14555 Scholl Street     (Ellington Fld), 10949 Aerospace Ave</t>
  </si>
  <si>
    <t>620017 177865</t>
  </si>
  <si>
    <t xml:space="preserve">ID Card Facility, Ft Douglas, UT </t>
  </si>
  <si>
    <t>1960 Pollock RD, Bldg 131, FT Douglas</t>
  </si>
  <si>
    <t xml:space="preserve">571 Walden Road </t>
  </si>
  <si>
    <t xml:space="preserve">Marysville AFRC, 13613 40th AVE NE </t>
  </si>
  <si>
    <t>0700-1700 M-T</t>
  </si>
  <si>
    <t>0800-1530           T, W, TH</t>
  </si>
  <si>
    <t>0630-1400 M-F</t>
  </si>
  <si>
    <t>0700-1500 M-F</t>
  </si>
  <si>
    <t>0745-1445 M-F</t>
  </si>
  <si>
    <t>0800-1515 M-F</t>
  </si>
  <si>
    <t xml:space="preserve">0800-1530 M-F </t>
  </si>
  <si>
    <t>0800-1530            M-W-F</t>
  </si>
  <si>
    <t>0900-1600 M-F</t>
  </si>
  <si>
    <t>0830-1600 M-F</t>
  </si>
  <si>
    <t>0700-1600 M-F</t>
  </si>
  <si>
    <t>0730-1800 MWTF</t>
  </si>
  <si>
    <t>0600-1600 M-T</t>
  </si>
  <si>
    <t>0730-1600 M-F</t>
  </si>
  <si>
    <t>USARC DEERS, Army Project Office (APO), Fort Knox</t>
  </si>
  <si>
    <t>1600 Spearhead Division Avenue</t>
  </si>
  <si>
    <t>Fort Knox</t>
  </si>
  <si>
    <t>KY</t>
  </si>
  <si>
    <t xml:space="preserve">0800-1600 M-F </t>
  </si>
  <si>
    <t>Estimated Staffing &amp; Places of Performance FTEs</t>
  </si>
  <si>
    <t>Site Locations</t>
  </si>
  <si>
    <t>AL, USA</t>
  </si>
  <si>
    <t>AS, USA</t>
  </si>
  <si>
    <t>CA, USA</t>
  </si>
  <si>
    <t>CO, USA</t>
  </si>
  <si>
    <t>FL, USA</t>
  </si>
  <si>
    <t>GA, USA</t>
  </si>
  <si>
    <t>HI, USA</t>
  </si>
  <si>
    <t>IL, USA</t>
  </si>
  <si>
    <t>KY, USA</t>
  </si>
  <si>
    <t>MA, USA</t>
  </si>
  <si>
    <t>MI, USA</t>
  </si>
  <si>
    <t>MS, USA</t>
  </si>
  <si>
    <t>NC, USA</t>
  </si>
  <si>
    <t>NH, USA</t>
  </si>
  <si>
    <t>NY, USA</t>
  </si>
  <si>
    <t>PA, USA</t>
  </si>
  <si>
    <t>PR, USA</t>
  </si>
  <si>
    <t>SC, USA</t>
  </si>
  <si>
    <t>TX, USA</t>
  </si>
  <si>
    <t>UT, USA</t>
  </si>
  <si>
    <t>VA, USA</t>
  </si>
  <si>
    <t>WA, USA</t>
  </si>
  <si>
    <t xml:space="preserve">
Minimum Productive Hours*, assessed monthly</t>
  </si>
  <si>
    <r>
      <t xml:space="preserve">Verifying Officials
</t>
    </r>
    <r>
      <rPr>
        <b/>
        <sz val="8"/>
        <rFont val="Arial"/>
        <family val="2"/>
      </rPr>
      <t>(estimated Personnel Assistant I)</t>
    </r>
  </si>
  <si>
    <t>MP, USA</t>
  </si>
  <si>
    <t>Listed are the ID Card sites and the Government’s estimated number of contractor Full Time Equivalents (FTEs) (excluding Optional Tasks) to perform PWS tasks at each location. This estimate is not a Government-required level of effort and is being provided for informational purposes only.</t>
  </si>
  <si>
    <t>*Minimum Productive Hours (MPH). Minimum Productive Hours refers to the minimum number of productive hours to be performed (meaning personnel are present and actively performing PWS tasks) in a given period, based on 90% of total available hours (see PRS #5). For example, at a location where 1 FTE (based on 1856 hours) is assigned, Contractor personnel (either full time, part time, or on-call) must be present and providing services a minimum of 139 hours that month (1856 hours/12 months = 154.66 hours per month x .90 = 139 hours per month). Contractor personnel who are absent for vacation, sick leave, or for other non-duty related reasons are not performing productive hours. If the contractor does not meet the monthly MPH requirement due to holidays or other government closures, this will be taken into account when assessing the contractor’s performance under PRS #5.</t>
  </si>
  <si>
    <t>Site Security Managers (SSM)</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</si>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</sst>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Red]0.0"/>
    <numFmt numFmtId="165" formatCode="0.0"/>
  </numFmts>
  <fonts count="9" x14ac:knownFonts="1">
    <font>
      <sz val="10"/>
      <color rgb="FF000000"/>
      <name val="Times New Roman"/>
      <charset val="204"/>
    </font>
    <font>
      <sz val="11"/>
      <color rgb="FF000000"/>
      <name val="Arial"/>
      <family val="2"/>
    </font>
    <font>
      <b/>
      <sz val="11"/>
      <name val="Arial"/>
      <family val="2"/>
    </font>
    <font>
      <sz val="11"/>
      <name val="Arial"/>
      <family val="2"/>
    </font>
    <font>
      <sz val="11"/>
      <color theme="1"/>
      <name val="Arial"/>
      <family val="2"/>
    </font>
    <font>
      <b/>
      <sz val="11"/>
      <color rgb="FF000000"/>
      <name val="Arial"/>
      <family val="2"/>
    </font>
    <font>
      <b/>
      <sz val="11"/>
      <color theme="1"/>
      <name val="Arial"/>
      <family val="2"/>
    </font>
    <font>
      <b/>
      <sz val="9"/>
      <name val="Arial"/>
      <family val="2"/>
    </font>
    <font>
      <b/>
      <sz val="8"/>
      <name val="Arial"/>
      <family val="2"/>
    </font>
  </fonts>
  <fills count="5">
    <fill>
      <patternFill patternType="none"/>
    </fill>
    <fill>
      <patternFill patternType="gray125"/>
    </fill>
    <fill>
      <patternFill patternType="solid">
        <fgColor rgb="FFBEBEBE"/>
      </patternFill>
    </fill>
    <fill>
      <patternFill patternType="solid">
        <fgColor rgb="FFFFFF00"/>
        <bgColor indexed="64"/>
      </patternFill>
    </fill>
    <fill>
      <patternFill patternType="solid">
        <fgColor theme="0"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
    <xf numFmtId="0" fontId="0" fillId="0" borderId="0"/>
  </cellStyleXfs>
  <cellXfs count="88">
    <xf numFmtId="0" fontId="0" fillId="0" borderId="0" xfId="0" applyFill="1" applyBorder="1" applyAlignment="1">
      <alignment horizontal="left" vertical="top"/>
    </xf>
    <xf numFmtId="1" fontId="1" fillId="0" borderId="1" xfId="0" applyNumberFormat="1" applyFont="1" applyFill="1" applyBorder="1" applyAlignment="1">
      <alignment horizontal="center" vertical="center" shrinkToFit="1"/>
    </xf>
    <xf numFmtId="0" fontId="1" fillId="0" borderId="0" xfId="0" applyFont="1" applyFill="1" applyBorder="1" applyAlignment="1">
      <alignment horizontal="left" vertical="top"/>
    </xf>
    <xf numFmtId="165" fontId="1" fillId="0" borderId="1" xfId="0" applyNumberFormat="1" applyFont="1" applyFill="1" applyBorder="1" applyAlignment="1">
      <alignment horizontal="center" vertical="center" shrinkToFit="1"/>
    </xf>
    <xf numFmtId="0" fontId="1" fillId="0" borderId="1" xfId="0" applyFont="1" applyFill="1" applyBorder="1" applyAlignment="1">
      <alignment horizontal="center" vertical="center"/>
    </xf>
    <xf numFmtId="0" fontId="1" fillId="0" borderId="0" xfId="0" applyFont="1" applyFill="1" applyBorder="1" applyAlignment="1">
      <alignment horizontal="left" vertical="center"/>
    </xf>
    <xf numFmtId="0" fontId="1" fillId="0" borderId="0" xfId="0" applyFont="1" applyFill="1" applyBorder="1" applyAlignment="1">
      <alignment horizontal="center" vertical="center"/>
    </xf>
    <xf numFmtId="0" fontId="1" fillId="0" borderId="0" xfId="0" applyFont="1" applyFill="1" applyBorder="1" applyAlignment="1">
      <alignment horizontal="center" vertical="top"/>
    </xf>
    <xf numFmtId="164" fontId="3" fillId="0" borderId="1" xfId="0" applyNumberFormat="1" applyFont="1" applyFill="1" applyBorder="1" applyAlignment="1">
      <alignment horizontal="center" vertical="center" shrinkToFit="1"/>
    </xf>
    <xf numFmtId="1" fontId="1" fillId="0" borderId="0" xfId="0" applyNumberFormat="1" applyFont="1" applyFill="1" applyBorder="1" applyAlignment="1">
      <alignment horizontal="center" vertical="center"/>
    </xf>
    <xf numFmtId="0" fontId="4" fillId="0" borderId="1" xfId="0" applyFont="1" applyFill="1" applyBorder="1" applyAlignment="1">
      <alignment horizontal="center"/>
    </xf>
    <xf numFmtId="0" fontId="3" fillId="0" borderId="1" xfId="0" applyFont="1" applyFill="1" applyBorder="1" applyAlignment="1">
      <alignment wrapText="1"/>
    </xf>
    <xf numFmtId="0" fontId="3" fillId="0" borderId="1" xfId="0" applyFont="1" applyFill="1" applyBorder="1" applyAlignment="1">
      <alignment horizontal="left" wrapText="1"/>
    </xf>
    <xf numFmtId="0" fontId="3" fillId="0" borderId="1" xfId="0" applyFont="1" applyFill="1" applyBorder="1" applyAlignment="1">
      <alignment horizontal="center" wrapText="1"/>
    </xf>
    <xf numFmtId="1" fontId="4" fillId="0" borderId="1" xfId="0" applyNumberFormat="1" applyFont="1" applyFill="1" applyBorder="1" applyAlignment="1">
      <alignment horizontal="center" wrapText="1"/>
    </xf>
    <xf numFmtId="0" fontId="4" fillId="0" borderId="1" xfId="0" applyFont="1" applyFill="1" applyBorder="1" applyAlignment="1">
      <alignment horizontal="center" wrapText="1"/>
    </xf>
    <xf numFmtId="0" fontId="3" fillId="0" borderId="1" xfId="0" applyFont="1" applyFill="1" applyBorder="1" applyAlignment="1">
      <alignment horizontal="center"/>
    </xf>
    <xf numFmtId="1" fontId="3" fillId="0" borderId="1" xfId="0" applyNumberFormat="1" applyFont="1" applyFill="1" applyBorder="1" applyAlignment="1">
      <alignment horizontal="center"/>
    </xf>
    <xf numFmtId="1" fontId="3" fillId="0" borderId="1" xfId="0" applyNumberFormat="1" applyFont="1" applyFill="1" applyBorder="1" applyAlignment="1">
      <alignment horizontal="center" wrapText="1"/>
    </xf>
    <xf numFmtId="0" fontId="4" fillId="0" borderId="1" xfId="0" applyFont="1" applyFill="1" applyBorder="1" applyAlignment="1">
      <alignment wrapText="1"/>
    </xf>
    <xf numFmtId="0" fontId="4" fillId="0" borderId="1" xfId="0" applyFont="1" applyFill="1" applyBorder="1" applyAlignment="1">
      <alignment horizontal="left" wrapText="1"/>
    </xf>
    <xf numFmtId="0" fontId="4" fillId="0" borderId="1" xfId="0" applyFont="1" applyFill="1" applyBorder="1" applyAlignment="1">
      <alignment horizontal="left" wrapText="1" shrinkToFit="1"/>
    </xf>
    <xf numFmtId="49" fontId="3" fillId="0" borderId="1" xfId="0" applyNumberFormat="1" applyFont="1" applyFill="1" applyBorder="1" applyAlignment="1">
      <alignment horizontal="left" wrapText="1"/>
    </xf>
    <xf numFmtId="49" fontId="3" fillId="0" borderId="1" xfId="0" applyNumberFormat="1" applyFont="1" applyFill="1" applyBorder="1" applyAlignment="1">
      <alignment horizontal="center"/>
    </xf>
    <xf numFmtId="1" fontId="4" fillId="0" borderId="1" xfId="0" applyNumberFormat="1" applyFont="1" applyFill="1" applyBorder="1" applyAlignment="1">
      <alignment horizontal="center" shrinkToFit="1"/>
    </xf>
    <xf numFmtId="0" fontId="5" fillId="3" borderId="0" xfId="0" applyFont="1" applyFill="1" applyBorder="1" applyAlignment="1">
      <alignment horizontal="left" vertical="top"/>
    </xf>
    <xf numFmtId="0" fontId="5" fillId="3" borderId="0" xfId="0" applyFont="1" applyFill="1" applyBorder="1" applyAlignment="1">
      <alignment horizontal="center" vertical="top"/>
    </xf>
    <xf numFmtId="0" fontId="4" fillId="0" borderId="6" xfId="0" applyFont="1" applyFill="1" applyBorder="1" applyAlignment="1">
      <alignment horizontal="center"/>
    </xf>
    <xf numFmtId="1" fontId="4" fillId="0" borderId="6" xfId="0" applyNumberFormat="1" applyFont="1" applyFill="1" applyBorder="1" applyAlignment="1">
      <alignment horizontal="center" wrapText="1"/>
    </xf>
    <xf numFmtId="0" fontId="4" fillId="0" borderId="11" xfId="0" applyFont="1" applyFill="1" applyBorder="1" applyAlignment="1">
      <alignment horizontal="center"/>
    </xf>
    <xf numFmtId="1" fontId="4" fillId="0" borderId="11" xfId="0" applyNumberFormat="1" applyFont="1" applyFill="1" applyBorder="1" applyAlignment="1">
      <alignment horizontal="center" wrapText="1"/>
    </xf>
    <xf numFmtId="0" fontId="3" fillId="0" borderId="5" xfId="0" applyFont="1" applyFill="1" applyBorder="1" applyAlignment="1"/>
    <xf numFmtId="0" fontId="3" fillId="0" borderId="8" xfId="0" applyFont="1" applyFill="1" applyBorder="1" applyAlignment="1">
      <alignment horizontal="left"/>
    </xf>
    <xf numFmtId="0" fontId="3" fillId="0" borderId="8" xfId="0" applyFont="1" applyFill="1" applyBorder="1" applyAlignment="1"/>
    <xf numFmtId="0" fontId="4" fillId="0" borderId="8" xfId="0" applyFont="1" applyFill="1" applyBorder="1" applyAlignment="1"/>
    <xf numFmtId="0" fontId="4" fillId="0" borderId="8" xfId="0" applyFont="1" applyFill="1" applyBorder="1" applyAlignment="1">
      <alignment horizontal="left" shrinkToFit="1"/>
    </xf>
    <xf numFmtId="0" fontId="3" fillId="0" borderId="10" xfId="0" applyFont="1" applyFill="1" applyBorder="1" applyAlignment="1"/>
    <xf numFmtId="0" fontId="1"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4" fillId="0" borderId="5" xfId="0" applyFont="1" applyFill="1" applyBorder="1" applyAlignment="1">
      <alignment horizontal="center"/>
    </xf>
    <xf numFmtId="0" fontId="3" fillId="0" borderId="6" xfId="0" applyFont="1" applyFill="1" applyBorder="1" applyAlignment="1">
      <alignment wrapText="1"/>
    </xf>
    <xf numFmtId="0" fontId="3" fillId="0" borderId="6" xfId="0" applyFont="1" applyFill="1" applyBorder="1" applyAlignment="1">
      <alignment horizontal="left" wrapText="1"/>
    </xf>
    <xf numFmtId="0" fontId="3" fillId="0" borderId="6" xfId="0" applyFont="1" applyFill="1" applyBorder="1" applyAlignment="1">
      <alignment horizontal="center" wrapText="1"/>
    </xf>
    <xf numFmtId="1" fontId="4" fillId="0" borderId="7" xfId="0" applyNumberFormat="1" applyFont="1" applyFill="1" applyBorder="1" applyAlignment="1">
      <alignment horizontal="center" wrapText="1"/>
    </xf>
    <xf numFmtId="0" fontId="4" fillId="0" borderId="8" xfId="0" applyFont="1" applyFill="1" applyBorder="1" applyAlignment="1">
      <alignment horizontal="center"/>
    </xf>
    <xf numFmtId="1" fontId="3" fillId="0" borderId="9" xfId="0" applyNumberFormat="1" applyFont="1" applyFill="1" applyBorder="1" applyAlignment="1">
      <alignment horizontal="center"/>
    </xf>
    <xf numFmtId="1" fontId="4" fillId="0" borderId="9" xfId="0" applyNumberFormat="1" applyFont="1" applyFill="1" applyBorder="1" applyAlignment="1">
      <alignment horizontal="center" wrapText="1"/>
    </xf>
    <xf numFmtId="1" fontId="3" fillId="0" borderId="9" xfId="0" applyNumberFormat="1" applyFont="1" applyFill="1" applyBorder="1" applyAlignment="1">
      <alignment horizontal="center" wrapText="1"/>
    </xf>
    <xf numFmtId="1" fontId="4" fillId="0" borderId="9" xfId="0" applyNumberFormat="1" applyFont="1" applyFill="1" applyBorder="1" applyAlignment="1">
      <alignment horizontal="center" shrinkToFit="1"/>
    </xf>
    <xf numFmtId="0" fontId="4" fillId="0" borderId="10" xfId="0" applyFont="1" applyFill="1" applyBorder="1" applyAlignment="1">
      <alignment horizontal="center"/>
    </xf>
    <xf numFmtId="0" fontId="3" fillId="0" borderId="11" xfId="0" applyFont="1" applyFill="1" applyBorder="1" applyAlignment="1">
      <alignment wrapText="1"/>
    </xf>
    <xf numFmtId="0" fontId="3" fillId="0" borderId="11" xfId="0" applyFont="1" applyFill="1" applyBorder="1" applyAlignment="1">
      <alignment horizontal="left" wrapText="1"/>
    </xf>
    <xf numFmtId="0" fontId="3" fillId="0" borderId="11" xfId="0" applyFont="1" applyFill="1" applyBorder="1" applyAlignment="1">
      <alignment horizontal="center" wrapText="1"/>
    </xf>
    <xf numFmtId="1" fontId="4" fillId="0" borderId="12" xfId="0" applyNumberFormat="1" applyFont="1" applyFill="1" applyBorder="1" applyAlignment="1">
      <alignment horizontal="center" wrapText="1"/>
    </xf>
    <xf numFmtId="0" fontId="1"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1" fontId="1" fillId="0" borderId="6" xfId="0" applyNumberFormat="1" applyFont="1" applyFill="1" applyBorder="1" applyAlignment="1">
      <alignment horizontal="center" vertical="center" shrinkToFit="1"/>
    </xf>
    <xf numFmtId="0" fontId="6" fillId="0" borderId="13" xfId="0" applyFont="1" applyFill="1" applyBorder="1" applyAlignment="1">
      <alignment horizontal="center" wrapText="1"/>
    </xf>
    <xf numFmtId="0" fontId="2" fillId="0" borderId="14" xfId="0" applyFont="1" applyFill="1" applyBorder="1" applyAlignment="1">
      <alignment horizontal="center" wrapText="1"/>
    </xf>
    <xf numFmtId="0" fontId="6" fillId="0" borderId="14" xfId="0" applyFont="1" applyFill="1" applyBorder="1" applyAlignment="1">
      <alignment horizontal="center" wrapText="1"/>
    </xf>
    <xf numFmtId="1" fontId="1" fillId="0" borderId="11" xfId="0" applyNumberFormat="1" applyFont="1" applyFill="1" applyBorder="1" applyAlignment="1">
      <alignment horizontal="center" vertical="center" shrinkToFit="1"/>
    </xf>
    <xf numFmtId="0" fontId="6" fillId="0" borderId="15" xfId="0" applyFont="1" applyFill="1" applyBorder="1" applyAlignment="1">
      <alignment horizontal="center" wrapText="1"/>
    </xf>
    <xf numFmtId="0" fontId="2" fillId="4" borderId="2" xfId="0" applyFont="1" applyFill="1" applyBorder="1" applyAlignment="1">
      <alignment horizontal="center" vertical="center"/>
    </xf>
    <xf numFmtId="0" fontId="5" fillId="0" borderId="0" xfId="0" applyFont="1" applyFill="1" applyBorder="1" applyAlignment="1">
      <alignment horizontal="left" vertical="top" wrapText="1"/>
    </xf>
    <xf numFmtId="0" fontId="5" fillId="0" borderId="0" xfId="0" applyFont="1" applyFill="1" applyBorder="1" applyAlignment="1">
      <alignment horizontal="left" vertical="center" wrapText="1"/>
    </xf>
    <xf numFmtId="49" fontId="5" fillId="3" borderId="0" xfId="0" applyNumberFormat="1" applyFont="1" applyFill="1" applyBorder="1" applyAlignment="1">
      <alignment horizontal="center"/>
    </xf>
    <xf numFmtId="49" fontId="2" fillId="4" borderId="3"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49" fontId="4" fillId="0" borderId="6" xfId="0" applyNumberFormat="1" applyFont="1" applyFill="1" applyBorder="1" applyAlignment="1">
      <alignment horizontal="center" wrapText="1"/>
    </xf>
    <xf numFmtId="49" fontId="1" fillId="0" borderId="6" xfId="0" applyNumberFormat="1" applyFont="1" applyFill="1" applyBorder="1" applyAlignment="1">
      <alignment horizontal="center" shrinkToFit="1"/>
    </xf>
    <xf numFmtId="49" fontId="1" fillId="0" borderId="1" xfId="0" applyNumberFormat="1" applyFont="1" applyFill="1" applyBorder="1" applyAlignment="1">
      <alignment horizontal="center" shrinkToFit="1"/>
    </xf>
    <xf numFmtId="49" fontId="4" fillId="0" borderId="1" xfId="0" applyNumberFormat="1" applyFont="1" applyFill="1" applyBorder="1" applyAlignment="1">
      <alignment horizontal="center" wrapText="1"/>
    </xf>
    <xf numFmtId="49" fontId="3" fillId="0" borderId="1" xfId="0" applyNumberFormat="1" applyFont="1" applyFill="1" applyBorder="1" applyAlignment="1">
      <alignment horizontal="center" wrapText="1"/>
    </xf>
    <xf numFmtId="49" fontId="1" fillId="0" borderId="1" xfId="0" applyNumberFormat="1" applyFont="1" applyFill="1" applyBorder="1" applyAlignment="1">
      <alignment horizontal="center"/>
    </xf>
    <xf numFmtId="49" fontId="1" fillId="0" borderId="0" xfId="0" applyNumberFormat="1" applyFont="1" applyFill="1" applyBorder="1" applyAlignment="1">
      <alignment horizontal="center"/>
    </xf>
    <xf numFmtId="0" fontId="5" fillId="0" borderId="0" xfId="0" applyFont="1" applyFill="1" applyBorder="1" applyAlignment="1">
      <alignment horizontal="center" wrapText="1"/>
    </xf>
    <xf numFmtId="0" fontId="7" fillId="0" borderId="4" xfId="0" applyFont="1" applyFill="1" applyBorder="1" applyAlignment="1">
      <alignment horizontal="center" vertical="center" wrapText="1"/>
    </xf>
    <xf numFmtId="0" fontId="1" fillId="0" borderId="0" xfId="0" applyFont="1" applyFill="1" applyBorder="1" applyAlignment="1">
      <alignment horizontal="center" wrapText="1"/>
    </xf>
    <xf numFmtId="0" fontId="5" fillId="3" borderId="0" xfId="0" applyFont="1" applyFill="1" applyBorder="1" applyAlignment="1">
      <alignment horizontal="center" vertical="center"/>
    </xf>
    <xf numFmtId="0" fontId="5" fillId="3" borderId="0" xfId="0" applyFont="1" applyFill="1" applyBorder="1" applyAlignment="1">
      <alignment horizontal="left" vertical="top"/>
    </xf>
    <xf numFmtId="49" fontId="1" fillId="0" borderId="7" xfId="0" applyNumberFormat="1" applyFont="1" applyFill="1" applyBorder="1" applyAlignment="1">
      <alignment horizontal="center" wrapText="1"/>
    </xf>
    <xf numFmtId="49" fontId="1" fillId="0" borderId="9" xfId="0" applyNumberFormat="1" applyFont="1" applyFill="1" applyBorder="1" applyAlignment="1">
      <alignment horizontal="center" wrapText="1"/>
    </xf>
    <xf numFmtId="49" fontId="3" fillId="0" borderId="1" xfId="0" applyNumberFormat="1" applyFont="1" applyFill="1" applyBorder="1" applyAlignment="1">
      <alignment horizontal="center" shrinkToFit="1"/>
    </xf>
    <xf numFmtId="49" fontId="4" fillId="0" borderId="1" xfId="0" applyNumberFormat="1" applyFont="1" applyFill="1" applyBorder="1" applyAlignment="1">
      <alignment horizontal="center" shrinkToFit="1"/>
    </xf>
    <xf numFmtId="49" fontId="1" fillId="0" borderId="11" xfId="0" applyNumberFormat="1" applyFont="1" applyFill="1" applyBorder="1" applyAlignment="1">
      <alignment horizontal="center" shrinkToFit="1"/>
    </xf>
    <xf numFmtId="49" fontId="1" fillId="0" borderId="12" xfId="0" applyNumberFormat="1" applyFont="1" applyFill="1" applyBorder="1" applyAlignment="1">
      <alignment horizontal="center" wrapText="1"/>
    </xf>
  </cellXfs>
  <cellStyles count="1">
    <cellStyle name="Normal" xfId="0" builtinId="0"/>
  </cellStyles>
  <dxfs count="6">
    <dxf>
      <font>
        <b/>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bottom" textRotation="0" wrapText="1" indent="0" justifyLastLine="0" shrinkToFit="0" readingOrder="0"/>
      <border diagonalUp="0" diagonalDown="0">
        <left/>
        <right/>
        <top style="thin">
          <color indexed="64"/>
        </top>
        <bottom style="thin">
          <color indexed="64"/>
        </bottom>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18F4AB-562A-4E7C-BEA9-8C8E5080560A}" name="Table3" displayName="Table3" ref="H3:H35" totalsRowShown="0" headerRowDxfId="5" dataDxfId="3" headerRowBorderDxfId="4" tableBorderDxfId="2" totalsRowBorderDxfId="1">
  <autoFilter ref="H3:H35" xr:uid="{D818F4AB-562A-4E7C-BEA9-8C8E5080560A}"/>
  <tableColumns count="1">
    <tableColumn id="1" xr3:uid="{D7D13D54-C184-477E-9953-531591D767DE}" name="0700-1700 M-T" data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zoomScaleNormal="100" workbookViewId="0">
      <pane ySplit="2" topLeftCell="A28" activePane="bottomLeft" state="frozen"/>
      <selection pane="bottomLeft" activeCell="B9" sqref="B9"/>
    </sheetView>
  </sheetViews>
  <sheetFormatPr defaultColWidth="20" defaultRowHeight="14.25" x14ac:dyDescent="0.2"/>
  <cols>
    <col min="1" max="1" width="13.33203125" style="6" customWidth="1"/>
    <col min="2" max="2" width="25.83203125" style="2" customWidth="1"/>
    <col min="3" max="3" width="28" style="2" bestFit="1" customWidth="1"/>
    <col min="4" max="4" width="16.83203125" style="7" bestFit="1" customWidth="1"/>
    <col min="5" max="5" width="12.6640625" style="6" bestFit="1" customWidth="1"/>
    <col min="6" max="6" width="10.83203125" style="7" customWidth="1"/>
    <col min="7" max="7" width="8.6640625" style="6" customWidth="1"/>
    <col min="8" max="8" width="20.5" style="6" customWidth="1"/>
    <col min="9" max="16384" width="20" style="2"/>
  </cols>
  <sheetData>
    <row r="1" spans="1:8" ht="15.75" thickBot="1" x14ac:dyDescent="0.25">
      <c r="A1" s="80" t="s">
        <v>0</v>
      </c>
      <c r="B1" s="81"/>
      <c r="C1" s="81"/>
      <c r="D1" s="81"/>
      <c r="E1" s="81"/>
      <c r="F1" s="81"/>
      <c r="G1" s="81"/>
      <c r="H1" s="81"/>
    </row>
    <row r="2" spans="1:8" ht="41.25" customHeight="1" thickBot="1" x14ac:dyDescent="0.25">
      <c r="A2" s="55" t="s">
        <v>1</v>
      </c>
      <c r="B2" s="56" t="s">
        <v>2</v>
      </c>
      <c r="C2" s="56" t="s">
        <v>3</v>
      </c>
      <c r="D2" s="56" t="s">
        <v>4</v>
      </c>
      <c r="E2" s="56" t="s">
        <v>5</v>
      </c>
      <c r="F2" s="56" t="s">
        <v>6</v>
      </c>
      <c r="G2" s="56" t="s">
        <v>7</v>
      </c>
      <c r="H2" s="57" t="s">
        <v>8</v>
      </c>
    </row>
    <row r="3" spans="1:8" s="5" customFormat="1" ht="34.5" customHeight="1" x14ac:dyDescent="0.25">
      <c r="A3" s="40">
        <v>8</v>
      </c>
      <c r="B3" s="41" t="s">
        <v>9</v>
      </c>
      <c r="C3" s="42" t="s">
        <v>10</v>
      </c>
      <c r="D3" s="43" t="s">
        <v>11</v>
      </c>
      <c r="E3" s="27" t="s">
        <v>12</v>
      </c>
      <c r="F3" s="28">
        <v>107534</v>
      </c>
      <c r="G3" s="58">
        <v>1</v>
      </c>
      <c r="H3" s="59" t="s">
        <v>137</v>
      </c>
    </row>
    <row r="4" spans="1:8" s="5" customFormat="1" ht="43.5" x14ac:dyDescent="0.25">
      <c r="A4" s="45">
        <v>30</v>
      </c>
      <c r="B4" s="12" t="s">
        <v>13</v>
      </c>
      <c r="C4" s="12" t="s">
        <v>14</v>
      </c>
      <c r="D4" s="15" t="s">
        <v>15</v>
      </c>
      <c r="E4" s="16" t="s">
        <v>16</v>
      </c>
      <c r="F4" s="17">
        <v>760302</v>
      </c>
      <c r="G4" s="3">
        <v>0.5</v>
      </c>
      <c r="H4" s="60" t="s">
        <v>138</v>
      </c>
    </row>
    <row r="5" spans="1:8" s="5" customFormat="1" ht="29.25" x14ac:dyDescent="0.25">
      <c r="A5" s="45">
        <v>1</v>
      </c>
      <c r="B5" s="11" t="s">
        <v>17</v>
      </c>
      <c r="C5" s="12" t="s">
        <v>18</v>
      </c>
      <c r="D5" s="13" t="s">
        <v>19</v>
      </c>
      <c r="E5" s="10" t="s">
        <v>20</v>
      </c>
      <c r="F5" s="14">
        <v>105290</v>
      </c>
      <c r="G5" s="8">
        <v>1.5</v>
      </c>
      <c r="H5" s="61" t="s">
        <v>139</v>
      </c>
    </row>
    <row r="6" spans="1:8" s="5" customFormat="1" ht="43.5" x14ac:dyDescent="0.25">
      <c r="A6" s="45">
        <v>2</v>
      </c>
      <c r="B6" s="11" t="s">
        <v>109</v>
      </c>
      <c r="C6" s="12" t="s">
        <v>108</v>
      </c>
      <c r="D6" s="13" t="s">
        <v>22</v>
      </c>
      <c r="E6" s="10" t="s">
        <v>20</v>
      </c>
      <c r="F6" s="14">
        <v>156547</v>
      </c>
      <c r="G6" s="1">
        <v>1</v>
      </c>
      <c r="H6" s="61" t="s">
        <v>140</v>
      </c>
    </row>
    <row r="7" spans="1:8" s="5" customFormat="1" ht="29.25" x14ac:dyDescent="0.25">
      <c r="A7" s="45">
        <v>27</v>
      </c>
      <c r="B7" s="12" t="s">
        <v>23</v>
      </c>
      <c r="C7" s="12" t="s">
        <v>24</v>
      </c>
      <c r="D7" s="15" t="s">
        <v>25</v>
      </c>
      <c r="E7" s="16" t="s">
        <v>20</v>
      </c>
      <c r="F7" s="17">
        <v>175408</v>
      </c>
      <c r="G7" s="1">
        <v>2</v>
      </c>
      <c r="H7" s="60" t="s">
        <v>49</v>
      </c>
    </row>
    <row r="8" spans="1:8" s="5" customFormat="1" ht="43.5" x14ac:dyDescent="0.25">
      <c r="A8" s="45">
        <v>18</v>
      </c>
      <c r="B8" s="11" t="s">
        <v>27</v>
      </c>
      <c r="C8" s="12" t="s">
        <v>28</v>
      </c>
      <c r="D8" s="13" t="s">
        <v>29</v>
      </c>
      <c r="E8" s="10" t="s">
        <v>30</v>
      </c>
      <c r="F8" s="14">
        <v>107786</v>
      </c>
      <c r="G8" s="1">
        <v>1</v>
      </c>
      <c r="H8" s="61" t="s">
        <v>141</v>
      </c>
    </row>
    <row r="9" spans="1:8" s="5" customFormat="1" ht="43.5" x14ac:dyDescent="0.25">
      <c r="A9" s="45">
        <v>10</v>
      </c>
      <c r="B9" s="11" t="s">
        <v>110</v>
      </c>
      <c r="C9" s="12" t="s">
        <v>32</v>
      </c>
      <c r="D9" s="13" t="s">
        <v>33</v>
      </c>
      <c r="E9" s="10" t="s">
        <v>34</v>
      </c>
      <c r="F9" s="14">
        <v>153690</v>
      </c>
      <c r="G9" s="1">
        <v>2</v>
      </c>
      <c r="H9" s="61" t="s">
        <v>31</v>
      </c>
    </row>
    <row r="10" spans="1:8" s="5" customFormat="1" ht="43.5" x14ac:dyDescent="0.25">
      <c r="A10" s="45">
        <v>25</v>
      </c>
      <c r="B10" s="12" t="s">
        <v>35</v>
      </c>
      <c r="C10" s="12" t="s">
        <v>36</v>
      </c>
      <c r="D10" s="16" t="s">
        <v>37</v>
      </c>
      <c r="E10" s="15" t="s">
        <v>38</v>
      </c>
      <c r="F10" s="18" t="s">
        <v>111</v>
      </c>
      <c r="G10" s="1">
        <v>1</v>
      </c>
      <c r="H10" s="60" t="s">
        <v>142</v>
      </c>
    </row>
    <row r="11" spans="1:8" s="5" customFormat="1" ht="43.5" x14ac:dyDescent="0.25">
      <c r="A11" s="45">
        <v>28</v>
      </c>
      <c r="B11" s="12" t="s">
        <v>39</v>
      </c>
      <c r="C11" s="12" t="s">
        <v>40</v>
      </c>
      <c r="D11" s="15" t="s">
        <v>112</v>
      </c>
      <c r="E11" s="16" t="s">
        <v>41</v>
      </c>
      <c r="F11" s="17">
        <v>156508</v>
      </c>
      <c r="G11" s="1">
        <v>1</v>
      </c>
      <c r="H11" s="60" t="s">
        <v>26</v>
      </c>
    </row>
    <row r="12" spans="1:8" s="5" customFormat="1" ht="29.25" x14ac:dyDescent="0.25">
      <c r="A12" s="45">
        <v>21</v>
      </c>
      <c r="B12" s="19" t="s">
        <v>42</v>
      </c>
      <c r="C12" s="20" t="s">
        <v>43</v>
      </c>
      <c r="D12" s="15" t="s">
        <v>44</v>
      </c>
      <c r="E12" s="10" t="s">
        <v>45</v>
      </c>
      <c r="F12" s="17">
        <v>156247</v>
      </c>
      <c r="G12" s="1">
        <v>1</v>
      </c>
      <c r="H12" s="60" t="s">
        <v>46</v>
      </c>
    </row>
    <row r="13" spans="1:8" s="5" customFormat="1" ht="29.25" x14ac:dyDescent="0.25">
      <c r="A13" s="45">
        <v>24</v>
      </c>
      <c r="B13" s="12" t="s">
        <v>113</v>
      </c>
      <c r="C13" s="12" t="s">
        <v>47</v>
      </c>
      <c r="D13" s="16" t="s">
        <v>48</v>
      </c>
      <c r="E13" s="15" t="s">
        <v>45</v>
      </c>
      <c r="F13" s="17">
        <v>150415</v>
      </c>
      <c r="G13" s="1">
        <v>1</v>
      </c>
      <c r="H13" s="60" t="s">
        <v>31</v>
      </c>
    </row>
    <row r="14" spans="1:8" s="5" customFormat="1" ht="43.5" x14ac:dyDescent="0.25">
      <c r="A14" s="45">
        <v>26</v>
      </c>
      <c r="B14" s="12" t="s">
        <v>50</v>
      </c>
      <c r="C14" s="12" t="s">
        <v>114</v>
      </c>
      <c r="D14" s="13" t="s">
        <v>115</v>
      </c>
      <c r="E14" s="15" t="s">
        <v>45</v>
      </c>
      <c r="F14" s="17">
        <v>107635</v>
      </c>
      <c r="G14" s="1">
        <v>1</v>
      </c>
      <c r="H14" s="60" t="s">
        <v>143</v>
      </c>
    </row>
    <row r="15" spans="1:8" s="5" customFormat="1" ht="43.5" x14ac:dyDescent="0.25">
      <c r="A15" s="45">
        <v>33</v>
      </c>
      <c r="B15" s="12" t="s">
        <v>151</v>
      </c>
      <c r="C15" s="12" t="s">
        <v>152</v>
      </c>
      <c r="D15" s="13" t="s">
        <v>153</v>
      </c>
      <c r="E15" s="15" t="s">
        <v>154</v>
      </c>
      <c r="F15" s="17">
        <v>171144</v>
      </c>
      <c r="G15" s="1">
        <v>1</v>
      </c>
      <c r="H15" s="61" t="s">
        <v>155</v>
      </c>
    </row>
    <row r="16" spans="1:8" s="5" customFormat="1" ht="29.25" x14ac:dyDescent="0.25">
      <c r="A16" s="45">
        <v>3</v>
      </c>
      <c r="B16" s="11" t="s">
        <v>116</v>
      </c>
      <c r="C16" s="12" t="s">
        <v>117</v>
      </c>
      <c r="D16" s="13" t="s">
        <v>51</v>
      </c>
      <c r="E16" s="10" t="s">
        <v>52</v>
      </c>
      <c r="F16" s="14">
        <v>150376</v>
      </c>
      <c r="G16" s="1">
        <v>1</v>
      </c>
      <c r="H16" s="61" t="s">
        <v>46</v>
      </c>
    </row>
    <row r="17" spans="1:8" s="5" customFormat="1" ht="43.5" x14ac:dyDescent="0.25">
      <c r="A17" s="45">
        <v>23</v>
      </c>
      <c r="B17" s="12" t="s">
        <v>53</v>
      </c>
      <c r="C17" s="12" t="s">
        <v>54</v>
      </c>
      <c r="D17" s="16" t="s">
        <v>55</v>
      </c>
      <c r="E17" s="15" t="s">
        <v>56</v>
      </c>
      <c r="F17" s="17">
        <v>105726</v>
      </c>
      <c r="G17" s="1">
        <v>1</v>
      </c>
      <c r="H17" s="61" t="s">
        <v>21</v>
      </c>
    </row>
    <row r="18" spans="1:8" s="5" customFormat="1" ht="43.5" x14ac:dyDescent="0.25">
      <c r="A18" s="45">
        <v>31</v>
      </c>
      <c r="B18" s="19" t="s">
        <v>118</v>
      </c>
      <c r="C18" s="19" t="s">
        <v>119</v>
      </c>
      <c r="D18" s="10" t="s">
        <v>85</v>
      </c>
      <c r="E18" s="10" t="s">
        <v>120</v>
      </c>
      <c r="F18" s="17">
        <v>620989</v>
      </c>
      <c r="G18" s="3">
        <v>0.5</v>
      </c>
      <c r="H18" s="61" t="s">
        <v>144</v>
      </c>
    </row>
    <row r="19" spans="1:8" s="5" customFormat="1" ht="29.25" x14ac:dyDescent="0.25">
      <c r="A19" s="45">
        <v>22</v>
      </c>
      <c r="B19" s="11" t="s">
        <v>121</v>
      </c>
      <c r="C19" s="20" t="s">
        <v>57</v>
      </c>
      <c r="D19" s="15" t="s">
        <v>58</v>
      </c>
      <c r="E19" s="10" t="s">
        <v>59</v>
      </c>
      <c r="F19" s="14">
        <v>107642</v>
      </c>
      <c r="G19" s="1">
        <v>1</v>
      </c>
      <c r="H19" s="61" t="s">
        <v>26</v>
      </c>
    </row>
    <row r="20" spans="1:8" s="5" customFormat="1" ht="43.5" x14ac:dyDescent="0.25">
      <c r="A20" s="45">
        <v>4</v>
      </c>
      <c r="B20" s="11" t="s">
        <v>60</v>
      </c>
      <c r="C20" s="12" t="s">
        <v>61</v>
      </c>
      <c r="D20" s="13" t="s">
        <v>62</v>
      </c>
      <c r="E20" s="10" t="s">
        <v>63</v>
      </c>
      <c r="F20" s="14">
        <v>150897</v>
      </c>
      <c r="G20" s="8">
        <v>1.5</v>
      </c>
      <c r="H20" s="61" t="s">
        <v>26</v>
      </c>
    </row>
    <row r="21" spans="1:8" s="5" customFormat="1" ht="29.25" x14ac:dyDescent="0.25">
      <c r="A21" s="45">
        <v>29</v>
      </c>
      <c r="B21" s="21" t="s">
        <v>122</v>
      </c>
      <c r="C21" s="21" t="s">
        <v>123</v>
      </c>
      <c r="D21" s="10" t="s">
        <v>64</v>
      </c>
      <c r="E21" s="10" t="s">
        <v>63</v>
      </c>
      <c r="F21" s="24">
        <v>620416</v>
      </c>
      <c r="G21" s="1">
        <v>2</v>
      </c>
      <c r="H21" s="61" t="s">
        <v>46</v>
      </c>
    </row>
    <row r="22" spans="1:8" s="5" customFormat="1" ht="43.5" x14ac:dyDescent="0.25">
      <c r="A22" s="45">
        <v>14</v>
      </c>
      <c r="B22" s="11" t="s">
        <v>65</v>
      </c>
      <c r="C22" s="12" t="s">
        <v>66</v>
      </c>
      <c r="D22" s="13" t="s">
        <v>67</v>
      </c>
      <c r="E22" s="10" t="s">
        <v>68</v>
      </c>
      <c r="F22" s="14">
        <v>107620</v>
      </c>
      <c r="G22" s="1">
        <v>1</v>
      </c>
      <c r="H22" s="61" t="s">
        <v>26</v>
      </c>
    </row>
    <row r="23" spans="1:8" s="5" customFormat="1" ht="43.5" x14ac:dyDescent="0.25">
      <c r="A23" s="45">
        <v>6</v>
      </c>
      <c r="B23" s="11" t="s">
        <v>69</v>
      </c>
      <c r="C23" s="12" t="s">
        <v>124</v>
      </c>
      <c r="D23" s="13" t="s">
        <v>70</v>
      </c>
      <c r="E23" s="10" t="s">
        <v>71</v>
      </c>
      <c r="F23" s="14">
        <v>150283</v>
      </c>
      <c r="G23" s="1">
        <v>1</v>
      </c>
      <c r="H23" s="61" t="s">
        <v>26</v>
      </c>
    </row>
    <row r="24" spans="1:8" s="5" customFormat="1" ht="43.5" x14ac:dyDescent="0.25">
      <c r="A24" s="45">
        <v>7</v>
      </c>
      <c r="B24" s="11" t="s">
        <v>125</v>
      </c>
      <c r="C24" s="12" t="s">
        <v>72</v>
      </c>
      <c r="D24" s="13" t="s">
        <v>73</v>
      </c>
      <c r="E24" s="10" t="s">
        <v>71</v>
      </c>
      <c r="F24" s="14">
        <v>107580</v>
      </c>
      <c r="G24" s="1">
        <v>1</v>
      </c>
      <c r="H24" s="61" t="s">
        <v>145</v>
      </c>
    </row>
    <row r="25" spans="1:8" s="5" customFormat="1" ht="29.25" x14ac:dyDescent="0.25">
      <c r="A25" s="45">
        <v>15</v>
      </c>
      <c r="B25" s="11" t="s">
        <v>74</v>
      </c>
      <c r="C25" s="12" t="s">
        <v>75</v>
      </c>
      <c r="D25" s="13" t="s">
        <v>76</v>
      </c>
      <c r="E25" s="10" t="s">
        <v>77</v>
      </c>
      <c r="F25" s="14">
        <v>620183</v>
      </c>
      <c r="G25" s="1">
        <v>1</v>
      </c>
      <c r="H25" s="61" t="s">
        <v>26</v>
      </c>
    </row>
    <row r="26" spans="1:8" s="5" customFormat="1" ht="29.25" x14ac:dyDescent="0.25">
      <c r="A26" s="45">
        <v>16</v>
      </c>
      <c r="B26" s="11" t="s">
        <v>78</v>
      </c>
      <c r="C26" s="12" t="s">
        <v>79</v>
      </c>
      <c r="D26" s="13" t="s">
        <v>80</v>
      </c>
      <c r="E26" s="10" t="s">
        <v>77</v>
      </c>
      <c r="F26" s="14">
        <v>151057</v>
      </c>
      <c r="G26" s="4">
        <v>1</v>
      </c>
      <c r="H26" s="61" t="s">
        <v>26</v>
      </c>
    </row>
    <row r="27" spans="1:8" s="5" customFormat="1" ht="29.25" x14ac:dyDescent="0.25">
      <c r="A27" s="45">
        <v>32</v>
      </c>
      <c r="B27" s="19" t="s">
        <v>126</v>
      </c>
      <c r="C27" s="19" t="s">
        <v>127</v>
      </c>
      <c r="D27" s="15" t="s">
        <v>128</v>
      </c>
      <c r="E27" s="10" t="s">
        <v>77</v>
      </c>
      <c r="F27" s="17">
        <v>101589</v>
      </c>
      <c r="G27" s="4">
        <v>1</v>
      </c>
      <c r="H27" s="61" t="s">
        <v>146</v>
      </c>
    </row>
    <row r="28" spans="1:8" s="5" customFormat="1" ht="29.25" x14ac:dyDescent="0.25">
      <c r="A28" s="45">
        <v>12</v>
      </c>
      <c r="B28" s="11" t="s">
        <v>81</v>
      </c>
      <c r="C28" s="12" t="s">
        <v>82</v>
      </c>
      <c r="D28" s="13" t="s">
        <v>83</v>
      </c>
      <c r="E28" s="10" t="s">
        <v>84</v>
      </c>
      <c r="F28" s="14" t="s">
        <v>129</v>
      </c>
      <c r="G28" s="1">
        <v>2</v>
      </c>
      <c r="H28" s="61" t="s">
        <v>147</v>
      </c>
    </row>
    <row r="29" spans="1:8" s="5" customFormat="1" ht="57.75" x14ac:dyDescent="0.25">
      <c r="A29" s="45">
        <v>9</v>
      </c>
      <c r="B29" s="11" t="s">
        <v>130</v>
      </c>
      <c r="C29" s="12" t="s">
        <v>86</v>
      </c>
      <c r="D29" s="13" t="s">
        <v>87</v>
      </c>
      <c r="E29" s="10" t="s">
        <v>88</v>
      </c>
      <c r="F29" s="14">
        <v>151220</v>
      </c>
      <c r="G29" s="1">
        <v>1</v>
      </c>
      <c r="H29" s="61" t="s">
        <v>148</v>
      </c>
    </row>
    <row r="30" spans="1:8" s="5" customFormat="1" ht="29.25" x14ac:dyDescent="0.25">
      <c r="A30" s="45">
        <v>11</v>
      </c>
      <c r="B30" s="19" t="s">
        <v>89</v>
      </c>
      <c r="C30" s="20" t="s">
        <v>90</v>
      </c>
      <c r="D30" s="15" t="s">
        <v>91</v>
      </c>
      <c r="E30" s="10" t="s">
        <v>92</v>
      </c>
      <c r="F30" s="14">
        <v>152984</v>
      </c>
      <c r="G30" s="1">
        <v>2</v>
      </c>
      <c r="H30" s="61" t="s">
        <v>149</v>
      </c>
    </row>
    <row r="31" spans="1:8" s="5" customFormat="1" ht="43.5" x14ac:dyDescent="0.25">
      <c r="A31" s="45">
        <v>20</v>
      </c>
      <c r="B31" s="12" t="s">
        <v>93</v>
      </c>
      <c r="C31" s="22" t="s">
        <v>131</v>
      </c>
      <c r="D31" s="13" t="s">
        <v>94</v>
      </c>
      <c r="E31" s="23" t="s">
        <v>92</v>
      </c>
      <c r="F31" s="18" t="s">
        <v>132</v>
      </c>
      <c r="G31" s="1">
        <v>2</v>
      </c>
      <c r="H31" s="60" t="s">
        <v>150</v>
      </c>
    </row>
    <row r="32" spans="1:8" s="5" customFormat="1" ht="29.25" x14ac:dyDescent="0.25">
      <c r="A32" s="45">
        <v>13</v>
      </c>
      <c r="B32" s="11" t="s">
        <v>133</v>
      </c>
      <c r="C32" s="12" t="s">
        <v>134</v>
      </c>
      <c r="D32" s="13" t="s">
        <v>95</v>
      </c>
      <c r="E32" s="10" t="s">
        <v>96</v>
      </c>
      <c r="F32" s="14">
        <v>105261</v>
      </c>
      <c r="G32" s="1">
        <v>1</v>
      </c>
      <c r="H32" s="61" t="s">
        <v>146</v>
      </c>
    </row>
    <row r="33" spans="1:8" s="5" customFormat="1" ht="29.25" x14ac:dyDescent="0.25">
      <c r="A33" s="45">
        <v>17</v>
      </c>
      <c r="B33" s="11" t="s">
        <v>97</v>
      </c>
      <c r="C33" s="12" t="s">
        <v>135</v>
      </c>
      <c r="D33" s="13" t="s">
        <v>98</v>
      </c>
      <c r="E33" s="10" t="s">
        <v>99</v>
      </c>
      <c r="F33" s="14">
        <v>620003</v>
      </c>
      <c r="G33" s="1">
        <v>1</v>
      </c>
      <c r="H33" s="61" t="s">
        <v>100</v>
      </c>
    </row>
    <row r="34" spans="1:8" s="5" customFormat="1" ht="29.25" x14ac:dyDescent="0.25">
      <c r="A34" s="45">
        <v>5</v>
      </c>
      <c r="B34" s="11" t="s">
        <v>101</v>
      </c>
      <c r="C34" s="12" t="s">
        <v>136</v>
      </c>
      <c r="D34" s="13" t="s">
        <v>102</v>
      </c>
      <c r="E34" s="10" t="s">
        <v>103</v>
      </c>
      <c r="F34" s="14">
        <v>105289</v>
      </c>
      <c r="G34" s="1">
        <v>1</v>
      </c>
      <c r="H34" s="61" t="s">
        <v>26</v>
      </c>
    </row>
    <row r="35" spans="1:8" s="5" customFormat="1" ht="30" thickBot="1" x14ac:dyDescent="0.3">
      <c r="A35" s="50">
        <v>19</v>
      </c>
      <c r="B35" s="51" t="s">
        <v>104</v>
      </c>
      <c r="C35" s="52" t="s">
        <v>105</v>
      </c>
      <c r="D35" s="53" t="s">
        <v>106</v>
      </c>
      <c r="E35" s="29" t="s">
        <v>103</v>
      </c>
      <c r="F35" s="30">
        <v>156644</v>
      </c>
      <c r="G35" s="62">
        <v>2</v>
      </c>
      <c r="H35" s="63" t="s">
        <v>143</v>
      </c>
    </row>
    <row r="36" spans="1:8" x14ac:dyDescent="0.2">
      <c r="G36" s="9">
        <f>SUM(G3:G35)</f>
        <v>40</v>
      </c>
    </row>
  </sheetData>
  <autoFilter ref="A2:H2" xr:uid="{00000000-0001-0000-0000-000000000000}">
    <sortState xmlns:xlrd2="http://schemas.microsoft.com/office/spreadsheetml/2017/richdata2" ref="A3:G36">
      <sortCondition ref="E2"/>
    </sortState>
  </autoFilter>
  <sortState xmlns:xlrd2="http://schemas.microsoft.com/office/spreadsheetml/2017/richdata2" ref="A3:H35">
    <sortCondition ref="E2:E35"/>
  </sortState>
  <mergeCells count="1">
    <mergeCell ref="A1:H1"/>
  </mergeCells>
  <pageMargins left="0.7" right="0.7" top="0.75" bottom="0.75" header="0.3" footer="0.3"/>
  <pageSetup orientation="landscape"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0F02-91B9-4A1E-8552-0479DEDE7556}">
  <dimension ref="A1:F35"/>
  <sheetViews>
    <sheetView zoomScale="110" zoomScaleNormal="110" workbookViewId="0">
      <pane ySplit="2" topLeftCell="A24" activePane="bottomLeft" state="frozen"/>
      <selection pane="bottomLeft" activeCell="G5" sqref="G5"/>
    </sheetView>
  </sheetViews>
  <sheetFormatPr defaultColWidth="20" defaultRowHeight="14.25" x14ac:dyDescent="0.2"/>
  <cols>
    <col min="1" max="1" width="10.6640625" style="6" customWidth="1"/>
    <col min="2" max="2" width="25.83203125" style="2" customWidth="1"/>
    <col min="3" max="3" width="28" style="2" bestFit="1" customWidth="1"/>
    <col min="4" max="4" width="16.83203125" style="7" bestFit="1" customWidth="1"/>
    <col min="5" max="5" width="8.6640625" style="6" bestFit="1" customWidth="1"/>
    <col min="6" max="6" width="9.1640625" style="7" bestFit="1" customWidth="1"/>
    <col min="7" max="16384" width="20" style="2"/>
  </cols>
  <sheetData>
    <row r="1" spans="1:6" ht="15.75" thickBot="1" x14ac:dyDescent="0.25">
      <c r="A1" s="80" t="s">
        <v>107</v>
      </c>
      <c r="B1" s="80"/>
      <c r="C1" s="80"/>
      <c r="D1" s="80"/>
      <c r="E1" s="80"/>
      <c r="F1" s="80"/>
    </row>
    <row r="2" spans="1:6" ht="30.75" thickBot="1" x14ac:dyDescent="0.25">
      <c r="A2" s="37" t="s">
        <v>1</v>
      </c>
      <c r="B2" s="38" t="s">
        <v>2</v>
      </c>
      <c r="C2" s="38" t="s">
        <v>3</v>
      </c>
      <c r="D2" s="38" t="s">
        <v>4</v>
      </c>
      <c r="E2" s="38" t="s">
        <v>5</v>
      </c>
      <c r="F2" s="39" t="s">
        <v>6</v>
      </c>
    </row>
    <row r="3" spans="1:6" s="5" customFormat="1" ht="34.5" customHeight="1" x14ac:dyDescent="0.2">
      <c r="A3" s="40">
        <v>8</v>
      </c>
      <c r="B3" s="41" t="s">
        <v>9</v>
      </c>
      <c r="C3" s="42" t="s">
        <v>10</v>
      </c>
      <c r="D3" s="43" t="s">
        <v>11</v>
      </c>
      <c r="E3" s="27" t="s">
        <v>12</v>
      </c>
      <c r="F3" s="44">
        <v>107534</v>
      </c>
    </row>
    <row r="4" spans="1:6" s="5" customFormat="1" ht="42.75" x14ac:dyDescent="0.2">
      <c r="A4" s="45">
        <v>30</v>
      </c>
      <c r="B4" s="12" t="s">
        <v>13</v>
      </c>
      <c r="C4" s="12" t="s">
        <v>14</v>
      </c>
      <c r="D4" s="15" t="s">
        <v>15</v>
      </c>
      <c r="E4" s="16" t="s">
        <v>16</v>
      </c>
      <c r="F4" s="46">
        <v>760302</v>
      </c>
    </row>
    <row r="5" spans="1:6" s="5" customFormat="1" ht="28.5" x14ac:dyDescent="0.2">
      <c r="A5" s="45">
        <v>1</v>
      </c>
      <c r="B5" s="11" t="s">
        <v>17</v>
      </c>
      <c r="C5" s="12" t="s">
        <v>18</v>
      </c>
      <c r="D5" s="13" t="s">
        <v>19</v>
      </c>
      <c r="E5" s="10" t="s">
        <v>20</v>
      </c>
      <c r="F5" s="47">
        <v>105290</v>
      </c>
    </row>
    <row r="6" spans="1:6" s="5" customFormat="1" ht="42.75" x14ac:dyDescent="0.2">
      <c r="A6" s="45">
        <v>2</v>
      </c>
      <c r="B6" s="11" t="s">
        <v>109</v>
      </c>
      <c r="C6" s="12" t="s">
        <v>108</v>
      </c>
      <c r="D6" s="13" t="s">
        <v>22</v>
      </c>
      <c r="E6" s="10" t="s">
        <v>20</v>
      </c>
      <c r="F6" s="47">
        <v>156547</v>
      </c>
    </row>
    <row r="7" spans="1:6" s="5" customFormat="1" ht="28.5" x14ac:dyDescent="0.2">
      <c r="A7" s="45">
        <v>27</v>
      </c>
      <c r="B7" s="12" t="s">
        <v>23</v>
      </c>
      <c r="C7" s="12" t="s">
        <v>24</v>
      </c>
      <c r="D7" s="15" t="s">
        <v>25</v>
      </c>
      <c r="E7" s="16" t="s">
        <v>20</v>
      </c>
      <c r="F7" s="46">
        <v>175408</v>
      </c>
    </row>
    <row r="8" spans="1:6" s="5" customFormat="1" ht="42.75" x14ac:dyDescent="0.2">
      <c r="A8" s="45">
        <v>18</v>
      </c>
      <c r="B8" s="11" t="s">
        <v>27</v>
      </c>
      <c r="C8" s="12" t="s">
        <v>28</v>
      </c>
      <c r="D8" s="13" t="s">
        <v>29</v>
      </c>
      <c r="E8" s="10" t="s">
        <v>30</v>
      </c>
      <c r="F8" s="47">
        <v>107786</v>
      </c>
    </row>
    <row r="9" spans="1:6" s="5" customFormat="1" ht="42.75" x14ac:dyDescent="0.2">
      <c r="A9" s="45">
        <v>10</v>
      </c>
      <c r="B9" s="11" t="s">
        <v>110</v>
      </c>
      <c r="C9" s="12" t="s">
        <v>32</v>
      </c>
      <c r="D9" s="13" t="s">
        <v>33</v>
      </c>
      <c r="E9" s="10" t="s">
        <v>34</v>
      </c>
      <c r="F9" s="47">
        <v>153690</v>
      </c>
    </row>
    <row r="10" spans="1:6" s="5" customFormat="1" ht="42.75" x14ac:dyDescent="0.2">
      <c r="A10" s="45">
        <v>25</v>
      </c>
      <c r="B10" s="12" t="s">
        <v>35</v>
      </c>
      <c r="C10" s="12" t="s">
        <v>36</v>
      </c>
      <c r="D10" s="16" t="s">
        <v>37</v>
      </c>
      <c r="E10" s="15" t="s">
        <v>38</v>
      </c>
      <c r="F10" s="48" t="s">
        <v>111</v>
      </c>
    </row>
    <row r="11" spans="1:6" s="5" customFormat="1" ht="42.75" x14ac:dyDescent="0.2">
      <c r="A11" s="45">
        <v>28</v>
      </c>
      <c r="B11" s="12" t="s">
        <v>39</v>
      </c>
      <c r="C11" s="12" t="s">
        <v>40</v>
      </c>
      <c r="D11" s="15" t="s">
        <v>112</v>
      </c>
      <c r="E11" s="16" t="s">
        <v>41</v>
      </c>
      <c r="F11" s="46">
        <v>156508</v>
      </c>
    </row>
    <row r="12" spans="1:6" s="5" customFormat="1" ht="28.5" x14ac:dyDescent="0.2">
      <c r="A12" s="45">
        <v>21</v>
      </c>
      <c r="B12" s="19" t="s">
        <v>42</v>
      </c>
      <c r="C12" s="20" t="s">
        <v>43</v>
      </c>
      <c r="D12" s="15" t="s">
        <v>44</v>
      </c>
      <c r="E12" s="10" t="s">
        <v>45</v>
      </c>
      <c r="F12" s="46">
        <v>156247</v>
      </c>
    </row>
    <row r="13" spans="1:6" s="5" customFormat="1" ht="28.5" x14ac:dyDescent="0.2">
      <c r="A13" s="45">
        <v>24</v>
      </c>
      <c r="B13" s="12" t="s">
        <v>113</v>
      </c>
      <c r="C13" s="12" t="s">
        <v>47</v>
      </c>
      <c r="D13" s="16" t="s">
        <v>48</v>
      </c>
      <c r="E13" s="15" t="s">
        <v>45</v>
      </c>
      <c r="F13" s="46">
        <v>150415</v>
      </c>
    </row>
    <row r="14" spans="1:6" s="5" customFormat="1" ht="42.75" x14ac:dyDescent="0.2">
      <c r="A14" s="45">
        <v>26</v>
      </c>
      <c r="B14" s="12" t="s">
        <v>50</v>
      </c>
      <c r="C14" s="12" t="s">
        <v>114</v>
      </c>
      <c r="D14" s="13" t="s">
        <v>115</v>
      </c>
      <c r="E14" s="15" t="s">
        <v>45</v>
      </c>
      <c r="F14" s="46">
        <v>107635</v>
      </c>
    </row>
    <row r="15" spans="1:6" s="5" customFormat="1" ht="42.75" x14ac:dyDescent="0.2">
      <c r="A15" s="45">
        <v>33</v>
      </c>
      <c r="B15" s="12" t="s">
        <v>151</v>
      </c>
      <c r="C15" s="12" t="s">
        <v>152</v>
      </c>
      <c r="D15" s="13" t="s">
        <v>153</v>
      </c>
      <c r="E15" s="15" t="s">
        <v>154</v>
      </c>
      <c r="F15" s="46">
        <v>171144</v>
      </c>
    </row>
    <row r="16" spans="1:6" s="5" customFormat="1" ht="28.5" x14ac:dyDescent="0.2">
      <c r="A16" s="45">
        <v>3</v>
      </c>
      <c r="B16" s="11" t="s">
        <v>116</v>
      </c>
      <c r="C16" s="12" t="s">
        <v>117</v>
      </c>
      <c r="D16" s="13" t="s">
        <v>51</v>
      </c>
      <c r="E16" s="10" t="s">
        <v>52</v>
      </c>
      <c r="F16" s="47">
        <v>150376</v>
      </c>
    </row>
    <row r="17" spans="1:6" s="5" customFormat="1" ht="42.75" x14ac:dyDescent="0.2">
      <c r="A17" s="45">
        <v>23</v>
      </c>
      <c r="B17" s="12" t="s">
        <v>53</v>
      </c>
      <c r="C17" s="12" t="s">
        <v>54</v>
      </c>
      <c r="D17" s="16" t="s">
        <v>55</v>
      </c>
      <c r="E17" s="15" t="s">
        <v>56</v>
      </c>
      <c r="F17" s="46">
        <v>105726</v>
      </c>
    </row>
    <row r="18" spans="1:6" s="5" customFormat="1" ht="42.75" x14ac:dyDescent="0.2">
      <c r="A18" s="45">
        <v>31</v>
      </c>
      <c r="B18" s="19" t="s">
        <v>118</v>
      </c>
      <c r="C18" s="19" t="s">
        <v>119</v>
      </c>
      <c r="D18" s="10" t="s">
        <v>85</v>
      </c>
      <c r="E18" s="10" t="s">
        <v>120</v>
      </c>
      <c r="F18" s="46">
        <v>620989</v>
      </c>
    </row>
    <row r="19" spans="1:6" s="5" customFormat="1" ht="28.5" x14ac:dyDescent="0.2">
      <c r="A19" s="45">
        <v>22</v>
      </c>
      <c r="B19" s="11" t="s">
        <v>121</v>
      </c>
      <c r="C19" s="20" t="s">
        <v>57</v>
      </c>
      <c r="D19" s="15" t="s">
        <v>58</v>
      </c>
      <c r="E19" s="10" t="s">
        <v>59</v>
      </c>
      <c r="F19" s="47">
        <v>107642</v>
      </c>
    </row>
    <row r="20" spans="1:6" s="5" customFormat="1" ht="42.75" x14ac:dyDescent="0.2">
      <c r="A20" s="45">
        <v>4</v>
      </c>
      <c r="B20" s="11" t="s">
        <v>60</v>
      </c>
      <c r="C20" s="12" t="s">
        <v>61</v>
      </c>
      <c r="D20" s="13" t="s">
        <v>62</v>
      </c>
      <c r="E20" s="10" t="s">
        <v>63</v>
      </c>
      <c r="F20" s="47">
        <v>150897</v>
      </c>
    </row>
    <row r="21" spans="1:6" s="5" customFormat="1" ht="28.5" x14ac:dyDescent="0.2">
      <c r="A21" s="45">
        <v>29</v>
      </c>
      <c r="B21" s="21" t="s">
        <v>122</v>
      </c>
      <c r="C21" s="21" t="s">
        <v>123</v>
      </c>
      <c r="D21" s="10" t="s">
        <v>64</v>
      </c>
      <c r="E21" s="10" t="s">
        <v>63</v>
      </c>
      <c r="F21" s="49">
        <v>620416</v>
      </c>
    </row>
    <row r="22" spans="1:6" s="5" customFormat="1" ht="42.75" x14ac:dyDescent="0.2">
      <c r="A22" s="45">
        <v>14</v>
      </c>
      <c r="B22" s="11" t="s">
        <v>65</v>
      </c>
      <c r="C22" s="12" t="s">
        <v>66</v>
      </c>
      <c r="D22" s="13" t="s">
        <v>67</v>
      </c>
      <c r="E22" s="10" t="s">
        <v>68</v>
      </c>
      <c r="F22" s="47">
        <v>107620</v>
      </c>
    </row>
    <row r="23" spans="1:6" s="5" customFormat="1" ht="42.75" x14ac:dyDescent="0.2">
      <c r="A23" s="45">
        <v>6</v>
      </c>
      <c r="B23" s="11" t="s">
        <v>69</v>
      </c>
      <c r="C23" s="12" t="s">
        <v>124</v>
      </c>
      <c r="D23" s="13" t="s">
        <v>70</v>
      </c>
      <c r="E23" s="10" t="s">
        <v>71</v>
      </c>
      <c r="F23" s="47">
        <v>150283</v>
      </c>
    </row>
    <row r="24" spans="1:6" s="5" customFormat="1" ht="42.75" x14ac:dyDescent="0.2">
      <c r="A24" s="45">
        <v>7</v>
      </c>
      <c r="B24" s="11" t="s">
        <v>125</v>
      </c>
      <c r="C24" s="12" t="s">
        <v>72</v>
      </c>
      <c r="D24" s="13" t="s">
        <v>73</v>
      </c>
      <c r="E24" s="10" t="s">
        <v>71</v>
      </c>
      <c r="F24" s="47">
        <v>107580</v>
      </c>
    </row>
    <row r="25" spans="1:6" s="5" customFormat="1" ht="28.5" x14ac:dyDescent="0.2">
      <c r="A25" s="45">
        <v>15</v>
      </c>
      <c r="B25" s="11" t="s">
        <v>74</v>
      </c>
      <c r="C25" s="12" t="s">
        <v>75</v>
      </c>
      <c r="D25" s="13" t="s">
        <v>76</v>
      </c>
      <c r="E25" s="10" t="s">
        <v>77</v>
      </c>
      <c r="F25" s="47">
        <v>620183</v>
      </c>
    </row>
    <row r="26" spans="1:6" s="5" customFormat="1" ht="28.5" x14ac:dyDescent="0.2">
      <c r="A26" s="45">
        <v>16</v>
      </c>
      <c r="B26" s="11" t="s">
        <v>78</v>
      </c>
      <c r="C26" s="12" t="s">
        <v>79</v>
      </c>
      <c r="D26" s="13" t="s">
        <v>80</v>
      </c>
      <c r="E26" s="10" t="s">
        <v>77</v>
      </c>
      <c r="F26" s="47">
        <v>151057</v>
      </c>
    </row>
    <row r="27" spans="1:6" s="5" customFormat="1" ht="28.5" x14ac:dyDescent="0.2">
      <c r="A27" s="45">
        <v>32</v>
      </c>
      <c r="B27" s="19" t="s">
        <v>126</v>
      </c>
      <c r="C27" s="19" t="s">
        <v>127</v>
      </c>
      <c r="D27" s="15" t="s">
        <v>128</v>
      </c>
      <c r="E27" s="10" t="s">
        <v>77</v>
      </c>
      <c r="F27" s="46">
        <v>101589</v>
      </c>
    </row>
    <row r="28" spans="1:6" s="5" customFormat="1" ht="28.5" x14ac:dyDescent="0.2">
      <c r="A28" s="45">
        <v>12</v>
      </c>
      <c r="B28" s="11" t="s">
        <v>81</v>
      </c>
      <c r="C28" s="12" t="s">
        <v>82</v>
      </c>
      <c r="D28" s="13" t="s">
        <v>83</v>
      </c>
      <c r="E28" s="10" t="s">
        <v>84</v>
      </c>
      <c r="F28" s="47" t="s">
        <v>129</v>
      </c>
    </row>
    <row r="29" spans="1:6" s="5" customFormat="1" ht="57" x14ac:dyDescent="0.2">
      <c r="A29" s="45">
        <v>9</v>
      </c>
      <c r="B29" s="11" t="s">
        <v>130</v>
      </c>
      <c r="C29" s="12" t="s">
        <v>86</v>
      </c>
      <c r="D29" s="13" t="s">
        <v>87</v>
      </c>
      <c r="E29" s="10" t="s">
        <v>88</v>
      </c>
      <c r="F29" s="47">
        <v>151220</v>
      </c>
    </row>
    <row r="30" spans="1:6" s="5" customFormat="1" ht="28.5" x14ac:dyDescent="0.2">
      <c r="A30" s="45">
        <v>11</v>
      </c>
      <c r="B30" s="19" t="s">
        <v>89</v>
      </c>
      <c r="C30" s="20" t="s">
        <v>90</v>
      </c>
      <c r="D30" s="15" t="s">
        <v>91</v>
      </c>
      <c r="E30" s="10" t="s">
        <v>92</v>
      </c>
      <c r="F30" s="47">
        <v>152984</v>
      </c>
    </row>
    <row r="31" spans="1:6" s="5" customFormat="1" ht="42.75" x14ac:dyDescent="0.2">
      <c r="A31" s="45">
        <v>20</v>
      </c>
      <c r="B31" s="12" t="s">
        <v>93</v>
      </c>
      <c r="C31" s="22" t="s">
        <v>131</v>
      </c>
      <c r="D31" s="13" t="s">
        <v>94</v>
      </c>
      <c r="E31" s="23" t="s">
        <v>92</v>
      </c>
      <c r="F31" s="48" t="s">
        <v>132</v>
      </c>
    </row>
    <row r="32" spans="1:6" s="5" customFormat="1" ht="28.5" x14ac:dyDescent="0.2">
      <c r="A32" s="45">
        <v>13</v>
      </c>
      <c r="B32" s="11" t="s">
        <v>133</v>
      </c>
      <c r="C32" s="12" t="s">
        <v>134</v>
      </c>
      <c r="D32" s="13" t="s">
        <v>95</v>
      </c>
      <c r="E32" s="10" t="s">
        <v>96</v>
      </c>
      <c r="F32" s="47">
        <v>105261</v>
      </c>
    </row>
    <row r="33" spans="1:6" s="5" customFormat="1" ht="28.5" x14ac:dyDescent="0.2">
      <c r="A33" s="45">
        <v>17</v>
      </c>
      <c r="B33" s="11" t="s">
        <v>97</v>
      </c>
      <c r="C33" s="12" t="s">
        <v>135</v>
      </c>
      <c r="D33" s="13" t="s">
        <v>98</v>
      </c>
      <c r="E33" s="10" t="s">
        <v>99</v>
      </c>
      <c r="F33" s="47">
        <v>620003</v>
      </c>
    </row>
    <row r="34" spans="1:6" s="5" customFormat="1" ht="28.5" x14ac:dyDescent="0.2">
      <c r="A34" s="45">
        <v>5</v>
      </c>
      <c r="B34" s="11" t="s">
        <v>101</v>
      </c>
      <c r="C34" s="12" t="s">
        <v>136</v>
      </c>
      <c r="D34" s="13" t="s">
        <v>102</v>
      </c>
      <c r="E34" s="10" t="s">
        <v>103</v>
      </c>
      <c r="F34" s="47">
        <v>105289</v>
      </c>
    </row>
    <row r="35" spans="1:6" ht="29.25" thickBot="1" x14ac:dyDescent="0.25">
      <c r="A35" s="50">
        <v>19</v>
      </c>
      <c r="B35" s="51" t="s">
        <v>104</v>
      </c>
      <c r="C35" s="52" t="s">
        <v>105</v>
      </c>
      <c r="D35" s="53" t="s">
        <v>106</v>
      </c>
      <c r="E35" s="29" t="s">
        <v>103</v>
      </c>
      <c r="F35" s="54">
        <v>156644</v>
      </c>
    </row>
  </sheetData>
  <autoFilter ref="A2:F2" xr:uid="{43A20F02-91B9-4A1E-8552-0479DEDE7556}">
    <sortState xmlns:xlrd2="http://schemas.microsoft.com/office/spreadsheetml/2017/richdata2" ref="A3:F35">
      <sortCondition ref="E2"/>
    </sortState>
  </autoFilter>
  <mergeCells count="1">
    <mergeCell ref="A1:F1"/>
  </mergeCells>
  <pageMargins left="0.7" right="0.7" top="0.75" bottom="0.75" header="0.3" footer="0.3"/>
  <pageSetup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AE7E9-18F5-4F5B-B128-9D39BAB93987}">
  <dimension ref="A1:G38"/>
  <sheetViews>
    <sheetView tabSelected="1" zoomScale="110" zoomScaleNormal="110" workbookViewId="0">
      <pane ySplit="2" topLeftCell="A9" activePane="bottomLeft" state="frozen"/>
      <selection pane="bottomLeft" activeCell="G14" sqref="G14"/>
    </sheetView>
  </sheetViews>
  <sheetFormatPr defaultColWidth="20" defaultRowHeight="14.25" x14ac:dyDescent="0.2"/>
  <cols>
    <col min="1" max="1" width="57.1640625" style="2" customWidth="1"/>
    <col min="2" max="2" width="13" style="7" customWidth="1"/>
    <col min="3" max="5" width="16.5" style="76" customWidth="1"/>
    <col min="6" max="6" width="16.5" style="79" customWidth="1"/>
    <col min="7" max="7" width="167.5" style="2" bestFit="1" customWidth="1"/>
    <col min="8" max="16384" width="20" style="2"/>
  </cols>
  <sheetData>
    <row r="1" spans="1:7" ht="15.75" thickBot="1" x14ac:dyDescent="0.3">
      <c r="A1" s="25"/>
      <c r="B1" s="26" t="s">
        <v>156</v>
      </c>
      <c r="C1" s="67"/>
      <c r="D1" s="67"/>
      <c r="E1" s="67"/>
      <c r="F1" s="77"/>
    </row>
    <row r="2" spans="1:7" ht="74.45" customHeight="1" thickBot="1" x14ac:dyDescent="0.25">
      <c r="A2" s="64" t="s">
        <v>2</v>
      </c>
      <c r="B2" s="38" t="s">
        <v>157</v>
      </c>
      <c r="C2" s="68" t="s">
        <v>185</v>
      </c>
      <c r="D2" s="68" t="s">
        <v>181</v>
      </c>
      <c r="E2" s="69" t="s">
        <v>7</v>
      </c>
      <c r="F2" s="78" t="s">
        <v>180</v>
      </c>
    </row>
    <row r="3" spans="1:7" s="5" customFormat="1" ht="45" x14ac:dyDescent="0.2">
      <c r="A3" s="31" t="s">
        <v>9</v>
      </c>
      <c r="B3" s="27" t="s">
        <v>158</v>
      </c>
      <c r="C3" s="70"/>
      <c r="D3" s="71">
        <v>1</v>
      </c>
      <c r="E3" s="71">
        <v>1</v>
      </c>
      <c r="F3" s="82">
        <f>139*E3</f>
        <v>139</v>
      </c>
      <c r="G3" s="66" t="s">
        <v>183</v>
      </c>
    </row>
    <row r="4" spans="1:7" s="5" customFormat="1" x14ac:dyDescent="0.2">
      <c r="A4" s="32" t="s">
        <v>13</v>
      </c>
      <c r="B4" s="16" t="s">
        <v>159</v>
      </c>
      <c r="C4" s="23"/>
      <c r="D4" s="72" t="s">
        <v>186</v>
      </c>
      <c r="E4" s="72">
        <v>0.5</v>
      </c>
      <c r="F4" s="83">
        <f>139*E4</f>
        <v>69.5</v>
      </c>
    </row>
    <row r="5" spans="1:7" s="5" customFormat="1" x14ac:dyDescent="0.2">
      <c r="A5" s="33" t="s">
        <v>17</v>
      </c>
      <c r="B5" s="10" t="s">
        <v>160</v>
      </c>
      <c r="C5" s="73">
        <v>2</v>
      </c>
      <c r="D5" s="72">
        <v>2</v>
      </c>
      <c r="E5" s="84">
        <v>1.5</v>
      </c>
      <c r="F5" s="83">
        <f>139*E5</f>
        <v>208.5</v>
      </c>
    </row>
    <row r="6" spans="1:7" s="5" customFormat="1" x14ac:dyDescent="0.2">
      <c r="A6" s="33" t="s">
        <v>109</v>
      </c>
      <c r="B6" s="10" t="s">
        <v>160</v>
      </c>
      <c r="C6" s="73"/>
      <c r="D6" s="72">
        <v>1</v>
      </c>
      <c r="E6" s="72">
        <v>1</v>
      </c>
      <c r="F6" s="83">
        <f t="shared" ref="F6:F35" si="0">139*E6</f>
        <v>139</v>
      </c>
    </row>
    <row r="7" spans="1:7" s="5" customFormat="1" x14ac:dyDescent="0.2">
      <c r="A7" s="32" t="s">
        <v>23</v>
      </c>
      <c r="B7" s="16" t="s">
        <v>160</v>
      </c>
      <c r="C7" s="72">
        <v>2</v>
      </c>
      <c r="D7" s="72">
        <v>2</v>
      </c>
      <c r="E7" s="72">
        <v>2</v>
      </c>
      <c r="F7" s="83">
        <f t="shared" si="0"/>
        <v>278</v>
      </c>
    </row>
    <row r="8" spans="1:7" s="5" customFormat="1" x14ac:dyDescent="0.2">
      <c r="A8" s="33" t="s">
        <v>27</v>
      </c>
      <c r="B8" s="10" t="s">
        <v>161</v>
      </c>
      <c r="C8" s="73"/>
      <c r="D8" s="72">
        <v>1</v>
      </c>
      <c r="E8" s="72">
        <v>1</v>
      </c>
      <c r="F8" s="83">
        <f t="shared" si="0"/>
        <v>139</v>
      </c>
    </row>
    <row r="9" spans="1:7" s="5" customFormat="1" x14ac:dyDescent="0.2">
      <c r="A9" s="33" t="s">
        <v>110</v>
      </c>
      <c r="B9" s="10" t="s">
        <v>162</v>
      </c>
      <c r="C9" s="72">
        <v>2</v>
      </c>
      <c r="D9" s="72">
        <v>2</v>
      </c>
      <c r="E9" s="72">
        <v>2</v>
      </c>
      <c r="F9" s="83">
        <f t="shared" si="0"/>
        <v>278</v>
      </c>
    </row>
    <row r="10" spans="1:7" s="5" customFormat="1" x14ac:dyDescent="0.2">
      <c r="A10" s="32" t="s">
        <v>35</v>
      </c>
      <c r="B10" s="15" t="s">
        <v>163</v>
      </c>
      <c r="C10" s="74"/>
      <c r="D10" s="72">
        <v>1</v>
      </c>
      <c r="E10" s="72">
        <v>1</v>
      </c>
      <c r="F10" s="83">
        <f t="shared" si="0"/>
        <v>139</v>
      </c>
    </row>
    <row r="11" spans="1:7" s="5" customFormat="1" x14ac:dyDescent="0.2">
      <c r="A11" s="32" t="s">
        <v>39</v>
      </c>
      <c r="B11" s="16" t="s">
        <v>164</v>
      </c>
      <c r="C11" s="23"/>
      <c r="D11" s="72">
        <v>1</v>
      </c>
      <c r="E11" s="72">
        <v>1</v>
      </c>
      <c r="F11" s="83">
        <f t="shared" si="0"/>
        <v>139</v>
      </c>
    </row>
    <row r="12" spans="1:7" s="5" customFormat="1" x14ac:dyDescent="0.2">
      <c r="A12" s="34" t="s">
        <v>42</v>
      </c>
      <c r="B12" s="10" t="s">
        <v>165</v>
      </c>
      <c r="C12" s="23"/>
      <c r="D12" s="72">
        <v>1</v>
      </c>
      <c r="E12" s="72">
        <v>1</v>
      </c>
      <c r="F12" s="83">
        <f t="shared" si="0"/>
        <v>139</v>
      </c>
    </row>
    <row r="13" spans="1:7" s="5" customFormat="1" x14ac:dyDescent="0.2">
      <c r="A13" s="32" t="s">
        <v>113</v>
      </c>
      <c r="B13" s="15" t="s">
        <v>165</v>
      </c>
      <c r="C13" s="23"/>
      <c r="D13" s="72">
        <v>1</v>
      </c>
      <c r="E13" s="72">
        <v>1</v>
      </c>
      <c r="F13" s="83">
        <f t="shared" si="0"/>
        <v>139</v>
      </c>
    </row>
    <row r="14" spans="1:7" s="5" customFormat="1" x14ac:dyDescent="0.2">
      <c r="A14" s="32" t="s">
        <v>50</v>
      </c>
      <c r="B14" s="15" t="s">
        <v>165</v>
      </c>
      <c r="C14" s="23"/>
      <c r="D14" s="72">
        <v>1</v>
      </c>
      <c r="E14" s="72">
        <v>1</v>
      </c>
      <c r="F14" s="83">
        <f t="shared" si="0"/>
        <v>139</v>
      </c>
    </row>
    <row r="15" spans="1:7" s="5" customFormat="1" x14ac:dyDescent="0.2">
      <c r="A15" s="32" t="s">
        <v>151</v>
      </c>
      <c r="B15" s="15" t="s">
        <v>166</v>
      </c>
      <c r="C15" s="23"/>
      <c r="D15" s="72">
        <v>1</v>
      </c>
      <c r="E15" s="72">
        <v>1</v>
      </c>
      <c r="F15" s="83">
        <f t="shared" si="0"/>
        <v>139</v>
      </c>
    </row>
    <row r="16" spans="1:7" s="5" customFormat="1" x14ac:dyDescent="0.2">
      <c r="A16" s="33" t="s">
        <v>116</v>
      </c>
      <c r="B16" s="10" t="s">
        <v>167</v>
      </c>
      <c r="C16" s="73"/>
      <c r="D16" s="72">
        <v>1</v>
      </c>
      <c r="E16" s="72">
        <v>1</v>
      </c>
      <c r="F16" s="83">
        <f t="shared" si="0"/>
        <v>139</v>
      </c>
    </row>
    <row r="17" spans="1:6" s="5" customFormat="1" x14ac:dyDescent="0.2">
      <c r="A17" s="32" t="s">
        <v>53</v>
      </c>
      <c r="B17" s="15" t="s">
        <v>168</v>
      </c>
      <c r="C17" s="23"/>
      <c r="D17" s="72">
        <v>1</v>
      </c>
      <c r="E17" s="72">
        <v>1</v>
      </c>
      <c r="F17" s="83">
        <f t="shared" si="0"/>
        <v>139</v>
      </c>
    </row>
    <row r="18" spans="1:6" s="5" customFormat="1" x14ac:dyDescent="0.2">
      <c r="A18" s="34" t="s">
        <v>118</v>
      </c>
      <c r="B18" s="10" t="s">
        <v>182</v>
      </c>
      <c r="C18" s="23"/>
      <c r="D18" s="72" t="s">
        <v>186</v>
      </c>
      <c r="E18" s="72">
        <v>0.5</v>
      </c>
      <c r="F18" s="83">
        <f t="shared" si="0"/>
        <v>69.5</v>
      </c>
    </row>
    <row r="19" spans="1:6" s="5" customFormat="1" x14ac:dyDescent="0.2">
      <c r="A19" s="33" t="s">
        <v>121</v>
      </c>
      <c r="B19" s="10" t="s">
        <v>169</v>
      </c>
      <c r="C19" s="73"/>
      <c r="D19" s="72">
        <v>1</v>
      </c>
      <c r="E19" s="72">
        <v>1</v>
      </c>
      <c r="F19" s="83">
        <f t="shared" si="0"/>
        <v>139</v>
      </c>
    </row>
    <row r="20" spans="1:6" s="5" customFormat="1" x14ac:dyDescent="0.2">
      <c r="A20" s="33" t="s">
        <v>60</v>
      </c>
      <c r="B20" s="10" t="s">
        <v>170</v>
      </c>
      <c r="C20" s="75">
        <v>2</v>
      </c>
      <c r="D20" s="75">
        <v>2</v>
      </c>
      <c r="E20" s="84">
        <v>1.5</v>
      </c>
      <c r="F20" s="83">
        <f t="shared" si="0"/>
        <v>208.5</v>
      </c>
    </row>
    <row r="21" spans="1:6" s="5" customFormat="1" x14ac:dyDescent="0.2">
      <c r="A21" s="35" t="s">
        <v>122</v>
      </c>
      <c r="B21" s="10" t="s">
        <v>170</v>
      </c>
      <c r="C21" s="85">
        <v>1</v>
      </c>
      <c r="D21" s="72">
        <v>2</v>
      </c>
      <c r="E21" s="72">
        <v>2</v>
      </c>
      <c r="F21" s="83">
        <f t="shared" si="0"/>
        <v>278</v>
      </c>
    </row>
    <row r="22" spans="1:6" s="5" customFormat="1" x14ac:dyDescent="0.2">
      <c r="A22" s="33" t="s">
        <v>65</v>
      </c>
      <c r="B22" s="10" t="s">
        <v>171</v>
      </c>
      <c r="C22" s="73"/>
      <c r="D22" s="72">
        <v>1</v>
      </c>
      <c r="E22" s="72">
        <v>1</v>
      </c>
      <c r="F22" s="83">
        <f t="shared" si="0"/>
        <v>139</v>
      </c>
    </row>
    <row r="23" spans="1:6" s="5" customFormat="1" x14ac:dyDescent="0.2">
      <c r="A23" s="33" t="s">
        <v>69</v>
      </c>
      <c r="B23" s="10" t="s">
        <v>172</v>
      </c>
      <c r="C23" s="73"/>
      <c r="D23" s="72">
        <v>1</v>
      </c>
      <c r="E23" s="72">
        <v>1</v>
      </c>
      <c r="F23" s="83">
        <f t="shared" si="0"/>
        <v>139</v>
      </c>
    </row>
    <row r="24" spans="1:6" s="5" customFormat="1" x14ac:dyDescent="0.2">
      <c r="A24" s="33" t="s">
        <v>125</v>
      </c>
      <c r="B24" s="10" t="s">
        <v>172</v>
      </c>
      <c r="C24" s="73"/>
      <c r="D24" s="72">
        <v>1</v>
      </c>
      <c r="E24" s="72">
        <v>1</v>
      </c>
      <c r="F24" s="83">
        <f t="shared" si="0"/>
        <v>139</v>
      </c>
    </row>
    <row r="25" spans="1:6" s="5" customFormat="1" x14ac:dyDescent="0.2">
      <c r="A25" s="33" t="s">
        <v>74</v>
      </c>
      <c r="B25" s="10" t="s">
        <v>173</v>
      </c>
      <c r="C25" s="73"/>
      <c r="D25" s="72">
        <v>1</v>
      </c>
      <c r="E25" s="72">
        <v>1</v>
      </c>
      <c r="F25" s="83">
        <f t="shared" si="0"/>
        <v>139</v>
      </c>
    </row>
    <row r="26" spans="1:6" s="5" customFormat="1" x14ac:dyDescent="0.2">
      <c r="A26" s="33" t="s">
        <v>78</v>
      </c>
      <c r="B26" s="10" t="s">
        <v>173</v>
      </c>
      <c r="C26" s="73"/>
      <c r="D26" s="75">
        <v>1</v>
      </c>
      <c r="E26" s="75">
        <v>1</v>
      </c>
      <c r="F26" s="83">
        <f t="shared" si="0"/>
        <v>139</v>
      </c>
    </row>
    <row r="27" spans="1:6" s="5" customFormat="1" x14ac:dyDescent="0.2">
      <c r="A27" s="34" t="s">
        <v>126</v>
      </c>
      <c r="B27" s="10" t="s">
        <v>173</v>
      </c>
      <c r="C27" s="23"/>
      <c r="D27" s="75">
        <v>1</v>
      </c>
      <c r="E27" s="75">
        <v>1</v>
      </c>
      <c r="F27" s="83">
        <f t="shared" si="0"/>
        <v>139</v>
      </c>
    </row>
    <row r="28" spans="1:6" s="5" customFormat="1" x14ac:dyDescent="0.2">
      <c r="A28" s="33" t="s">
        <v>81</v>
      </c>
      <c r="B28" s="10" t="s">
        <v>174</v>
      </c>
      <c r="C28" s="72">
        <v>2</v>
      </c>
      <c r="D28" s="72">
        <v>2</v>
      </c>
      <c r="E28" s="72">
        <v>2</v>
      </c>
      <c r="F28" s="83">
        <f t="shared" si="0"/>
        <v>278</v>
      </c>
    </row>
    <row r="29" spans="1:6" s="5" customFormat="1" x14ac:dyDescent="0.2">
      <c r="A29" s="33" t="s">
        <v>130</v>
      </c>
      <c r="B29" s="10" t="s">
        <v>175</v>
      </c>
      <c r="C29" s="73"/>
      <c r="D29" s="72">
        <v>1</v>
      </c>
      <c r="E29" s="72">
        <v>1</v>
      </c>
      <c r="F29" s="83">
        <f t="shared" si="0"/>
        <v>139</v>
      </c>
    </row>
    <row r="30" spans="1:6" s="5" customFormat="1" x14ac:dyDescent="0.2">
      <c r="A30" s="34" t="s">
        <v>89</v>
      </c>
      <c r="B30" s="10" t="s">
        <v>176</v>
      </c>
      <c r="C30" s="72">
        <v>2</v>
      </c>
      <c r="D30" s="72">
        <v>2</v>
      </c>
      <c r="E30" s="72">
        <v>2</v>
      </c>
      <c r="F30" s="83">
        <f t="shared" si="0"/>
        <v>278</v>
      </c>
    </row>
    <row r="31" spans="1:6" s="5" customFormat="1" x14ac:dyDescent="0.2">
      <c r="A31" s="32" t="s">
        <v>93</v>
      </c>
      <c r="B31" s="23" t="s">
        <v>176</v>
      </c>
      <c r="C31" s="72">
        <v>2</v>
      </c>
      <c r="D31" s="72">
        <v>2</v>
      </c>
      <c r="E31" s="72">
        <v>2</v>
      </c>
      <c r="F31" s="83">
        <f t="shared" si="0"/>
        <v>278</v>
      </c>
    </row>
    <row r="32" spans="1:6" s="5" customFormat="1" x14ac:dyDescent="0.2">
      <c r="A32" s="33" t="s">
        <v>133</v>
      </c>
      <c r="B32" s="10" t="s">
        <v>177</v>
      </c>
      <c r="C32" s="73"/>
      <c r="D32" s="72">
        <v>1</v>
      </c>
      <c r="E32" s="72">
        <v>1</v>
      </c>
      <c r="F32" s="83">
        <f t="shared" si="0"/>
        <v>139</v>
      </c>
    </row>
    <row r="33" spans="1:6" s="5" customFormat="1" x14ac:dyDescent="0.2">
      <c r="A33" s="33" t="s">
        <v>97</v>
      </c>
      <c r="B33" s="10" t="s">
        <v>178</v>
      </c>
      <c r="C33" s="73"/>
      <c r="D33" s="72">
        <v>1</v>
      </c>
      <c r="E33" s="72">
        <v>1</v>
      </c>
      <c r="F33" s="83">
        <f t="shared" si="0"/>
        <v>139</v>
      </c>
    </row>
    <row r="34" spans="1:6" s="5" customFormat="1" x14ac:dyDescent="0.2">
      <c r="A34" s="33" t="s">
        <v>101</v>
      </c>
      <c r="B34" s="10" t="s">
        <v>179</v>
      </c>
      <c r="C34" s="73"/>
      <c r="D34" s="72">
        <v>1</v>
      </c>
      <c r="E34" s="72">
        <v>1</v>
      </c>
      <c r="F34" s="83">
        <f t="shared" si="0"/>
        <v>139</v>
      </c>
    </row>
    <row r="35" spans="1:6" ht="15" thickBot="1" x14ac:dyDescent="0.25">
      <c r="A35" s="36" t="s">
        <v>104</v>
      </c>
      <c r="B35" s="29" t="s">
        <v>179</v>
      </c>
      <c r="C35" s="86">
        <v>2</v>
      </c>
      <c r="D35" s="86">
        <v>2</v>
      </c>
      <c r="E35" s="86">
        <v>2</v>
      </c>
      <c r="F35" s="87">
        <f t="shared" si="0"/>
        <v>278</v>
      </c>
    </row>
    <row r="36" spans="1:6" x14ac:dyDescent="0.2">
      <c r="C36" s="76">
        <f t="shared" ref="C36" si="1">SUM(C3:C35)</f>
        <v>17</v>
      </c>
      <c r="D36" s="76">
        <f>SUM(D3:D35)</f>
        <v>40</v>
      </c>
      <c r="E36" s="76">
        <f>SUM(E3:E35)</f>
        <v>40</v>
      </c>
    </row>
    <row r="38" spans="1:6" ht="409.5" x14ac:dyDescent="0.2">
      <c r="A38" s="65" t="s">
        <v>184</v>
      </c>
    </row>
  </sheetData>
  <pageMargins left="0.7" right="0.7" top="0.75" bottom="0.75" header="0.3" footer="0.3"/>
  <pageSetup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c62a22f3-7b3d-4735-9a43-6902c885ce68" xsi:nil="true"/>
    <_ip_UnifiedCompliancePolicyProperties xmlns="http://schemas.microsoft.com/sharepoint/v3" xsi:nil="true"/>
    <lcf76f155ced4ddcb4097134ff3c332f xmlns="1dde0c50-65fc-476b-bfd7-93c1cc22d2e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ED54C3C59BB204CB77CC94BB36E736B" ma:contentTypeVersion="13" ma:contentTypeDescription="Create a new document." ma:contentTypeScope="" ma:versionID="3041aa7d77d26e20c268642c66a130ea">
  <xsd:schema xmlns:xsd="http://www.w3.org/2001/XMLSchema" xmlns:xs="http://www.w3.org/2001/XMLSchema" xmlns:p="http://schemas.microsoft.com/office/2006/metadata/properties" xmlns:ns1="http://schemas.microsoft.com/sharepoint/v3" xmlns:ns2="1dde0c50-65fc-476b-bfd7-93c1cc22d2e6" xmlns:ns3="c62a22f3-7b3d-4735-9a43-6902c885ce68" targetNamespace="http://schemas.microsoft.com/office/2006/metadata/properties" ma:root="true" ma:fieldsID="e94f91a0ce2e0929e2700226f1338478" ns1:_="" ns2:_="" ns3:_="">
    <xsd:import namespace="http://schemas.microsoft.com/sharepoint/v3"/>
    <xsd:import namespace="1dde0c50-65fc-476b-bfd7-93c1cc22d2e6"/>
    <xsd:import namespace="c62a22f3-7b3d-4735-9a43-6902c885ce6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SearchProperties" minOccurs="0"/>
                <xsd:element ref="ns2:MediaServiceObjectDetectorVersion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de0c50-65fc-476b-bfd7-93c1cc22d2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2a22f3-7b3d-4735-9a43-6902c885ce6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c66d853-2ea7-43bd-a97a-b3934a26f774}" ma:internalName="TaxCatchAll" ma:showField="CatchAllData" ma:web="c62a22f3-7b3d-4735-9a43-6902c885ce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924FF1-9BEF-4B24-9B6B-8ED8A436AA91}">
  <ds:schemaRefs>
    <ds:schemaRef ds:uri="http://schemas.microsoft.com/sharepoint/v3/contenttype/forms"/>
  </ds:schemaRefs>
</ds:datastoreItem>
</file>

<file path=customXml/itemProps2.xml><?xml version="1.0" encoding="utf-8"?>
<ds:datastoreItem xmlns:ds="http://schemas.openxmlformats.org/officeDocument/2006/customXml" ds:itemID="{9E8536A3-6D12-4EAC-A545-84E62877B672}">
  <ds:schemaRefs>
    <ds:schemaRef ds:uri="http://schemas.microsoft.com/office/2006/metadata/properties"/>
    <ds:schemaRef ds:uri="http://schemas.microsoft.com/office/infopath/2007/PartnerControls"/>
    <ds:schemaRef ds:uri="http://schemas.microsoft.com/sharepoint/v3"/>
    <ds:schemaRef ds:uri="c62a22f3-7b3d-4735-9a43-6902c885ce68"/>
    <ds:schemaRef ds:uri="1dde0c50-65fc-476b-bfd7-93c1cc22d2e6"/>
  </ds:schemaRefs>
</ds:datastoreItem>
</file>

<file path=customXml/itemProps3.xml><?xml version="1.0" encoding="utf-8"?>
<ds:datastoreItem xmlns:ds="http://schemas.openxmlformats.org/officeDocument/2006/customXml" ds:itemID="{0ACAF0ED-4EFA-4FED-B8DB-90BE222795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de0c50-65fc-476b-bfd7-93c1cc22d2e6"/>
    <ds:schemaRef ds:uri="c62a22f3-7b3d-4735-9a43-6902c885ce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Exhibit 3</vt:lpstr>
      <vt:lpstr>Exhibit 4</vt:lpstr>
      <vt:lpstr>Exhibit 5</vt:lpstr>
      <vt:lpstr>'Exhibit 3'!Print_Area</vt:lpstr>
      <vt:lpstr>'Exhibit 4'!Print_Area</vt:lpstr>
      <vt:lpstr>'Exhibit 5'!Print_Area</vt:lpstr>
      <vt:lpstr>'Exhibit 3'!Print_Titles</vt:lpstr>
      <vt:lpstr>'Exhibit 4'!Print_Titles</vt:lpstr>
      <vt:lpstr>'Exhibit 5'!Print_Titles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Springer, Heather E CTR USARMY HRC (USA)</dc:creator>
  <cp:keywords/>
  <dc:description/>
  <cp:lastModifiedBy>Lucio, Bella E SFC USARMY USARC HQ (USA)</cp:lastModifiedBy>
  <cp:revision/>
  <dcterms:created xsi:type="dcterms:W3CDTF">2024-01-17T20:31:43Z</dcterms:created>
  <dcterms:modified xsi:type="dcterms:W3CDTF">2026-01-07T18:46:30Z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2021-08-14T00:00:00Z</vt:filetime>
  </property>
  <property fmtid="{D5CDD505-2E9C-101B-9397-08002B2CF9AE}" pid="3" name="LastSaved">
    <vt:filetime>2024-01-17T00:00:00Z</vt:filetime>
  </property>
  <property fmtid="{D5CDD505-2E9C-101B-9397-08002B2CF9AE}" pid="4" name="ContentTypeId">
    <vt:lpwstr>0x0101007ED54C3C59BB204CB77CC94BB36E736B</vt:lpwstr>
  </property>
  <property fmtid="{D5CDD505-2E9C-101B-9397-08002B2CF9AE}" pid="5" name="MediaServiceImageTags">
    <vt:lpwstr/>
  </property>
</Properties>
</file>