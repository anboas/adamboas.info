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royale.agsalud\OneDrive - US Navy-flankspeed\SW Personal Files\RJ\25-2431 Facilities Maintenance Rewrite\1 Final Specs\IGE\"/>
    </mc:Choice>
  </mc:AlternateContent>
  <bookViews>
    <workbookView xWindow="0" yWindow="4620" windowWidth="22890" windowHeight="11490" tabRatio="965"/>
  </bookViews>
  <sheets>
    <sheet name="Schedule" sheetId="30" r:id="rId1"/>
    <sheet name="Base Recurring" sheetId="24" r:id="rId2"/>
    <sheet name="Base Non-Recurring " sheetId="3" r:id="rId3"/>
    <sheet name="OY 1 Recurring" sheetId="25" r:id="rId4"/>
    <sheet name="OY 1 Non-Recurring" sheetId="18" r:id="rId5"/>
    <sheet name="OY 2 Recurring" sheetId="26" r:id="rId6"/>
    <sheet name="OY 2 Non-Recurring" sheetId="19" r:id="rId7"/>
    <sheet name="OY 3 Recurring" sheetId="27" r:id="rId8"/>
    <sheet name="OY 3 Non-Recurring" sheetId="20" r:id="rId9"/>
    <sheet name="OY 4 Recurring" sheetId="28" r:id="rId10"/>
    <sheet name="OY 4 Non-Recurring" sheetId="21" r:id="rId11"/>
    <sheet name="Opt to Extend Recurring" sheetId="29" r:id="rId12"/>
    <sheet name="Opt Extend Non-Recurring " sheetId="22" r:id="rId13"/>
  </sheets>
  <definedNames>
    <definedName name="_xlnm.Print_Area" localSheetId="1">'Base Recurring'!$A$1:$H$144</definedName>
    <definedName name="_xlnm.Print_Area" localSheetId="11">'Opt to Extend Recurring'!$A$1:$H$144</definedName>
    <definedName name="_xlnm.Print_Area" localSheetId="3">'OY 1 Recurring'!$A$1:$H$144</definedName>
    <definedName name="_xlnm.Print_Area" localSheetId="5">'OY 2 Recurring'!$A$1:$H$144</definedName>
    <definedName name="_xlnm.Print_Area" localSheetId="7">'OY 3 Recurring'!$A$1:$H$144</definedName>
    <definedName name="_xlnm.Print_Area" localSheetId="9">'OY 4 Recurring'!$A$1:$H$144</definedName>
    <definedName name="_xlnm.Print_Titles" localSheetId="2">'Base Non-Recurring '!$1:$9</definedName>
    <definedName name="_xlnm.Print_Titles" localSheetId="1">'Base Recurring'!$1:$10</definedName>
    <definedName name="_xlnm.Print_Titles" localSheetId="12">'Opt Extend Non-Recurring '!$1:$9</definedName>
    <definedName name="_xlnm.Print_Titles" localSheetId="11">'Opt to Extend Recurring'!$1:$10</definedName>
    <definedName name="_xlnm.Print_Titles" localSheetId="4">'OY 1 Non-Recurring'!$1:$9</definedName>
    <definedName name="_xlnm.Print_Titles" localSheetId="3">'OY 1 Recurring'!$1:$10</definedName>
    <definedName name="_xlnm.Print_Titles" localSheetId="6">'OY 2 Non-Recurring'!$1:$9</definedName>
    <definedName name="_xlnm.Print_Titles" localSheetId="5">'OY 2 Recurring'!$1:$10</definedName>
    <definedName name="_xlnm.Print_Titles" localSheetId="8">'OY 3 Non-Recurring'!$1:$9</definedName>
    <definedName name="_xlnm.Print_Titles" localSheetId="7">'OY 3 Recurring'!$1:$10</definedName>
    <definedName name="_xlnm.Print_Titles" localSheetId="10">'OY 4 Non-Recurring'!$1:$9</definedName>
    <definedName name="_xlnm.Print_Titles" localSheetId="9">'OY 4 Recurring'!$1:$10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44" i="29" l="1"/>
  <c r="F144" i="28"/>
  <c r="F144" i="27"/>
  <c r="F144" i="26"/>
  <c r="F144" i="25"/>
  <c r="F144" i="24"/>
  <c r="G17" i="22" l="1"/>
  <c r="E57" i="30"/>
  <c r="G17" i="21"/>
  <c r="E47" i="30"/>
  <c r="G17" i="20"/>
  <c r="E37" i="30"/>
  <c r="G17" i="19"/>
  <c r="E27" i="30"/>
  <c r="E33" i="30" s="1"/>
  <c r="G17" i="18"/>
  <c r="E17" i="30"/>
  <c r="E23" i="30" s="1"/>
  <c r="G17" i="3"/>
  <c r="E60" i="30"/>
  <c r="E50" i="30"/>
  <c r="E40" i="30"/>
  <c r="E30" i="30"/>
  <c r="E20" i="30"/>
  <c r="E10" i="30"/>
  <c r="E7" i="30"/>
  <c r="E13" i="30" s="1"/>
  <c r="E43" i="30" l="1"/>
  <c r="E53" i="30" l="1"/>
  <c r="E63" i="30"/>
  <c r="E67" i="30" l="1"/>
  <c r="F15" i="22" l="1"/>
  <c r="G15" i="22" s="1"/>
  <c r="F15" i="21"/>
  <c r="G15" i="21" s="1"/>
  <c r="F15" i="20"/>
  <c r="G15" i="20" s="1"/>
  <c r="F15" i="19"/>
  <c r="G15" i="19" s="1"/>
  <c r="F15" i="18"/>
  <c r="G15" i="18" s="1"/>
  <c r="F15" i="3"/>
  <c r="G15" i="3" s="1"/>
  <c r="E141" i="29" l="1"/>
  <c r="F141" i="29" s="1"/>
  <c r="E140" i="29"/>
  <c r="F140" i="29" s="1"/>
  <c r="E139" i="29"/>
  <c r="F139" i="29" s="1"/>
  <c r="E138" i="29"/>
  <c r="F138" i="29" s="1"/>
  <c r="E141" i="28"/>
  <c r="F141" i="28" s="1"/>
  <c r="E140" i="28"/>
  <c r="F140" i="28" s="1"/>
  <c r="E139" i="28"/>
  <c r="F139" i="28" s="1"/>
  <c r="E138" i="28"/>
  <c r="F138" i="28" s="1"/>
  <c r="F142" i="28" s="1"/>
  <c r="E141" i="27"/>
  <c r="F141" i="27" s="1"/>
  <c r="E140" i="27"/>
  <c r="F140" i="27" s="1"/>
  <c r="E139" i="27"/>
  <c r="F139" i="27" s="1"/>
  <c r="E138" i="27"/>
  <c r="F138" i="27" s="1"/>
  <c r="E141" i="26"/>
  <c r="F141" i="26" s="1"/>
  <c r="E140" i="26"/>
  <c r="F140" i="26" s="1"/>
  <c r="E139" i="26"/>
  <c r="F139" i="26" s="1"/>
  <c r="E138" i="26"/>
  <c r="F138" i="26" s="1"/>
  <c r="F142" i="26" s="1"/>
  <c r="E141" i="25"/>
  <c r="F141" i="25" s="1"/>
  <c r="E140" i="25"/>
  <c r="F140" i="25" s="1"/>
  <c r="E139" i="25"/>
  <c r="F139" i="25" s="1"/>
  <c r="E138" i="25"/>
  <c r="F138" i="25" s="1"/>
  <c r="F142" i="29" l="1"/>
  <c r="F142" i="27"/>
  <c r="F142" i="25"/>
  <c r="E141" i="24"/>
  <c r="F141" i="24" s="1"/>
  <c r="E140" i="24"/>
  <c r="F140" i="24" s="1"/>
  <c r="E139" i="24"/>
  <c r="F139" i="24" s="1"/>
  <c r="E138" i="24"/>
  <c r="F138" i="24" s="1"/>
  <c r="F142" i="24" l="1"/>
  <c r="E134" i="29"/>
  <c r="F134" i="29" s="1"/>
  <c r="E133" i="29"/>
  <c r="F133" i="29" s="1"/>
  <c r="E132" i="29"/>
  <c r="F132" i="29" s="1"/>
  <c r="E131" i="29"/>
  <c r="F131" i="29" s="1"/>
  <c r="F135" i="29" s="1"/>
  <c r="E127" i="29"/>
  <c r="F127" i="29" s="1"/>
  <c r="E126" i="29"/>
  <c r="F126" i="29" s="1"/>
  <c r="E125" i="29"/>
  <c r="F125" i="29" s="1"/>
  <c r="E124" i="29"/>
  <c r="F124" i="29" s="1"/>
  <c r="F128" i="29" s="1"/>
  <c r="E120" i="29"/>
  <c r="F120" i="29" s="1"/>
  <c r="E119" i="29"/>
  <c r="F119" i="29" s="1"/>
  <c r="E118" i="29"/>
  <c r="F118" i="29" s="1"/>
  <c r="E117" i="29"/>
  <c r="F117" i="29" s="1"/>
  <c r="E113" i="29"/>
  <c r="F113" i="29" s="1"/>
  <c r="E112" i="29"/>
  <c r="F112" i="29" s="1"/>
  <c r="E111" i="29"/>
  <c r="F111" i="29" s="1"/>
  <c r="E110" i="29"/>
  <c r="F110" i="29" s="1"/>
  <c r="E106" i="29"/>
  <c r="F106" i="29" s="1"/>
  <c r="E105" i="29"/>
  <c r="F105" i="29" s="1"/>
  <c r="E104" i="29"/>
  <c r="F104" i="29" s="1"/>
  <c r="E103" i="29"/>
  <c r="F103" i="29" s="1"/>
  <c r="E134" i="28"/>
  <c r="F134" i="28" s="1"/>
  <c r="E133" i="28"/>
  <c r="F133" i="28" s="1"/>
  <c r="E132" i="28"/>
  <c r="F132" i="28" s="1"/>
  <c r="E131" i="28"/>
  <c r="F131" i="28" s="1"/>
  <c r="E127" i="28"/>
  <c r="F127" i="28" s="1"/>
  <c r="E126" i="28"/>
  <c r="F126" i="28" s="1"/>
  <c r="E125" i="28"/>
  <c r="F125" i="28" s="1"/>
  <c r="E124" i="28"/>
  <c r="F124" i="28" s="1"/>
  <c r="E120" i="28"/>
  <c r="F120" i="28" s="1"/>
  <c r="E119" i="28"/>
  <c r="F119" i="28" s="1"/>
  <c r="E118" i="28"/>
  <c r="F118" i="28" s="1"/>
  <c r="E117" i="28"/>
  <c r="F117" i="28" s="1"/>
  <c r="E113" i="28"/>
  <c r="F113" i="28" s="1"/>
  <c r="E112" i="28"/>
  <c r="F112" i="28" s="1"/>
  <c r="E111" i="28"/>
  <c r="F111" i="28" s="1"/>
  <c r="E110" i="28"/>
  <c r="F110" i="28" s="1"/>
  <c r="F114" i="28" s="1"/>
  <c r="E106" i="28"/>
  <c r="F106" i="28" s="1"/>
  <c r="E105" i="28"/>
  <c r="F105" i="28" s="1"/>
  <c r="E104" i="28"/>
  <c r="F104" i="28" s="1"/>
  <c r="E103" i="28"/>
  <c r="F103" i="28" s="1"/>
  <c r="E134" i="27"/>
  <c r="F134" i="27" s="1"/>
  <c r="E133" i="27"/>
  <c r="F133" i="27" s="1"/>
  <c r="E132" i="27"/>
  <c r="F132" i="27" s="1"/>
  <c r="E131" i="27"/>
  <c r="F131" i="27" s="1"/>
  <c r="E127" i="27"/>
  <c r="F127" i="27" s="1"/>
  <c r="E126" i="27"/>
  <c r="F126" i="27" s="1"/>
  <c r="E125" i="27"/>
  <c r="F125" i="27" s="1"/>
  <c r="E124" i="27"/>
  <c r="F124" i="27" s="1"/>
  <c r="E120" i="27"/>
  <c r="F120" i="27" s="1"/>
  <c r="E119" i="27"/>
  <c r="F119" i="27" s="1"/>
  <c r="E118" i="27"/>
  <c r="F118" i="27" s="1"/>
  <c r="E117" i="27"/>
  <c r="F117" i="27" s="1"/>
  <c r="E113" i="27"/>
  <c r="F113" i="27" s="1"/>
  <c r="E112" i="27"/>
  <c r="F112" i="27" s="1"/>
  <c r="E111" i="27"/>
  <c r="F111" i="27" s="1"/>
  <c r="E110" i="27"/>
  <c r="F110" i="27" s="1"/>
  <c r="E106" i="27"/>
  <c r="F106" i="27" s="1"/>
  <c r="E105" i="27"/>
  <c r="F105" i="27" s="1"/>
  <c r="E104" i="27"/>
  <c r="F104" i="27" s="1"/>
  <c r="E103" i="27"/>
  <c r="F103" i="27" s="1"/>
  <c r="E134" i="26"/>
  <c r="F134" i="26" s="1"/>
  <c r="E133" i="26"/>
  <c r="F133" i="26" s="1"/>
  <c r="E132" i="26"/>
  <c r="F132" i="26" s="1"/>
  <c r="E131" i="26"/>
  <c r="F131" i="26" s="1"/>
  <c r="E127" i="26"/>
  <c r="F127" i="26" s="1"/>
  <c r="E126" i="26"/>
  <c r="F126" i="26" s="1"/>
  <c r="E125" i="26"/>
  <c r="F125" i="26" s="1"/>
  <c r="E124" i="26"/>
  <c r="F124" i="26" s="1"/>
  <c r="E120" i="26"/>
  <c r="F120" i="26" s="1"/>
  <c r="E119" i="26"/>
  <c r="F119" i="26" s="1"/>
  <c r="E118" i="26"/>
  <c r="F118" i="26" s="1"/>
  <c r="E117" i="26"/>
  <c r="F117" i="26" s="1"/>
  <c r="E113" i="26"/>
  <c r="F113" i="26" s="1"/>
  <c r="E112" i="26"/>
  <c r="F112" i="26" s="1"/>
  <c r="E111" i="26"/>
  <c r="F111" i="26" s="1"/>
  <c r="E110" i="26"/>
  <c r="F110" i="26" s="1"/>
  <c r="E106" i="26"/>
  <c r="F106" i="26" s="1"/>
  <c r="E105" i="26"/>
  <c r="F105" i="26" s="1"/>
  <c r="E104" i="26"/>
  <c r="F104" i="26" s="1"/>
  <c r="E103" i="26"/>
  <c r="F103" i="26" s="1"/>
  <c r="E134" i="25"/>
  <c r="F134" i="25" s="1"/>
  <c r="E133" i="25"/>
  <c r="F133" i="25" s="1"/>
  <c r="E132" i="25"/>
  <c r="F132" i="25" s="1"/>
  <c r="E131" i="25"/>
  <c r="F131" i="25" s="1"/>
  <c r="F135" i="25" s="1"/>
  <c r="E127" i="25"/>
  <c r="F127" i="25" s="1"/>
  <c r="E126" i="25"/>
  <c r="F126" i="25" s="1"/>
  <c r="E125" i="25"/>
  <c r="F125" i="25" s="1"/>
  <c r="E124" i="25"/>
  <c r="F124" i="25" s="1"/>
  <c r="E120" i="25"/>
  <c r="F120" i="25" s="1"/>
  <c r="E119" i="25"/>
  <c r="F119" i="25" s="1"/>
  <c r="E118" i="25"/>
  <c r="F118" i="25" s="1"/>
  <c r="E117" i="25"/>
  <c r="F117" i="25" s="1"/>
  <c r="E113" i="25"/>
  <c r="F113" i="25" s="1"/>
  <c r="E112" i="25"/>
  <c r="F112" i="25" s="1"/>
  <c r="E111" i="25"/>
  <c r="F111" i="25" s="1"/>
  <c r="E110" i="25"/>
  <c r="F110" i="25" s="1"/>
  <c r="F114" i="25" s="1"/>
  <c r="E106" i="25"/>
  <c r="F106" i="25" s="1"/>
  <c r="E105" i="25"/>
  <c r="F105" i="25" s="1"/>
  <c r="E104" i="25"/>
  <c r="F104" i="25" s="1"/>
  <c r="E103" i="25"/>
  <c r="F103" i="25" s="1"/>
  <c r="E134" i="24"/>
  <c r="F134" i="24" s="1"/>
  <c r="E133" i="24"/>
  <c r="F133" i="24" s="1"/>
  <c r="E132" i="24"/>
  <c r="F132" i="24" s="1"/>
  <c r="E131" i="24"/>
  <c r="F131" i="24" s="1"/>
  <c r="F135" i="24" s="1"/>
  <c r="E127" i="24"/>
  <c r="F127" i="24" s="1"/>
  <c r="E126" i="24"/>
  <c r="F126" i="24" s="1"/>
  <c r="E125" i="24"/>
  <c r="F125" i="24" s="1"/>
  <c r="E124" i="24"/>
  <c r="F124" i="24" s="1"/>
  <c r="F128" i="24" s="1"/>
  <c r="E120" i="24"/>
  <c r="F120" i="24" s="1"/>
  <c r="E119" i="24"/>
  <c r="F119" i="24" s="1"/>
  <c r="E118" i="24"/>
  <c r="F118" i="24" s="1"/>
  <c r="E117" i="24"/>
  <c r="F117" i="24" s="1"/>
  <c r="E113" i="24"/>
  <c r="F113" i="24" s="1"/>
  <c r="E112" i="24"/>
  <c r="F112" i="24" s="1"/>
  <c r="E111" i="24"/>
  <c r="F111" i="24" s="1"/>
  <c r="E110" i="24"/>
  <c r="F110" i="24" s="1"/>
  <c r="F114" i="24" s="1"/>
  <c r="E106" i="24"/>
  <c r="F106" i="24" s="1"/>
  <c r="E105" i="24"/>
  <c r="F105" i="24" s="1"/>
  <c r="E104" i="24"/>
  <c r="F104" i="24" s="1"/>
  <c r="E103" i="24"/>
  <c r="F103" i="24" s="1"/>
  <c r="F107" i="24" s="1"/>
  <c r="F114" i="29" l="1"/>
  <c r="F121" i="29"/>
  <c r="F121" i="28"/>
  <c r="F135" i="28"/>
  <c r="F128" i="28"/>
  <c r="F121" i="27"/>
  <c r="F114" i="27"/>
  <c r="F135" i="27"/>
  <c r="F128" i="26"/>
  <c r="F135" i="26"/>
  <c r="F114" i="26"/>
  <c r="F128" i="25"/>
  <c r="F121" i="25"/>
  <c r="F121" i="24"/>
  <c r="F107" i="29"/>
  <c r="F107" i="28"/>
  <c r="F128" i="27"/>
  <c r="F107" i="27"/>
  <c r="F121" i="26"/>
  <c r="F107" i="26"/>
  <c r="F107" i="25"/>
  <c r="E99" i="29" l="1"/>
  <c r="F99" i="29" s="1"/>
  <c r="E98" i="29"/>
  <c r="F98" i="29" s="1"/>
  <c r="E97" i="29"/>
  <c r="F97" i="29" s="1"/>
  <c r="E96" i="29"/>
  <c r="F96" i="29" s="1"/>
  <c r="E95" i="29"/>
  <c r="F95" i="29" s="1"/>
  <c r="E94" i="29"/>
  <c r="F94" i="29" s="1"/>
  <c r="E93" i="29"/>
  <c r="F93" i="29" s="1"/>
  <c r="E89" i="29"/>
  <c r="F89" i="29" s="1"/>
  <c r="E88" i="29"/>
  <c r="F88" i="29" s="1"/>
  <c r="E87" i="29"/>
  <c r="F87" i="29" s="1"/>
  <c r="E86" i="29"/>
  <c r="F86" i="29" s="1"/>
  <c r="E85" i="29"/>
  <c r="F85" i="29" s="1"/>
  <c r="E84" i="29"/>
  <c r="F84" i="29" s="1"/>
  <c r="E80" i="29"/>
  <c r="F80" i="29" s="1"/>
  <c r="E79" i="29"/>
  <c r="F79" i="29" s="1"/>
  <c r="E78" i="29"/>
  <c r="F78" i="29" s="1"/>
  <c r="E77" i="29"/>
  <c r="F77" i="29" s="1"/>
  <c r="E76" i="29"/>
  <c r="F76" i="29" s="1"/>
  <c r="E75" i="29"/>
  <c r="F75" i="29" s="1"/>
  <c r="E71" i="29"/>
  <c r="F71" i="29" s="1"/>
  <c r="E70" i="29"/>
  <c r="F70" i="29" s="1"/>
  <c r="E69" i="29"/>
  <c r="F69" i="29" s="1"/>
  <c r="E68" i="29"/>
  <c r="F68" i="29" s="1"/>
  <c r="E67" i="29"/>
  <c r="F67" i="29" s="1"/>
  <c r="E63" i="29"/>
  <c r="F63" i="29" s="1"/>
  <c r="E62" i="29"/>
  <c r="F62" i="29" s="1"/>
  <c r="E61" i="29"/>
  <c r="F61" i="29" s="1"/>
  <c r="E60" i="29"/>
  <c r="F60" i="29" s="1"/>
  <c r="E59" i="29"/>
  <c r="F59" i="29" s="1"/>
  <c r="E55" i="29"/>
  <c r="F55" i="29" s="1"/>
  <c r="E54" i="29"/>
  <c r="F54" i="29" s="1"/>
  <c r="E53" i="29"/>
  <c r="F53" i="29" s="1"/>
  <c r="E52" i="29"/>
  <c r="F52" i="29" s="1"/>
  <c r="E51" i="29"/>
  <c r="F51" i="29" s="1"/>
  <c r="E47" i="29"/>
  <c r="F47" i="29" s="1"/>
  <c r="E46" i="29"/>
  <c r="F46" i="29" s="1"/>
  <c r="E45" i="29"/>
  <c r="F45" i="29" s="1"/>
  <c r="E44" i="29"/>
  <c r="F44" i="29" s="1"/>
  <c r="E43" i="29"/>
  <c r="F43" i="29" s="1"/>
  <c r="E42" i="29"/>
  <c r="F42" i="29" s="1"/>
  <c r="E41" i="29"/>
  <c r="F41" i="29" s="1"/>
  <c r="E40" i="29"/>
  <c r="F40" i="29" s="1"/>
  <c r="E39" i="29"/>
  <c r="F39" i="29" s="1"/>
  <c r="E35" i="29"/>
  <c r="F35" i="29" s="1"/>
  <c r="E34" i="29"/>
  <c r="F34" i="29" s="1"/>
  <c r="E33" i="29"/>
  <c r="F33" i="29" s="1"/>
  <c r="E32" i="29"/>
  <c r="F32" i="29" s="1"/>
  <c r="E31" i="29"/>
  <c r="F31" i="29" s="1"/>
  <c r="E26" i="29"/>
  <c r="F26" i="29" s="1"/>
  <c r="E25" i="29"/>
  <c r="F25" i="29" s="1"/>
  <c r="E24" i="29"/>
  <c r="F24" i="29" s="1"/>
  <c r="E23" i="29"/>
  <c r="F23" i="29" s="1"/>
  <c r="E22" i="29"/>
  <c r="F22" i="29" s="1"/>
  <c r="E21" i="29"/>
  <c r="F21" i="29" s="1"/>
  <c r="E17" i="29"/>
  <c r="F17" i="29" s="1"/>
  <c r="E16" i="29"/>
  <c r="F16" i="29" s="1"/>
  <c r="E15" i="29"/>
  <c r="F15" i="29" s="1"/>
  <c r="E14" i="29"/>
  <c r="F14" i="29" s="1"/>
  <c r="E13" i="29"/>
  <c r="F13" i="29" s="1"/>
  <c r="E12" i="29"/>
  <c r="F12" i="29" s="1"/>
  <c r="E99" i="28"/>
  <c r="F99" i="28" s="1"/>
  <c r="E98" i="28"/>
  <c r="F98" i="28" s="1"/>
  <c r="E97" i="28"/>
  <c r="F97" i="28" s="1"/>
  <c r="E96" i="28"/>
  <c r="F96" i="28" s="1"/>
  <c r="E95" i="28"/>
  <c r="F95" i="28" s="1"/>
  <c r="E94" i="28"/>
  <c r="F94" i="28" s="1"/>
  <c r="E93" i="28"/>
  <c r="F93" i="28" s="1"/>
  <c r="E89" i="28"/>
  <c r="F89" i="28" s="1"/>
  <c r="E88" i="28"/>
  <c r="F88" i="28" s="1"/>
  <c r="E87" i="28"/>
  <c r="F87" i="28" s="1"/>
  <c r="E86" i="28"/>
  <c r="F86" i="28" s="1"/>
  <c r="E85" i="28"/>
  <c r="F85" i="28" s="1"/>
  <c r="E84" i="28"/>
  <c r="F84" i="28" s="1"/>
  <c r="E80" i="28"/>
  <c r="F80" i="28" s="1"/>
  <c r="E79" i="28"/>
  <c r="F79" i="28" s="1"/>
  <c r="E78" i="28"/>
  <c r="F78" i="28" s="1"/>
  <c r="E77" i="28"/>
  <c r="F77" i="28" s="1"/>
  <c r="E76" i="28"/>
  <c r="F76" i="28" s="1"/>
  <c r="E75" i="28"/>
  <c r="F75" i="28" s="1"/>
  <c r="E71" i="28"/>
  <c r="F71" i="28" s="1"/>
  <c r="E70" i="28"/>
  <c r="F70" i="28" s="1"/>
  <c r="E69" i="28"/>
  <c r="F69" i="28" s="1"/>
  <c r="E68" i="28"/>
  <c r="F68" i="28" s="1"/>
  <c r="E67" i="28"/>
  <c r="F67" i="28" s="1"/>
  <c r="E63" i="28"/>
  <c r="F63" i="28" s="1"/>
  <c r="E62" i="28"/>
  <c r="F62" i="28" s="1"/>
  <c r="E61" i="28"/>
  <c r="F61" i="28" s="1"/>
  <c r="E60" i="28"/>
  <c r="F60" i="28" s="1"/>
  <c r="E59" i="28"/>
  <c r="F59" i="28" s="1"/>
  <c r="E55" i="28"/>
  <c r="F55" i="28" s="1"/>
  <c r="E54" i="28"/>
  <c r="F54" i="28" s="1"/>
  <c r="E53" i="28"/>
  <c r="F53" i="28" s="1"/>
  <c r="E52" i="28"/>
  <c r="F52" i="28" s="1"/>
  <c r="E51" i="28"/>
  <c r="F51" i="28" s="1"/>
  <c r="E47" i="28"/>
  <c r="F47" i="28" s="1"/>
  <c r="E46" i="28"/>
  <c r="F46" i="28" s="1"/>
  <c r="E45" i="28"/>
  <c r="F45" i="28" s="1"/>
  <c r="E44" i="28"/>
  <c r="F44" i="28" s="1"/>
  <c r="E43" i="28"/>
  <c r="F43" i="28" s="1"/>
  <c r="E42" i="28"/>
  <c r="F42" i="28" s="1"/>
  <c r="E41" i="28"/>
  <c r="F41" i="28" s="1"/>
  <c r="E40" i="28"/>
  <c r="F40" i="28" s="1"/>
  <c r="E39" i="28"/>
  <c r="F39" i="28" s="1"/>
  <c r="E35" i="28"/>
  <c r="F35" i="28" s="1"/>
  <c r="E34" i="28"/>
  <c r="F34" i="28" s="1"/>
  <c r="E33" i="28"/>
  <c r="F33" i="28" s="1"/>
  <c r="E32" i="28"/>
  <c r="F32" i="28" s="1"/>
  <c r="E31" i="28"/>
  <c r="F31" i="28" s="1"/>
  <c r="E26" i="28"/>
  <c r="F26" i="28" s="1"/>
  <c r="E25" i="28"/>
  <c r="F25" i="28" s="1"/>
  <c r="E24" i="28"/>
  <c r="F24" i="28" s="1"/>
  <c r="E23" i="28"/>
  <c r="F23" i="28" s="1"/>
  <c r="E22" i="28"/>
  <c r="F22" i="28" s="1"/>
  <c r="E21" i="28"/>
  <c r="F21" i="28" s="1"/>
  <c r="E17" i="28"/>
  <c r="F17" i="28" s="1"/>
  <c r="E16" i="28"/>
  <c r="F16" i="28" s="1"/>
  <c r="E15" i="28"/>
  <c r="F15" i="28" s="1"/>
  <c r="E14" i="28"/>
  <c r="F14" i="28" s="1"/>
  <c r="E13" i="28"/>
  <c r="F13" i="28" s="1"/>
  <c r="E12" i="28"/>
  <c r="F12" i="28" s="1"/>
  <c r="E99" i="27"/>
  <c r="F99" i="27" s="1"/>
  <c r="E98" i="27"/>
  <c r="F98" i="27" s="1"/>
  <c r="E97" i="27"/>
  <c r="F97" i="27" s="1"/>
  <c r="E96" i="27"/>
  <c r="F96" i="27" s="1"/>
  <c r="E95" i="27"/>
  <c r="F95" i="27" s="1"/>
  <c r="E94" i="27"/>
  <c r="F94" i="27" s="1"/>
  <c r="E93" i="27"/>
  <c r="F93" i="27" s="1"/>
  <c r="E89" i="27"/>
  <c r="F89" i="27" s="1"/>
  <c r="E88" i="27"/>
  <c r="F88" i="27" s="1"/>
  <c r="E87" i="27"/>
  <c r="F87" i="27" s="1"/>
  <c r="E86" i="27"/>
  <c r="F86" i="27" s="1"/>
  <c r="E85" i="27"/>
  <c r="F85" i="27" s="1"/>
  <c r="E84" i="27"/>
  <c r="F84" i="27" s="1"/>
  <c r="E80" i="27"/>
  <c r="F80" i="27" s="1"/>
  <c r="E79" i="27"/>
  <c r="F79" i="27" s="1"/>
  <c r="E78" i="27"/>
  <c r="F78" i="27" s="1"/>
  <c r="E77" i="27"/>
  <c r="F77" i="27" s="1"/>
  <c r="E76" i="27"/>
  <c r="F76" i="27" s="1"/>
  <c r="E75" i="27"/>
  <c r="F75" i="27" s="1"/>
  <c r="E71" i="27"/>
  <c r="F71" i="27" s="1"/>
  <c r="E70" i="27"/>
  <c r="F70" i="27" s="1"/>
  <c r="E69" i="27"/>
  <c r="F69" i="27" s="1"/>
  <c r="E68" i="27"/>
  <c r="F68" i="27" s="1"/>
  <c r="E67" i="27"/>
  <c r="F67" i="27" s="1"/>
  <c r="E63" i="27"/>
  <c r="F63" i="27" s="1"/>
  <c r="E62" i="27"/>
  <c r="F62" i="27" s="1"/>
  <c r="E61" i="27"/>
  <c r="F61" i="27" s="1"/>
  <c r="E60" i="27"/>
  <c r="F60" i="27" s="1"/>
  <c r="E59" i="27"/>
  <c r="F59" i="27" s="1"/>
  <c r="E55" i="27"/>
  <c r="F55" i="27" s="1"/>
  <c r="E54" i="27"/>
  <c r="F54" i="27" s="1"/>
  <c r="E53" i="27"/>
  <c r="F53" i="27" s="1"/>
  <c r="E52" i="27"/>
  <c r="F52" i="27" s="1"/>
  <c r="E51" i="27"/>
  <c r="F51" i="27" s="1"/>
  <c r="E47" i="27"/>
  <c r="F47" i="27" s="1"/>
  <c r="E46" i="27"/>
  <c r="F46" i="27" s="1"/>
  <c r="E45" i="27"/>
  <c r="F45" i="27" s="1"/>
  <c r="E44" i="27"/>
  <c r="F44" i="27" s="1"/>
  <c r="E43" i="27"/>
  <c r="F43" i="27" s="1"/>
  <c r="E42" i="27"/>
  <c r="F42" i="27" s="1"/>
  <c r="E41" i="27"/>
  <c r="F41" i="27" s="1"/>
  <c r="F40" i="27"/>
  <c r="E40" i="27"/>
  <c r="E39" i="27"/>
  <c r="F39" i="27" s="1"/>
  <c r="E35" i="27"/>
  <c r="F35" i="27" s="1"/>
  <c r="E34" i="27"/>
  <c r="F34" i="27" s="1"/>
  <c r="E33" i="27"/>
  <c r="F33" i="27" s="1"/>
  <c r="E32" i="27"/>
  <c r="F32" i="27" s="1"/>
  <c r="E31" i="27"/>
  <c r="F31" i="27" s="1"/>
  <c r="E26" i="27"/>
  <c r="F26" i="27" s="1"/>
  <c r="E25" i="27"/>
  <c r="F25" i="27" s="1"/>
  <c r="E24" i="27"/>
  <c r="F24" i="27" s="1"/>
  <c r="E23" i="27"/>
  <c r="F23" i="27" s="1"/>
  <c r="E22" i="27"/>
  <c r="F22" i="27" s="1"/>
  <c r="E21" i="27"/>
  <c r="F21" i="27" s="1"/>
  <c r="E17" i="27"/>
  <c r="F17" i="27" s="1"/>
  <c r="E16" i="27"/>
  <c r="F16" i="27" s="1"/>
  <c r="E15" i="27"/>
  <c r="F15" i="27" s="1"/>
  <c r="E14" i="27"/>
  <c r="F14" i="27" s="1"/>
  <c r="E13" i="27"/>
  <c r="F13" i="27" s="1"/>
  <c r="E12" i="27"/>
  <c r="F12" i="27" s="1"/>
  <c r="E99" i="26"/>
  <c r="F99" i="26" s="1"/>
  <c r="E98" i="26"/>
  <c r="F98" i="26" s="1"/>
  <c r="E97" i="26"/>
  <c r="F97" i="26" s="1"/>
  <c r="E96" i="26"/>
  <c r="F96" i="26" s="1"/>
  <c r="E95" i="26"/>
  <c r="F95" i="26" s="1"/>
  <c r="E94" i="26"/>
  <c r="F94" i="26" s="1"/>
  <c r="E93" i="26"/>
  <c r="F93" i="26" s="1"/>
  <c r="E89" i="26"/>
  <c r="F89" i="26" s="1"/>
  <c r="E88" i="26"/>
  <c r="F88" i="26" s="1"/>
  <c r="E87" i="26"/>
  <c r="F87" i="26" s="1"/>
  <c r="E86" i="26"/>
  <c r="F86" i="26" s="1"/>
  <c r="E85" i="26"/>
  <c r="F85" i="26" s="1"/>
  <c r="E84" i="26"/>
  <c r="F84" i="26" s="1"/>
  <c r="E80" i="26"/>
  <c r="F80" i="26" s="1"/>
  <c r="E79" i="26"/>
  <c r="F79" i="26" s="1"/>
  <c r="E78" i="26"/>
  <c r="F78" i="26" s="1"/>
  <c r="E77" i="26"/>
  <c r="F77" i="26" s="1"/>
  <c r="E76" i="26"/>
  <c r="F76" i="26" s="1"/>
  <c r="E75" i="26"/>
  <c r="F75" i="26" s="1"/>
  <c r="E71" i="26"/>
  <c r="F71" i="26" s="1"/>
  <c r="E70" i="26"/>
  <c r="F70" i="26" s="1"/>
  <c r="E69" i="26"/>
  <c r="F69" i="26" s="1"/>
  <c r="E68" i="26"/>
  <c r="F68" i="26" s="1"/>
  <c r="E67" i="26"/>
  <c r="F67" i="26" s="1"/>
  <c r="E63" i="26"/>
  <c r="F63" i="26" s="1"/>
  <c r="E62" i="26"/>
  <c r="F62" i="26" s="1"/>
  <c r="E61" i="26"/>
  <c r="F61" i="26" s="1"/>
  <c r="E60" i="26"/>
  <c r="F60" i="26" s="1"/>
  <c r="E59" i="26"/>
  <c r="F59" i="26" s="1"/>
  <c r="E55" i="26"/>
  <c r="F55" i="26" s="1"/>
  <c r="E54" i="26"/>
  <c r="F54" i="26" s="1"/>
  <c r="E53" i="26"/>
  <c r="F53" i="26" s="1"/>
  <c r="E52" i="26"/>
  <c r="F52" i="26" s="1"/>
  <c r="E51" i="26"/>
  <c r="F51" i="26" s="1"/>
  <c r="E47" i="26"/>
  <c r="F47" i="26" s="1"/>
  <c r="E46" i="26"/>
  <c r="F46" i="26" s="1"/>
  <c r="E45" i="26"/>
  <c r="F45" i="26" s="1"/>
  <c r="E44" i="26"/>
  <c r="F44" i="26" s="1"/>
  <c r="E43" i="26"/>
  <c r="F43" i="26" s="1"/>
  <c r="E42" i="26"/>
  <c r="F42" i="26" s="1"/>
  <c r="E41" i="26"/>
  <c r="F41" i="26" s="1"/>
  <c r="E40" i="26"/>
  <c r="F40" i="26" s="1"/>
  <c r="E39" i="26"/>
  <c r="F39" i="26" s="1"/>
  <c r="E35" i="26"/>
  <c r="F35" i="26" s="1"/>
  <c r="E34" i="26"/>
  <c r="F34" i="26" s="1"/>
  <c r="E33" i="26"/>
  <c r="F33" i="26" s="1"/>
  <c r="E32" i="26"/>
  <c r="F32" i="26" s="1"/>
  <c r="E31" i="26"/>
  <c r="F31" i="26" s="1"/>
  <c r="E26" i="26"/>
  <c r="F26" i="26" s="1"/>
  <c r="E25" i="26"/>
  <c r="F25" i="26" s="1"/>
  <c r="E24" i="26"/>
  <c r="F24" i="26" s="1"/>
  <c r="E23" i="26"/>
  <c r="F23" i="26" s="1"/>
  <c r="E22" i="26"/>
  <c r="F22" i="26" s="1"/>
  <c r="E21" i="26"/>
  <c r="F21" i="26" s="1"/>
  <c r="E17" i="26"/>
  <c r="F17" i="26" s="1"/>
  <c r="E16" i="26"/>
  <c r="F16" i="26" s="1"/>
  <c r="E15" i="26"/>
  <c r="F15" i="26" s="1"/>
  <c r="E14" i="26"/>
  <c r="F14" i="26" s="1"/>
  <c r="E13" i="26"/>
  <c r="F13" i="26" s="1"/>
  <c r="E12" i="26"/>
  <c r="F12" i="26" s="1"/>
  <c r="F18" i="26" s="1"/>
  <c r="E99" i="25"/>
  <c r="F99" i="25" s="1"/>
  <c r="E98" i="25"/>
  <c r="F98" i="25" s="1"/>
  <c r="E97" i="25"/>
  <c r="F97" i="25" s="1"/>
  <c r="E96" i="25"/>
  <c r="F96" i="25" s="1"/>
  <c r="E95" i="25"/>
  <c r="F95" i="25" s="1"/>
  <c r="E94" i="25"/>
  <c r="F94" i="25" s="1"/>
  <c r="E93" i="25"/>
  <c r="F93" i="25" s="1"/>
  <c r="E89" i="25"/>
  <c r="F89" i="25" s="1"/>
  <c r="E88" i="25"/>
  <c r="F88" i="25" s="1"/>
  <c r="E87" i="25"/>
  <c r="F87" i="25" s="1"/>
  <c r="E86" i="25"/>
  <c r="F86" i="25" s="1"/>
  <c r="E85" i="25"/>
  <c r="F85" i="25" s="1"/>
  <c r="E84" i="25"/>
  <c r="F84" i="25" s="1"/>
  <c r="E80" i="25"/>
  <c r="F80" i="25" s="1"/>
  <c r="E79" i="25"/>
  <c r="F79" i="25" s="1"/>
  <c r="E78" i="25"/>
  <c r="F78" i="25" s="1"/>
  <c r="E77" i="25"/>
  <c r="F77" i="25" s="1"/>
  <c r="E76" i="25"/>
  <c r="F76" i="25" s="1"/>
  <c r="E75" i="25"/>
  <c r="F75" i="25" s="1"/>
  <c r="E71" i="25"/>
  <c r="F71" i="25" s="1"/>
  <c r="E70" i="25"/>
  <c r="F70" i="25" s="1"/>
  <c r="E69" i="25"/>
  <c r="F69" i="25" s="1"/>
  <c r="E68" i="25"/>
  <c r="F68" i="25" s="1"/>
  <c r="E67" i="25"/>
  <c r="F67" i="25" s="1"/>
  <c r="E63" i="25"/>
  <c r="F63" i="25" s="1"/>
  <c r="E62" i="25"/>
  <c r="F62" i="25" s="1"/>
  <c r="E61" i="25"/>
  <c r="F61" i="25" s="1"/>
  <c r="E60" i="25"/>
  <c r="F60" i="25" s="1"/>
  <c r="E59" i="25"/>
  <c r="F59" i="25" s="1"/>
  <c r="E55" i="25"/>
  <c r="F55" i="25" s="1"/>
  <c r="E54" i="25"/>
  <c r="F54" i="25" s="1"/>
  <c r="E53" i="25"/>
  <c r="F53" i="25" s="1"/>
  <c r="E52" i="25"/>
  <c r="F52" i="25" s="1"/>
  <c r="E51" i="25"/>
  <c r="F51" i="25" s="1"/>
  <c r="E47" i="25"/>
  <c r="F47" i="25" s="1"/>
  <c r="E46" i="25"/>
  <c r="F46" i="25" s="1"/>
  <c r="E45" i="25"/>
  <c r="F45" i="25" s="1"/>
  <c r="E44" i="25"/>
  <c r="F44" i="25" s="1"/>
  <c r="E43" i="25"/>
  <c r="F43" i="25" s="1"/>
  <c r="E42" i="25"/>
  <c r="F42" i="25" s="1"/>
  <c r="E41" i="25"/>
  <c r="F41" i="25" s="1"/>
  <c r="E40" i="25"/>
  <c r="F40" i="25" s="1"/>
  <c r="E39" i="25"/>
  <c r="F39" i="25" s="1"/>
  <c r="E35" i="25"/>
  <c r="F35" i="25" s="1"/>
  <c r="E34" i="25"/>
  <c r="F34" i="25" s="1"/>
  <c r="E33" i="25"/>
  <c r="F33" i="25" s="1"/>
  <c r="E32" i="25"/>
  <c r="F32" i="25" s="1"/>
  <c r="E31" i="25"/>
  <c r="F31" i="25" s="1"/>
  <c r="E26" i="25"/>
  <c r="F26" i="25" s="1"/>
  <c r="E25" i="25"/>
  <c r="F25" i="25" s="1"/>
  <c r="E24" i="25"/>
  <c r="F24" i="25" s="1"/>
  <c r="E23" i="25"/>
  <c r="F23" i="25" s="1"/>
  <c r="E22" i="25"/>
  <c r="F22" i="25" s="1"/>
  <c r="E21" i="25"/>
  <c r="F21" i="25" s="1"/>
  <c r="E17" i="25"/>
  <c r="F17" i="25" s="1"/>
  <c r="E16" i="25"/>
  <c r="F16" i="25" s="1"/>
  <c r="E15" i="25"/>
  <c r="F15" i="25" s="1"/>
  <c r="E14" i="25"/>
  <c r="F14" i="25" s="1"/>
  <c r="E13" i="25"/>
  <c r="F13" i="25" s="1"/>
  <c r="E12" i="25"/>
  <c r="F12" i="25" s="1"/>
  <c r="E99" i="24"/>
  <c r="F99" i="24" s="1"/>
  <c r="E98" i="24"/>
  <c r="F98" i="24" s="1"/>
  <c r="E97" i="24"/>
  <c r="F97" i="24" s="1"/>
  <c r="E96" i="24"/>
  <c r="F96" i="24" s="1"/>
  <c r="E95" i="24"/>
  <c r="F95" i="24" s="1"/>
  <c r="E94" i="24"/>
  <c r="F94" i="24" s="1"/>
  <c r="E93" i="24"/>
  <c r="F93" i="24" s="1"/>
  <c r="E89" i="24"/>
  <c r="F89" i="24" s="1"/>
  <c r="E88" i="24"/>
  <c r="F88" i="24" s="1"/>
  <c r="E87" i="24"/>
  <c r="F87" i="24" s="1"/>
  <c r="E86" i="24"/>
  <c r="F86" i="24" s="1"/>
  <c r="E85" i="24"/>
  <c r="F85" i="24" s="1"/>
  <c r="E84" i="24"/>
  <c r="F84" i="24" s="1"/>
  <c r="F90" i="24" s="1"/>
  <c r="E80" i="24"/>
  <c r="F80" i="24" s="1"/>
  <c r="E79" i="24"/>
  <c r="F79" i="24" s="1"/>
  <c r="E78" i="24"/>
  <c r="F78" i="24" s="1"/>
  <c r="E77" i="24"/>
  <c r="F77" i="24" s="1"/>
  <c r="E76" i="24"/>
  <c r="F76" i="24" s="1"/>
  <c r="E75" i="24"/>
  <c r="F75" i="24" s="1"/>
  <c r="F81" i="24" s="1"/>
  <c r="E71" i="24"/>
  <c r="F71" i="24" s="1"/>
  <c r="E70" i="24"/>
  <c r="F70" i="24" s="1"/>
  <c r="E69" i="24"/>
  <c r="F69" i="24" s="1"/>
  <c r="E68" i="24"/>
  <c r="F68" i="24" s="1"/>
  <c r="E67" i="24"/>
  <c r="F67" i="24" s="1"/>
  <c r="F72" i="24" s="1"/>
  <c r="E63" i="24"/>
  <c r="F63" i="24" s="1"/>
  <c r="E62" i="24"/>
  <c r="F62" i="24" s="1"/>
  <c r="E61" i="24"/>
  <c r="F61" i="24" s="1"/>
  <c r="E60" i="24"/>
  <c r="F60" i="24" s="1"/>
  <c r="E59" i="24"/>
  <c r="F59" i="24" s="1"/>
  <c r="E55" i="24"/>
  <c r="F55" i="24" s="1"/>
  <c r="E54" i="24"/>
  <c r="F54" i="24" s="1"/>
  <c r="E53" i="24"/>
  <c r="F53" i="24" s="1"/>
  <c r="E52" i="24"/>
  <c r="F52" i="24" s="1"/>
  <c r="E51" i="24"/>
  <c r="F51" i="24" s="1"/>
  <c r="F56" i="24" s="1"/>
  <c r="E47" i="24"/>
  <c r="F47" i="24" s="1"/>
  <c r="E46" i="24"/>
  <c r="F46" i="24" s="1"/>
  <c r="E45" i="24"/>
  <c r="F45" i="24" s="1"/>
  <c r="E44" i="24"/>
  <c r="F44" i="24" s="1"/>
  <c r="E43" i="24"/>
  <c r="F43" i="24" s="1"/>
  <c r="E42" i="24"/>
  <c r="F42" i="24" s="1"/>
  <c r="E41" i="24"/>
  <c r="F41" i="24" s="1"/>
  <c r="E40" i="24"/>
  <c r="F40" i="24" s="1"/>
  <c r="E39" i="24"/>
  <c r="F39" i="24" s="1"/>
  <c r="E35" i="24"/>
  <c r="F35" i="24" s="1"/>
  <c r="E34" i="24"/>
  <c r="F34" i="24" s="1"/>
  <c r="E33" i="24"/>
  <c r="F33" i="24" s="1"/>
  <c r="E32" i="24"/>
  <c r="F32" i="24" s="1"/>
  <c r="E31" i="24"/>
  <c r="F31" i="24" s="1"/>
  <c r="F36" i="24" s="1"/>
  <c r="E26" i="24"/>
  <c r="F26" i="24" s="1"/>
  <c r="E25" i="24"/>
  <c r="F25" i="24" s="1"/>
  <c r="E24" i="24"/>
  <c r="F24" i="24" s="1"/>
  <c r="E23" i="24"/>
  <c r="F23" i="24" s="1"/>
  <c r="E22" i="24"/>
  <c r="F22" i="24" s="1"/>
  <c r="E21" i="24"/>
  <c r="F21" i="24" s="1"/>
  <c r="E17" i="24"/>
  <c r="F17" i="24" s="1"/>
  <c r="E16" i="24"/>
  <c r="F16" i="24" s="1"/>
  <c r="E15" i="24"/>
  <c r="F15" i="24" s="1"/>
  <c r="E14" i="24"/>
  <c r="F14" i="24" s="1"/>
  <c r="E13" i="24"/>
  <c r="F13" i="24" s="1"/>
  <c r="E12" i="24"/>
  <c r="F12" i="24" s="1"/>
  <c r="F56" i="29" l="1"/>
  <c r="F27" i="27"/>
  <c r="F27" i="25"/>
  <c r="F48" i="25"/>
  <c r="F18" i="24"/>
  <c r="F27" i="24"/>
  <c r="F64" i="24"/>
  <c r="F48" i="24"/>
  <c r="F100" i="24"/>
  <c r="F36" i="29"/>
  <c r="F64" i="29"/>
  <c r="F81" i="29"/>
  <c r="F27" i="29"/>
  <c r="F27" i="28"/>
  <c r="F81" i="28"/>
  <c r="F72" i="28"/>
  <c r="F56" i="27"/>
  <c r="F64" i="27"/>
  <c r="F81" i="27"/>
  <c r="F36" i="26"/>
  <c r="F64" i="26"/>
  <c r="F81" i="26"/>
  <c r="F90" i="25"/>
  <c r="F81" i="25"/>
  <c r="F64" i="25"/>
  <c r="F72" i="25"/>
  <c r="F56" i="25"/>
  <c r="F100" i="29"/>
  <c r="F72" i="29"/>
  <c r="F90" i="29"/>
  <c r="F48" i="29"/>
  <c r="F18" i="29"/>
  <c r="F100" i="28"/>
  <c r="F56" i="28"/>
  <c r="F18" i="28"/>
  <c r="F48" i="28"/>
  <c r="F90" i="28"/>
  <c r="F36" i="28"/>
  <c r="F64" i="28"/>
  <c r="F72" i="27"/>
  <c r="F48" i="27"/>
  <c r="F18" i="27"/>
  <c r="F36" i="27"/>
  <c r="F90" i="27"/>
  <c r="F100" i="27"/>
  <c r="F100" i="26"/>
  <c r="F56" i="26"/>
  <c r="F27" i="26"/>
  <c r="F72" i="26"/>
  <c r="F90" i="26"/>
  <c r="F48" i="26"/>
  <c r="F100" i="25"/>
  <c r="F18" i="25"/>
  <c r="F36" i="25"/>
  <c r="F13" i="22" l="1"/>
  <c r="G13" i="22" s="1"/>
  <c r="F12" i="22"/>
  <c r="G12" i="22" s="1"/>
  <c r="G11" i="22"/>
  <c r="F10" i="22"/>
  <c r="G10" i="22" s="1"/>
  <c r="F13" i="21"/>
  <c r="G13" i="21" s="1"/>
  <c r="F12" i="21"/>
  <c r="G12" i="21" s="1"/>
  <c r="G11" i="21"/>
  <c r="F10" i="21"/>
  <c r="G10" i="21" s="1"/>
  <c r="F13" i="20"/>
  <c r="G13" i="20" s="1"/>
  <c r="F12" i="20"/>
  <c r="G12" i="20" s="1"/>
  <c r="G11" i="20"/>
  <c r="F10" i="20"/>
  <c r="G10" i="20" s="1"/>
  <c r="F13" i="19"/>
  <c r="G13" i="19" s="1"/>
  <c r="F12" i="19"/>
  <c r="G12" i="19" s="1"/>
  <c r="G11" i="19"/>
  <c r="F10" i="19"/>
  <c r="G10" i="19" s="1"/>
  <c r="F13" i="18"/>
  <c r="G13" i="18" s="1"/>
  <c r="F12" i="18"/>
  <c r="G12" i="18" s="1"/>
  <c r="G11" i="18"/>
  <c r="F10" i="18"/>
  <c r="G10" i="18" s="1"/>
  <c r="G11" i="3" l="1"/>
  <c r="F13" i="3" l="1"/>
  <c r="G13" i="3" s="1"/>
  <c r="F12" i="3"/>
  <c r="G12" i="3" s="1"/>
  <c r="F10" i="3"/>
  <c r="G10" i="3" s="1"/>
</calcChain>
</file>

<file path=xl/sharedStrings.xml><?xml version="1.0" encoding="utf-8"?>
<sst xmlns="http://schemas.openxmlformats.org/spreadsheetml/2006/main" count="2336" uniqueCount="850">
  <si>
    <t>OFFERER PROPOSED UNIT
PRICE Enter proposed unit price in this column. Price will automatically copy to the UNIT PRICE cell rounded to two decimal places.</t>
  </si>
  <si>
    <t>EXHIBIT LINE ITEM NUMBERS</t>
  </si>
  <si>
    <t>PROVIDE PRICES FOR FACILITY INVESTMENT - RECURRING WORK - IN ACCORDANCE WITH SPEC ITEM 3</t>
  </si>
  <si>
    <t>ELIN /Sub ELIN</t>
  </si>
  <si>
    <t>Description</t>
  </si>
  <si>
    <t>Quantity</t>
  </si>
  <si>
    <t xml:space="preserve">Unit of Issue </t>
  </si>
  <si>
    <t>Unit Price</t>
  </si>
  <si>
    <t>Total</t>
  </si>
  <si>
    <t>CAC</t>
  </si>
  <si>
    <t>CNRH PHOTOVOLTAIC SYSTEMS MAINTENANCE</t>
  </si>
  <si>
    <t>Emergency Service Orders, Spec Item 3.1.1</t>
  </si>
  <si>
    <t>Urgent Service Orders, Spec item 3.1.2</t>
  </si>
  <si>
    <t>MO</t>
  </si>
  <si>
    <t>Routine Service Orders, Spec Item 3.1.3</t>
  </si>
  <si>
    <t>A</t>
  </si>
  <si>
    <t>Q</t>
  </si>
  <si>
    <t>CNRH SOLAR HOT WATER SYSTEMS MAINTENANCE</t>
  </si>
  <si>
    <t>SA</t>
  </si>
  <si>
    <t>Subtotal - CNRH SOLAR HOT WATER SYSTEMS MAINTENANCE</t>
  </si>
  <si>
    <t>CNRH WATER SYSTEMS MAINTENANCE (Swimming Pools and Water Fountain)</t>
  </si>
  <si>
    <t>Subtotal - CNRH WATER SYSTEMS MAINTENANCE (Swimming Pools and Water Fountain)</t>
  </si>
  <si>
    <t>MCBH PHOTOVOLTAIC SYSTEMS MAINTENANCE</t>
  </si>
  <si>
    <t>Subtotal - MCBH PHOTOVOLTAIC SYSTEMS MAINTENANCE</t>
  </si>
  <si>
    <t>Subtotal - MCBH WATER SYSTEMS MAINTENANCE (Swimming Pools)</t>
  </si>
  <si>
    <t>Subtotal - MWR WATER SYSTEMS MAINTENANCE (Swimming Pools)</t>
  </si>
  <si>
    <t>PACOM - HEMP HARDENED SHELTERS</t>
  </si>
  <si>
    <t>T</t>
  </si>
  <si>
    <t>Subtotal - PACOM - HEMP HARDENED SHELTERS</t>
  </si>
  <si>
    <t>PACOM - HIGH SECURITY DOORS - CAMP H.M. SMITH BUILDING 700</t>
  </si>
  <si>
    <t>Subtotal - PACOM - HIGH SECURITY DOORS - CAMP H.M. SMITH BUILDING 700</t>
  </si>
  <si>
    <t xml:space="preserve">PHNSY - REVERSE OSMOSIS SYSTEMS MAINTENANCE </t>
  </si>
  <si>
    <t xml:space="preserve">Subtotal - PHNSY - REVERSE OSMOSIS SYSTEMS MAINTENANCE </t>
  </si>
  <si>
    <t>SOLICITATION/CONTRACT #N62478-25-D-2431</t>
  </si>
  <si>
    <t>Line Item 0001    Recurring Work - Base Period</t>
  </si>
  <si>
    <t>A001</t>
  </si>
  <si>
    <t>A001AA</t>
  </si>
  <si>
    <t>A001AB</t>
  </si>
  <si>
    <t>A001AC</t>
  </si>
  <si>
    <t>A001AD</t>
  </si>
  <si>
    <t>A001AE</t>
  </si>
  <si>
    <t>A001AF</t>
  </si>
  <si>
    <t>A002</t>
  </si>
  <si>
    <t>A002AA</t>
  </si>
  <si>
    <t>A002AB</t>
  </si>
  <si>
    <t>A002AC</t>
  </si>
  <si>
    <t>A002AD</t>
  </si>
  <si>
    <t>A002AE</t>
  </si>
  <si>
    <t>A003</t>
  </si>
  <si>
    <t>A003AA</t>
  </si>
  <si>
    <t>A003AB</t>
  </si>
  <si>
    <t>A003AC</t>
  </si>
  <si>
    <t>A003AD</t>
  </si>
  <si>
    <t>A003AE</t>
  </si>
  <si>
    <t>A004</t>
  </si>
  <si>
    <t>A004AA</t>
  </si>
  <si>
    <t>A004AB</t>
  </si>
  <si>
    <t>A004AC</t>
  </si>
  <si>
    <t>A004AD</t>
  </si>
  <si>
    <t>A004AE</t>
  </si>
  <si>
    <t>A004AF</t>
  </si>
  <si>
    <t>A004AG</t>
  </si>
  <si>
    <t>A005</t>
  </si>
  <si>
    <t>A005AA</t>
  </si>
  <si>
    <t>A005AB</t>
  </si>
  <si>
    <t>A005AC</t>
  </si>
  <si>
    <t>A005AD</t>
  </si>
  <si>
    <t>A005AE</t>
  </si>
  <si>
    <t>A006</t>
  </si>
  <si>
    <t>A006AA</t>
  </si>
  <si>
    <t>A006AB</t>
  </si>
  <si>
    <t>A006AC</t>
  </si>
  <si>
    <t>A006AD</t>
  </si>
  <si>
    <t>A006AE</t>
  </si>
  <si>
    <t>A007</t>
  </si>
  <si>
    <t>A007AA</t>
  </si>
  <si>
    <t>A007AB</t>
  </si>
  <si>
    <t>A007AC</t>
  </si>
  <si>
    <t>A007AD</t>
  </si>
  <si>
    <t>A008</t>
  </si>
  <si>
    <t>A008AA</t>
  </si>
  <si>
    <t>A008AB</t>
  </si>
  <si>
    <t>A008AC</t>
  </si>
  <si>
    <t>A008AD</t>
  </si>
  <si>
    <t>A008AE</t>
  </si>
  <si>
    <t>A008AF</t>
  </si>
  <si>
    <t>A009</t>
  </si>
  <si>
    <t>A009AA</t>
  </si>
  <si>
    <t>A009AB</t>
  </si>
  <si>
    <t>A009AC</t>
  </si>
  <si>
    <t>A009AD</t>
  </si>
  <si>
    <t>A009AE</t>
  </si>
  <si>
    <t>A010</t>
  </si>
  <si>
    <t>A010AA</t>
  </si>
  <si>
    <t>A010AB</t>
  </si>
  <si>
    <t>A010AC</t>
  </si>
  <si>
    <t>A010AD</t>
  </si>
  <si>
    <t>A010AE</t>
  </si>
  <si>
    <t>A010AF</t>
  </si>
  <si>
    <t>A011</t>
  </si>
  <si>
    <t>A011AA</t>
  </si>
  <si>
    <t>A011AB</t>
  </si>
  <si>
    <t>A011AC</t>
  </si>
  <si>
    <t>A011AD</t>
  </si>
  <si>
    <t>Subtotal - PHNSY -Facility Ventilation Intake and Exhaust Filters and Dust Collector Filter Cartridges</t>
  </si>
  <si>
    <t>A002AF</t>
  </si>
  <si>
    <t>MCBH - WATER SYSTEMS MAINTENANCE (Swimming Pools)</t>
  </si>
  <si>
    <t>PHNSY - FACILITY VENTILATION INTAKE AND EXHAUST FILTERS AND DUST COLLECTOR FILTER CARTRIDGES</t>
  </si>
  <si>
    <t>MWR - WATER SYSTEMS MAINTENANCE (Swimming Pools)</t>
  </si>
  <si>
    <t>A004AH</t>
  </si>
  <si>
    <t>A004AJ</t>
  </si>
  <si>
    <t>A007AE</t>
  </si>
  <si>
    <t>A009AF</t>
  </si>
  <si>
    <t>A012AB</t>
  </si>
  <si>
    <t>TOTAL PRICE FOR CONTRACT LINE ITEM 0001</t>
  </si>
  <si>
    <t>A010AG</t>
  </si>
  <si>
    <t>A012</t>
  </si>
  <si>
    <t>A012AA</t>
  </si>
  <si>
    <t>A012AC</t>
  </si>
  <si>
    <t>A012AD</t>
  </si>
  <si>
    <t xml:space="preserve">Perform Semi-Annual Maintenance and Exhaust Filter Servicing for Buildings 1701 and 1703 only IAW Annex 1502000 Spec Item 3.2.1 and Attachment 1502000-02 </t>
  </si>
  <si>
    <t>CNRH - Uninterruptible Power Supply (UPS)</t>
  </si>
  <si>
    <t>CAMP SMITH UPS - Uninterruptible Power Supply (UPS)</t>
  </si>
  <si>
    <t>Subtotal - CAMP SMITH UPS - Uninterruptible Power Supply (UPS)</t>
  </si>
  <si>
    <t>Subtotal - CNRH - Uninterruptible Power Supply (UPS)</t>
  </si>
  <si>
    <t>ATTACHMENT 0200000-12</t>
  </si>
  <si>
    <t>Provide Triannual Maintenance for HEMP Shelter IAW Annex 1502000 Spec Item 3.2.4 and Attachment 1502000-06</t>
  </si>
  <si>
    <t>Provide Triannual Inspection Service 3x per year IAW Annex 1502000 Spec Item 3.3.2 and Attachment 1502000-06</t>
  </si>
  <si>
    <t>Provide Semi-Annual Maintenance and Repairs for Revolving Doors required to satisfy equipment warranties and keep installed equipment and systems in normal working condition IAW Annex 1502000 Spec Item 3.2.5 and Attachment 1502000-07</t>
  </si>
  <si>
    <t>Provide Semi-Annual Maintenance and Repairs for Circlelock Doors required to satisfy equipment warranties and keep installed equipment and systems in normal working condition IAW Annex 1502000 Spec Item 3.2.5 and Attachment 1502000-07</t>
  </si>
  <si>
    <t>Provide Quarterly Maintenance per Annex 1502000 Spec Item 3.2.6 and Attachments 1502000-08 and 1502000-09</t>
  </si>
  <si>
    <t>Provide Annual Maintenance per Annex 1502000 Spec Item 3.2.6 and Attachments 1502000-08 and 1502000-09</t>
  </si>
  <si>
    <t>Provide Biennial Maintenance per Annex 1502000 Spec Item 3.2.6 and Attachments 1502000-08 and 1502000-09</t>
  </si>
  <si>
    <t>Provide Semi-Annual Maintenance and Repair  Services for Solar Hot Water Systems IAW Annex 1502000 Spec Item 3.2.3. and Attachments 1502000-03 and 1502000-05.</t>
  </si>
  <si>
    <t>Provide Annual Testing, Inspection, and Cleaning IAW Annex 1502000 Spec Item 3.3.1 and Attachments 1502000-03 and 1502000-05</t>
  </si>
  <si>
    <t xml:space="preserve">Provide Recurring Maintenance for Wahiawa Annex Pool IAW Annex 1502000 Spec Item 3.2.2 and Attachments 1502000-03 and 1502000-04 </t>
  </si>
  <si>
    <t>Provide Recurring Maintenance for Towers Pool IAW Annex 1502000 Spec Item 3.2.2 and Attachments 1502000-03 and 1502000-04</t>
  </si>
  <si>
    <t xml:space="preserve">Provide Recurring Maintenance for Scott Pool IAW Annex 1502000 Spec Item 3.2.2 and Attachments 1502000-03 and 1502000-04 </t>
  </si>
  <si>
    <t>Provide Recurring Maintenance for Hickam Training Pool IAW Annex 1502000 Spec Item 3.2.2 and Attachments 1502000-03 and 1502000-04</t>
  </si>
  <si>
    <t xml:space="preserve">Provide Recurring Maintenance for Hickam Family Pool IAW Annex 1502000 Spec Item 3.2.2 and Attachments 1502000-03 and 1502000-04 </t>
  </si>
  <si>
    <t>Provide Recurring Maintenance for Arizona Pool IAW Annex 1502000 Spec Item 3.2.2 and Attachments 1502000-03 and 1502000-04</t>
  </si>
  <si>
    <t xml:space="preserve">Provide Recurring Maintenance for Manana Housing Area Swimming Pool and Wading Pool - Facility No. 840 IAW Annex 1502000 Spec Item 3.2.2 and Attachments 1502000-03 and 1502000-04 </t>
  </si>
  <si>
    <t>Provide Recurring Maintenance for Camp Smith Base Acitivity Swimming Pool - Facility No. 125 IAW Annex 1502000 Spec Item 3.2.2 and Attachments 1502000-03 and 1502000-04</t>
  </si>
  <si>
    <t>Provide Recurring Maintenance for Memorial Fountain - 1695 IAW Annex 1502000 Spec Item 3.2.2 and  Attachments 1502000-03 and 1502000-04</t>
  </si>
  <si>
    <t>Provide Recurring Maintenance for Advanced SEAL Delivery System (ASDS) Facility - Building 995 IAW Annex 1502000 Spec Item 3.2.2 and Attachments 1502000-03 and 1502000-04</t>
  </si>
  <si>
    <t>Provide Recurring Maintenance for Advanced SEAL Delivery System (ASDS) Facility - Building 1062 IAW Annex 1502000 Spec Item 3.2.2 and Attachments 1502000-03 and 1502000-04</t>
  </si>
  <si>
    <t>Perform Reverse Osmosis Annual Maintenance IAW Annex 1502000 Spec Item 3.2.7 and Attachments 1502000-10 and 1502000-11</t>
  </si>
  <si>
    <t>Perform Reverse Osmosis Semi-Annual Maintenance IAW Annex 1502000 Spec Item 3.2.7 and Attachments 1502000-10 and 1502000-11</t>
  </si>
  <si>
    <t>Perform Reverse Osmosis Quarterly Maintenance IAW Annex 1502000 Spec Item 3.2.7 and Attachments 1502000-10 and 1502000-11</t>
  </si>
  <si>
    <t>Perform Reverse Osmosis Monthly Maintenance IAW Annex 1502000 Spec Item 3.2.7 and Attachments 1502000-10 and 1502000-11</t>
  </si>
  <si>
    <t xml:space="preserve">Perform Semiannual Maintenance and Filter Servicing for Building 1704 IAW Annex 1502000 Spec Item 3.2.1 and Attachment 1502000-02. 
</t>
  </si>
  <si>
    <t xml:space="preserve">Perform Annual Maintenance and Filter Servicing for Buildings 1701 and 1703 IAW Annex 1502000 Spec Item 3.2.1 and Attachment 1502000-02
</t>
  </si>
  <si>
    <t>OFFERER
PROPOSED UNIT
PRICE Enter
proposed unit price in this column. Price
will automatically
copy to the UNIT
PRICE cell rounded to two decimal places.</t>
  </si>
  <si>
    <t>PROVIDE PRICES TO PERFORM NONRECURRING WORK IN ACCORDANCE WITH SECTION C, SPEC ITEM 4</t>
  </si>
  <si>
    <t>ELIN</t>
  </si>
  <si>
    <t>Description Extended</t>
  </si>
  <si>
    <t>Est. Qty</t>
  </si>
  <si>
    <t>Unit of Issue</t>
  </si>
  <si>
    <t>Extended Price</t>
  </si>
  <si>
    <t>IMAP CAC</t>
  </si>
  <si>
    <t>A700</t>
  </si>
  <si>
    <t>HR</t>
  </si>
  <si>
    <t>717S</t>
  </si>
  <si>
    <t>A701</t>
  </si>
  <si>
    <t>FILTER MAINT</t>
  </si>
  <si>
    <t>DO</t>
  </si>
  <si>
    <t>A702</t>
  </si>
  <si>
    <t>One Time - Facility Ventilation Intake &amp; Exhaust Filters &amp; Dust Collector Filter Cartridges.  Services equal to one regularly scheduled Recurring Work service.</t>
  </si>
  <si>
    <t>EA</t>
  </si>
  <si>
    <t>A703</t>
  </si>
  <si>
    <t>A704</t>
  </si>
  <si>
    <t xml:space="preserve">LOCKSMITH </t>
  </si>
  <si>
    <t>Providing of key duplication services.  Services shall be same as available to the general public and prices shall be as low or lower than those charged the Contractor’s most favored customer for comparable quantities under similar terms and conditions, in addition to any discounts for prompt payment.</t>
  </si>
  <si>
    <t>(Enter this amount into Section B, Item No. 0002, Net Amount)</t>
  </si>
  <si>
    <t>SOLICITATION/CONTRACT #  N62478-25-R-2431</t>
  </si>
  <si>
    <t>Line Item 0002    Nonrecurring Work- Base Period</t>
  </si>
  <si>
    <t>ATTACHMENT 0200000-13</t>
  </si>
  <si>
    <t>EXHIBIT B - CLIN 9001</t>
  </si>
  <si>
    <t>Line Item 0003    Recurring Work - Option Period One</t>
  </si>
  <si>
    <t>B001</t>
  </si>
  <si>
    <t>B001AA</t>
  </si>
  <si>
    <t>B001AB</t>
  </si>
  <si>
    <t>B001AC</t>
  </si>
  <si>
    <t>B001AD</t>
  </si>
  <si>
    <t>B001AE</t>
  </si>
  <si>
    <t>B001AF</t>
  </si>
  <si>
    <t>B002</t>
  </si>
  <si>
    <t>B002AA</t>
  </si>
  <si>
    <t>B002AB</t>
  </si>
  <si>
    <t>B002AC</t>
  </si>
  <si>
    <t>B002AD</t>
  </si>
  <si>
    <t>B002AE</t>
  </si>
  <si>
    <t>B002AF</t>
  </si>
  <si>
    <t>B003</t>
  </si>
  <si>
    <t>B003AA</t>
  </si>
  <si>
    <t>B003AB</t>
  </si>
  <si>
    <t>B003AC</t>
  </si>
  <si>
    <t>B003AD</t>
  </si>
  <si>
    <t>B003AE</t>
  </si>
  <si>
    <t>B004</t>
  </si>
  <si>
    <t>B004AA</t>
  </si>
  <si>
    <t>B004AB</t>
  </si>
  <si>
    <t>B004AC</t>
  </si>
  <si>
    <t>B004AD</t>
  </si>
  <si>
    <t>B004AE</t>
  </si>
  <si>
    <t>B004AF</t>
  </si>
  <si>
    <t>B004AG</t>
  </si>
  <si>
    <t>B004AH</t>
  </si>
  <si>
    <t>B004AJ</t>
  </si>
  <si>
    <t>B005</t>
  </si>
  <si>
    <t>B005AA</t>
  </si>
  <si>
    <t>B005AB</t>
  </si>
  <si>
    <t>B005AC</t>
  </si>
  <si>
    <t>B005AD</t>
  </si>
  <si>
    <t>B005AE</t>
  </si>
  <si>
    <t>B006</t>
  </si>
  <si>
    <t>B006AA</t>
  </si>
  <si>
    <t>B006AB</t>
  </si>
  <si>
    <t>B006AC</t>
  </si>
  <si>
    <t>B006AD</t>
  </si>
  <si>
    <t>B006AE</t>
  </si>
  <si>
    <t>B007</t>
  </si>
  <si>
    <t>B007AA</t>
  </si>
  <si>
    <t>B007AB</t>
  </si>
  <si>
    <t>B007AC</t>
  </si>
  <si>
    <t>B007AD</t>
  </si>
  <si>
    <t>B007AE</t>
  </si>
  <si>
    <t>B008</t>
  </si>
  <si>
    <t>B008AA</t>
  </si>
  <si>
    <t>B008AB</t>
  </si>
  <si>
    <t>B008AC</t>
  </si>
  <si>
    <t>B008AD</t>
  </si>
  <si>
    <t>B008AE</t>
  </si>
  <si>
    <t>B008AF</t>
  </si>
  <si>
    <t>B009</t>
  </si>
  <si>
    <t>B009AA</t>
  </si>
  <si>
    <t>B009AB</t>
  </si>
  <si>
    <t>B009AC</t>
  </si>
  <si>
    <t>B009AD</t>
  </si>
  <si>
    <t>B009AE</t>
  </si>
  <si>
    <t>B009AF</t>
  </si>
  <si>
    <t>B010</t>
  </si>
  <si>
    <t>B010AA</t>
  </si>
  <si>
    <t>B010AB</t>
  </si>
  <si>
    <t>B010AC</t>
  </si>
  <si>
    <t>B010AD</t>
  </si>
  <si>
    <t>B010AE</t>
  </si>
  <si>
    <t>B010AF</t>
  </si>
  <si>
    <t>B010AG</t>
  </si>
  <si>
    <t>B011</t>
  </si>
  <si>
    <t>B011AA</t>
  </si>
  <si>
    <t>B011AB</t>
  </si>
  <si>
    <t>B011AC</t>
  </si>
  <si>
    <t>B011AD</t>
  </si>
  <si>
    <t>B012</t>
  </si>
  <si>
    <t>B012AA</t>
  </si>
  <si>
    <t>B012AB</t>
  </si>
  <si>
    <t>B012AC</t>
  </si>
  <si>
    <t>B012AD</t>
  </si>
  <si>
    <t>EXHIBIT A - CLIN 9000</t>
  </si>
  <si>
    <t>Line Item 0004    Nonrecurring Work- Option Period One</t>
  </si>
  <si>
    <t>B700</t>
  </si>
  <si>
    <t>B701</t>
  </si>
  <si>
    <t>B702</t>
  </si>
  <si>
    <t>B703</t>
  </si>
  <si>
    <t>(Enter this amount into Section B, Item No. 0004, Net Amount)</t>
  </si>
  <si>
    <t>ATTACHMENT 0200000-17</t>
  </si>
  <si>
    <t>F001</t>
  </si>
  <si>
    <t>F001AA</t>
  </si>
  <si>
    <t>F001AB</t>
  </si>
  <si>
    <t>F001AC</t>
  </si>
  <si>
    <t>F001AD</t>
  </si>
  <si>
    <t>F001AE</t>
  </si>
  <si>
    <t>F001AF</t>
  </si>
  <si>
    <t>F002</t>
  </si>
  <si>
    <t>F002AA</t>
  </si>
  <si>
    <t>F002AB</t>
  </si>
  <si>
    <t>F002AC</t>
  </si>
  <si>
    <t>F002AD</t>
  </si>
  <si>
    <t>F002AE</t>
  </si>
  <si>
    <t>F002AF</t>
  </si>
  <si>
    <t>F003</t>
  </si>
  <si>
    <t>F003AA</t>
  </si>
  <si>
    <t>F003AB</t>
  </si>
  <si>
    <t>F003AC</t>
  </si>
  <si>
    <t>F003AD</t>
  </si>
  <si>
    <t>F003AE</t>
  </si>
  <si>
    <t>F004</t>
  </si>
  <si>
    <t>F004AA</t>
  </si>
  <si>
    <t>F004AB</t>
  </si>
  <si>
    <t>F004AC</t>
  </si>
  <si>
    <t>F004AD</t>
  </si>
  <si>
    <t>F004AE</t>
  </si>
  <si>
    <t>F004AF</t>
  </si>
  <si>
    <t>F004AG</t>
  </si>
  <si>
    <t>F004AH</t>
  </si>
  <si>
    <t>F004AJ</t>
  </si>
  <si>
    <t>F005</t>
  </si>
  <si>
    <t>F005AA</t>
  </si>
  <si>
    <t>F005AB</t>
  </si>
  <si>
    <t>F005AC</t>
  </si>
  <si>
    <t>F005AD</t>
  </si>
  <si>
    <t>F005AE</t>
  </si>
  <si>
    <t>F006</t>
  </si>
  <si>
    <t>F006AA</t>
  </si>
  <si>
    <t>F006AB</t>
  </si>
  <si>
    <t>F006AC</t>
  </si>
  <si>
    <t>F006AD</t>
  </si>
  <si>
    <t>F006AE</t>
  </si>
  <si>
    <t>F007</t>
  </si>
  <si>
    <t>F007AA</t>
  </si>
  <si>
    <t>F007AB</t>
  </si>
  <si>
    <t>F007AC</t>
  </si>
  <si>
    <t>F007AD</t>
  </si>
  <si>
    <t>F007AE</t>
  </si>
  <si>
    <t>F008</t>
  </si>
  <si>
    <t>F008AA</t>
  </si>
  <si>
    <t>F008AB</t>
  </si>
  <si>
    <t>F008AC</t>
  </si>
  <si>
    <t>F008AD</t>
  </si>
  <si>
    <t>F008AE</t>
  </si>
  <si>
    <t>F008AF</t>
  </si>
  <si>
    <t>F009</t>
  </si>
  <si>
    <t>F009AA</t>
  </si>
  <si>
    <t>F009AB</t>
  </si>
  <si>
    <t>F009AC</t>
  </si>
  <si>
    <t>F009AD</t>
  </si>
  <si>
    <t>F009AE</t>
  </si>
  <si>
    <t>F009AF</t>
  </si>
  <si>
    <t>F010</t>
  </si>
  <si>
    <t>F010AA</t>
  </si>
  <si>
    <t>F010AB</t>
  </si>
  <si>
    <t>F010AC</t>
  </si>
  <si>
    <t>F010AD</t>
  </si>
  <si>
    <t>F010AE</t>
  </si>
  <si>
    <t>F010AF</t>
  </si>
  <si>
    <t>F010AG</t>
  </si>
  <si>
    <t>F011</t>
  </si>
  <si>
    <t>F011AA</t>
  </si>
  <si>
    <t>F011AB</t>
  </si>
  <si>
    <t>F011AC</t>
  </si>
  <si>
    <t>F011AD</t>
  </si>
  <si>
    <t>F012</t>
  </si>
  <si>
    <t>F012AA</t>
  </si>
  <si>
    <t>F012AB</t>
  </si>
  <si>
    <t>F012AC</t>
  </si>
  <si>
    <t>F012AD</t>
  </si>
  <si>
    <t>TOTAL PRICE FOR CONTRACT LINE ITEM 0011</t>
  </si>
  <si>
    <t>ATTACHMENT 0200000-16</t>
  </si>
  <si>
    <t>Line Item 0009    Recurring Work - Option Period Four</t>
  </si>
  <si>
    <t>E001</t>
  </si>
  <si>
    <t>E001AA</t>
  </si>
  <si>
    <t>E001AB</t>
  </si>
  <si>
    <t>E001AC</t>
  </si>
  <si>
    <t>E001AD</t>
  </si>
  <si>
    <t>E001AE</t>
  </si>
  <si>
    <t>E001AF</t>
  </si>
  <si>
    <t>E002</t>
  </si>
  <si>
    <t>E002AA</t>
  </si>
  <si>
    <t>E002AB</t>
  </si>
  <si>
    <t>E002AC</t>
  </si>
  <si>
    <t>E002AD</t>
  </si>
  <si>
    <t>E002AE</t>
  </si>
  <si>
    <t>E002AF</t>
  </si>
  <si>
    <t>E003</t>
  </si>
  <si>
    <t>E003AA</t>
  </si>
  <si>
    <t>E003AB</t>
  </si>
  <si>
    <t>E003AC</t>
  </si>
  <si>
    <t>E003AD</t>
  </si>
  <si>
    <t>E003AE</t>
  </si>
  <si>
    <t>E004</t>
  </si>
  <si>
    <t>E004AA</t>
  </si>
  <si>
    <t>E004AB</t>
  </si>
  <si>
    <t>E004AC</t>
  </si>
  <si>
    <t>E004AD</t>
  </si>
  <si>
    <t>E004AE</t>
  </si>
  <si>
    <t>E004AF</t>
  </si>
  <si>
    <t>E004AG</t>
  </si>
  <si>
    <t>E004AH</t>
  </si>
  <si>
    <t>E004AJ</t>
  </si>
  <si>
    <t>E005</t>
  </si>
  <si>
    <t>E005AA</t>
  </si>
  <si>
    <t>E005AB</t>
  </si>
  <si>
    <t>E005AC</t>
  </si>
  <si>
    <t>E005AD</t>
  </si>
  <si>
    <t>E005AE</t>
  </si>
  <si>
    <t>E006</t>
  </si>
  <si>
    <t>E006AA</t>
  </si>
  <si>
    <t>E006AB</t>
  </si>
  <si>
    <t>E006AC</t>
  </si>
  <si>
    <t>E006AD</t>
  </si>
  <si>
    <t>E006AE</t>
  </si>
  <si>
    <t>E007</t>
  </si>
  <si>
    <t>E007AA</t>
  </si>
  <si>
    <t>E007AB</t>
  </si>
  <si>
    <t>E007AC</t>
  </si>
  <si>
    <t>E007AD</t>
  </si>
  <si>
    <t>E007AE</t>
  </si>
  <si>
    <t>E008</t>
  </si>
  <si>
    <t>E008AA</t>
  </si>
  <si>
    <t>E008AB</t>
  </si>
  <si>
    <t>E008AC</t>
  </si>
  <si>
    <t>E008AD</t>
  </si>
  <si>
    <t>E008AE</t>
  </si>
  <si>
    <t>E008AF</t>
  </si>
  <si>
    <t>E009</t>
  </si>
  <si>
    <t>E009AA</t>
  </si>
  <si>
    <t>E009AB</t>
  </si>
  <si>
    <t>E009AC</t>
  </si>
  <si>
    <t>E009AD</t>
  </si>
  <si>
    <t>E009AE</t>
  </si>
  <si>
    <t>E009AF</t>
  </si>
  <si>
    <t>E010</t>
  </si>
  <si>
    <t>E010AA</t>
  </si>
  <si>
    <t>E010AB</t>
  </si>
  <si>
    <t>E010AC</t>
  </si>
  <si>
    <t>E010AD</t>
  </si>
  <si>
    <t>E010AE</t>
  </si>
  <si>
    <t>E010AF</t>
  </si>
  <si>
    <t>E010AG</t>
  </si>
  <si>
    <t>E011</t>
  </si>
  <si>
    <t>E011AA</t>
  </si>
  <si>
    <t>E011AB</t>
  </si>
  <si>
    <t>E011AC</t>
  </si>
  <si>
    <t>E011AD</t>
  </si>
  <si>
    <t>E012</t>
  </si>
  <si>
    <t>E012AA</t>
  </si>
  <si>
    <t>E012AB</t>
  </si>
  <si>
    <t>E012AC</t>
  </si>
  <si>
    <t>E012AD</t>
  </si>
  <si>
    <t>TOTAL PRICE FOR CONTRACT LINE ITEM 0009</t>
  </si>
  <si>
    <t>ATTACHMENT 0200000-15</t>
  </si>
  <si>
    <t>D001</t>
  </si>
  <si>
    <t>D001AA</t>
  </si>
  <si>
    <t>D001AB</t>
  </si>
  <si>
    <t>D001AC</t>
  </si>
  <si>
    <t>D001AD</t>
  </si>
  <si>
    <t>D001AE</t>
  </si>
  <si>
    <t>D001AF</t>
  </si>
  <si>
    <t>D002</t>
  </si>
  <si>
    <t>D002AA</t>
  </si>
  <si>
    <t>D002AB</t>
  </si>
  <si>
    <t>D002AC</t>
  </si>
  <si>
    <t>D002AD</t>
  </si>
  <si>
    <t>D002AE</t>
  </si>
  <si>
    <t>D002AF</t>
  </si>
  <si>
    <t>D003</t>
  </si>
  <si>
    <t>D003AA</t>
  </si>
  <si>
    <t>D003AB</t>
  </si>
  <si>
    <t>D003AC</t>
  </si>
  <si>
    <t>D003AD</t>
  </si>
  <si>
    <t>D003AE</t>
  </si>
  <si>
    <t>D004</t>
  </si>
  <si>
    <t>D004AA</t>
  </si>
  <si>
    <t>D004AB</t>
  </si>
  <si>
    <t>D004AC</t>
  </si>
  <si>
    <t>D004AD</t>
  </si>
  <si>
    <t>D004AE</t>
  </si>
  <si>
    <t>D004AF</t>
  </si>
  <si>
    <t>D004AG</t>
  </si>
  <si>
    <t>D004AH</t>
  </si>
  <si>
    <t>D004AJ</t>
  </si>
  <si>
    <t>D005</t>
  </si>
  <si>
    <t>D005AA</t>
  </si>
  <si>
    <t>D005AB</t>
  </si>
  <si>
    <t>D005AC</t>
  </si>
  <si>
    <t>D005AD</t>
  </si>
  <si>
    <t>D005AE</t>
  </si>
  <si>
    <t>D006</t>
  </si>
  <si>
    <t>D006AA</t>
  </si>
  <si>
    <t>D006AB</t>
  </si>
  <si>
    <t>D006AC</t>
  </si>
  <si>
    <t>D006AD</t>
  </si>
  <si>
    <t>D006AE</t>
  </si>
  <si>
    <t>D007</t>
  </si>
  <si>
    <t>D007AA</t>
  </si>
  <si>
    <t>D007AB</t>
  </si>
  <si>
    <t>D007AC</t>
  </si>
  <si>
    <t>D007AD</t>
  </si>
  <si>
    <t>D007AE</t>
  </si>
  <si>
    <t>D008</t>
  </si>
  <si>
    <t>D008AA</t>
  </si>
  <si>
    <t>D008AB</t>
  </si>
  <si>
    <t>D008AC</t>
  </si>
  <si>
    <t>D008AD</t>
  </si>
  <si>
    <t>D008AE</t>
  </si>
  <si>
    <t>D008AF</t>
  </si>
  <si>
    <t>D009</t>
  </si>
  <si>
    <t>D009AA</t>
  </si>
  <si>
    <t>D009AB</t>
  </si>
  <si>
    <t>D009AC</t>
  </si>
  <si>
    <t>D009AD</t>
  </si>
  <si>
    <t>D009AE</t>
  </si>
  <si>
    <t>D009AF</t>
  </si>
  <si>
    <t>D010</t>
  </si>
  <si>
    <t>D010AA</t>
  </si>
  <si>
    <t>D010AB</t>
  </si>
  <si>
    <t>D010AC</t>
  </si>
  <si>
    <t>D010AD</t>
  </si>
  <si>
    <t>D010AE</t>
  </si>
  <si>
    <t>D010AF</t>
  </si>
  <si>
    <t>D010AG</t>
  </si>
  <si>
    <t>D011</t>
  </si>
  <si>
    <t>D011AA</t>
  </si>
  <si>
    <t>D011AB</t>
  </si>
  <si>
    <t>D011AC</t>
  </si>
  <si>
    <t>D011AD</t>
  </si>
  <si>
    <t>D012</t>
  </si>
  <si>
    <t>D012AA</t>
  </si>
  <si>
    <t>D012AB</t>
  </si>
  <si>
    <t>D012AC</t>
  </si>
  <si>
    <t>D012AD</t>
  </si>
  <si>
    <t>TOTAL PRICE FOR CONTRACT LINE ITEM 0007</t>
  </si>
  <si>
    <t>Line Item 0007    Recurring Work - Option Period Three</t>
  </si>
  <si>
    <t>Line Item 0005    Recurring Work - Option Period Two</t>
  </si>
  <si>
    <t>ATTACHMENT 0200000-14</t>
  </si>
  <si>
    <t>EXHIBIT C - CLIN 9002</t>
  </si>
  <si>
    <t>C001</t>
  </si>
  <si>
    <t>C001AA</t>
  </si>
  <si>
    <t>C001AB</t>
  </si>
  <si>
    <t>C001AC</t>
  </si>
  <si>
    <t>C001AD</t>
  </si>
  <si>
    <t>C001AE</t>
  </si>
  <si>
    <t>C001AF</t>
  </si>
  <si>
    <t>C002</t>
  </si>
  <si>
    <t>C002AA</t>
  </si>
  <si>
    <t>C002AB</t>
  </si>
  <si>
    <t>C002AC</t>
  </si>
  <si>
    <t>C002AD</t>
  </si>
  <si>
    <t>C002AE</t>
  </si>
  <si>
    <t>C002AF</t>
  </si>
  <si>
    <t>C003</t>
  </si>
  <si>
    <t>C003AA</t>
  </si>
  <si>
    <t>C003AB</t>
  </si>
  <si>
    <t>C003AC</t>
  </si>
  <si>
    <t>C003AD</t>
  </si>
  <si>
    <t>C003AE</t>
  </si>
  <si>
    <t>C004</t>
  </si>
  <si>
    <t>C004AA</t>
  </si>
  <si>
    <t>C004AB</t>
  </si>
  <si>
    <t>C004AC</t>
  </si>
  <si>
    <t>C004AD</t>
  </si>
  <si>
    <t>C004AE</t>
  </si>
  <si>
    <t>C004AF</t>
  </si>
  <si>
    <t>C004AG</t>
  </si>
  <si>
    <t>C004AH</t>
  </si>
  <si>
    <t>C004AJ</t>
  </si>
  <si>
    <t>C005</t>
  </si>
  <si>
    <t>C005AA</t>
  </si>
  <si>
    <t>C005AB</t>
  </si>
  <si>
    <t>C005AC</t>
  </si>
  <si>
    <t>C005AD</t>
  </si>
  <si>
    <t>C005AE</t>
  </si>
  <si>
    <t>C006</t>
  </si>
  <si>
    <t>C006AA</t>
  </si>
  <si>
    <t>C006AB</t>
  </si>
  <si>
    <t>C006AC</t>
  </si>
  <si>
    <t>C006AD</t>
  </si>
  <si>
    <t>C006AE</t>
  </si>
  <si>
    <t>C007</t>
  </si>
  <si>
    <t>C007AA</t>
  </si>
  <si>
    <t>C007AB</t>
  </si>
  <si>
    <t>C007AC</t>
  </si>
  <si>
    <t>C007AD</t>
  </si>
  <si>
    <t>C007AE</t>
  </si>
  <si>
    <t>C008</t>
  </si>
  <si>
    <t>C008AA</t>
  </si>
  <si>
    <t>C008AB</t>
  </si>
  <si>
    <t>C008AC</t>
  </si>
  <si>
    <t>C008AD</t>
  </si>
  <si>
    <t>C008AE</t>
  </si>
  <si>
    <t>C008AF</t>
  </si>
  <si>
    <t>C009</t>
  </si>
  <si>
    <t>C009AA</t>
  </si>
  <si>
    <t>C009AB</t>
  </si>
  <si>
    <t>C009AC</t>
  </si>
  <si>
    <t>C009AD</t>
  </si>
  <si>
    <t>C009AE</t>
  </si>
  <si>
    <t>C009AF</t>
  </si>
  <si>
    <t>C010</t>
  </si>
  <si>
    <t>C010AA</t>
  </si>
  <si>
    <t>C010AB</t>
  </si>
  <si>
    <t>C010AC</t>
  </si>
  <si>
    <t>C010AD</t>
  </si>
  <si>
    <t>C010AE</t>
  </si>
  <si>
    <t>C010AF</t>
  </si>
  <si>
    <t>C010AG</t>
  </si>
  <si>
    <t>C011</t>
  </si>
  <si>
    <t>C011AA</t>
  </si>
  <si>
    <t>C011AB</t>
  </si>
  <si>
    <t>C011AC</t>
  </si>
  <si>
    <t>C011AD</t>
  </si>
  <si>
    <t>C012</t>
  </si>
  <si>
    <t>C012AA</t>
  </si>
  <si>
    <t>C012AB</t>
  </si>
  <si>
    <t>C012AC</t>
  </si>
  <si>
    <t>C012AD</t>
  </si>
  <si>
    <t>TOTAL PRICE FOR CONTRACT LINE ITEM 0005</t>
  </si>
  <si>
    <t>EXHIBIT D - CLIN 9003</t>
  </si>
  <si>
    <t>EXHIBIT E - CLIN 9004</t>
  </si>
  <si>
    <t>Line Item 0006    Nonrecurring Work- Option Period Two</t>
  </si>
  <si>
    <t>C700</t>
  </si>
  <si>
    <t>C701</t>
  </si>
  <si>
    <t>C702</t>
  </si>
  <si>
    <t>C703</t>
  </si>
  <si>
    <t>(Enter this amount into Section B, Item No. 0006, Net Amount)</t>
  </si>
  <si>
    <t>(Enter this amount into Section B, Item No. 0008, Net Amount)</t>
  </si>
  <si>
    <t>Line Item 0008    Nonrecurring Work- Option Period Three</t>
  </si>
  <si>
    <t>D700</t>
  </si>
  <si>
    <t>D701</t>
  </si>
  <si>
    <t>D702</t>
  </si>
  <si>
    <t>D703</t>
  </si>
  <si>
    <t>E700</t>
  </si>
  <si>
    <t>E701</t>
  </si>
  <si>
    <t>E702</t>
  </si>
  <si>
    <t>E703</t>
  </si>
  <si>
    <t>(Enter this amount into Section B, Item No. 0010, Net Amount)</t>
  </si>
  <si>
    <t>(Enter this amount into Section B, Item No. 0012, Net Amount)</t>
  </si>
  <si>
    <t>EXHIBIT F - CLIN 9005</t>
  </si>
  <si>
    <t>F700</t>
  </si>
  <si>
    <t>F701</t>
  </si>
  <si>
    <t>F702</t>
  </si>
  <si>
    <t>F703</t>
  </si>
  <si>
    <t>Unit Priced Labor Hour Work - MUST BE NEGOTIATED BY KO</t>
  </si>
  <si>
    <t>Direct Material and Construction Equipment -MUST BE NEGOTIATED BY KO</t>
  </si>
  <si>
    <t>The Contractor shall perform all UPL work in accordance with the scope and delivery schedule negotiated per each task order.  
Refer to: Annex 0200000 Managmenent and Administration, Specification Items 2.15.2 Unit Priced Labor (UPL)Work (Negotiated) for description of UPL Work and 2.15.2.1.1 Labor Requirements.
Refer to: Annex 0200000 Managmenent and Administration, Attachment 0200000-01 - Definitions and Acronyms for description of Unit Priced Labor  (UPL) Hour.
Task order completion times will be specified on each task order.</t>
  </si>
  <si>
    <t>The Contractor shall provide all materials and construction equipment to perform Unit Priced Labor work per the scope and delivery schedule specified in the order.  
Refer to: Annex 0200000 Managmenent and Administration, Specification Items 2.15.2 Unit Priced Labor (UPL)Work (Negotiated) for description of UPL Work and 2.15.2.1.2 Direct Material and Construction Equipment Requirements.
Refer to: Annex 0200000 Managmenent and Administration, Attachment 0200000-01 - Definitions and Acronyms for description of Direct Material Costs and Construction Equipment.
Task order completion times will be specified on each task order.</t>
  </si>
  <si>
    <t>Line Item 0010    Nonrecurring Work- Option Period Four</t>
  </si>
  <si>
    <t>Line Item 0012    Nonrecurring Work- Option To Extend Services</t>
  </si>
  <si>
    <t>Line Item 0011    Recurring Work - Option To Extend Services</t>
  </si>
  <si>
    <t>TOTAL PRICE FOR CONTRACT LINE ITEM 0003</t>
  </si>
  <si>
    <t>A013</t>
  </si>
  <si>
    <t>A013AA</t>
  </si>
  <si>
    <t>A013AB</t>
  </si>
  <si>
    <t>A013AC</t>
  </si>
  <si>
    <t>A013AD</t>
  </si>
  <si>
    <t>CNRH - Interior and Exterior Lighting</t>
  </si>
  <si>
    <t>Subtotal - CNRH -  Interior and Exterior Lighting</t>
  </si>
  <si>
    <t>A014</t>
  </si>
  <si>
    <t>A014AA</t>
  </si>
  <si>
    <t>A014AB</t>
  </si>
  <si>
    <t>A014AC</t>
  </si>
  <si>
    <t>A014AD</t>
  </si>
  <si>
    <t>PHNSY &amp; IMF - Interior and Exterior Lighting</t>
  </si>
  <si>
    <t>Subtotal - PHNSY &amp; IMF -  Interior and Exterior Lighting</t>
  </si>
  <si>
    <t>A015</t>
  </si>
  <si>
    <t>A015AA</t>
  </si>
  <si>
    <t>A015AB</t>
  </si>
  <si>
    <t>A015AC</t>
  </si>
  <si>
    <t>A015AD</t>
  </si>
  <si>
    <t>Subtotal - NIWC PAC-  Interior and Exterior Lighting</t>
  </si>
  <si>
    <t>NAVAL INFORMATION WARFARE CENTER PACIFIC- Interior and Exterior Lighting</t>
  </si>
  <si>
    <t>B013</t>
  </si>
  <si>
    <t>B013AA</t>
  </si>
  <si>
    <t>B013AB</t>
  </si>
  <si>
    <t>B013AC</t>
  </si>
  <si>
    <t>B013AD</t>
  </si>
  <si>
    <t>B014</t>
  </si>
  <si>
    <t>B014AA</t>
  </si>
  <si>
    <t>B014AB</t>
  </si>
  <si>
    <t>B014AC</t>
  </si>
  <si>
    <t>B014AD</t>
  </si>
  <si>
    <t>B015</t>
  </si>
  <si>
    <t>B015AA</t>
  </si>
  <si>
    <t>B015AB</t>
  </si>
  <si>
    <t>B015AC</t>
  </si>
  <si>
    <t>B015AD</t>
  </si>
  <si>
    <t>D013</t>
  </si>
  <si>
    <t>D013AA</t>
  </si>
  <si>
    <t>D013AB</t>
  </si>
  <si>
    <t>D013AC</t>
  </si>
  <si>
    <t>D013AD</t>
  </si>
  <si>
    <t>D014</t>
  </si>
  <si>
    <t>D014AA</t>
  </si>
  <si>
    <t>D014AB</t>
  </si>
  <si>
    <t>D014AC</t>
  </si>
  <si>
    <t>D014AD</t>
  </si>
  <si>
    <t>D015</t>
  </si>
  <si>
    <t>D015AA</t>
  </si>
  <si>
    <t>D015AB</t>
  </si>
  <si>
    <t>D015AC</t>
  </si>
  <si>
    <t>D015AD</t>
  </si>
  <si>
    <t>C013</t>
  </si>
  <si>
    <t>C013AA</t>
  </si>
  <si>
    <t>C013AB</t>
  </si>
  <si>
    <t>C013AC</t>
  </si>
  <si>
    <t>C013AD</t>
  </si>
  <si>
    <t>C014</t>
  </si>
  <si>
    <t>C014AA</t>
  </si>
  <si>
    <t>C014AB</t>
  </si>
  <si>
    <t>C014AC</t>
  </si>
  <si>
    <t>C014AD</t>
  </si>
  <si>
    <t>C015</t>
  </si>
  <si>
    <t>C015AA</t>
  </si>
  <si>
    <t>C015AB</t>
  </si>
  <si>
    <t>C015AC</t>
  </si>
  <si>
    <t>C015AD</t>
  </si>
  <si>
    <t>E013</t>
  </si>
  <si>
    <t>E013AA</t>
  </si>
  <si>
    <t>E013AB</t>
  </si>
  <si>
    <t>E013AC</t>
  </si>
  <si>
    <t>E013AD</t>
  </si>
  <si>
    <t>E014</t>
  </si>
  <si>
    <t>E014AA</t>
  </si>
  <si>
    <t>E014AB</t>
  </si>
  <si>
    <t>E014AC</t>
  </si>
  <si>
    <t>E014AD</t>
  </si>
  <si>
    <t>E015</t>
  </si>
  <si>
    <t>E015AA</t>
  </si>
  <si>
    <t>E015AB</t>
  </si>
  <si>
    <t>E015AC</t>
  </si>
  <si>
    <t>E015AD</t>
  </si>
  <si>
    <t>F013</t>
  </si>
  <si>
    <t>F013AA</t>
  </si>
  <si>
    <t>F013AB</t>
  </si>
  <si>
    <t>F013AC</t>
  </si>
  <si>
    <t>F013AD</t>
  </si>
  <si>
    <t>F014</t>
  </si>
  <si>
    <t>F014AA</t>
  </si>
  <si>
    <t>F014AB</t>
  </si>
  <si>
    <t>F014AC</t>
  </si>
  <si>
    <t>F014AD</t>
  </si>
  <si>
    <t>F015</t>
  </si>
  <si>
    <t>F015AA</t>
  </si>
  <si>
    <t>F015AB</t>
  </si>
  <si>
    <t>F015AC</t>
  </si>
  <si>
    <t>F015AD</t>
  </si>
  <si>
    <t>Perform Corrective Maintenance UPS IAW Annex 1502000 Spec Item 3.4.1 and Attachment 1502000-13</t>
  </si>
  <si>
    <t>Subtotal - CNRH - PHOTOVOLTAIC SYSTEMS MAINTENANCE</t>
  </si>
  <si>
    <t>A016</t>
  </si>
  <si>
    <t>A016AA</t>
  </si>
  <si>
    <t>A016AB</t>
  </si>
  <si>
    <t>A016AC</t>
  </si>
  <si>
    <t>A016AD</t>
  </si>
  <si>
    <t>Perform Preventive Maintenance UPS IAW Annex 1502000 Spec Item 3.2.9 and Attachments 1502000-13 and 1502000-14</t>
  </si>
  <si>
    <t>B016</t>
  </si>
  <si>
    <t>B016AA</t>
  </si>
  <si>
    <t>B016AB</t>
  </si>
  <si>
    <t>B016AC</t>
  </si>
  <si>
    <t>B016AD</t>
  </si>
  <si>
    <t>C016</t>
  </si>
  <si>
    <t>C016AA</t>
  </si>
  <si>
    <t>C016AB</t>
  </si>
  <si>
    <t>C016AC</t>
  </si>
  <si>
    <t>C016AD</t>
  </si>
  <si>
    <t>D016</t>
  </si>
  <si>
    <t>D016AA</t>
  </si>
  <si>
    <t>D016AB</t>
  </si>
  <si>
    <t>D016AC</t>
  </si>
  <si>
    <t>D016AD</t>
  </si>
  <si>
    <t>E016</t>
  </si>
  <si>
    <t>E016AA</t>
  </si>
  <si>
    <t>E016AB</t>
  </si>
  <si>
    <t>E016AC</t>
  </si>
  <si>
    <t>E016AD</t>
  </si>
  <si>
    <t>F016</t>
  </si>
  <si>
    <t>F016AA</t>
  </si>
  <si>
    <t>F016AB</t>
  </si>
  <si>
    <t>F016AC</t>
  </si>
  <si>
    <t>F016AD</t>
  </si>
  <si>
    <t>Perform Preventive Maintenance (6,193,392 SF) IAW Annex 1502000 Spec Item 3.2.8 and Attachment 1502000-12</t>
  </si>
  <si>
    <t>Perform Preventive Maintenance (2,773,925 SF) IAW Annex 1502000 Spec Item 3.2.8 and Attachment 1502000-12</t>
  </si>
  <si>
    <t>Perform Preventive Maintenance (39,960 SF) IAW Annex 1502000 Spec Item 3.2.8 and Attachment 1502000-12</t>
  </si>
  <si>
    <r>
      <t>Unit Price - Coefficient</t>
    </r>
    <r>
      <rPr>
        <vertAlign val="superscript"/>
        <sz val="10"/>
        <rFont val="Times New Roman"/>
        <family val="1"/>
      </rPr>
      <t>(1)</t>
    </r>
    <r>
      <rPr>
        <sz val="10"/>
        <rFont val="Times New Roman"/>
        <family val="1"/>
      </rPr>
      <t xml:space="preserve"> </t>
    </r>
  </si>
  <si>
    <t>Contractor's coefficient used to adjust the Unit Prices provided in the Unit Price List Attachment 0200000-18</t>
  </si>
  <si>
    <t>Total Amount</t>
  </si>
  <si>
    <r>
      <t>Coefficient</t>
    </r>
    <r>
      <rPr>
        <b/>
        <vertAlign val="superscript"/>
        <sz val="10"/>
        <rFont val="Times New Roman"/>
        <family val="1"/>
      </rPr>
      <t>(1)</t>
    </r>
  </si>
  <si>
    <t>TOTAL LINE ITEMS ELINs A700 through A704</t>
  </si>
  <si>
    <t>B704</t>
  </si>
  <si>
    <t>TOTAL LINE ITEMS ELINs B700 through B704</t>
  </si>
  <si>
    <t>C704</t>
  </si>
  <si>
    <t>TOTAL LINE ITEMS ELINs C700 through C704</t>
  </si>
  <si>
    <t>TOTAL LINE ITEMS ELINs D700 through D704</t>
  </si>
  <si>
    <t>D704</t>
  </si>
  <si>
    <t>TOTAL LINE ITEMS ELINs E700 through E704</t>
  </si>
  <si>
    <t>E704</t>
  </si>
  <si>
    <t>(1)</t>
  </si>
  <si>
    <t>Submit coefficient in accordance with Annex 0200000, Spec Item 2.15.2.3.
The coefficient for Unit Prices shall be the offeror's adjustment to the Government's unit prices.  The coefficient must incorporate all projected and potential costs including overhead, profit, insurance, and all other contingencies.
There will be no adjustments to the coefficient after award of the contract.  The coefficient shall not include any allowance for any contingency to cover increased cost in the Service Contract Labor Standards wage rates for which adjustment is provided under FAR 52.222-43.</t>
  </si>
  <si>
    <t>Notes:</t>
  </si>
  <si>
    <t>Abbreviations:</t>
  </si>
  <si>
    <t>Dollars</t>
  </si>
  <si>
    <t>Each</t>
  </si>
  <si>
    <t>Hour</t>
  </si>
  <si>
    <t>TOTAL LINE ITEMS ELINs F700 through F704</t>
  </si>
  <si>
    <t>Perform Preventive Maintenance (6,054,828 SF) IAW Annex 1502000 Spec Item 3.2.8 and Attachment 1502000-12</t>
  </si>
  <si>
    <t>MCAS - Uninterruptible Power Supply (UPS)</t>
  </si>
  <si>
    <t>Subtotal - MCAS - Uninterruptible Power Supply (UPS)</t>
  </si>
  <si>
    <t>ELINs A700 through A704</t>
  </si>
  <si>
    <t>ELINs B700 through B704</t>
  </si>
  <si>
    <t>ELINs D700 through D704</t>
  </si>
  <si>
    <t>ELINs C700 through C704</t>
  </si>
  <si>
    <t>ELINs E700 through E704</t>
  </si>
  <si>
    <t>ELINs F700 through F704</t>
  </si>
  <si>
    <t xml:space="preserve">SCHEDULE OF WORK </t>
  </si>
  <si>
    <t>(TO BE COMPLETED AND SUBMITTED WITH THE OFFER)</t>
  </si>
  <si>
    <t>ITEM NO.</t>
  </si>
  <si>
    <t>SUPPLIES/SERVICES</t>
  </si>
  <si>
    <t>AMOUNT</t>
  </si>
  <si>
    <t>0001</t>
  </si>
  <si>
    <t>BASE PERIOD - RECURRING WORK</t>
  </si>
  <si>
    <t>Price to perform Recurring work, for the 12-month Base Period, in accordance with all the terms of this contract.</t>
  </si>
  <si>
    <t>$</t>
  </si>
  <si>
    <t>0002</t>
  </si>
  <si>
    <t>BASE PERIOD - NON-RECURRING WORK</t>
  </si>
  <si>
    <t>Price to perform Non-Recurring work, for the 12-month Base Period, in accordance with all the terms of this contract.</t>
  </si>
  <si>
    <t>EST</t>
  </si>
  <si>
    <t xml:space="preserve">TOTAL PRICE FOR CONTRACT LINE ITEM NUMBERS </t>
  </si>
  <si>
    <t>(CLINs) 0001 AND 0002 (BASE PERIOD)</t>
  </si>
  <si>
    <t>0003</t>
  </si>
  <si>
    <t>OPTION PERIOD ONE - RECURRING WORK</t>
  </si>
  <si>
    <t>Price to perform Recurring work, for the 12-month Option Period One, in accordance with all the terms of this contract.</t>
  </si>
  <si>
    <t>0004</t>
  </si>
  <si>
    <t>OPTION PERIOD ONE - NON-RECURRING WORK</t>
  </si>
  <si>
    <t>Price to perform Non-Recurring work, for the 12-month Option Period One, in accordance with all the terms of this contract.</t>
  </si>
  <si>
    <t>(CLINs) 0003 AND 0004 (OPTION PERIOD ONE)</t>
  </si>
  <si>
    <t>0005</t>
  </si>
  <si>
    <t>OPTION PERIOD TWO - RECURRING WORK</t>
  </si>
  <si>
    <t>Price to perform Recurring work, for the 12-month Option Period Two, in accordance with all the terms of this contract.</t>
  </si>
  <si>
    <t>0006</t>
  </si>
  <si>
    <t>OPTION PERIOD TWO - NON-RECURRING WORK</t>
  </si>
  <si>
    <t>Price to perform Non-Recurring work, for the 12-month Option Period Two, in accordance with all the terms of this contract.</t>
  </si>
  <si>
    <t>(CLINs) 0005 AND 0006 (OPTION PERIOD TWO)</t>
  </si>
  <si>
    <t>0007</t>
  </si>
  <si>
    <t>OPTION PERIOD THREE - RECURRING WORK</t>
  </si>
  <si>
    <t>Price to perform Recurring work, for the 12-month Option Period Three in accordance with all the terms of this contract.</t>
  </si>
  <si>
    <t>0008</t>
  </si>
  <si>
    <t>OPTION PERIOD THREE - NON-RECURRING WORK</t>
  </si>
  <si>
    <t>Price to perform Non-Recurring work, for the 12-month Option Period Three in accordance with all the terms of this contract.</t>
  </si>
  <si>
    <t>(CLINs) 0007 AND 0008 (OPTION PERIOD THREE)</t>
  </si>
  <si>
    <t>0009</t>
  </si>
  <si>
    <t>OPTION PERIOD FOUR - RECURRING WORK</t>
  </si>
  <si>
    <t>Price to perform Recurring work, for the 12-month Option Period Four in accordance with all the terms of this contract.</t>
  </si>
  <si>
    <t>0010</t>
  </si>
  <si>
    <t>OPTION PERIOD FOUR - NON-RECURRING WORK</t>
  </si>
  <si>
    <t>Price to perform Non-Recurring work, for the 12-month Option Period Four in accordance with all the terms of this contract.</t>
  </si>
  <si>
    <t>(CLINs) 0009 AND 0010 (OPTION PERIOD FOUR)</t>
  </si>
  <si>
    <t>0011</t>
  </si>
  <si>
    <t>OPTION TO EXTEND SERVICES- RECURRING WORK</t>
  </si>
  <si>
    <t>Price to perform Recurring work, for the 6-month Option to Extend Services in accordance with all the terms of this contract</t>
  </si>
  <si>
    <t>0012</t>
  </si>
  <si>
    <t>OPTION TO EXTEND SERVICES - NON-RECURRING WORK</t>
  </si>
  <si>
    <t>Price to perform non-recurring work, for the 6-month Option to Extend Services, in accordance with all the terms of this contract.</t>
  </si>
  <si>
    <t>(CLINs) 0011 AND 0012 (OPTION TO EXTEND SERVICES)</t>
  </si>
  <si>
    <t>(CLINs) 0001 THROUGH 0012</t>
  </si>
  <si>
    <t>ELINs A001 through A016</t>
  </si>
  <si>
    <t>ELINs B001 through B016</t>
  </si>
  <si>
    <t>ELINs C001 through C016</t>
  </si>
  <si>
    <t>ELINs D001 through D016</t>
  </si>
  <si>
    <t>ELINs E001 through E016</t>
  </si>
  <si>
    <t>ELINs F001 through F016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</si>
</sst>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43" formatCode="_(* #,##0.00_);_(* \(#,##0.00\);_(* &quot;-&quot;??_);_(@_)"/>
    <numFmt numFmtId="164" formatCode="&quot;$&quot;#,##0.00"/>
    <numFmt numFmtId="165" formatCode="_(&quot;$&quot;* #,##0.0000_);_(&quot;$&quot;* \(#,##0.0000\);_(&quot;$&quot;* &quot;-&quot;????_);_(@_)"/>
    <numFmt numFmtId="166" formatCode="0.0000"/>
  </numFmts>
  <fonts count="18" x14ac:knownFonts="1">
    <font>
      <sz val="11"/>
      <color theme="1"/>
      <name val="Calibri"/>
      <family val="2"/>
      <scheme val="minor"/>
    </font>
    <font>
      <sz val="11"/>
      <color theme="1"/>
      <name val="Calibri"/>
      <family val="2"/>
      <scheme val="minor"/>
    </font>
    <font>
      <sz val="10"/>
      <name val="Arial"/>
      <family val="2"/>
    </font>
    <font>
      <sz val="10"/>
      <name val="Times New Roman"/>
      <family val="1"/>
    </font>
    <font>
      <sz val="10"/>
      <color rgb="FFFF0000"/>
      <name val="Times New Roman"/>
      <family val="1"/>
    </font>
    <font>
      <u/>
      <sz val="11"/>
      <name val="Times New Roman"/>
      <family val="1"/>
    </font>
    <font>
      <b/>
      <sz val="10"/>
      <name val="Times New Roman"/>
      <family val="1"/>
    </font>
    <font>
      <sz val="11"/>
      <name val="Times New Roman"/>
      <family val="1"/>
    </font>
    <font>
      <sz val="10"/>
      <color theme="1"/>
      <name val="Times New Roman"/>
      <family val="1"/>
    </font>
    <font>
      <sz val="10"/>
      <color rgb="FFC00000"/>
      <name val="Times New Roman"/>
      <family val="1"/>
    </font>
    <font>
      <sz val="11"/>
      <color rgb="FFC00000"/>
      <name val="Calibri"/>
      <family val="2"/>
      <scheme val="minor"/>
    </font>
    <font>
      <b/>
      <u/>
      <sz val="10"/>
      <name val="Times New Roman"/>
      <family val="1"/>
    </font>
    <font>
      <b/>
      <sz val="10"/>
      <name val="Arial"/>
      <family val="2"/>
    </font>
    <font>
      <sz val="10"/>
      <color theme="1"/>
      <name val="Times New Roman"/>
      <family val="2"/>
    </font>
    <font>
      <vertAlign val="superscript"/>
      <sz val="10"/>
      <name val="Times New Roman"/>
      <family val="1"/>
    </font>
    <font>
      <b/>
      <vertAlign val="superscript"/>
      <sz val="10"/>
      <name val="Times New Roman"/>
      <family val="1"/>
    </font>
    <font>
      <u/>
      <sz val="10"/>
      <name val="Times New Roman"/>
      <family val="1"/>
    </font>
    <font>
      <b/>
      <sz val="12"/>
      <color rgb="FFFF0000"/>
      <name val="Times New Roman"/>
      <family val="1"/>
    </font>
  </fonts>
  <fills count="3">
    <fill>
      <patternFill patternType="none"/>
    </fill>
    <fill>
      <patternFill patternType="gray125"/>
    </fill>
    <fill>
      <patternFill patternType="solid">
        <fgColor rgb="FFFFFF99"/>
        <bgColor indexed="64"/>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hair">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s>
  <cellStyleXfs count="8">
    <xf numFmtId="0" fontId="0" fillId="0" borderId="0"/>
    <xf numFmtId="44" fontId="1"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13" fillId="0" borderId="0"/>
    <xf numFmtId="43" fontId="1" fillId="0" borderId="0" applyFont="0" applyFill="0" applyBorder="0" applyAlignment="0" applyProtection="0"/>
    <xf numFmtId="0" fontId="1" fillId="0" borderId="0"/>
  </cellStyleXfs>
  <cellXfs count="213">
    <xf numFmtId="0" fontId="0" fillId="0" borderId="0" xfId="0"/>
    <xf numFmtId="0" fontId="3" fillId="0" borderId="1" xfId="2" applyFont="1" applyBorder="1" applyAlignment="1" applyProtection="1">
      <alignment vertical="top"/>
    </xf>
    <xf numFmtId="0" fontId="3" fillId="0" borderId="2" xfId="2" applyFont="1" applyBorder="1" applyAlignment="1" applyProtection="1">
      <alignment vertical="top"/>
    </xf>
    <xf numFmtId="0" fontId="3" fillId="0" borderId="2" xfId="2" applyFont="1" applyBorder="1" applyAlignment="1" applyProtection="1">
      <alignment horizontal="center"/>
    </xf>
    <xf numFmtId="4" fontId="3" fillId="0" borderId="2" xfId="2" applyNumberFormat="1" applyFont="1" applyBorder="1" applyAlignment="1" applyProtection="1">
      <alignment horizontal="center"/>
    </xf>
    <xf numFmtId="164" fontId="3" fillId="0" borderId="2" xfId="2" applyNumberFormat="1" applyFont="1" applyBorder="1" applyAlignment="1" applyProtection="1">
      <alignment horizontal="right"/>
    </xf>
    <xf numFmtId="0" fontId="3" fillId="0" borderId="3" xfId="2" applyFont="1" applyBorder="1" applyAlignment="1" applyProtection="1">
      <alignment horizontal="center"/>
    </xf>
    <xf numFmtId="0" fontId="3" fillId="0" borderId="5" xfId="2" applyFont="1" applyBorder="1" applyAlignment="1" applyProtection="1">
      <alignment horizontal="center" vertical="top"/>
    </xf>
    <xf numFmtId="3" fontId="5" fillId="0" borderId="0" xfId="2" applyNumberFormat="1" applyFont="1" applyBorder="1" applyAlignment="1" applyProtection="1">
      <alignment horizontal="center" vertical="top"/>
    </xf>
    <xf numFmtId="0" fontId="5" fillId="0" borderId="0" xfId="2" applyFont="1" applyBorder="1" applyAlignment="1" applyProtection="1">
      <alignment horizontal="center" vertical="center"/>
    </xf>
    <xf numFmtId="164" fontId="5" fillId="0" borderId="0" xfId="2" applyNumberFormat="1" applyFont="1" applyBorder="1" applyAlignment="1" applyProtection="1">
      <alignment horizontal="center" vertical="center"/>
    </xf>
    <xf numFmtId="4" fontId="5" fillId="0" borderId="0" xfId="2" applyNumberFormat="1" applyFont="1" applyBorder="1" applyAlignment="1" applyProtection="1">
      <alignment horizontal="center" vertical="center"/>
    </xf>
    <xf numFmtId="164" fontId="2" fillId="0" borderId="0" xfId="2" applyNumberFormat="1" applyFont="1" applyBorder="1" applyAlignment="1" applyProtection="1">
      <alignment horizontal="right"/>
    </xf>
    <xf numFmtId="0" fontId="2" fillId="0" borderId="6" xfId="2" applyFont="1" applyBorder="1" applyAlignment="1" applyProtection="1">
      <alignment horizontal="center"/>
    </xf>
    <xf numFmtId="0" fontId="6" fillId="0" borderId="5" xfId="2" applyFont="1" applyBorder="1" applyAlignment="1" applyProtection="1">
      <alignment vertical="top"/>
    </xf>
    <xf numFmtId="0" fontId="7" fillId="0" borderId="0" xfId="2" applyFont="1" applyBorder="1" applyAlignment="1" applyProtection="1">
      <alignment vertical="top"/>
    </xf>
    <xf numFmtId="0" fontId="7" fillId="0" borderId="0" xfId="2" applyFont="1" applyBorder="1" applyAlignment="1" applyProtection="1">
      <alignment horizontal="center"/>
    </xf>
    <xf numFmtId="4" fontId="7" fillId="0" borderId="0" xfId="2" applyNumberFormat="1" applyFont="1" applyBorder="1" applyAlignment="1" applyProtection="1">
      <alignment horizontal="center"/>
    </xf>
    <xf numFmtId="164" fontId="7" fillId="0" borderId="0" xfId="2" applyNumberFormat="1" applyFont="1" applyBorder="1" applyAlignment="1" applyProtection="1">
      <alignment horizontal="right"/>
    </xf>
    <xf numFmtId="0" fontId="7" fillId="0" borderId="6" xfId="2" applyFont="1" applyBorder="1" applyAlignment="1" applyProtection="1">
      <alignment horizontal="center"/>
    </xf>
    <xf numFmtId="0" fontId="3" fillId="0" borderId="5" xfId="2" applyFont="1" applyBorder="1" applyAlignment="1" applyProtection="1">
      <alignment horizontal="left" vertical="top"/>
    </xf>
    <xf numFmtId="0" fontId="3" fillId="0" borderId="0" xfId="2" applyFont="1" applyBorder="1" applyAlignment="1" applyProtection="1">
      <alignment horizontal="left" vertical="top"/>
    </xf>
    <xf numFmtId="0" fontId="3" fillId="0" borderId="0" xfId="2" applyFont="1" applyBorder="1" applyAlignment="1" applyProtection="1">
      <alignment horizontal="center"/>
    </xf>
    <xf numFmtId="4" fontId="3" fillId="0" borderId="0" xfId="2" applyNumberFormat="1" applyFont="1" applyBorder="1" applyAlignment="1" applyProtection="1">
      <alignment horizontal="center"/>
    </xf>
    <xf numFmtId="0" fontId="3" fillId="0" borderId="7" xfId="2" applyFont="1" applyBorder="1" applyAlignment="1" applyProtection="1">
      <alignment vertical="top"/>
    </xf>
    <xf numFmtId="0" fontId="3" fillId="0" borderId="8" xfId="2" applyFont="1" applyBorder="1" applyAlignment="1" applyProtection="1">
      <alignment vertical="top"/>
    </xf>
    <xf numFmtId="0" fontId="3" fillId="0" borderId="8" xfId="2" applyFont="1" applyBorder="1" applyAlignment="1" applyProtection="1">
      <alignment horizontal="center"/>
    </xf>
    <xf numFmtId="4" fontId="3" fillId="0" borderId="8" xfId="2" applyNumberFormat="1" applyFont="1" applyBorder="1" applyAlignment="1" applyProtection="1">
      <alignment horizontal="center"/>
    </xf>
    <xf numFmtId="164" fontId="3" fillId="0" borderId="8" xfId="2" applyNumberFormat="1" applyFont="1" applyBorder="1" applyAlignment="1" applyProtection="1">
      <alignment horizontal="right"/>
    </xf>
    <xf numFmtId="0" fontId="3" fillId="0" borderId="9" xfId="2" applyFont="1" applyBorder="1" applyAlignment="1" applyProtection="1">
      <alignment horizontal="center"/>
    </xf>
    <xf numFmtId="0" fontId="6" fillId="0" borderId="4" xfId="2" applyFont="1" applyBorder="1" applyAlignment="1" applyProtection="1">
      <alignment vertical="top" wrapText="1"/>
    </xf>
    <xf numFmtId="0" fontId="6" fillId="0" borderId="4" xfId="2" applyFont="1" applyBorder="1" applyAlignment="1" applyProtection="1">
      <alignment vertical="top"/>
    </xf>
    <xf numFmtId="3" fontId="6" fillId="0" borderId="4" xfId="2" applyNumberFormat="1" applyFont="1" applyBorder="1" applyAlignment="1" applyProtection="1">
      <alignment horizontal="center" vertical="top"/>
    </xf>
    <xf numFmtId="0" fontId="6" fillId="0" borderId="4" xfId="2" applyFont="1" applyBorder="1" applyAlignment="1" applyProtection="1">
      <alignment horizontal="center" vertical="top" wrapText="1"/>
    </xf>
    <xf numFmtId="4" fontId="6" fillId="0" borderId="4" xfId="2" applyNumberFormat="1" applyFont="1" applyBorder="1" applyAlignment="1" applyProtection="1">
      <alignment horizontal="center" vertical="top"/>
    </xf>
    <xf numFmtId="164" fontId="6" fillId="0" borderId="4" xfId="2" applyNumberFormat="1" applyFont="1" applyBorder="1" applyAlignment="1" applyProtection="1">
      <alignment horizontal="center" vertical="top"/>
    </xf>
    <xf numFmtId="0" fontId="6" fillId="0" borderId="4" xfId="2" applyFont="1" applyBorder="1" applyAlignment="1" applyProtection="1">
      <alignment horizontal="center" vertical="top"/>
    </xf>
    <xf numFmtId="0" fontId="3" fillId="0" borderId="4" xfId="2" applyFont="1" applyBorder="1" applyAlignment="1" applyProtection="1">
      <alignment horizontal="center"/>
    </xf>
    <xf numFmtId="4" fontId="3" fillId="0" borderId="4" xfId="2" applyNumberFormat="1" applyFont="1" applyBorder="1" applyAlignment="1" applyProtection="1">
      <alignment horizontal="center"/>
    </xf>
    <xf numFmtId="164" fontId="3" fillId="0" borderId="4" xfId="2" applyNumberFormat="1" applyFont="1" applyBorder="1" applyAlignment="1" applyProtection="1">
      <alignment horizontal="right"/>
    </xf>
    <xf numFmtId="165" fontId="3" fillId="0" borderId="4" xfId="2" applyNumberFormat="1" applyFont="1" applyFill="1" applyBorder="1" applyProtection="1"/>
    <xf numFmtId="0" fontId="3" fillId="0" borderId="4" xfId="2" applyFont="1" applyBorder="1" applyAlignment="1" applyProtection="1">
      <alignment vertical="top"/>
    </xf>
    <xf numFmtId="0" fontId="3" fillId="0" borderId="4" xfId="2" applyFont="1" applyBorder="1" applyAlignment="1" applyProtection="1">
      <alignment vertical="top" wrapText="1"/>
    </xf>
    <xf numFmtId="165" fontId="3" fillId="2" borderId="4" xfId="2" applyNumberFormat="1" applyFont="1" applyFill="1" applyBorder="1" applyProtection="1">
      <protection locked="0"/>
    </xf>
    <xf numFmtId="164" fontId="6" fillId="0" borderId="4" xfId="2" applyNumberFormat="1" applyFont="1" applyBorder="1" applyAlignment="1" applyProtection="1">
      <alignment horizontal="right"/>
    </xf>
    <xf numFmtId="0" fontId="3" fillId="0" borderId="5" xfId="2" applyFont="1" applyBorder="1" applyAlignment="1" applyProtection="1">
      <alignment vertical="top"/>
    </xf>
    <xf numFmtId="0" fontId="3" fillId="0" borderId="0" xfId="2" applyFont="1" applyBorder="1" applyAlignment="1" applyProtection="1">
      <alignment vertical="top" wrapText="1"/>
    </xf>
    <xf numFmtId="164" fontId="3" fillId="0" borderId="0" xfId="2" applyNumberFormat="1" applyFont="1" applyBorder="1" applyAlignment="1" applyProtection="1">
      <alignment horizontal="right"/>
    </xf>
    <xf numFmtId="165" fontId="3" fillId="0" borderId="6" xfId="2" applyNumberFormat="1" applyFont="1" applyFill="1" applyBorder="1" applyProtection="1"/>
    <xf numFmtId="0" fontId="6" fillId="0" borderId="4" xfId="2" applyFont="1" applyBorder="1" applyAlignment="1" applyProtection="1">
      <alignment horizontal="left" vertical="top"/>
    </xf>
    <xf numFmtId="0" fontId="3" fillId="0" borderId="4" xfId="2" applyFont="1" applyBorder="1" applyAlignment="1" applyProtection="1">
      <alignment horizontal="left" vertical="top" wrapText="1"/>
    </xf>
    <xf numFmtId="0" fontId="3" fillId="0" borderId="0" xfId="2" applyFont="1" applyBorder="1" applyAlignment="1" applyProtection="1">
      <alignment vertical="top"/>
    </xf>
    <xf numFmtId="0" fontId="3" fillId="0" borderId="4" xfId="2" applyFont="1" applyBorder="1" applyAlignment="1">
      <alignment vertical="top" wrapText="1"/>
    </xf>
    <xf numFmtId="0" fontId="3" fillId="0" borderId="4" xfId="2" applyFont="1" applyBorder="1" applyAlignment="1">
      <alignment horizontal="center"/>
    </xf>
    <xf numFmtId="0" fontId="6" fillId="0" borderId="4" xfId="2" applyFont="1" applyBorder="1" applyAlignment="1" applyProtection="1">
      <alignment horizontal="left"/>
    </xf>
    <xf numFmtId="0" fontId="3" fillId="0" borderId="4" xfId="2" applyFont="1" applyBorder="1" applyAlignment="1" applyProtection="1">
      <alignment horizontal="left"/>
    </xf>
    <xf numFmtId="0" fontId="3" fillId="0" borderId="0" xfId="2" applyFont="1" applyBorder="1" applyAlignment="1" applyProtection="1">
      <alignment horizontal="left"/>
    </xf>
    <xf numFmtId="0" fontId="3" fillId="0" borderId="0" xfId="2" applyFont="1" applyBorder="1" applyAlignment="1" applyProtection="1">
      <alignment horizontal="right"/>
    </xf>
    <xf numFmtId="4" fontId="3" fillId="0" borderId="0" xfId="2" applyNumberFormat="1" applyFont="1" applyBorder="1" applyAlignment="1" applyProtection="1">
      <alignment horizontal="right"/>
    </xf>
    <xf numFmtId="0" fontId="3" fillId="0" borderId="4" xfId="2" applyFont="1" applyBorder="1" applyAlignment="1" applyProtection="1">
      <alignment horizontal="left" wrapText="1"/>
    </xf>
    <xf numFmtId="0" fontId="6" fillId="0" borderId="4" xfId="2" applyFont="1" applyBorder="1" applyAlignment="1" applyProtection="1">
      <alignment horizontal="center"/>
    </xf>
    <xf numFmtId="0" fontId="6" fillId="0" borderId="0" xfId="2" applyFont="1" applyBorder="1" applyAlignment="1" applyProtection="1">
      <alignment vertical="top" wrapText="1"/>
    </xf>
    <xf numFmtId="164" fontId="6" fillId="0" borderId="0" xfId="2" applyNumberFormat="1" applyFont="1" applyBorder="1" applyAlignment="1" applyProtection="1">
      <alignment horizontal="right"/>
    </xf>
    <xf numFmtId="44" fontId="3" fillId="0" borderId="4" xfId="2" applyNumberFormat="1" applyFont="1" applyBorder="1" applyAlignment="1" applyProtection="1">
      <alignment horizontal="center"/>
    </xf>
    <xf numFmtId="44" fontId="3" fillId="0" borderId="4" xfId="2" applyNumberFormat="1" applyFont="1" applyBorder="1" applyAlignment="1" applyProtection="1">
      <alignment horizontal="right"/>
    </xf>
    <xf numFmtId="44" fontId="3" fillId="0" borderId="4" xfId="1" applyFont="1" applyBorder="1" applyAlignment="1" applyProtection="1">
      <alignment horizontal="center"/>
    </xf>
    <xf numFmtId="44" fontId="3" fillId="0" borderId="4" xfId="1" applyFont="1" applyBorder="1" applyAlignment="1" applyProtection="1">
      <alignment horizontal="right"/>
    </xf>
    <xf numFmtId="44" fontId="3" fillId="0" borderId="4" xfId="1" applyFont="1" applyBorder="1" applyAlignment="1">
      <alignment horizontal="center"/>
    </xf>
    <xf numFmtId="44" fontId="3" fillId="0" borderId="4" xfId="1" applyFont="1" applyBorder="1" applyAlignment="1">
      <alignment horizontal="right"/>
    </xf>
    <xf numFmtId="0" fontId="0" fillId="0" borderId="11" xfId="0" applyBorder="1"/>
    <xf numFmtId="4" fontId="6" fillId="0" borderId="4" xfId="2" applyNumberFormat="1" applyFont="1" applyBorder="1" applyAlignment="1" applyProtection="1">
      <alignment horizontal="center"/>
    </xf>
    <xf numFmtId="165" fontId="6" fillId="0" borderId="4" xfId="2" applyNumberFormat="1" applyFont="1" applyFill="1" applyBorder="1" applyProtection="1"/>
    <xf numFmtId="44" fontId="3" fillId="0" borderId="4" xfId="1" applyFont="1" applyFill="1" applyBorder="1" applyAlignment="1" applyProtection="1">
      <alignment horizontal="center"/>
    </xf>
    <xf numFmtId="0" fontId="3" fillId="0" borderId="11" xfId="2" applyFont="1" applyBorder="1" applyAlignment="1" applyProtection="1">
      <alignment vertical="top"/>
    </xf>
    <xf numFmtId="0" fontId="6" fillId="0" borderId="0" xfId="2" applyFont="1" applyBorder="1" applyAlignment="1" applyProtection="1">
      <alignment vertical="top"/>
    </xf>
    <xf numFmtId="165" fontId="3" fillId="0" borderId="10" xfId="2" applyNumberFormat="1" applyFont="1" applyFill="1" applyBorder="1" applyProtection="1"/>
    <xf numFmtId="0" fontId="2" fillId="0" borderId="0" xfId="3"/>
    <xf numFmtId="164" fontId="6" fillId="0" borderId="4" xfId="4" applyNumberFormat="1" applyFont="1" applyFill="1" applyBorder="1" applyAlignment="1" applyProtection="1">
      <alignment horizontal="center" vertical="top" wrapText="1"/>
    </xf>
    <xf numFmtId="44" fontId="3" fillId="0" borderId="4" xfId="4" applyFont="1" applyBorder="1" applyAlignment="1" applyProtection="1">
      <alignment vertical="center" wrapText="1"/>
    </xf>
    <xf numFmtId="164" fontId="3" fillId="0" borderId="4" xfId="4" applyNumberFormat="1" applyFont="1" applyFill="1" applyBorder="1" applyAlignment="1" applyProtection="1">
      <alignment horizontal="right" vertical="center" wrapText="1"/>
    </xf>
    <xf numFmtId="166" fontId="3" fillId="2" borderId="4" xfId="3" applyNumberFormat="1" applyFont="1" applyFill="1" applyBorder="1" applyAlignment="1" applyProtection="1">
      <alignment horizontal="center" vertical="top" wrapText="1"/>
      <protection locked="0"/>
    </xf>
    <xf numFmtId="44" fontId="3" fillId="0" borderId="4" xfId="4" applyFont="1" applyBorder="1" applyAlignment="1" applyProtection="1">
      <alignment horizontal="center" vertical="center" wrapText="1"/>
    </xf>
    <xf numFmtId="166" fontId="8" fillId="2" borderId="4" xfId="3" applyNumberFormat="1" applyFont="1" applyFill="1" applyBorder="1" applyAlignment="1" applyProtection="1">
      <alignment horizontal="center" vertical="top"/>
      <protection locked="0"/>
    </xf>
    <xf numFmtId="166" fontId="2" fillId="0" borderId="0" xfId="3" applyNumberFormat="1"/>
    <xf numFmtId="3" fontId="2" fillId="0" borderId="0" xfId="3" applyNumberFormat="1"/>
    <xf numFmtId="164" fontId="2" fillId="0" borderId="0" xfId="3" applyNumberFormat="1" applyAlignment="1">
      <alignment horizontal="right"/>
    </xf>
    <xf numFmtId="164" fontId="3" fillId="0" borderId="0" xfId="4" applyNumberFormat="1" applyFont="1" applyFill="1" applyBorder="1" applyAlignment="1" applyProtection="1">
      <alignment horizontal="right" vertical="center" wrapText="1"/>
    </xf>
    <xf numFmtId="44" fontId="3" fillId="0" borderId="0" xfId="4" applyFont="1" applyBorder="1" applyAlignment="1" applyProtection="1">
      <alignment horizontal="center" vertical="center" wrapText="1"/>
    </xf>
    <xf numFmtId="44" fontId="6" fillId="0" borderId="4" xfId="2" applyNumberFormat="1" applyFont="1" applyBorder="1" applyAlignment="1" applyProtection="1">
      <alignment horizontal="right"/>
    </xf>
    <xf numFmtId="44" fontId="6" fillId="0" borderId="4" xfId="1" applyFont="1" applyBorder="1" applyAlignment="1" applyProtection="1">
      <alignment horizontal="right"/>
    </xf>
    <xf numFmtId="44" fontId="6" fillId="0" borderId="0" xfId="1" applyFont="1"/>
    <xf numFmtId="166" fontId="3" fillId="2" borderId="4" xfId="3" applyNumberFormat="1" applyFont="1" applyFill="1" applyBorder="1" applyAlignment="1" applyProtection="1">
      <alignment horizontal="center" vertical="center" wrapText="1"/>
      <protection locked="0"/>
    </xf>
    <xf numFmtId="44" fontId="6" fillId="0" borderId="0" xfId="1" applyFont="1" applyBorder="1" applyAlignment="1" applyProtection="1">
      <alignment horizontal="right"/>
    </xf>
    <xf numFmtId="165" fontId="3" fillId="0" borderId="0" xfId="2" applyNumberFormat="1" applyFont="1" applyFill="1" applyBorder="1" applyProtection="1"/>
    <xf numFmtId="43" fontId="3" fillId="0" borderId="4" xfId="6" applyFont="1" applyBorder="1" applyAlignment="1" applyProtection="1">
      <alignment vertical="center" wrapText="1"/>
    </xf>
    <xf numFmtId="44" fontId="3" fillId="0" borderId="4" xfId="1" applyFont="1" applyFill="1" applyBorder="1" applyAlignment="1" applyProtection="1">
      <alignment horizontal="right" vertical="center" wrapText="1"/>
    </xf>
    <xf numFmtId="166" fontId="8" fillId="2" borderId="4" xfId="3" applyNumberFormat="1" applyFont="1" applyFill="1" applyBorder="1" applyAlignment="1" applyProtection="1">
      <alignment horizontal="center" vertical="center"/>
      <protection locked="0"/>
    </xf>
    <xf numFmtId="0" fontId="6" fillId="0" borderId="13" xfId="4" applyNumberFormat="1" applyFont="1" applyBorder="1" applyAlignment="1" applyProtection="1">
      <alignment horizontal="center" vertical="center"/>
    </xf>
    <xf numFmtId="164" fontId="6" fillId="0" borderId="13" xfId="4" applyNumberFormat="1" applyFont="1" applyFill="1" applyBorder="1" applyAlignment="1" applyProtection="1">
      <alignment horizontal="center" vertical="center" wrapText="1"/>
    </xf>
    <xf numFmtId="44" fontId="3" fillId="0" borderId="12" xfId="4" applyFont="1" applyBorder="1" applyAlignment="1" applyProtection="1">
      <alignment vertical="center" wrapText="1"/>
    </xf>
    <xf numFmtId="164" fontId="3" fillId="0" borderId="12" xfId="4" applyNumberFormat="1" applyFont="1" applyFill="1" applyBorder="1" applyAlignment="1" applyProtection="1">
      <alignment horizontal="right" vertical="center" wrapText="1"/>
    </xf>
    <xf numFmtId="166" fontId="8" fillId="2" borderId="12" xfId="3" applyNumberFormat="1" applyFont="1" applyFill="1" applyBorder="1" applyAlignment="1" applyProtection="1">
      <alignment horizontal="center" vertical="top"/>
      <protection locked="0"/>
    </xf>
    <xf numFmtId="44" fontId="2" fillId="0" borderId="0" xfId="3" applyNumberFormat="1"/>
    <xf numFmtId="44" fontId="2" fillId="0" borderId="0" xfId="1" applyFont="1"/>
    <xf numFmtId="0" fontId="0" fillId="0" borderId="10" xfId="0" applyBorder="1" applyProtection="1"/>
    <xf numFmtId="0" fontId="0" fillId="0" borderId="0" xfId="0" applyProtection="1"/>
    <xf numFmtId="0" fontId="3" fillId="0" borderId="5" xfId="3" applyFont="1" applyBorder="1" applyAlignment="1" applyProtection="1">
      <alignment horizontal="center" vertical="center"/>
    </xf>
    <xf numFmtId="0" fontId="3" fillId="0" borderId="0" xfId="3" applyFont="1" applyAlignment="1" applyProtection="1">
      <alignment horizontal="center" vertical="center"/>
    </xf>
    <xf numFmtId="0" fontId="11" fillId="0" borderId="0" xfId="3" applyFont="1" applyAlignment="1" applyProtection="1">
      <alignment horizontal="center" vertical="center"/>
    </xf>
    <xf numFmtId="3" fontId="11" fillId="0" borderId="0" xfId="3" applyNumberFormat="1" applyFont="1" applyAlignment="1" applyProtection="1">
      <alignment horizontal="center" vertical="center"/>
    </xf>
    <xf numFmtId="164" fontId="11" fillId="0" borderId="0" xfId="3" applyNumberFormat="1" applyFont="1" applyAlignment="1" applyProtection="1">
      <alignment horizontal="center" vertical="center"/>
    </xf>
    <xf numFmtId="164" fontId="3" fillId="0" borderId="0" xfId="3" applyNumberFormat="1" applyFont="1" applyAlignment="1" applyProtection="1">
      <alignment horizontal="right" vertical="top"/>
    </xf>
    <xf numFmtId="164" fontId="3" fillId="0" borderId="6" xfId="3" applyNumberFormat="1" applyFont="1" applyBorder="1" applyAlignment="1" applyProtection="1">
      <alignment horizontal="right" vertical="top"/>
    </xf>
    <xf numFmtId="0" fontId="12" fillId="0" borderId="6" xfId="3" applyFont="1" applyBorder="1" applyAlignment="1" applyProtection="1">
      <alignment horizontal="left"/>
    </xf>
    <xf numFmtId="0" fontId="2" fillId="0" borderId="6" xfId="3" applyBorder="1" applyAlignment="1" applyProtection="1">
      <alignment horizontal="left" wrapText="1"/>
    </xf>
    <xf numFmtId="0" fontId="3" fillId="0" borderId="7" xfId="3" applyFont="1" applyBorder="1" applyAlignment="1" applyProtection="1">
      <alignment horizontal="left"/>
    </xf>
    <xf numFmtId="0" fontId="3" fillId="0" borderId="8" xfId="3" applyFont="1" applyBorder="1" applyAlignment="1" applyProtection="1">
      <alignment horizontal="left" wrapText="1"/>
    </xf>
    <xf numFmtId="3" fontId="3" fillId="0" borderId="8" xfId="3" applyNumberFormat="1" applyFont="1" applyBorder="1" applyAlignment="1" applyProtection="1">
      <alignment horizontal="left" wrapText="1"/>
    </xf>
    <xf numFmtId="164" fontId="3" fillId="0" borderId="8" xfId="3" applyNumberFormat="1" applyFont="1" applyBorder="1" applyAlignment="1" applyProtection="1">
      <alignment horizontal="right" wrapText="1"/>
    </xf>
    <xf numFmtId="164" fontId="3" fillId="0" borderId="9" xfId="3" applyNumberFormat="1" applyFont="1" applyBorder="1" applyAlignment="1" applyProtection="1">
      <alignment horizontal="right" wrapText="1"/>
    </xf>
    <xf numFmtId="49" fontId="6" fillId="0" borderId="4" xfId="3" applyNumberFormat="1" applyFont="1" applyBorder="1" applyAlignment="1" applyProtection="1">
      <alignment horizontal="center" vertical="top"/>
    </xf>
    <xf numFmtId="0" fontId="6" fillId="0" borderId="4" xfId="3" applyFont="1" applyBorder="1" applyAlignment="1" applyProtection="1">
      <alignment horizontal="center" vertical="top" wrapText="1"/>
    </xf>
    <xf numFmtId="3" fontId="6" fillId="0" borderId="4" xfId="3" applyNumberFormat="1" applyFont="1" applyBorder="1" applyAlignment="1" applyProtection="1">
      <alignment horizontal="center" vertical="top" wrapText="1"/>
    </xf>
    <xf numFmtId="49" fontId="3" fillId="0" borderId="4" xfId="3" applyNumberFormat="1" applyFont="1" applyBorder="1" applyAlignment="1" applyProtection="1">
      <alignment vertical="top" wrapText="1"/>
    </xf>
    <xf numFmtId="49" fontId="3" fillId="0" borderId="4" xfId="3" applyNumberFormat="1" applyFont="1" applyBorder="1" applyAlignment="1" applyProtection="1">
      <alignment horizontal="center" vertical="top" wrapText="1"/>
    </xf>
    <xf numFmtId="49" fontId="3" fillId="0" borderId="4" xfId="0" applyNumberFormat="1" applyFont="1" applyBorder="1" applyAlignment="1" applyProtection="1">
      <alignment horizontal="left" vertical="top" wrapText="1"/>
    </xf>
    <xf numFmtId="3" fontId="3" fillId="0" borderId="4" xfId="3" applyNumberFormat="1" applyFont="1" applyBorder="1" applyAlignment="1" applyProtection="1">
      <alignment horizontal="center" vertical="center" wrapText="1"/>
    </xf>
    <xf numFmtId="0" fontId="3" fillId="0" borderId="4" xfId="3" applyFont="1" applyBorder="1" applyAlignment="1" applyProtection="1">
      <alignment horizontal="center" vertical="center" wrapText="1"/>
    </xf>
    <xf numFmtId="49" fontId="3" fillId="0" borderId="4" xfId="3" applyNumberFormat="1" applyFont="1" applyBorder="1" applyAlignment="1" applyProtection="1">
      <alignment horizontal="center" vertical="center" wrapText="1"/>
    </xf>
    <xf numFmtId="166" fontId="3" fillId="0" borderId="4" xfId="3" applyNumberFormat="1" applyFont="1" applyBorder="1" applyAlignment="1" applyProtection="1">
      <alignment horizontal="center" vertical="top" wrapText="1"/>
    </xf>
    <xf numFmtId="0" fontId="3" fillId="0" borderId="4" xfId="3" applyFont="1" applyBorder="1" applyAlignment="1" applyProtection="1">
      <alignment vertical="top" wrapText="1"/>
    </xf>
    <xf numFmtId="49" fontId="3" fillId="0" borderId="12" xfId="3" applyNumberFormat="1" applyFont="1" applyBorder="1" applyAlignment="1" applyProtection="1">
      <alignment vertical="top" wrapText="1"/>
    </xf>
    <xf numFmtId="49" fontId="3" fillId="0" borderId="12" xfId="3" applyNumberFormat="1" applyFont="1" applyBorder="1" applyAlignment="1" applyProtection="1">
      <alignment horizontal="center" vertical="top" wrapText="1"/>
    </xf>
    <xf numFmtId="0" fontId="3" fillId="0" borderId="12" xfId="3" applyFont="1" applyBorder="1" applyAlignment="1" applyProtection="1">
      <alignment horizontal="left" vertical="top" wrapText="1"/>
    </xf>
    <xf numFmtId="3" fontId="8" fillId="0" borderId="12" xfId="3" applyNumberFormat="1" applyFont="1" applyBorder="1" applyAlignment="1" applyProtection="1">
      <alignment horizontal="center" vertical="center"/>
    </xf>
    <xf numFmtId="0" fontId="8" fillId="0" borderId="12" xfId="3" applyFont="1" applyBorder="1" applyAlignment="1" applyProtection="1">
      <alignment horizontal="center" vertical="center"/>
    </xf>
    <xf numFmtId="49" fontId="3" fillId="0" borderId="12" xfId="3" applyNumberFormat="1" applyFont="1" applyBorder="1" applyAlignment="1" applyProtection="1">
      <alignment horizontal="center" vertical="center" wrapText="1"/>
    </xf>
    <xf numFmtId="49" fontId="6" fillId="0" borderId="13" xfId="3" applyNumberFormat="1" applyFont="1" applyBorder="1" applyAlignment="1" applyProtection="1">
      <alignment horizontal="center" vertical="top"/>
    </xf>
    <xf numFmtId="0" fontId="6" fillId="0" borderId="13" xfId="3" applyFont="1" applyBorder="1" applyAlignment="1" applyProtection="1">
      <alignment horizontal="center" vertical="top" wrapText="1"/>
    </xf>
    <xf numFmtId="3" fontId="6" fillId="0" borderId="13" xfId="3" applyNumberFormat="1" applyFont="1" applyBorder="1" applyAlignment="1" applyProtection="1">
      <alignment horizontal="center" vertical="top" wrapText="1"/>
    </xf>
    <xf numFmtId="49" fontId="6" fillId="0" borderId="13" xfId="3" applyNumberFormat="1" applyFont="1" applyBorder="1" applyAlignment="1" applyProtection="1">
      <alignment horizontal="center" vertical="center" wrapText="1"/>
    </xf>
    <xf numFmtId="166" fontId="8" fillId="0" borderId="13" xfId="3" applyNumberFormat="1" applyFont="1" applyFill="1" applyBorder="1" applyAlignment="1" applyProtection="1">
      <alignment horizontal="center" vertical="top"/>
    </xf>
    <xf numFmtId="0" fontId="3" fillId="0" borderId="4" xfId="3" applyFont="1" applyBorder="1" applyAlignment="1" applyProtection="1">
      <alignment horizontal="left" vertical="top" wrapText="1"/>
    </xf>
    <xf numFmtId="3" fontId="8" fillId="0" borderId="4" xfId="3" applyNumberFormat="1" applyFont="1" applyBorder="1" applyAlignment="1" applyProtection="1">
      <alignment horizontal="center" vertical="center"/>
    </xf>
    <xf numFmtId="0" fontId="8" fillId="0" borderId="4" xfId="3" applyFont="1" applyBorder="1" applyAlignment="1" applyProtection="1">
      <alignment horizontal="center" vertical="center"/>
    </xf>
    <xf numFmtId="49" fontId="3" fillId="0" borderId="0" xfId="3" applyNumberFormat="1" applyFont="1" applyBorder="1" applyAlignment="1" applyProtection="1">
      <alignment vertical="top" wrapText="1"/>
    </xf>
    <xf numFmtId="49" fontId="3" fillId="0" borderId="0" xfId="3" applyNumberFormat="1" applyFont="1" applyBorder="1" applyAlignment="1" applyProtection="1">
      <alignment horizontal="center" vertical="top" wrapText="1"/>
    </xf>
    <xf numFmtId="0" fontId="3" fillId="0" borderId="0" xfId="3" applyFont="1" applyBorder="1" applyAlignment="1" applyProtection="1">
      <alignment horizontal="left" vertical="top" wrapText="1"/>
    </xf>
    <xf numFmtId="3" fontId="8" fillId="0" borderId="0" xfId="3" applyNumberFormat="1" applyFont="1" applyBorder="1" applyAlignment="1" applyProtection="1">
      <alignment horizontal="center" vertical="center"/>
    </xf>
    <xf numFmtId="0" fontId="8" fillId="0" borderId="0" xfId="3" applyFont="1" applyBorder="1" applyAlignment="1" applyProtection="1">
      <alignment horizontal="center" vertical="center"/>
    </xf>
    <xf numFmtId="166" fontId="8" fillId="0" borderId="0" xfId="3" applyNumberFormat="1" applyFont="1" applyBorder="1" applyAlignment="1" applyProtection="1">
      <alignment vertical="top"/>
    </xf>
    <xf numFmtId="0" fontId="2" fillId="0" borderId="0" xfId="3" applyProtection="1"/>
    <xf numFmtId="164" fontId="3" fillId="0" borderId="0" xfId="3" applyNumberFormat="1" applyFont="1" applyAlignment="1" applyProtection="1">
      <alignment horizontal="right"/>
    </xf>
    <xf numFmtId="166" fontId="2" fillId="0" borderId="0" xfId="3" applyNumberFormat="1" applyProtection="1"/>
    <xf numFmtId="3" fontId="2" fillId="0" borderId="0" xfId="3" applyNumberFormat="1" applyProtection="1"/>
    <xf numFmtId="164" fontId="2" fillId="0" borderId="0" xfId="3" applyNumberFormat="1" applyAlignment="1" applyProtection="1">
      <alignment horizontal="right"/>
    </xf>
    <xf numFmtId="0" fontId="8" fillId="0" borderId="0" xfId="3" applyFont="1" applyAlignment="1" applyProtection="1">
      <alignment horizontal="left" vertical="top" wrapText="1"/>
    </xf>
    <xf numFmtId="0" fontId="3" fillId="0" borderId="0" xfId="3" applyFont="1" applyProtection="1"/>
    <xf numFmtId="49" fontId="3" fillId="0" borderId="0" xfId="0" applyNumberFormat="1" applyFont="1" applyAlignment="1" applyProtection="1">
      <alignment horizontal="center" vertical="top"/>
    </xf>
    <xf numFmtId="0" fontId="3" fillId="0" borderId="0" xfId="0" applyFont="1" applyAlignment="1" applyProtection="1">
      <alignment vertical="top" wrapText="1"/>
    </xf>
    <xf numFmtId="0" fontId="3" fillId="0" borderId="0" xfId="3" applyFont="1" applyAlignment="1" applyProtection="1">
      <alignment horizontal="right"/>
    </xf>
    <xf numFmtId="49" fontId="3" fillId="0" borderId="0" xfId="7" applyNumberFormat="1" applyFont="1" applyAlignment="1" applyProtection="1">
      <alignment horizontal="center"/>
    </xf>
    <xf numFmtId="0" fontId="17" fillId="0" borderId="0" xfId="7" applyFont="1" applyAlignment="1" applyProtection="1">
      <alignment horizontal="center" vertical="center" wrapText="1"/>
    </xf>
    <xf numFmtId="0" fontId="3" fillId="0" borderId="0" xfId="7" applyFont="1" applyProtection="1"/>
    <xf numFmtId="0" fontId="3" fillId="0" borderId="0" xfId="7" applyFont="1" applyAlignment="1" applyProtection="1">
      <alignment horizontal="center" vertical="center"/>
    </xf>
    <xf numFmtId="43" fontId="3" fillId="0" borderId="0" xfId="7" applyNumberFormat="1" applyFont="1" applyProtection="1"/>
    <xf numFmtId="49" fontId="16" fillId="0" borderId="0" xfId="7" applyNumberFormat="1" applyFont="1" applyAlignment="1" applyProtection="1">
      <alignment horizontal="center" wrapText="1"/>
    </xf>
    <xf numFmtId="0" fontId="16" fillId="0" borderId="0" xfId="7" applyFont="1" applyAlignment="1" applyProtection="1">
      <alignment horizontal="center" wrapText="1"/>
    </xf>
    <xf numFmtId="43" fontId="16" fillId="0" borderId="0" xfId="7" applyNumberFormat="1" applyFont="1" applyAlignment="1" applyProtection="1">
      <alignment horizontal="center"/>
    </xf>
    <xf numFmtId="49" fontId="3" fillId="0" borderId="1" xfId="7" applyNumberFormat="1" applyFont="1" applyBorder="1" applyAlignment="1" applyProtection="1">
      <alignment horizontal="center"/>
    </xf>
    <xf numFmtId="0" fontId="3" fillId="0" borderId="2" xfId="7" applyFont="1" applyBorder="1" applyAlignment="1" applyProtection="1">
      <alignment wrapText="1"/>
    </xf>
    <xf numFmtId="0" fontId="3" fillId="0" borderId="2" xfId="7" applyFont="1" applyBorder="1" applyProtection="1"/>
    <xf numFmtId="0" fontId="3" fillId="0" borderId="2" xfId="7" applyFont="1" applyBorder="1" applyAlignment="1" applyProtection="1">
      <alignment horizontal="center" vertical="center"/>
    </xf>
    <xf numFmtId="43" fontId="3" fillId="0" borderId="3" xfId="7" applyNumberFormat="1" applyFont="1" applyBorder="1" applyProtection="1"/>
    <xf numFmtId="49" fontId="3" fillId="0" borderId="5" xfId="7" applyNumberFormat="1" applyFont="1" applyBorder="1" applyAlignment="1" applyProtection="1">
      <alignment horizontal="center"/>
    </xf>
    <xf numFmtId="0" fontId="3" fillId="0" borderId="0" xfId="7" applyFont="1" applyBorder="1" applyAlignment="1" applyProtection="1">
      <alignment wrapText="1"/>
    </xf>
    <xf numFmtId="0" fontId="3" fillId="0" borderId="0" xfId="7" applyFont="1" applyBorder="1" applyProtection="1"/>
    <xf numFmtId="0" fontId="3" fillId="0" borderId="0" xfId="7" applyFont="1" applyBorder="1" applyAlignment="1" applyProtection="1">
      <alignment horizontal="center" vertical="center"/>
    </xf>
    <xf numFmtId="43" fontId="3" fillId="0" borderId="6" xfId="7" applyNumberFormat="1" applyFont="1" applyBorder="1" applyProtection="1"/>
    <xf numFmtId="43" fontId="3" fillId="0" borderId="14" xfId="7" applyNumberFormat="1" applyFont="1" applyBorder="1" applyAlignment="1" applyProtection="1">
      <alignment vertical="center"/>
      <protection hidden="1"/>
    </xf>
    <xf numFmtId="43" fontId="3" fillId="0" borderId="6" xfId="7" applyNumberFormat="1" applyFont="1" applyBorder="1" applyAlignment="1" applyProtection="1">
      <alignment vertical="center"/>
      <protection hidden="1"/>
    </xf>
    <xf numFmtId="0" fontId="3" fillId="0" borderId="0" xfId="7" applyFont="1" applyBorder="1" applyAlignment="1" applyProtection="1">
      <alignment vertical="top" wrapText="1"/>
    </xf>
    <xf numFmtId="44" fontId="3" fillId="0" borderId="14" xfId="1" applyNumberFormat="1" applyFont="1" applyBorder="1" applyAlignment="1" applyProtection="1">
      <alignment vertical="center"/>
      <protection hidden="1"/>
    </xf>
    <xf numFmtId="49" fontId="3" fillId="0" borderId="15" xfId="7" applyNumberFormat="1" applyFont="1" applyBorder="1" applyAlignment="1" applyProtection="1">
      <alignment horizontal="center"/>
    </xf>
    <xf numFmtId="0" fontId="3" fillId="0" borderId="16" xfId="7" applyFont="1" applyBorder="1" applyAlignment="1" applyProtection="1">
      <alignment wrapText="1"/>
    </xf>
    <xf numFmtId="0" fontId="3" fillId="0" borderId="16" xfId="7" applyFont="1" applyBorder="1" applyProtection="1"/>
    <xf numFmtId="0" fontId="3" fillId="0" borderId="16" xfId="7" applyFont="1" applyBorder="1" applyAlignment="1" applyProtection="1">
      <alignment horizontal="center" vertical="center"/>
    </xf>
    <xf numFmtId="43" fontId="3" fillId="0" borderId="17" xfId="7" applyNumberFormat="1" applyFont="1" applyBorder="1" applyAlignment="1" applyProtection="1">
      <alignment vertical="center"/>
    </xf>
    <xf numFmtId="43" fontId="3" fillId="0" borderId="6" xfId="7" applyNumberFormat="1" applyFont="1" applyBorder="1" applyAlignment="1" applyProtection="1">
      <alignment vertical="center"/>
    </xf>
    <xf numFmtId="0" fontId="3" fillId="0" borderId="0" xfId="0" applyFont="1" applyAlignment="1">
      <alignment wrapText="1"/>
    </xf>
    <xf numFmtId="43" fontId="3" fillId="0" borderId="14" xfId="1" applyNumberFormat="1" applyFont="1" applyBorder="1" applyAlignment="1" applyProtection="1">
      <alignment vertical="center"/>
      <protection hidden="1"/>
    </xf>
    <xf numFmtId="43" fontId="3" fillId="0" borderId="6" xfId="7" applyNumberFormat="1" applyFont="1" applyBorder="1" applyAlignment="1" applyProtection="1">
      <alignment horizontal="center"/>
      <protection hidden="1"/>
    </xf>
    <xf numFmtId="49" fontId="16" fillId="0" borderId="0" xfId="7" applyNumberFormat="1" applyFont="1" applyAlignment="1" applyProtection="1">
      <alignment horizontal="center"/>
    </xf>
    <xf numFmtId="4" fontId="3" fillId="0" borderId="0" xfId="7" applyNumberFormat="1" applyFont="1" applyAlignment="1" applyProtection="1">
      <alignment horizontal="center"/>
    </xf>
    <xf numFmtId="0" fontId="8" fillId="0" borderId="0" xfId="0" applyFont="1" applyAlignment="1">
      <alignment horizontal="right"/>
    </xf>
    <xf numFmtId="165" fontId="4" fillId="2" borderId="4" xfId="2" applyNumberFormat="1" applyFont="1" applyFill="1" applyBorder="1" applyAlignment="1" applyProtection="1">
      <alignment horizontal="center" wrapText="1"/>
    </xf>
    <xf numFmtId="0" fontId="3" fillId="0" borderId="5" xfId="2" applyFont="1" applyBorder="1" applyAlignment="1" applyProtection="1">
      <alignment horizontal="center" vertical="center"/>
    </xf>
    <xf numFmtId="0" fontId="3" fillId="0" borderId="0" xfId="2" applyFont="1" applyBorder="1" applyAlignment="1" applyProtection="1">
      <alignment horizontal="center" vertical="center"/>
    </xf>
    <xf numFmtId="0" fontId="3" fillId="0" borderId="6" xfId="2" applyFont="1" applyBorder="1" applyAlignment="1" applyProtection="1">
      <alignment horizontal="center" vertical="center"/>
    </xf>
    <xf numFmtId="0" fontId="3" fillId="0" borderId="0" xfId="0" applyFont="1" applyAlignment="1" applyProtection="1">
      <alignment horizontal="left" vertical="top" wrapText="1"/>
    </xf>
    <xf numFmtId="0" fontId="3" fillId="0" borderId="0" xfId="3" applyFont="1" applyAlignment="1" applyProtection="1">
      <alignment horizontal="right"/>
    </xf>
    <xf numFmtId="0" fontId="3" fillId="0" borderId="1" xfId="3" applyFont="1" applyBorder="1" applyAlignment="1" applyProtection="1">
      <alignment horizontal="center" vertical="center"/>
    </xf>
    <xf numFmtId="0" fontId="3" fillId="0" borderId="2" xfId="3" applyFont="1" applyBorder="1" applyAlignment="1" applyProtection="1">
      <alignment horizontal="center" vertical="center"/>
    </xf>
    <xf numFmtId="0" fontId="3" fillId="0" borderId="3" xfId="3" applyFont="1" applyBorder="1" applyAlignment="1" applyProtection="1">
      <alignment horizontal="center" vertical="center"/>
    </xf>
    <xf numFmtId="166" fontId="9" fillId="2" borderId="4" xfId="3" applyNumberFormat="1" applyFont="1" applyFill="1" applyBorder="1" applyAlignment="1" applyProtection="1">
      <alignment horizontal="center" vertical="center" wrapText="1"/>
    </xf>
    <xf numFmtId="166" fontId="10" fillId="2" borderId="4" xfId="3" applyNumberFormat="1" applyFont="1" applyFill="1" applyBorder="1" applyAlignment="1" applyProtection="1">
      <alignment wrapText="1"/>
    </xf>
    <xf numFmtId="0" fontId="3" fillId="0" borderId="5" xfId="3" applyFont="1" applyBorder="1" applyAlignment="1" applyProtection="1">
      <alignment horizontal="center" vertical="center"/>
    </xf>
    <xf numFmtId="0" fontId="3" fillId="0" borderId="0" xfId="3" applyFont="1" applyAlignment="1" applyProtection="1">
      <alignment horizontal="center" vertical="center"/>
    </xf>
    <xf numFmtId="0" fontId="3" fillId="0" borderId="6" xfId="3" applyFont="1" applyBorder="1" applyAlignment="1" applyProtection="1">
      <alignment horizontal="center" vertical="center"/>
    </xf>
    <xf numFmtId="0" fontId="6" fillId="0" borderId="5" xfId="3" applyFont="1" applyBorder="1" applyAlignment="1" applyProtection="1">
      <alignment horizontal="left"/>
    </xf>
    <xf numFmtId="0" fontId="12" fillId="0" borderId="0" xfId="3" applyFont="1" applyAlignment="1" applyProtection="1">
      <alignment horizontal="left"/>
    </xf>
    <xf numFmtId="0" fontId="3" fillId="0" borderId="5" xfId="3" applyFont="1" applyBorder="1" applyAlignment="1" applyProtection="1">
      <alignment horizontal="left" wrapText="1"/>
    </xf>
    <xf numFmtId="0" fontId="2" fillId="0" borderId="0" xfId="3" applyAlignment="1" applyProtection="1">
      <alignment horizontal="left" wrapText="1"/>
    </xf>
  </cellXfs>
  <cellStyles count="8">
    <cellStyle name="Comma" xfId="6" builtinId="3"/>
    <cellStyle name="Currency" xfId="1" builtinId="4"/>
    <cellStyle name="Currency 2 2" xfId="4"/>
    <cellStyle name="Normal" xfId="0" builtinId="0"/>
    <cellStyle name="Normal 2" xfId="5"/>
    <cellStyle name="Normal 2 2" xfId="7"/>
    <cellStyle name="Normal 2 3" xfId="3"/>
    <cellStyle name="Normal 3" xfId="2"/>
  </cellStyles>
  <dxfs count="0"/>
  <tableStyles count="0" defaultTableStyle="TableStyleMedium2" defaultPivotStyle="PivotStyleLight16"/>
  <colors>
    <mruColors>
      <color rgb="FFFFFF99"/>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tabSelected="1" workbookViewId="0">
      <selection activeCell="E10" sqref="E10"/>
    </sheetView>
  </sheetViews>
  <sheetFormatPr defaultRowHeight="15" x14ac:dyDescent="0.25"/>
  <cols>
    <col min="1" max="1" width="11.7109375" customWidth="1"/>
    <col min="2" max="2" width="66.28515625" customWidth="1"/>
    <col min="3" max="3" width="4.140625" bestFit="1" customWidth="1"/>
    <col min="4" max="4" width="1.85546875" bestFit="1" customWidth="1"/>
    <col min="5" max="5" width="12" bestFit="1" customWidth="1"/>
  </cols>
  <sheetData>
    <row r="1" spans="1:5" x14ac:dyDescent="0.25">
      <c r="A1" s="192" t="s">
        <v>793</v>
      </c>
      <c r="B1" s="192"/>
      <c r="C1" s="192"/>
      <c r="D1" s="192"/>
      <c r="E1" s="192"/>
    </row>
    <row r="2" spans="1:5" x14ac:dyDescent="0.25">
      <c r="A2" s="193" t="s">
        <v>794</v>
      </c>
      <c r="B2" s="193"/>
      <c r="C2" s="193"/>
      <c r="D2" s="193"/>
      <c r="E2" s="193"/>
    </row>
    <row r="3" spans="1:5" ht="15.75" x14ac:dyDescent="0.25">
      <c r="A3" s="161"/>
      <c r="B3" s="162"/>
      <c r="C3" s="163"/>
      <c r="D3" s="164"/>
      <c r="E3" s="165"/>
    </row>
    <row r="4" spans="1:5" x14ac:dyDescent="0.25">
      <c r="A4" s="166" t="s">
        <v>795</v>
      </c>
      <c r="B4" s="167" t="s">
        <v>796</v>
      </c>
      <c r="C4" s="163"/>
      <c r="D4" s="164"/>
      <c r="E4" s="168" t="s">
        <v>797</v>
      </c>
    </row>
    <row r="5" spans="1:5" x14ac:dyDescent="0.25">
      <c r="A5" s="169"/>
      <c r="B5" s="170"/>
      <c r="C5" s="171"/>
      <c r="D5" s="172"/>
      <c r="E5" s="173"/>
    </row>
    <row r="6" spans="1:5" x14ac:dyDescent="0.25">
      <c r="A6" s="174" t="s">
        <v>798</v>
      </c>
      <c r="B6" s="175" t="s">
        <v>799</v>
      </c>
      <c r="C6" s="176"/>
      <c r="D6" s="177"/>
      <c r="E6" s="178"/>
    </row>
    <row r="7" spans="1:5" ht="26.25" x14ac:dyDescent="0.25">
      <c r="A7" s="174"/>
      <c r="B7" s="175" t="s">
        <v>800</v>
      </c>
      <c r="C7" s="176"/>
      <c r="D7" s="177" t="s">
        <v>801</v>
      </c>
      <c r="E7" s="179">
        <f>'Base Recurring'!F144</f>
        <v>0</v>
      </c>
    </row>
    <row r="8" spans="1:5" x14ac:dyDescent="0.25">
      <c r="A8" s="174"/>
      <c r="B8" s="175"/>
      <c r="C8" s="176"/>
      <c r="D8" s="177"/>
      <c r="E8" s="180"/>
    </row>
    <row r="9" spans="1:5" x14ac:dyDescent="0.25">
      <c r="A9" s="174" t="s">
        <v>802</v>
      </c>
      <c r="B9" s="175" t="s">
        <v>803</v>
      </c>
      <c r="C9" s="176"/>
      <c r="D9" s="177"/>
      <c r="E9" s="180"/>
    </row>
    <row r="10" spans="1:5" ht="25.5" x14ac:dyDescent="0.25">
      <c r="A10" s="174"/>
      <c r="B10" s="181" t="s">
        <v>804</v>
      </c>
      <c r="C10" s="176" t="s">
        <v>805</v>
      </c>
      <c r="D10" s="177" t="s">
        <v>801</v>
      </c>
      <c r="E10" s="182">
        <f>'Base Non-Recurring '!G17</f>
        <v>108000</v>
      </c>
    </row>
    <row r="11" spans="1:5" x14ac:dyDescent="0.25">
      <c r="A11" s="174"/>
      <c r="B11" s="175"/>
      <c r="C11" s="176"/>
      <c r="D11" s="177"/>
      <c r="E11" s="180"/>
    </row>
    <row r="12" spans="1:5" x14ac:dyDescent="0.25">
      <c r="A12" s="174"/>
      <c r="B12" s="175" t="s">
        <v>806</v>
      </c>
      <c r="C12" s="176"/>
      <c r="D12" s="177"/>
      <c r="E12" s="180"/>
    </row>
    <row r="13" spans="1:5" x14ac:dyDescent="0.25">
      <c r="A13" s="174"/>
      <c r="B13" s="175" t="s">
        <v>807</v>
      </c>
      <c r="C13" s="176"/>
      <c r="D13" s="177" t="s">
        <v>801</v>
      </c>
      <c r="E13" s="179">
        <f>SUM(E7,E10)</f>
        <v>108000</v>
      </c>
    </row>
    <row r="14" spans="1:5" ht="15.75" thickBot="1" x14ac:dyDescent="0.3">
      <c r="A14" s="183"/>
      <c r="B14" s="184"/>
      <c r="C14" s="185"/>
      <c r="D14" s="186"/>
      <c r="E14" s="187"/>
    </row>
    <row r="15" spans="1:5" ht="15.75" thickTop="1" x14ac:dyDescent="0.25">
      <c r="A15" s="174"/>
      <c r="B15" s="175"/>
      <c r="C15" s="176"/>
      <c r="D15" s="177"/>
      <c r="E15" s="188"/>
    </row>
    <row r="16" spans="1:5" x14ac:dyDescent="0.25">
      <c r="A16" s="174" t="s">
        <v>808</v>
      </c>
      <c r="B16" s="175" t="s">
        <v>809</v>
      </c>
      <c r="C16" s="176"/>
      <c r="D16" s="177"/>
      <c r="E16" s="188"/>
    </row>
    <row r="17" spans="1:5" ht="26.25" x14ac:dyDescent="0.25">
      <c r="A17" s="174"/>
      <c r="B17" s="175" t="s">
        <v>810</v>
      </c>
      <c r="C17" s="176"/>
      <c r="D17" s="177" t="s">
        <v>801</v>
      </c>
      <c r="E17" s="179">
        <f>'OY 1 Recurring'!F144</f>
        <v>0</v>
      </c>
    </row>
    <row r="18" spans="1:5" x14ac:dyDescent="0.25">
      <c r="A18" s="174"/>
      <c r="B18" s="175"/>
      <c r="C18" s="176"/>
      <c r="D18" s="177"/>
      <c r="E18" s="188"/>
    </row>
    <row r="19" spans="1:5" x14ac:dyDescent="0.25">
      <c r="A19" s="174" t="s">
        <v>811</v>
      </c>
      <c r="B19" s="175" t="s">
        <v>812</v>
      </c>
      <c r="C19" s="176"/>
      <c r="D19" s="177"/>
      <c r="E19" s="188"/>
    </row>
    <row r="20" spans="1:5" ht="25.5" x14ac:dyDescent="0.25">
      <c r="A20" s="174"/>
      <c r="B20" s="181" t="s">
        <v>813</v>
      </c>
      <c r="C20" s="176" t="s">
        <v>805</v>
      </c>
      <c r="D20" s="177" t="s">
        <v>801</v>
      </c>
      <c r="E20" s="179">
        <f>'OY 1 Non-Recurring'!G17</f>
        <v>108000</v>
      </c>
    </row>
    <row r="21" spans="1:5" x14ac:dyDescent="0.25">
      <c r="A21" s="174"/>
      <c r="B21" s="175"/>
      <c r="C21" s="176"/>
      <c r="D21" s="177"/>
      <c r="E21" s="188"/>
    </row>
    <row r="22" spans="1:5" x14ac:dyDescent="0.25">
      <c r="A22" s="174"/>
      <c r="B22" s="175" t="s">
        <v>806</v>
      </c>
      <c r="C22" s="176"/>
      <c r="D22" s="177"/>
      <c r="E22" s="188"/>
    </row>
    <row r="23" spans="1:5" x14ac:dyDescent="0.25">
      <c r="A23" s="174"/>
      <c r="B23" s="175" t="s">
        <v>814</v>
      </c>
      <c r="C23" s="176"/>
      <c r="D23" s="177" t="s">
        <v>801</v>
      </c>
      <c r="E23" s="179">
        <f>SUM(E17,E20)</f>
        <v>108000</v>
      </c>
    </row>
    <row r="24" spans="1:5" ht="15.75" thickBot="1" x14ac:dyDescent="0.3">
      <c r="A24" s="183"/>
      <c r="B24" s="184"/>
      <c r="C24" s="185"/>
      <c r="D24" s="186"/>
      <c r="E24" s="187"/>
    </row>
    <row r="25" spans="1:5" ht="15.75" thickTop="1" x14ac:dyDescent="0.25">
      <c r="A25" s="174"/>
      <c r="B25" s="175"/>
      <c r="C25" s="176"/>
      <c r="D25" s="177"/>
      <c r="E25" s="188"/>
    </row>
    <row r="26" spans="1:5" x14ac:dyDescent="0.25">
      <c r="A26" s="174" t="s">
        <v>815</v>
      </c>
      <c r="B26" s="175" t="s">
        <v>816</v>
      </c>
      <c r="C26" s="176"/>
      <c r="D26" s="177"/>
      <c r="E26" s="188"/>
    </row>
    <row r="27" spans="1:5" ht="26.25" x14ac:dyDescent="0.25">
      <c r="A27" s="174"/>
      <c r="B27" s="175" t="s">
        <v>817</v>
      </c>
      <c r="C27" s="176"/>
      <c r="D27" s="177" t="s">
        <v>801</v>
      </c>
      <c r="E27" s="179">
        <f>'OY 2 Recurring'!F144</f>
        <v>0</v>
      </c>
    </row>
    <row r="28" spans="1:5" x14ac:dyDescent="0.25">
      <c r="A28" s="174"/>
      <c r="B28" s="175"/>
      <c r="C28" s="176"/>
      <c r="D28" s="177"/>
      <c r="E28" s="188"/>
    </row>
    <row r="29" spans="1:5" x14ac:dyDescent="0.25">
      <c r="A29" s="174" t="s">
        <v>818</v>
      </c>
      <c r="B29" s="175" t="s">
        <v>819</v>
      </c>
      <c r="C29" s="176"/>
      <c r="D29" s="177"/>
      <c r="E29" s="188"/>
    </row>
    <row r="30" spans="1:5" ht="25.5" x14ac:dyDescent="0.25">
      <c r="A30" s="174"/>
      <c r="B30" s="181" t="s">
        <v>820</v>
      </c>
      <c r="C30" s="176" t="s">
        <v>805</v>
      </c>
      <c r="D30" s="177" t="s">
        <v>801</v>
      </c>
      <c r="E30" s="179">
        <f>'OY 2 Non-Recurring'!G17</f>
        <v>108000</v>
      </c>
    </row>
    <row r="31" spans="1:5" x14ac:dyDescent="0.25">
      <c r="A31" s="174"/>
      <c r="B31" s="175"/>
      <c r="C31" s="176"/>
      <c r="D31" s="177"/>
      <c r="E31" s="188"/>
    </row>
    <row r="32" spans="1:5" x14ac:dyDescent="0.25">
      <c r="A32" s="174"/>
      <c r="B32" s="175" t="s">
        <v>806</v>
      </c>
      <c r="C32" s="176"/>
      <c r="D32" s="177"/>
      <c r="E32" s="188"/>
    </row>
    <row r="33" spans="1:5" x14ac:dyDescent="0.25">
      <c r="A33" s="174"/>
      <c r="B33" s="175" t="s">
        <v>821</v>
      </c>
      <c r="C33" s="176"/>
      <c r="D33" s="177" t="s">
        <v>801</v>
      </c>
      <c r="E33" s="179">
        <f>SUM(E27,E30)</f>
        <v>108000</v>
      </c>
    </row>
    <row r="34" spans="1:5" ht="15.75" thickBot="1" x14ac:dyDescent="0.3">
      <c r="A34" s="183"/>
      <c r="B34" s="184"/>
      <c r="C34" s="185"/>
      <c r="D34" s="186"/>
      <c r="E34" s="187"/>
    </row>
    <row r="35" spans="1:5" ht="15.75" thickTop="1" x14ac:dyDescent="0.25">
      <c r="A35" s="174"/>
      <c r="B35" s="175"/>
      <c r="C35" s="176"/>
      <c r="D35" s="177"/>
      <c r="E35" s="180"/>
    </row>
    <row r="36" spans="1:5" x14ac:dyDescent="0.25">
      <c r="A36" s="174" t="s">
        <v>822</v>
      </c>
      <c r="B36" s="175" t="s">
        <v>823</v>
      </c>
      <c r="C36" s="176"/>
      <c r="D36" s="177"/>
      <c r="E36" s="188"/>
    </row>
    <row r="37" spans="1:5" ht="26.25" x14ac:dyDescent="0.25">
      <c r="A37" s="174"/>
      <c r="B37" s="175" t="s">
        <v>824</v>
      </c>
      <c r="C37" s="176"/>
      <c r="D37" s="177" t="s">
        <v>801</v>
      </c>
      <c r="E37" s="179">
        <f>'OY 3 Recurring'!F144</f>
        <v>0</v>
      </c>
    </row>
    <row r="38" spans="1:5" x14ac:dyDescent="0.25">
      <c r="A38" s="174"/>
      <c r="B38" s="175"/>
      <c r="C38" s="176"/>
      <c r="D38" s="177"/>
      <c r="E38" s="188"/>
    </row>
    <row r="39" spans="1:5" x14ac:dyDescent="0.25">
      <c r="A39" s="174" t="s">
        <v>825</v>
      </c>
      <c r="B39" s="175" t="s">
        <v>826</v>
      </c>
      <c r="C39" s="176"/>
      <c r="D39" s="177"/>
      <c r="E39" s="188"/>
    </row>
    <row r="40" spans="1:5" ht="25.5" x14ac:dyDescent="0.25">
      <c r="A40" s="174"/>
      <c r="B40" s="181" t="s">
        <v>827</v>
      </c>
      <c r="C40" s="176" t="s">
        <v>805</v>
      </c>
      <c r="D40" s="177" t="s">
        <v>801</v>
      </c>
      <c r="E40" s="179">
        <f>'OY 3 Non-Recurring'!G17</f>
        <v>108000</v>
      </c>
    </row>
    <row r="41" spans="1:5" x14ac:dyDescent="0.25">
      <c r="A41" s="174"/>
      <c r="B41" s="175"/>
      <c r="C41" s="176"/>
      <c r="D41" s="177"/>
      <c r="E41" s="188"/>
    </row>
    <row r="42" spans="1:5" x14ac:dyDescent="0.25">
      <c r="A42" s="174"/>
      <c r="B42" s="175" t="s">
        <v>806</v>
      </c>
      <c r="C42" s="176"/>
      <c r="D42" s="177"/>
      <c r="E42" s="180"/>
    </row>
    <row r="43" spans="1:5" x14ac:dyDescent="0.25">
      <c r="A43" s="174"/>
      <c r="B43" s="175" t="s">
        <v>828</v>
      </c>
      <c r="C43" s="176"/>
      <c r="D43" s="177" t="s">
        <v>801</v>
      </c>
      <c r="E43" s="179">
        <f>SUM(E37,E40)</f>
        <v>108000</v>
      </c>
    </row>
    <row r="44" spans="1:5" ht="15.75" thickBot="1" x14ac:dyDescent="0.3">
      <c r="A44" s="183"/>
      <c r="B44" s="184"/>
      <c r="C44" s="185"/>
      <c r="D44" s="186"/>
      <c r="E44" s="187"/>
    </row>
    <row r="45" spans="1:5" ht="15.75" thickTop="1" x14ac:dyDescent="0.25">
      <c r="A45" s="174"/>
      <c r="B45" s="175"/>
      <c r="C45" s="176"/>
      <c r="D45" s="177"/>
      <c r="E45" s="188"/>
    </row>
    <row r="46" spans="1:5" x14ac:dyDescent="0.25">
      <c r="A46" s="174" t="s">
        <v>829</v>
      </c>
      <c r="B46" s="175" t="s">
        <v>830</v>
      </c>
      <c r="C46" s="176"/>
      <c r="D46" s="177"/>
      <c r="E46" s="188"/>
    </row>
    <row r="47" spans="1:5" ht="26.25" x14ac:dyDescent="0.25">
      <c r="A47" s="174"/>
      <c r="B47" s="175" t="s">
        <v>831</v>
      </c>
      <c r="C47" s="176"/>
      <c r="D47" s="177" t="s">
        <v>801</v>
      </c>
      <c r="E47" s="179">
        <f>'OY 4 Recurring'!F144</f>
        <v>0</v>
      </c>
    </row>
    <row r="48" spans="1:5" x14ac:dyDescent="0.25">
      <c r="A48" s="174"/>
      <c r="B48" s="175"/>
      <c r="C48" s="176"/>
      <c r="D48" s="177"/>
      <c r="E48" s="188"/>
    </row>
    <row r="49" spans="1:5" x14ac:dyDescent="0.25">
      <c r="A49" s="174" t="s">
        <v>832</v>
      </c>
      <c r="B49" s="175" t="s">
        <v>833</v>
      </c>
      <c r="C49" s="176"/>
      <c r="D49" s="177"/>
      <c r="E49" s="188"/>
    </row>
    <row r="50" spans="1:5" ht="25.5" x14ac:dyDescent="0.25">
      <c r="A50" s="174"/>
      <c r="B50" s="181" t="s">
        <v>834</v>
      </c>
      <c r="C50" s="176" t="s">
        <v>805</v>
      </c>
      <c r="D50" s="177" t="s">
        <v>801</v>
      </c>
      <c r="E50" s="179">
        <f>'OY 4 Non-Recurring'!G17</f>
        <v>108000</v>
      </c>
    </row>
    <row r="51" spans="1:5" x14ac:dyDescent="0.25">
      <c r="A51" s="174"/>
      <c r="B51" s="175"/>
      <c r="C51" s="176"/>
      <c r="D51" s="177"/>
      <c r="E51" s="188"/>
    </row>
    <row r="52" spans="1:5" x14ac:dyDescent="0.25">
      <c r="A52" s="174"/>
      <c r="B52" s="175" t="s">
        <v>806</v>
      </c>
      <c r="C52" s="176"/>
      <c r="D52" s="177"/>
      <c r="E52" s="180"/>
    </row>
    <row r="53" spans="1:5" x14ac:dyDescent="0.25">
      <c r="A53" s="174"/>
      <c r="B53" s="175" t="s">
        <v>835</v>
      </c>
      <c r="C53" s="176"/>
      <c r="D53" s="177" t="s">
        <v>801</v>
      </c>
      <c r="E53" s="179">
        <f>SUM(E47,E50)</f>
        <v>108000</v>
      </c>
    </row>
    <row r="54" spans="1:5" ht="15.75" thickBot="1" x14ac:dyDescent="0.3">
      <c r="A54" s="183"/>
      <c r="B54" s="184"/>
      <c r="C54" s="185"/>
      <c r="D54" s="186"/>
      <c r="E54" s="187"/>
    </row>
    <row r="55" spans="1:5" ht="15.75" thickTop="1" x14ac:dyDescent="0.25">
      <c r="A55" s="174"/>
      <c r="B55" s="175"/>
      <c r="C55" s="176"/>
      <c r="D55" s="177"/>
      <c r="E55" s="188"/>
    </row>
    <row r="56" spans="1:5" x14ac:dyDescent="0.25">
      <c r="A56" s="174" t="s">
        <v>836</v>
      </c>
      <c r="B56" s="175" t="s">
        <v>837</v>
      </c>
      <c r="C56" s="176"/>
      <c r="D56" s="177"/>
      <c r="E56" s="188"/>
    </row>
    <row r="57" spans="1:5" ht="26.25" x14ac:dyDescent="0.25">
      <c r="A57" s="174"/>
      <c r="B57" s="189" t="s">
        <v>838</v>
      </c>
      <c r="C57" s="176"/>
      <c r="D57" s="177" t="s">
        <v>801</v>
      </c>
      <c r="E57" s="179">
        <f>'Opt to Extend Recurring'!F144</f>
        <v>0</v>
      </c>
    </row>
    <row r="58" spans="1:5" x14ac:dyDescent="0.25">
      <c r="A58" s="174"/>
      <c r="B58" s="175"/>
      <c r="C58" s="176"/>
      <c r="D58" s="177"/>
      <c r="E58" s="188"/>
    </row>
    <row r="59" spans="1:5" x14ac:dyDescent="0.25">
      <c r="A59" s="174" t="s">
        <v>839</v>
      </c>
      <c r="B59" s="175" t="s">
        <v>840</v>
      </c>
      <c r="C59" s="176"/>
      <c r="D59" s="177"/>
      <c r="E59" s="188"/>
    </row>
    <row r="60" spans="1:5" ht="26.25" x14ac:dyDescent="0.25">
      <c r="A60" s="174"/>
      <c r="B60" s="189" t="s">
        <v>841</v>
      </c>
      <c r="C60" s="176" t="s">
        <v>805</v>
      </c>
      <c r="D60" s="177" t="s">
        <v>801</v>
      </c>
      <c r="E60" s="179">
        <f>'Opt Extend Non-Recurring '!G17</f>
        <v>54000</v>
      </c>
    </row>
    <row r="61" spans="1:5" x14ac:dyDescent="0.25">
      <c r="A61" s="174"/>
      <c r="B61" s="175"/>
      <c r="C61" s="176"/>
      <c r="D61" s="177"/>
      <c r="E61" s="188"/>
    </row>
    <row r="62" spans="1:5" x14ac:dyDescent="0.25">
      <c r="A62" s="174"/>
      <c r="B62" s="175" t="s">
        <v>806</v>
      </c>
      <c r="C62" s="176"/>
      <c r="D62" s="177"/>
      <c r="E62" s="180"/>
    </row>
    <row r="63" spans="1:5" x14ac:dyDescent="0.25">
      <c r="A63" s="174"/>
      <c r="B63" s="175" t="s">
        <v>842</v>
      </c>
      <c r="C63" s="176"/>
      <c r="D63" s="177" t="s">
        <v>801</v>
      </c>
      <c r="E63" s="179">
        <f>SUM(E57,E60)</f>
        <v>54000</v>
      </c>
    </row>
    <row r="64" spans="1:5" ht="15.75" thickBot="1" x14ac:dyDescent="0.3">
      <c r="A64" s="183"/>
      <c r="B64" s="184"/>
      <c r="C64" s="185"/>
      <c r="D64" s="186"/>
      <c r="E64" s="187"/>
    </row>
    <row r="65" spans="1:5" ht="15.75" thickTop="1" x14ac:dyDescent="0.25">
      <c r="A65" s="174"/>
      <c r="B65" s="175"/>
      <c r="C65" s="176"/>
      <c r="D65" s="177"/>
      <c r="E65" s="188"/>
    </row>
    <row r="66" spans="1:5" x14ac:dyDescent="0.25">
      <c r="A66" s="174"/>
      <c r="B66" s="175" t="s">
        <v>806</v>
      </c>
      <c r="C66" s="176"/>
      <c r="D66" s="177"/>
      <c r="E66" s="188"/>
    </row>
    <row r="67" spans="1:5" x14ac:dyDescent="0.25">
      <c r="A67" s="174"/>
      <c r="B67" s="175" t="s">
        <v>843</v>
      </c>
      <c r="C67" s="176"/>
      <c r="D67" s="177" t="s">
        <v>801</v>
      </c>
      <c r="E67" s="190">
        <f>SUM(E13,E23,E33,E43,E53,E63)</f>
        <v>594000</v>
      </c>
    </row>
    <row r="68" spans="1:5" x14ac:dyDescent="0.25">
      <c r="A68" s="174"/>
      <c r="B68" s="175"/>
      <c r="C68" s="176"/>
      <c r="D68" s="177"/>
      <c r="E68" s="191"/>
    </row>
  </sheetData>
  <sheetProtection password="C9A6" sheet="1" objects="1" scenarios="1"/>
  <mergeCells count="2">
    <mergeCell ref="A1:E1"/>
    <mergeCell ref="A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L144"/>
  <sheetViews>
    <sheetView zoomScale="90" zoomScaleNormal="90" zoomScalePageLayoutView="90" workbookViewId="0">
      <selection activeCell="H12" sqref="H12"/>
    </sheetView>
  </sheetViews>
  <sheetFormatPr defaultRowHeight="15" x14ac:dyDescent="0.25"/>
  <cols>
    <col min="2" max="2" width="70.140625" customWidth="1"/>
    <col min="5" max="5" width="11.85546875" bestFit="1" customWidth="1"/>
    <col min="6" max="6" width="13.5703125" customWidth="1"/>
    <col min="7" max="7" width="9.5703125" customWidth="1"/>
    <col min="8" max="8" width="14.7109375" customWidth="1"/>
    <col min="12" max="12" width="65.140625" hidden="1" customWidth="1"/>
  </cols>
  <sheetData>
    <row r="1" spans="1:8" x14ac:dyDescent="0.25">
      <c r="A1" s="1"/>
      <c r="B1" s="2"/>
      <c r="C1" s="3"/>
      <c r="D1" s="3"/>
      <c r="E1" s="4"/>
      <c r="F1" s="5"/>
      <c r="G1" s="6"/>
      <c r="H1" s="195" t="s">
        <v>0</v>
      </c>
    </row>
    <row r="2" spans="1:8" x14ac:dyDescent="0.25">
      <c r="A2" s="196" t="s">
        <v>125</v>
      </c>
      <c r="B2" s="197"/>
      <c r="C2" s="197"/>
      <c r="D2" s="197"/>
      <c r="E2" s="197"/>
      <c r="F2" s="197"/>
      <c r="G2" s="198"/>
      <c r="H2" s="195"/>
    </row>
    <row r="3" spans="1:8" x14ac:dyDescent="0.25">
      <c r="A3" s="196" t="s">
        <v>1</v>
      </c>
      <c r="B3" s="197"/>
      <c r="C3" s="197"/>
      <c r="D3" s="197"/>
      <c r="E3" s="197"/>
      <c r="F3" s="197"/>
      <c r="G3" s="198"/>
      <c r="H3" s="195"/>
    </row>
    <row r="4" spans="1:8" x14ac:dyDescent="0.25">
      <c r="A4" s="196" t="s">
        <v>33</v>
      </c>
      <c r="B4" s="197"/>
      <c r="C4" s="197"/>
      <c r="D4" s="197"/>
      <c r="E4" s="197"/>
      <c r="F4" s="197"/>
      <c r="G4" s="198"/>
      <c r="H4" s="195"/>
    </row>
    <row r="5" spans="1:8" x14ac:dyDescent="0.25">
      <c r="A5" s="196" t="s">
        <v>259</v>
      </c>
      <c r="B5" s="197"/>
      <c r="C5" s="197"/>
      <c r="D5" s="197"/>
      <c r="E5" s="197"/>
      <c r="F5" s="197"/>
      <c r="G5" s="198"/>
      <c r="H5" s="195"/>
    </row>
    <row r="6" spans="1:8" x14ac:dyDescent="0.25">
      <c r="A6" s="7"/>
      <c r="B6" s="8"/>
      <c r="C6" s="9"/>
      <c r="D6" s="10"/>
      <c r="E6" s="11"/>
      <c r="F6" s="12"/>
      <c r="G6" s="13"/>
      <c r="H6" s="195"/>
    </row>
    <row r="7" spans="1:8" x14ac:dyDescent="0.25">
      <c r="A7" s="14" t="s">
        <v>34</v>
      </c>
      <c r="B7" s="15"/>
      <c r="C7" s="16"/>
      <c r="D7" s="16"/>
      <c r="E7" s="17"/>
      <c r="F7" s="18"/>
      <c r="G7" s="19"/>
      <c r="H7" s="195"/>
    </row>
    <row r="8" spans="1:8" x14ac:dyDescent="0.25">
      <c r="A8" s="20" t="s">
        <v>2</v>
      </c>
      <c r="B8" s="21"/>
      <c r="C8" s="22"/>
      <c r="D8" s="22"/>
      <c r="E8" s="23"/>
      <c r="F8" s="12"/>
      <c r="G8" s="13"/>
      <c r="H8" s="195"/>
    </row>
    <row r="9" spans="1:8" x14ac:dyDescent="0.25">
      <c r="A9" s="24" t="s">
        <v>844</v>
      </c>
      <c r="B9" s="25"/>
      <c r="C9" s="26"/>
      <c r="D9" s="26"/>
      <c r="E9" s="27"/>
      <c r="F9" s="28"/>
      <c r="G9" s="29"/>
      <c r="H9" s="195"/>
    </row>
    <row r="10" spans="1:8" ht="25.5" customHeight="1" x14ac:dyDescent="0.25">
      <c r="A10" s="30" t="s">
        <v>3</v>
      </c>
      <c r="B10" s="31" t="s">
        <v>4</v>
      </c>
      <c r="C10" s="32" t="s">
        <v>5</v>
      </c>
      <c r="D10" s="33" t="s">
        <v>6</v>
      </c>
      <c r="E10" s="34" t="s">
        <v>7</v>
      </c>
      <c r="F10" s="35" t="s">
        <v>8</v>
      </c>
      <c r="G10" s="36" t="s">
        <v>9</v>
      </c>
      <c r="H10" s="195"/>
    </row>
    <row r="11" spans="1:8" ht="25.5" x14ac:dyDescent="0.25">
      <c r="A11" s="31" t="s">
        <v>35</v>
      </c>
      <c r="B11" s="30" t="s">
        <v>107</v>
      </c>
      <c r="C11" s="37"/>
      <c r="D11" s="37"/>
      <c r="E11" s="38"/>
      <c r="F11" s="39"/>
      <c r="G11" s="37"/>
      <c r="H11" s="40"/>
    </row>
    <row r="12" spans="1:8" x14ac:dyDescent="0.25">
      <c r="A12" s="41" t="s">
        <v>36</v>
      </c>
      <c r="B12" s="42" t="s">
        <v>11</v>
      </c>
      <c r="C12" s="37">
        <v>12</v>
      </c>
      <c r="D12" s="37" t="s">
        <v>13</v>
      </c>
      <c r="E12" s="63">
        <f t="shared" ref="E12:E17" si="0">ROUND(H12,2)</f>
        <v>0</v>
      </c>
      <c r="F12" s="63">
        <f t="shared" ref="F12:F17" si="1">C12*E12</f>
        <v>0</v>
      </c>
      <c r="G12" s="37"/>
      <c r="H12" s="43"/>
    </row>
    <row r="13" spans="1:8" x14ac:dyDescent="0.25">
      <c r="A13" s="41" t="s">
        <v>37</v>
      </c>
      <c r="B13" s="42" t="s">
        <v>12</v>
      </c>
      <c r="C13" s="37">
        <v>12</v>
      </c>
      <c r="D13" s="37" t="s">
        <v>13</v>
      </c>
      <c r="E13" s="63">
        <f t="shared" si="0"/>
        <v>0</v>
      </c>
      <c r="F13" s="64">
        <f t="shared" si="1"/>
        <v>0</v>
      </c>
      <c r="G13" s="37"/>
      <c r="H13" s="43"/>
    </row>
    <row r="14" spans="1:8" x14ac:dyDescent="0.25">
      <c r="A14" s="41" t="s">
        <v>38</v>
      </c>
      <c r="B14" s="42" t="s">
        <v>14</v>
      </c>
      <c r="C14" s="37">
        <v>12</v>
      </c>
      <c r="D14" s="37" t="s">
        <v>13</v>
      </c>
      <c r="E14" s="63">
        <f t="shared" si="0"/>
        <v>0</v>
      </c>
      <c r="F14" s="64">
        <f t="shared" si="1"/>
        <v>0</v>
      </c>
      <c r="G14" s="37"/>
      <c r="H14" s="43"/>
    </row>
    <row r="15" spans="1:8" ht="25.5" customHeight="1" x14ac:dyDescent="0.25">
      <c r="A15" s="41" t="s">
        <v>39</v>
      </c>
      <c r="B15" s="42" t="s">
        <v>150</v>
      </c>
      <c r="C15" s="37">
        <v>2</v>
      </c>
      <c r="D15" s="37" t="s">
        <v>18</v>
      </c>
      <c r="E15" s="63">
        <f t="shared" si="0"/>
        <v>0</v>
      </c>
      <c r="F15" s="64">
        <f t="shared" si="1"/>
        <v>0</v>
      </c>
      <c r="G15" s="37"/>
      <c r="H15" s="43"/>
    </row>
    <row r="16" spans="1:8" ht="25.5" x14ac:dyDescent="0.25">
      <c r="A16" s="41" t="s">
        <v>40</v>
      </c>
      <c r="B16" s="50" t="s">
        <v>120</v>
      </c>
      <c r="C16" s="37">
        <v>2</v>
      </c>
      <c r="D16" s="37" t="s">
        <v>18</v>
      </c>
      <c r="E16" s="63">
        <f t="shared" si="0"/>
        <v>0</v>
      </c>
      <c r="F16" s="64">
        <f t="shared" si="1"/>
        <v>0</v>
      </c>
      <c r="G16" s="37"/>
      <c r="H16" s="43"/>
    </row>
    <row r="17" spans="1:8" ht="25.5" customHeight="1" x14ac:dyDescent="0.25">
      <c r="A17" s="41" t="s">
        <v>41</v>
      </c>
      <c r="B17" s="50" t="s">
        <v>151</v>
      </c>
      <c r="C17" s="37">
        <v>1</v>
      </c>
      <c r="D17" s="37" t="s">
        <v>15</v>
      </c>
      <c r="E17" s="63">
        <f t="shared" si="0"/>
        <v>0</v>
      </c>
      <c r="F17" s="64">
        <f t="shared" si="1"/>
        <v>0</v>
      </c>
      <c r="G17" s="37"/>
      <c r="H17" s="43"/>
    </row>
    <row r="18" spans="1:8" x14ac:dyDescent="0.25">
      <c r="A18" s="41"/>
      <c r="B18" s="31" t="s">
        <v>104</v>
      </c>
      <c r="C18" s="37"/>
      <c r="D18" s="37"/>
      <c r="E18" s="38"/>
      <c r="F18" s="88">
        <f>SUM(F12:F17)</f>
        <v>0</v>
      </c>
      <c r="G18" s="37"/>
      <c r="H18" s="40"/>
    </row>
    <row r="19" spans="1:8" x14ac:dyDescent="0.25">
      <c r="A19" s="45"/>
      <c r="B19" s="46"/>
      <c r="C19" s="22"/>
      <c r="D19" s="22"/>
      <c r="E19" s="23"/>
      <c r="F19" s="47"/>
      <c r="G19" s="22"/>
      <c r="H19" s="48"/>
    </row>
    <row r="20" spans="1:8" x14ac:dyDescent="0.25">
      <c r="A20" s="31" t="s">
        <v>42</v>
      </c>
      <c r="B20" s="31" t="s">
        <v>20</v>
      </c>
      <c r="C20" s="37"/>
      <c r="D20" s="37"/>
      <c r="E20" s="38"/>
      <c r="F20" s="39"/>
      <c r="G20" s="37"/>
      <c r="H20" s="40"/>
    </row>
    <row r="21" spans="1:8" x14ac:dyDescent="0.25">
      <c r="A21" s="41" t="s">
        <v>43</v>
      </c>
      <c r="B21" s="42" t="s">
        <v>11</v>
      </c>
      <c r="C21" s="37">
        <v>12</v>
      </c>
      <c r="D21" s="37" t="s">
        <v>13</v>
      </c>
      <c r="E21" s="65">
        <f>ROUND(H21,2)</f>
        <v>0</v>
      </c>
      <c r="F21" s="66">
        <f>C21*E21</f>
        <v>0</v>
      </c>
      <c r="G21" s="37"/>
      <c r="H21" s="43"/>
    </row>
    <row r="22" spans="1:8" x14ac:dyDescent="0.25">
      <c r="A22" s="41" t="s">
        <v>44</v>
      </c>
      <c r="B22" s="42" t="s">
        <v>12</v>
      </c>
      <c r="C22" s="37">
        <v>12</v>
      </c>
      <c r="D22" s="37" t="s">
        <v>13</v>
      </c>
      <c r="E22" s="65">
        <f>ROUND(H22,2)</f>
        <v>0</v>
      </c>
      <c r="F22" s="66">
        <f>C22*E22</f>
        <v>0</v>
      </c>
      <c r="G22" s="37"/>
      <c r="H22" s="43"/>
    </row>
    <row r="23" spans="1:8" x14ac:dyDescent="0.25">
      <c r="A23" s="41" t="s">
        <v>45</v>
      </c>
      <c r="B23" s="42" t="s">
        <v>14</v>
      </c>
      <c r="C23" s="37">
        <v>12</v>
      </c>
      <c r="D23" s="37" t="s">
        <v>13</v>
      </c>
      <c r="E23" s="65">
        <f>ROUND(H23,2)</f>
        <v>0</v>
      </c>
      <c r="F23" s="66">
        <f>C23*E23</f>
        <v>0</v>
      </c>
      <c r="G23" s="37"/>
      <c r="H23" s="43"/>
    </row>
    <row r="24" spans="1:8" ht="25.5" x14ac:dyDescent="0.25">
      <c r="A24" s="41" t="s">
        <v>46</v>
      </c>
      <c r="B24" s="50" t="s">
        <v>143</v>
      </c>
      <c r="C24" s="37">
        <v>12</v>
      </c>
      <c r="D24" s="37" t="s">
        <v>13</v>
      </c>
      <c r="E24" s="65">
        <f>ROUND(H24,2)</f>
        <v>0</v>
      </c>
      <c r="F24" s="66">
        <f>C24*E24</f>
        <v>0</v>
      </c>
      <c r="G24" s="37"/>
      <c r="H24" s="43"/>
    </row>
    <row r="25" spans="1:8" ht="38.25" x14ac:dyDescent="0.25">
      <c r="A25" s="41" t="s">
        <v>47</v>
      </c>
      <c r="B25" s="42" t="s">
        <v>144</v>
      </c>
      <c r="C25" s="37">
        <v>12</v>
      </c>
      <c r="D25" s="37" t="s">
        <v>13</v>
      </c>
      <c r="E25" s="65">
        <f>ROUND(H25,2)</f>
        <v>0</v>
      </c>
      <c r="F25" s="66">
        <f>C25*E25</f>
        <v>0</v>
      </c>
      <c r="G25" s="37"/>
      <c r="H25" s="43"/>
    </row>
    <row r="26" spans="1:8" ht="38.25" x14ac:dyDescent="0.25">
      <c r="A26" s="41" t="s">
        <v>105</v>
      </c>
      <c r="B26" s="52" t="s">
        <v>145</v>
      </c>
      <c r="C26" s="53">
        <v>12</v>
      </c>
      <c r="D26" s="53" t="s">
        <v>13</v>
      </c>
      <c r="E26" s="67">
        <f>H26</f>
        <v>0</v>
      </c>
      <c r="F26" s="68">
        <f>E26*C26</f>
        <v>0</v>
      </c>
      <c r="G26" s="53"/>
      <c r="H26" s="43"/>
    </row>
    <row r="27" spans="1:8" x14ac:dyDescent="0.25">
      <c r="A27" s="41"/>
      <c r="B27" s="31" t="s">
        <v>21</v>
      </c>
      <c r="C27" s="37"/>
      <c r="D27" s="37"/>
      <c r="E27" s="38"/>
      <c r="F27" s="89">
        <f>SUM(F21:F26)</f>
        <v>0</v>
      </c>
      <c r="G27" s="37"/>
      <c r="H27" s="40"/>
    </row>
    <row r="28" spans="1:8" x14ac:dyDescent="0.25">
      <c r="A28" s="45"/>
      <c r="B28" s="51"/>
      <c r="C28" s="22"/>
      <c r="D28" s="22"/>
      <c r="E28" s="23"/>
      <c r="F28" s="47"/>
      <c r="G28" s="22"/>
      <c r="H28" s="48"/>
    </row>
    <row r="29" spans="1:8" x14ac:dyDescent="0.25">
      <c r="A29" s="45"/>
      <c r="B29" s="46"/>
      <c r="C29" s="22"/>
      <c r="D29" s="22"/>
      <c r="E29" s="23"/>
      <c r="F29" s="47"/>
      <c r="G29" s="22"/>
      <c r="H29" s="48"/>
    </row>
    <row r="30" spans="1:8" x14ac:dyDescent="0.25">
      <c r="A30" s="31" t="s">
        <v>48</v>
      </c>
      <c r="B30" s="30" t="s">
        <v>106</v>
      </c>
      <c r="C30" s="37"/>
      <c r="D30" s="37"/>
      <c r="E30" s="38"/>
      <c r="F30" s="39"/>
      <c r="G30" s="37"/>
      <c r="H30" s="40"/>
    </row>
    <row r="31" spans="1:8" x14ac:dyDescent="0.25">
      <c r="A31" s="41" t="s">
        <v>49</v>
      </c>
      <c r="B31" s="42" t="s">
        <v>11</v>
      </c>
      <c r="C31" s="37">
        <v>12</v>
      </c>
      <c r="D31" s="37" t="s">
        <v>13</v>
      </c>
      <c r="E31" s="65">
        <f>ROUND(H31,2)</f>
        <v>0</v>
      </c>
      <c r="F31" s="66">
        <f>C31*E31</f>
        <v>0</v>
      </c>
      <c r="G31" s="37"/>
      <c r="H31" s="43"/>
    </row>
    <row r="32" spans="1:8" x14ac:dyDescent="0.25">
      <c r="A32" s="41" t="s">
        <v>50</v>
      </c>
      <c r="B32" s="42" t="s">
        <v>12</v>
      </c>
      <c r="C32" s="37">
        <v>12</v>
      </c>
      <c r="D32" s="37" t="s">
        <v>13</v>
      </c>
      <c r="E32" s="65">
        <f>ROUND(H32,2)</f>
        <v>0</v>
      </c>
      <c r="F32" s="66">
        <f>C32*E32</f>
        <v>0</v>
      </c>
      <c r="G32" s="37"/>
      <c r="H32" s="43"/>
    </row>
    <row r="33" spans="1:8" x14ac:dyDescent="0.25">
      <c r="A33" s="41" t="s">
        <v>51</v>
      </c>
      <c r="B33" s="42" t="s">
        <v>14</v>
      </c>
      <c r="C33" s="37">
        <v>12</v>
      </c>
      <c r="D33" s="37" t="s">
        <v>13</v>
      </c>
      <c r="E33" s="65">
        <f>ROUND(H33,2)</f>
        <v>0</v>
      </c>
      <c r="F33" s="66">
        <f>C33*E33</f>
        <v>0</v>
      </c>
      <c r="G33" s="37"/>
      <c r="H33" s="43"/>
    </row>
    <row r="34" spans="1:8" ht="38.25" x14ac:dyDescent="0.25">
      <c r="A34" s="41" t="s">
        <v>52</v>
      </c>
      <c r="B34" s="42" t="s">
        <v>142</v>
      </c>
      <c r="C34" s="37">
        <v>12</v>
      </c>
      <c r="D34" s="37" t="s">
        <v>13</v>
      </c>
      <c r="E34" s="65">
        <f>ROUND(H34,2)</f>
        <v>0</v>
      </c>
      <c r="F34" s="66">
        <f>C34*E34</f>
        <v>0</v>
      </c>
      <c r="G34" s="37"/>
      <c r="H34" s="43"/>
    </row>
    <row r="35" spans="1:8" ht="38.25" x14ac:dyDescent="0.25">
      <c r="A35" s="41" t="s">
        <v>53</v>
      </c>
      <c r="B35" s="42" t="s">
        <v>141</v>
      </c>
      <c r="C35" s="37">
        <v>12</v>
      </c>
      <c r="D35" s="37" t="s">
        <v>13</v>
      </c>
      <c r="E35" s="65">
        <f>ROUND(H35,2)</f>
        <v>0</v>
      </c>
      <c r="F35" s="66">
        <f>C35*E35</f>
        <v>0</v>
      </c>
      <c r="G35" s="37"/>
      <c r="H35" s="43"/>
    </row>
    <row r="36" spans="1:8" x14ac:dyDescent="0.25">
      <c r="A36" s="41"/>
      <c r="B36" s="54" t="s">
        <v>24</v>
      </c>
      <c r="C36" s="37"/>
      <c r="D36" s="37"/>
      <c r="E36" s="38"/>
      <c r="F36" s="89">
        <f>SUM(F31:F35)</f>
        <v>0</v>
      </c>
      <c r="G36" s="37"/>
      <c r="H36" s="40"/>
    </row>
    <row r="37" spans="1:8" x14ac:dyDescent="0.25">
      <c r="A37" s="45"/>
      <c r="B37" s="46"/>
      <c r="C37" s="22"/>
      <c r="D37" s="22"/>
      <c r="E37" s="23"/>
      <c r="F37" s="47"/>
      <c r="G37" s="22"/>
      <c r="H37" s="48"/>
    </row>
    <row r="38" spans="1:8" x14ac:dyDescent="0.25">
      <c r="A38" s="31" t="s">
        <v>54</v>
      </c>
      <c r="B38" s="30" t="s">
        <v>108</v>
      </c>
      <c r="C38" s="37"/>
      <c r="D38" s="37"/>
      <c r="E38" s="38"/>
      <c r="F38" s="39"/>
      <c r="G38" s="37"/>
      <c r="H38" s="40"/>
    </row>
    <row r="39" spans="1:8" x14ac:dyDescent="0.25">
      <c r="A39" s="41" t="s">
        <v>55</v>
      </c>
      <c r="B39" s="42" t="s">
        <v>11</v>
      </c>
      <c r="C39" s="37">
        <v>12</v>
      </c>
      <c r="D39" s="37" t="s">
        <v>13</v>
      </c>
      <c r="E39" s="65">
        <f>ROUND(H39,2)</f>
        <v>0</v>
      </c>
      <c r="F39" s="66">
        <f>C39*E39</f>
        <v>0</v>
      </c>
      <c r="G39" s="37"/>
      <c r="H39" s="43"/>
    </row>
    <row r="40" spans="1:8" x14ac:dyDescent="0.25">
      <c r="A40" s="41" t="s">
        <v>56</v>
      </c>
      <c r="B40" s="42" t="s">
        <v>12</v>
      </c>
      <c r="C40" s="37">
        <v>12</v>
      </c>
      <c r="D40" s="37" t="s">
        <v>13</v>
      </c>
      <c r="E40" s="65">
        <f t="shared" ref="E40:E45" si="2">ROUND(H40,2)</f>
        <v>0</v>
      </c>
      <c r="F40" s="66">
        <f t="shared" ref="F40:F45" si="3">C40*E40</f>
        <v>0</v>
      </c>
      <c r="G40" s="37"/>
      <c r="H40" s="43"/>
    </row>
    <row r="41" spans="1:8" x14ac:dyDescent="0.25">
      <c r="A41" s="41" t="s">
        <v>57</v>
      </c>
      <c r="B41" s="50" t="s">
        <v>14</v>
      </c>
      <c r="C41" s="37">
        <v>12</v>
      </c>
      <c r="D41" s="37" t="s">
        <v>13</v>
      </c>
      <c r="E41" s="65">
        <f t="shared" si="2"/>
        <v>0</v>
      </c>
      <c r="F41" s="66">
        <f t="shared" si="3"/>
        <v>0</v>
      </c>
      <c r="G41" s="37"/>
      <c r="H41" s="43"/>
    </row>
    <row r="42" spans="1:8" ht="25.5" x14ac:dyDescent="0.25">
      <c r="A42" s="41" t="s">
        <v>58</v>
      </c>
      <c r="B42" s="50" t="s">
        <v>140</v>
      </c>
      <c r="C42" s="37">
        <v>12</v>
      </c>
      <c r="D42" s="37" t="s">
        <v>13</v>
      </c>
      <c r="E42" s="65">
        <f t="shared" si="2"/>
        <v>0</v>
      </c>
      <c r="F42" s="66">
        <f t="shared" si="3"/>
        <v>0</v>
      </c>
      <c r="G42" s="37"/>
      <c r="H42" s="43"/>
    </row>
    <row r="43" spans="1:8" ht="25.5" x14ac:dyDescent="0.25">
      <c r="A43" s="41" t="s">
        <v>59</v>
      </c>
      <c r="B43" s="50" t="s">
        <v>139</v>
      </c>
      <c r="C43" s="37">
        <v>12</v>
      </c>
      <c r="D43" s="37" t="s">
        <v>13</v>
      </c>
      <c r="E43" s="65">
        <f t="shared" si="2"/>
        <v>0</v>
      </c>
      <c r="F43" s="66">
        <f t="shared" si="3"/>
        <v>0</v>
      </c>
      <c r="G43" s="37"/>
      <c r="H43" s="43"/>
    </row>
    <row r="44" spans="1:8" ht="25.5" x14ac:dyDescent="0.25">
      <c r="A44" s="41" t="s">
        <v>60</v>
      </c>
      <c r="B44" s="50" t="s">
        <v>138</v>
      </c>
      <c r="C44" s="37">
        <v>12</v>
      </c>
      <c r="D44" s="37" t="s">
        <v>13</v>
      </c>
      <c r="E44" s="65">
        <f t="shared" si="2"/>
        <v>0</v>
      </c>
      <c r="F44" s="66">
        <f t="shared" si="3"/>
        <v>0</v>
      </c>
      <c r="G44" s="37"/>
      <c r="H44" s="43"/>
    </row>
    <row r="45" spans="1:8" ht="25.5" x14ac:dyDescent="0.25">
      <c r="A45" s="41" t="s">
        <v>61</v>
      </c>
      <c r="B45" s="50" t="s">
        <v>137</v>
      </c>
      <c r="C45" s="37">
        <v>12</v>
      </c>
      <c r="D45" s="37" t="s">
        <v>13</v>
      </c>
      <c r="E45" s="65">
        <f t="shared" si="2"/>
        <v>0</v>
      </c>
      <c r="F45" s="66">
        <f t="shared" si="3"/>
        <v>0</v>
      </c>
      <c r="G45" s="37"/>
      <c r="H45" s="43"/>
    </row>
    <row r="46" spans="1:8" ht="25.5" x14ac:dyDescent="0.25">
      <c r="A46" s="41" t="s">
        <v>109</v>
      </c>
      <c r="B46" s="50" t="s">
        <v>136</v>
      </c>
      <c r="C46" s="37">
        <v>12</v>
      </c>
      <c r="D46" s="37" t="s">
        <v>13</v>
      </c>
      <c r="E46" s="65">
        <f>ROUND(H46,2)</f>
        <v>0</v>
      </c>
      <c r="F46" s="66">
        <f>C46*E46</f>
        <v>0</v>
      </c>
      <c r="G46" s="37"/>
      <c r="H46" s="43"/>
    </row>
    <row r="47" spans="1:8" ht="25.5" x14ac:dyDescent="0.25">
      <c r="A47" s="41" t="s">
        <v>110</v>
      </c>
      <c r="B47" s="50" t="s">
        <v>135</v>
      </c>
      <c r="C47" s="37">
        <v>12</v>
      </c>
      <c r="D47" s="37" t="s">
        <v>13</v>
      </c>
      <c r="E47" s="65">
        <f>ROUND(H47,2)</f>
        <v>0</v>
      </c>
      <c r="F47" s="66">
        <f>C47*E47</f>
        <v>0</v>
      </c>
      <c r="G47" s="37"/>
      <c r="H47" s="43"/>
    </row>
    <row r="48" spans="1:8" x14ac:dyDescent="0.25">
      <c r="A48" s="41"/>
      <c r="B48" s="31" t="s">
        <v>25</v>
      </c>
      <c r="C48" s="37"/>
      <c r="D48" s="37"/>
      <c r="E48" s="38"/>
      <c r="F48" s="89">
        <f>SUM(F39:F47)</f>
        <v>0</v>
      </c>
      <c r="G48" s="37"/>
      <c r="H48" s="40"/>
    </row>
    <row r="49" spans="1:12" x14ac:dyDescent="0.25">
      <c r="A49" s="45"/>
      <c r="B49" s="46"/>
      <c r="C49" s="22"/>
      <c r="D49" s="22"/>
      <c r="E49" s="23"/>
      <c r="F49" s="47"/>
      <c r="G49" s="22"/>
      <c r="H49" s="48"/>
    </row>
    <row r="50" spans="1:12" x14ac:dyDescent="0.25">
      <c r="A50" s="31" t="s">
        <v>62</v>
      </c>
      <c r="B50" s="49" t="s">
        <v>17</v>
      </c>
      <c r="C50" s="37"/>
      <c r="D50" s="37"/>
      <c r="E50" s="38"/>
      <c r="F50" s="39"/>
      <c r="G50" s="37"/>
      <c r="H50" s="40"/>
    </row>
    <row r="51" spans="1:12" x14ac:dyDescent="0.25">
      <c r="A51" s="41" t="s">
        <v>63</v>
      </c>
      <c r="B51" s="50" t="s">
        <v>11</v>
      </c>
      <c r="C51" s="37">
        <v>12</v>
      </c>
      <c r="D51" s="37" t="s">
        <v>13</v>
      </c>
      <c r="E51" s="65">
        <f>ROUND(H51,2)</f>
        <v>0</v>
      </c>
      <c r="F51" s="66">
        <f>C51*E51</f>
        <v>0</v>
      </c>
      <c r="G51" s="37"/>
      <c r="H51" s="43"/>
    </row>
    <row r="52" spans="1:12" x14ac:dyDescent="0.25">
      <c r="A52" s="41" t="s">
        <v>64</v>
      </c>
      <c r="B52" s="42" t="s">
        <v>12</v>
      </c>
      <c r="C52" s="37">
        <v>12</v>
      </c>
      <c r="D52" s="37" t="s">
        <v>13</v>
      </c>
      <c r="E52" s="65">
        <f>ROUND(H52,2)</f>
        <v>0</v>
      </c>
      <c r="F52" s="66">
        <f>C52*E52</f>
        <v>0</v>
      </c>
      <c r="G52" s="37"/>
      <c r="H52" s="43"/>
    </row>
    <row r="53" spans="1:12" x14ac:dyDescent="0.25">
      <c r="A53" s="41" t="s">
        <v>65</v>
      </c>
      <c r="B53" s="50" t="s">
        <v>14</v>
      </c>
      <c r="C53" s="37">
        <v>12</v>
      </c>
      <c r="D53" s="37" t="s">
        <v>13</v>
      </c>
      <c r="E53" s="65">
        <f>ROUND(H53,2)</f>
        <v>0</v>
      </c>
      <c r="F53" s="66">
        <f>C53*E53</f>
        <v>0</v>
      </c>
      <c r="G53" s="37"/>
      <c r="H53" s="43"/>
    </row>
    <row r="54" spans="1:12" ht="25.5" x14ac:dyDescent="0.25">
      <c r="A54" s="41" t="s">
        <v>66</v>
      </c>
      <c r="B54" s="50" t="s">
        <v>133</v>
      </c>
      <c r="C54" s="37">
        <v>2</v>
      </c>
      <c r="D54" s="37" t="s">
        <v>18</v>
      </c>
      <c r="E54" s="65">
        <f>ROUND(H54,2)</f>
        <v>0</v>
      </c>
      <c r="F54" s="66">
        <f>C54*E54</f>
        <v>0</v>
      </c>
      <c r="G54" s="37"/>
      <c r="H54" s="43"/>
      <c r="L54" s="50"/>
    </row>
    <row r="55" spans="1:12" ht="25.5" x14ac:dyDescent="0.25">
      <c r="A55" s="41" t="s">
        <v>67</v>
      </c>
      <c r="B55" s="50" t="s">
        <v>134</v>
      </c>
      <c r="C55" s="37">
        <v>1</v>
      </c>
      <c r="D55" s="37" t="s">
        <v>15</v>
      </c>
      <c r="E55" s="65">
        <f>ROUND(H55,2)</f>
        <v>0</v>
      </c>
      <c r="F55" s="66">
        <f>C55*E55</f>
        <v>0</v>
      </c>
      <c r="G55" s="37"/>
      <c r="H55" s="43"/>
    </row>
    <row r="56" spans="1:12" x14ac:dyDescent="0.25">
      <c r="A56" s="41"/>
      <c r="B56" s="31" t="s">
        <v>19</v>
      </c>
      <c r="C56" s="37"/>
      <c r="D56" s="37"/>
      <c r="E56" s="38"/>
      <c r="F56" s="89">
        <f>SUM(F51:F55)</f>
        <v>0</v>
      </c>
      <c r="G56" s="37"/>
      <c r="H56" s="40"/>
    </row>
    <row r="57" spans="1:12" x14ac:dyDescent="0.25">
      <c r="A57" s="45"/>
      <c r="B57" s="46"/>
      <c r="C57" s="22"/>
      <c r="D57" s="22"/>
      <c r="E57" s="23"/>
      <c r="F57" s="47"/>
      <c r="G57" s="22"/>
      <c r="H57" s="48"/>
    </row>
    <row r="58" spans="1:12" x14ac:dyDescent="0.25">
      <c r="A58" s="31" t="s">
        <v>68</v>
      </c>
      <c r="B58" s="30" t="s">
        <v>26</v>
      </c>
      <c r="C58" s="37"/>
      <c r="D58" s="37"/>
      <c r="E58" s="38"/>
      <c r="F58" s="39"/>
      <c r="G58" s="37"/>
      <c r="H58" s="40"/>
    </row>
    <row r="59" spans="1:12" x14ac:dyDescent="0.25">
      <c r="A59" s="41" t="s">
        <v>69</v>
      </c>
      <c r="B59" s="42" t="s">
        <v>11</v>
      </c>
      <c r="C59" s="37">
        <v>12</v>
      </c>
      <c r="D59" s="37" t="s">
        <v>13</v>
      </c>
      <c r="E59" s="65">
        <f>ROUND(H59,2)</f>
        <v>0</v>
      </c>
      <c r="F59" s="66">
        <f>C59*E59</f>
        <v>0</v>
      </c>
      <c r="G59" s="37"/>
      <c r="H59" s="43"/>
    </row>
    <row r="60" spans="1:12" x14ac:dyDescent="0.25">
      <c r="A60" s="41" t="s">
        <v>70</v>
      </c>
      <c r="B60" s="55" t="s">
        <v>12</v>
      </c>
      <c r="C60" s="37">
        <v>12</v>
      </c>
      <c r="D60" s="37" t="s">
        <v>13</v>
      </c>
      <c r="E60" s="65">
        <f>ROUND(H60,2)</f>
        <v>0</v>
      </c>
      <c r="F60" s="66">
        <f>C60*E60</f>
        <v>0</v>
      </c>
      <c r="G60" s="37"/>
      <c r="H60" s="43"/>
    </row>
    <row r="61" spans="1:12" x14ac:dyDescent="0.25">
      <c r="A61" s="41" t="s">
        <v>71</v>
      </c>
      <c r="B61" s="42" t="s">
        <v>14</v>
      </c>
      <c r="C61" s="37">
        <v>12</v>
      </c>
      <c r="D61" s="37" t="s">
        <v>13</v>
      </c>
      <c r="E61" s="65">
        <f>ROUND(H61,2)</f>
        <v>0</v>
      </c>
      <c r="F61" s="66">
        <f>C61*E61</f>
        <v>0</v>
      </c>
      <c r="G61" s="37"/>
      <c r="H61" s="43"/>
    </row>
    <row r="62" spans="1:12" ht="25.5" x14ac:dyDescent="0.25">
      <c r="A62" s="41" t="s">
        <v>72</v>
      </c>
      <c r="B62" s="42" t="s">
        <v>126</v>
      </c>
      <c r="C62" s="37">
        <v>3</v>
      </c>
      <c r="D62" s="37" t="s">
        <v>27</v>
      </c>
      <c r="E62" s="65">
        <f>ROUND(H62,2)</f>
        <v>0</v>
      </c>
      <c r="F62" s="66">
        <f>C62*E62</f>
        <v>0</v>
      </c>
      <c r="G62" s="37"/>
      <c r="H62" s="43"/>
    </row>
    <row r="63" spans="1:12" ht="25.5" x14ac:dyDescent="0.25">
      <c r="A63" s="41" t="s">
        <v>73</v>
      </c>
      <c r="B63" s="50" t="s">
        <v>127</v>
      </c>
      <c r="C63" s="37">
        <v>3</v>
      </c>
      <c r="D63" s="37" t="s">
        <v>27</v>
      </c>
      <c r="E63" s="65">
        <f>ROUND(H63,2)</f>
        <v>0</v>
      </c>
      <c r="F63" s="66">
        <f>C63*E63</f>
        <v>0</v>
      </c>
      <c r="G63" s="37"/>
      <c r="H63" s="43"/>
    </row>
    <row r="64" spans="1:12" x14ac:dyDescent="0.25">
      <c r="A64" s="41"/>
      <c r="B64" s="31" t="s">
        <v>28</v>
      </c>
      <c r="C64" s="37"/>
      <c r="D64" s="37"/>
      <c r="E64" s="38"/>
      <c r="F64" s="89">
        <f>SUM(F59:F63)</f>
        <v>0</v>
      </c>
      <c r="G64" s="37"/>
      <c r="H64" s="40"/>
    </row>
    <row r="65" spans="1:8" x14ac:dyDescent="0.25">
      <c r="A65" s="45"/>
      <c r="B65" s="56"/>
      <c r="C65" s="57"/>
      <c r="D65" s="57"/>
      <c r="E65" s="58"/>
      <c r="F65" s="47"/>
      <c r="G65" s="22"/>
      <c r="H65" s="48"/>
    </row>
    <row r="66" spans="1:8" x14ac:dyDescent="0.25">
      <c r="A66" s="31" t="s">
        <v>74</v>
      </c>
      <c r="B66" s="54" t="s">
        <v>29</v>
      </c>
      <c r="C66" s="37"/>
      <c r="D66" s="37"/>
      <c r="E66" s="38"/>
      <c r="F66" s="39"/>
      <c r="G66" s="37"/>
      <c r="H66" s="40"/>
    </row>
    <row r="67" spans="1:8" x14ac:dyDescent="0.25">
      <c r="A67" s="41" t="s">
        <v>75</v>
      </c>
      <c r="B67" s="59" t="s">
        <v>11</v>
      </c>
      <c r="C67" s="37">
        <v>12</v>
      </c>
      <c r="D67" s="37" t="s">
        <v>13</v>
      </c>
      <c r="E67" s="65">
        <f>ROUND(H67,2)</f>
        <v>0</v>
      </c>
      <c r="F67" s="66">
        <f>C67*E67</f>
        <v>0</v>
      </c>
      <c r="G67" s="37"/>
      <c r="H67" s="43"/>
    </row>
    <row r="68" spans="1:8" x14ac:dyDescent="0.25">
      <c r="A68" s="41" t="s">
        <v>76</v>
      </c>
      <c r="B68" s="59" t="s">
        <v>12</v>
      </c>
      <c r="C68" s="37">
        <v>12</v>
      </c>
      <c r="D68" s="37" t="s">
        <v>13</v>
      </c>
      <c r="E68" s="65">
        <f>ROUND(H68,2)</f>
        <v>0</v>
      </c>
      <c r="F68" s="66">
        <f>C68*E68</f>
        <v>0</v>
      </c>
      <c r="G68" s="37"/>
      <c r="H68" s="43"/>
    </row>
    <row r="69" spans="1:8" x14ac:dyDescent="0.25">
      <c r="A69" s="41" t="s">
        <v>77</v>
      </c>
      <c r="B69" s="59" t="s">
        <v>14</v>
      </c>
      <c r="C69" s="37">
        <v>12</v>
      </c>
      <c r="D69" s="37" t="s">
        <v>13</v>
      </c>
      <c r="E69" s="65">
        <f>ROUND(H69,2)</f>
        <v>0</v>
      </c>
      <c r="F69" s="66">
        <f>C69*E69</f>
        <v>0</v>
      </c>
      <c r="G69" s="37"/>
      <c r="H69" s="43"/>
    </row>
    <row r="70" spans="1:8" ht="38.25" x14ac:dyDescent="0.25">
      <c r="A70" s="41" t="s">
        <v>78</v>
      </c>
      <c r="B70" s="42" t="s">
        <v>128</v>
      </c>
      <c r="C70" s="37">
        <v>2</v>
      </c>
      <c r="D70" s="37" t="s">
        <v>18</v>
      </c>
      <c r="E70" s="65">
        <f>ROUND(H70,2)</f>
        <v>0</v>
      </c>
      <c r="F70" s="66">
        <f>C70*E70</f>
        <v>0</v>
      </c>
      <c r="G70" s="37"/>
      <c r="H70" s="43"/>
    </row>
    <row r="71" spans="1:8" ht="38.25" x14ac:dyDescent="0.25">
      <c r="A71" s="41" t="s">
        <v>111</v>
      </c>
      <c r="B71" s="50" t="s">
        <v>129</v>
      </c>
      <c r="C71" s="37">
        <v>2</v>
      </c>
      <c r="D71" s="37" t="s">
        <v>18</v>
      </c>
      <c r="E71" s="65">
        <f>ROUND(H71,2)</f>
        <v>0</v>
      </c>
      <c r="F71" s="66">
        <f>C71*E71</f>
        <v>0</v>
      </c>
      <c r="G71" s="37"/>
      <c r="H71" s="43"/>
    </row>
    <row r="72" spans="1:8" x14ac:dyDescent="0.25">
      <c r="A72" s="41"/>
      <c r="B72" s="49" t="s">
        <v>30</v>
      </c>
      <c r="C72" s="37"/>
      <c r="D72" s="37"/>
      <c r="E72" s="38"/>
      <c r="F72" s="89">
        <f>SUM(F67:F71)</f>
        <v>0</v>
      </c>
      <c r="G72" s="37"/>
      <c r="H72" s="40"/>
    </row>
    <row r="73" spans="1:8" x14ac:dyDescent="0.25">
      <c r="A73" s="45"/>
      <c r="B73" s="61"/>
      <c r="C73" s="22"/>
      <c r="D73" s="22"/>
      <c r="E73" s="23"/>
      <c r="F73" s="62"/>
      <c r="G73" s="22"/>
      <c r="H73" s="48"/>
    </row>
    <row r="74" spans="1:8" x14ac:dyDescent="0.25">
      <c r="A74" s="31" t="s">
        <v>79</v>
      </c>
      <c r="B74" s="31" t="s">
        <v>10</v>
      </c>
      <c r="C74" s="37"/>
      <c r="D74" s="37"/>
      <c r="E74" s="38"/>
      <c r="F74" s="39"/>
      <c r="G74" s="37"/>
      <c r="H74" s="40"/>
    </row>
    <row r="75" spans="1:8" x14ac:dyDescent="0.25">
      <c r="A75" s="41" t="s">
        <v>80</v>
      </c>
      <c r="B75" s="42" t="s">
        <v>11</v>
      </c>
      <c r="C75" s="37">
        <v>12</v>
      </c>
      <c r="D75" s="37" t="s">
        <v>13</v>
      </c>
      <c r="E75" s="65">
        <f t="shared" ref="E75:E80" si="4">ROUND(H75,2)</f>
        <v>0</v>
      </c>
      <c r="F75" s="66">
        <f t="shared" ref="F75:F80" si="5">C75*E75</f>
        <v>0</v>
      </c>
      <c r="G75" s="37"/>
      <c r="H75" s="43"/>
    </row>
    <row r="76" spans="1:8" x14ac:dyDescent="0.25">
      <c r="A76" s="41" t="s">
        <v>81</v>
      </c>
      <c r="B76" s="42" t="s">
        <v>12</v>
      </c>
      <c r="C76" s="37">
        <v>12</v>
      </c>
      <c r="D76" s="37" t="s">
        <v>13</v>
      </c>
      <c r="E76" s="65">
        <f t="shared" si="4"/>
        <v>0</v>
      </c>
      <c r="F76" s="66">
        <f t="shared" si="5"/>
        <v>0</v>
      </c>
      <c r="G76" s="37"/>
      <c r="H76" s="43"/>
    </row>
    <row r="77" spans="1:8" x14ac:dyDescent="0.25">
      <c r="A77" s="41" t="s">
        <v>82</v>
      </c>
      <c r="B77" s="42" t="s">
        <v>14</v>
      </c>
      <c r="C77" s="37">
        <v>12</v>
      </c>
      <c r="D77" s="37" t="s">
        <v>13</v>
      </c>
      <c r="E77" s="65">
        <f t="shared" si="4"/>
        <v>0</v>
      </c>
      <c r="F77" s="66">
        <f t="shared" si="5"/>
        <v>0</v>
      </c>
      <c r="G77" s="37"/>
      <c r="H77" s="43"/>
    </row>
    <row r="78" spans="1:8" ht="25.5" x14ac:dyDescent="0.25">
      <c r="A78" s="41" t="s">
        <v>83</v>
      </c>
      <c r="B78" s="42" t="s">
        <v>130</v>
      </c>
      <c r="C78" s="37">
        <v>4</v>
      </c>
      <c r="D78" s="37" t="s">
        <v>16</v>
      </c>
      <c r="E78" s="65">
        <f t="shared" si="4"/>
        <v>0</v>
      </c>
      <c r="F78" s="66">
        <f t="shared" si="5"/>
        <v>0</v>
      </c>
      <c r="G78" s="37"/>
      <c r="H78" s="43"/>
    </row>
    <row r="79" spans="1:8" ht="25.5" x14ac:dyDescent="0.25">
      <c r="A79" s="41" t="s">
        <v>84</v>
      </c>
      <c r="B79" s="42" t="s">
        <v>131</v>
      </c>
      <c r="C79" s="37">
        <v>1</v>
      </c>
      <c r="D79" s="37" t="s">
        <v>15</v>
      </c>
      <c r="E79" s="65">
        <f t="shared" si="4"/>
        <v>0</v>
      </c>
      <c r="F79" s="66">
        <f t="shared" si="5"/>
        <v>0</v>
      </c>
      <c r="G79" s="37"/>
      <c r="H79" s="43"/>
    </row>
    <row r="80" spans="1:8" ht="25.5" x14ac:dyDescent="0.25">
      <c r="A80" s="41" t="s">
        <v>85</v>
      </c>
      <c r="B80" s="42" t="s">
        <v>132</v>
      </c>
      <c r="C80" s="37">
        <v>1</v>
      </c>
      <c r="D80" s="37" t="s">
        <v>15</v>
      </c>
      <c r="E80" s="65">
        <f t="shared" si="4"/>
        <v>0</v>
      </c>
      <c r="F80" s="66">
        <f t="shared" si="5"/>
        <v>0</v>
      </c>
      <c r="G80" s="37"/>
      <c r="H80" s="43"/>
    </row>
    <row r="81" spans="1:8" x14ac:dyDescent="0.25">
      <c r="A81" s="41"/>
      <c r="B81" s="31" t="s">
        <v>728</v>
      </c>
      <c r="C81" s="37"/>
      <c r="D81" s="37"/>
      <c r="E81" s="38"/>
      <c r="F81" s="89">
        <f>SUM(F75:F80)</f>
        <v>0</v>
      </c>
      <c r="G81" s="37"/>
      <c r="H81" s="40"/>
    </row>
    <row r="82" spans="1:8" x14ac:dyDescent="0.25">
      <c r="A82" s="73"/>
      <c r="B82" s="74"/>
      <c r="C82" s="22"/>
      <c r="D82" s="22"/>
      <c r="E82" s="23"/>
      <c r="F82" s="62"/>
      <c r="G82" s="22"/>
      <c r="H82" s="75"/>
    </row>
    <row r="83" spans="1:8" x14ac:dyDescent="0.25">
      <c r="A83" s="31" t="s">
        <v>86</v>
      </c>
      <c r="B83" s="30" t="s">
        <v>22</v>
      </c>
      <c r="C83" s="37"/>
      <c r="D83" s="37"/>
      <c r="E83" s="38"/>
      <c r="F83" s="39"/>
      <c r="G83" s="37"/>
      <c r="H83" s="40"/>
    </row>
    <row r="84" spans="1:8" x14ac:dyDescent="0.25">
      <c r="A84" s="41" t="s">
        <v>87</v>
      </c>
      <c r="B84" s="42" t="s">
        <v>11</v>
      </c>
      <c r="C84" s="37">
        <v>12</v>
      </c>
      <c r="D84" s="37" t="s">
        <v>13</v>
      </c>
      <c r="E84" s="65">
        <f t="shared" ref="E84:E89" si="6">ROUND(H84,2)</f>
        <v>0</v>
      </c>
      <c r="F84" s="66">
        <f t="shared" ref="F84:F89" si="7">C84*E84</f>
        <v>0</v>
      </c>
      <c r="G84" s="37"/>
      <c r="H84" s="43"/>
    </row>
    <row r="85" spans="1:8" x14ac:dyDescent="0.25">
      <c r="A85" s="41" t="s">
        <v>88</v>
      </c>
      <c r="B85" s="42" t="s">
        <v>12</v>
      </c>
      <c r="C85" s="37">
        <v>12</v>
      </c>
      <c r="D85" s="37" t="s">
        <v>13</v>
      </c>
      <c r="E85" s="65">
        <f t="shared" si="6"/>
        <v>0</v>
      </c>
      <c r="F85" s="66">
        <f t="shared" si="7"/>
        <v>0</v>
      </c>
      <c r="G85" s="37"/>
      <c r="H85" s="43"/>
    </row>
    <row r="86" spans="1:8" x14ac:dyDescent="0.25">
      <c r="A86" s="41" t="s">
        <v>89</v>
      </c>
      <c r="B86" s="42" t="s">
        <v>14</v>
      </c>
      <c r="C86" s="37">
        <v>12</v>
      </c>
      <c r="D86" s="37" t="s">
        <v>13</v>
      </c>
      <c r="E86" s="65">
        <f t="shared" si="6"/>
        <v>0</v>
      </c>
      <c r="F86" s="66">
        <f t="shared" si="7"/>
        <v>0</v>
      </c>
      <c r="G86" s="37"/>
      <c r="H86" s="43"/>
    </row>
    <row r="87" spans="1:8" ht="25.5" x14ac:dyDescent="0.25">
      <c r="A87" s="41" t="s">
        <v>90</v>
      </c>
      <c r="B87" s="50" t="s">
        <v>131</v>
      </c>
      <c r="C87" s="37">
        <v>1</v>
      </c>
      <c r="D87" s="37" t="s">
        <v>15</v>
      </c>
      <c r="E87" s="65">
        <f t="shared" si="6"/>
        <v>0</v>
      </c>
      <c r="F87" s="66">
        <f t="shared" si="7"/>
        <v>0</v>
      </c>
      <c r="G87" s="37"/>
      <c r="H87" s="43"/>
    </row>
    <row r="88" spans="1:8" ht="25.5" x14ac:dyDescent="0.25">
      <c r="A88" s="41" t="s">
        <v>91</v>
      </c>
      <c r="B88" s="42" t="s">
        <v>132</v>
      </c>
      <c r="C88" s="37">
        <v>1</v>
      </c>
      <c r="D88" s="37" t="s">
        <v>15</v>
      </c>
      <c r="E88" s="65">
        <f t="shared" si="6"/>
        <v>0</v>
      </c>
      <c r="F88" s="66">
        <f t="shared" si="7"/>
        <v>0</v>
      </c>
      <c r="G88" s="37"/>
      <c r="H88" s="43"/>
    </row>
    <row r="89" spans="1:8" ht="25.5" x14ac:dyDescent="0.25">
      <c r="A89" s="41" t="s">
        <v>112</v>
      </c>
      <c r="B89" s="42" t="s">
        <v>130</v>
      </c>
      <c r="C89" s="37">
        <v>4</v>
      </c>
      <c r="D89" s="37" t="s">
        <v>16</v>
      </c>
      <c r="E89" s="65">
        <f t="shared" si="6"/>
        <v>0</v>
      </c>
      <c r="F89" s="66">
        <f t="shared" si="7"/>
        <v>0</v>
      </c>
      <c r="G89" s="37"/>
      <c r="H89" s="43"/>
    </row>
    <row r="90" spans="1:8" x14ac:dyDescent="0.25">
      <c r="A90" s="73"/>
      <c r="B90" s="31" t="s">
        <v>23</v>
      </c>
      <c r="C90" s="37"/>
      <c r="D90" s="37"/>
      <c r="E90" s="38"/>
      <c r="F90" s="89">
        <f>SUM(F84:F89)</f>
        <v>0</v>
      </c>
      <c r="G90" s="37"/>
      <c r="H90" s="75"/>
    </row>
    <row r="91" spans="1:8" x14ac:dyDescent="0.25">
      <c r="A91" s="69"/>
      <c r="H91" s="104"/>
    </row>
    <row r="92" spans="1:8" x14ac:dyDescent="0.25">
      <c r="A92" s="31" t="s">
        <v>92</v>
      </c>
      <c r="B92" s="31" t="s">
        <v>31</v>
      </c>
      <c r="C92" s="37"/>
      <c r="D92" s="37"/>
      <c r="E92" s="38"/>
      <c r="F92" s="39"/>
      <c r="G92" s="37"/>
      <c r="H92" s="40"/>
    </row>
    <row r="93" spans="1:8" x14ac:dyDescent="0.25">
      <c r="A93" s="41" t="s">
        <v>93</v>
      </c>
      <c r="B93" s="42" t="s">
        <v>11</v>
      </c>
      <c r="C93" s="37">
        <v>12</v>
      </c>
      <c r="D93" s="37" t="s">
        <v>13</v>
      </c>
      <c r="E93" s="65">
        <f t="shared" ref="E93:E99" si="8">ROUND(H93,2)</f>
        <v>0</v>
      </c>
      <c r="F93" s="66">
        <f t="shared" ref="F93:F99" si="9">C93*E93</f>
        <v>0</v>
      </c>
      <c r="G93" s="37"/>
      <c r="H93" s="43"/>
    </row>
    <row r="94" spans="1:8" x14ac:dyDescent="0.25">
      <c r="A94" s="41" t="s">
        <v>94</v>
      </c>
      <c r="B94" s="42" t="s">
        <v>12</v>
      </c>
      <c r="C94" s="37">
        <v>12</v>
      </c>
      <c r="D94" s="37" t="s">
        <v>13</v>
      </c>
      <c r="E94" s="65">
        <f t="shared" si="8"/>
        <v>0</v>
      </c>
      <c r="F94" s="66">
        <f t="shared" si="9"/>
        <v>0</v>
      </c>
      <c r="G94" s="37"/>
      <c r="H94" s="43"/>
    </row>
    <row r="95" spans="1:8" x14ac:dyDescent="0.25">
      <c r="A95" s="41" t="s">
        <v>95</v>
      </c>
      <c r="B95" s="42" t="s">
        <v>14</v>
      </c>
      <c r="C95" s="37">
        <v>12</v>
      </c>
      <c r="D95" s="37" t="s">
        <v>13</v>
      </c>
      <c r="E95" s="65">
        <f t="shared" si="8"/>
        <v>0</v>
      </c>
      <c r="F95" s="66">
        <f t="shared" si="9"/>
        <v>0</v>
      </c>
      <c r="G95" s="37"/>
      <c r="H95" s="43"/>
    </row>
    <row r="96" spans="1:8" ht="25.5" x14ac:dyDescent="0.25">
      <c r="A96" s="41" t="s">
        <v>96</v>
      </c>
      <c r="B96" s="42" t="s">
        <v>146</v>
      </c>
      <c r="C96" s="37">
        <v>1</v>
      </c>
      <c r="D96" s="37" t="s">
        <v>15</v>
      </c>
      <c r="E96" s="65">
        <f t="shared" si="8"/>
        <v>0</v>
      </c>
      <c r="F96" s="66">
        <f t="shared" si="9"/>
        <v>0</v>
      </c>
      <c r="G96" s="37"/>
      <c r="H96" s="43"/>
    </row>
    <row r="97" spans="1:8" ht="25.5" x14ac:dyDescent="0.25">
      <c r="A97" s="41" t="s">
        <v>97</v>
      </c>
      <c r="B97" s="42" t="s">
        <v>147</v>
      </c>
      <c r="C97" s="37">
        <v>2</v>
      </c>
      <c r="D97" s="37" t="s">
        <v>18</v>
      </c>
      <c r="E97" s="65">
        <f t="shared" si="8"/>
        <v>0</v>
      </c>
      <c r="F97" s="66">
        <f t="shared" si="9"/>
        <v>0</v>
      </c>
      <c r="G97" s="37"/>
      <c r="H97" s="43"/>
    </row>
    <row r="98" spans="1:8" ht="25.5" x14ac:dyDescent="0.25">
      <c r="A98" s="41" t="s">
        <v>98</v>
      </c>
      <c r="B98" s="42" t="s">
        <v>148</v>
      </c>
      <c r="C98" s="37">
        <v>4</v>
      </c>
      <c r="D98" s="37" t="s">
        <v>16</v>
      </c>
      <c r="E98" s="65">
        <f t="shared" si="8"/>
        <v>0</v>
      </c>
      <c r="F98" s="66">
        <f t="shared" si="9"/>
        <v>0</v>
      </c>
      <c r="G98" s="37"/>
      <c r="H98" s="43"/>
    </row>
    <row r="99" spans="1:8" ht="25.5" x14ac:dyDescent="0.25">
      <c r="A99" s="41" t="s">
        <v>115</v>
      </c>
      <c r="B99" s="42" t="s">
        <v>149</v>
      </c>
      <c r="C99" s="37">
        <v>12</v>
      </c>
      <c r="D99" s="37" t="s">
        <v>13</v>
      </c>
      <c r="E99" s="65">
        <f t="shared" si="8"/>
        <v>0</v>
      </c>
      <c r="F99" s="66">
        <f t="shared" si="9"/>
        <v>0</v>
      </c>
      <c r="G99" s="37"/>
      <c r="H99" s="43"/>
    </row>
    <row r="100" spans="1:8" x14ac:dyDescent="0.25">
      <c r="A100" s="41"/>
      <c r="B100" s="31" t="s">
        <v>32</v>
      </c>
      <c r="C100" s="37"/>
      <c r="D100" s="37"/>
      <c r="E100" s="38"/>
      <c r="F100" s="89">
        <f>SUM(F93:F99)</f>
        <v>0</v>
      </c>
      <c r="G100" s="37"/>
      <c r="H100" s="40"/>
    </row>
    <row r="101" spans="1:8" x14ac:dyDescent="0.25">
      <c r="A101" s="69"/>
      <c r="H101" s="104"/>
    </row>
    <row r="102" spans="1:8" x14ac:dyDescent="0.25">
      <c r="A102" s="31" t="s">
        <v>99</v>
      </c>
      <c r="B102" s="31" t="s">
        <v>636</v>
      </c>
      <c r="C102" s="60"/>
      <c r="D102" s="60"/>
      <c r="E102" s="70"/>
      <c r="F102" s="44"/>
      <c r="G102" s="60"/>
      <c r="H102" s="71"/>
    </row>
    <row r="103" spans="1:8" x14ac:dyDescent="0.25">
      <c r="A103" s="41" t="s">
        <v>100</v>
      </c>
      <c r="B103" s="42" t="s">
        <v>11</v>
      </c>
      <c r="C103" s="37">
        <v>11</v>
      </c>
      <c r="D103" s="37" t="s">
        <v>13</v>
      </c>
      <c r="E103" s="72">
        <f>ROUND(H103,2)</f>
        <v>0</v>
      </c>
      <c r="F103" s="66">
        <f>C103*E103</f>
        <v>0</v>
      </c>
      <c r="G103" s="37"/>
      <c r="H103" s="43"/>
    </row>
    <row r="104" spans="1:8" x14ac:dyDescent="0.25">
      <c r="A104" s="41" t="s">
        <v>101</v>
      </c>
      <c r="B104" s="42" t="s">
        <v>12</v>
      </c>
      <c r="C104" s="37">
        <v>11</v>
      </c>
      <c r="D104" s="37" t="s">
        <v>13</v>
      </c>
      <c r="E104" s="72">
        <f>ROUND(H104,2)</f>
        <v>0</v>
      </c>
      <c r="F104" s="66">
        <f>C104*E104</f>
        <v>0</v>
      </c>
      <c r="G104" s="37"/>
      <c r="H104" s="43"/>
    </row>
    <row r="105" spans="1:8" x14ac:dyDescent="0.25">
      <c r="A105" s="41" t="s">
        <v>102</v>
      </c>
      <c r="B105" s="42" t="s">
        <v>14</v>
      </c>
      <c r="C105" s="37">
        <v>11</v>
      </c>
      <c r="D105" s="37" t="s">
        <v>13</v>
      </c>
      <c r="E105" s="72">
        <f>ROUND(H105,2)</f>
        <v>0</v>
      </c>
      <c r="F105" s="66">
        <f>C105*E105</f>
        <v>0</v>
      </c>
      <c r="G105" s="37"/>
      <c r="H105" s="43"/>
    </row>
    <row r="106" spans="1:8" ht="25.5" x14ac:dyDescent="0.25">
      <c r="A106" s="41" t="s">
        <v>103</v>
      </c>
      <c r="B106" s="42" t="s">
        <v>760</v>
      </c>
      <c r="C106" s="37">
        <v>11</v>
      </c>
      <c r="D106" s="37" t="s">
        <v>13</v>
      </c>
      <c r="E106" s="72">
        <f>ROUND(H106,2)</f>
        <v>0</v>
      </c>
      <c r="F106" s="66">
        <f>C106*E106</f>
        <v>0</v>
      </c>
      <c r="G106" s="37"/>
      <c r="H106" s="43"/>
    </row>
    <row r="107" spans="1:8" x14ac:dyDescent="0.25">
      <c r="A107" s="41"/>
      <c r="B107" s="30" t="s">
        <v>637</v>
      </c>
      <c r="C107" s="37"/>
      <c r="D107" s="37"/>
      <c r="E107" s="38"/>
      <c r="F107" s="89">
        <f>SUM(F103:F106)</f>
        <v>0</v>
      </c>
      <c r="G107" s="37"/>
      <c r="H107" s="40"/>
    </row>
    <row r="108" spans="1:8" x14ac:dyDescent="0.25">
      <c r="A108" s="69"/>
      <c r="H108" s="105"/>
    </row>
    <row r="109" spans="1:8" x14ac:dyDescent="0.25">
      <c r="A109" s="31" t="s">
        <v>116</v>
      </c>
      <c r="B109" s="31" t="s">
        <v>643</v>
      </c>
      <c r="C109" s="60"/>
      <c r="D109" s="60"/>
      <c r="E109" s="70"/>
      <c r="F109" s="44"/>
      <c r="G109" s="60"/>
      <c r="H109" s="71"/>
    </row>
    <row r="110" spans="1:8" x14ac:dyDescent="0.25">
      <c r="A110" s="41" t="s">
        <v>117</v>
      </c>
      <c r="B110" s="42" t="s">
        <v>11</v>
      </c>
      <c r="C110" s="37">
        <v>11</v>
      </c>
      <c r="D110" s="37" t="s">
        <v>13</v>
      </c>
      <c r="E110" s="72">
        <f>ROUND(H110,2)</f>
        <v>0</v>
      </c>
      <c r="F110" s="66">
        <f>C110*E110</f>
        <v>0</v>
      </c>
      <c r="G110" s="37"/>
      <c r="H110" s="43"/>
    </row>
    <row r="111" spans="1:8" x14ac:dyDescent="0.25">
      <c r="A111" s="41" t="s">
        <v>113</v>
      </c>
      <c r="B111" s="42" t="s">
        <v>12</v>
      </c>
      <c r="C111" s="37">
        <v>11</v>
      </c>
      <c r="D111" s="37" t="s">
        <v>13</v>
      </c>
      <c r="E111" s="72">
        <f>ROUND(H111,2)</f>
        <v>0</v>
      </c>
      <c r="F111" s="66">
        <f>C111*E111</f>
        <v>0</v>
      </c>
      <c r="G111" s="37"/>
      <c r="H111" s="43"/>
    </row>
    <row r="112" spans="1:8" x14ac:dyDescent="0.25">
      <c r="A112" s="41" t="s">
        <v>118</v>
      </c>
      <c r="B112" s="42" t="s">
        <v>14</v>
      </c>
      <c r="C112" s="37">
        <v>11</v>
      </c>
      <c r="D112" s="37" t="s">
        <v>13</v>
      </c>
      <c r="E112" s="72">
        <f>ROUND(H112,2)</f>
        <v>0</v>
      </c>
      <c r="F112" s="66">
        <f>C112*E112</f>
        <v>0</v>
      </c>
      <c r="G112" s="37"/>
      <c r="H112" s="43"/>
    </row>
    <row r="113" spans="1:8" ht="25.5" x14ac:dyDescent="0.25">
      <c r="A113" s="41" t="s">
        <v>119</v>
      </c>
      <c r="B113" s="42" t="s">
        <v>761</v>
      </c>
      <c r="C113" s="37">
        <v>11</v>
      </c>
      <c r="D113" s="37" t="s">
        <v>13</v>
      </c>
      <c r="E113" s="72">
        <f>ROUND(H113,2)</f>
        <v>0</v>
      </c>
      <c r="F113" s="66">
        <f>C113*E113</f>
        <v>0</v>
      </c>
      <c r="G113" s="37"/>
      <c r="H113" s="43"/>
    </row>
    <row r="114" spans="1:8" x14ac:dyDescent="0.25">
      <c r="A114" s="41"/>
      <c r="B114" s="30" t="s">
        <v>644</v>
      </c>
      <c r="C114" s="37"/>
      <c r="D114" s="37"/>
      <c r="E114" s="38"/>
      <c r="F114" s="89">
        <f>SUM(F110:F113)</f>
        <v>0</v>
      </c>
      <c r="G114" s="37"/>
      <c r="H114" s="40"/>
    </row>
    <row r="115" spans="1:8" x14ac:dyDescent="0.25">
      <c r="H115" s="105"/>
    </row>
    <row r="116" spans="1:8" x14ac:dyDescent="0.25">
      <c r="A116" s="31" t="s">
        <v>631</v>
      </c>
      <c r="B116" s="31" t="s">
        <v>651</v>
      </c>
      <c r="C116" s="60"/>
      <c r="D116" s="60"/>
      <c r="E116" s="70"/>
      <c r="F116" s="44"/>
      <c r="G116" s="60"/>
      <c r="H116" s="71"/>
    </row>
    <row r="117" spans="1:8" x14ac:dyDescent="0.25">
      <c r="A117" s="41" t="s">
        <v>632</v>
      </c>
      <c r="B117" s="42" t="s">
        <v>11</v>
      </c>
      <c r="C117" s="37">
        <v>11</v>
      </c>
      <c r="D117" s="37" t="s">
        <v>13</v>
      </c>
      <c r="E117" s="72">
        <f>ROUND(H117,2)</f>
        <v>0</v>
      </c>
      <c r="F117" s="66">
        <f>C117*E117</f>
        <v>0</v>
      </c>
      <c r="G117" s="37"/>
      <c r="H117" s="43"/>
    </row>
    <row r="118" spans="1:8" x14ac:dyDescent="0.25">
      <c r="A118" s="41" t="s">
        <v>633</v>
      </c>
      <c r="B118" s="42" t="s">
        <v>12</v>
      </c>
      <c r="C118" s="37">
        <v>11</v>
      </c>
      <c r="D118" s="37" t="s">
        <v>13</v>
      </c>
      <c r="E118" s="72">
        <f>ROUND(H118,2)</f>
        <v>0</v>
      </c>
      <c r="F118" s="66">
        <f>C118*E118</f>
        <v>0</v>
      </c>
      <c r="G118" s="37"/>
      <c r="H118" s="43"/>
    </row>
    <row r="119" spans="1:8" x14ac:dyDescent="0.25">
      <c r="A119" s="41" t="s">
        <v>634</v>
      </c>
      <c r="B119" s="42" t="s">
        <v>14</v>
      </c>
      <c r="C119" s="37">
        <v>11</v>
      </c>
      <c r="D119" s="37" t="s">
        <v>13</v>
      </c>
      <c r="E119" s="72">
        <f>ROUND(H119,2)</f>
        <v>0</v>
      </c>
      <c r="F119" s="66">
        <f>C119*E119</f>
        <v>0</v>
      </c>
      <c r="G119" s="37"/>
      <c r="H119" s="43"/>
    </row>
    <row r="120" spans="1:8" ht="25.5" x14ac:dyDescent="0.25">
      <c r="A120" s="41" t="s">
        <v>635</v>
      </c>
      <c r="B120" s="42" t="s">
        <v>762</v>
      </c>
      <c r="C120" s="37">
        <v>11</v>
      </c>
      <c r="D120" s="37" t="s">
        <v>13</v>
      </c>
      <c r="E120" s="72">
        <f>ROUND(H120,2)</f>
        <v>0</v>
      </c>
      <c r="F120" s="66">
        <f>C120*E120</f>
        <v>0</v>
      </c>
      <c r="G120" s="37"/>
      <c r="H120" s="43"/>
    </row>
    <row r="121" spans="1:8" x14ac:dyDescent="0.25">
      <c r="A121" s="41"/>
      <c r="B121" s="30" t="s">
        <v>650</v>
      </c>
      <c r="C121" s="37"/>
      <c r="D121" s="37"/>
      <c r="E121" s="38"/>
      <c r="F121" s="89">
        <f>SUM(F117:F120)</f>
        <v>0</v>
      </c>
      <c r="G121" s="37"/>
      <c r="H121" s="40"/>
    </row>
    <row r="122" spans="1:8" x14ac:dyDescent="0.25">
      <c r="H122" s="105"/>
    </row>
    <row r="123" spans="1:8" x14ac:dyDescent="0.25">
      <c r="A123" s="31" t="s">
        <v>638</v>
      </c>
      <c r="B123" s="31" t="s">
        <v>122</v>
      </c>
      <c r="C123" s="60"/>
      <c r="D123" s="60"/>
      <c r="E123" s="70"/>
      <c r="F123" s="44"/>
      <c r="G123" s="60"/>
      <c r="H123" s="71"/>
    </row>
    <row r="124" spans="1:8" x14ac:dyDescent="0.25">
      <c r="A124" s="41" t="s">
        <v>639</v>
      </c>
      <c r="B124" s="42" t="s">
        <v>11</v>
      </c>
      <c r="C124" s="37">
        <v>12</v>
      </c>
      <c r="D124" s="37" t="s">
        <v>13</v>
      </c>
      <c r="E124" s="72">
        <f>ROUND(H124,2)</f>
        <v>0</v>
      </c>
      <c r="F124" s="66">
        <f>C124*E124</f>
        <v>0</v>
      </c>
      <c r="G124" s="37"/>
      <c r="H124" s="43"/>
    </row>
    <row r="125" spans="1:8" x14ac:dyDescent="0.25">
      <c r="A125" s="41" t="s">
        <v>640</v>
      </c>
      <c r="B125" s="42" t="s">
        <v>12</v>
      </c>
      <c r="C125" s="37">
        <v>12</v>
      </c>
      <c r="D125" s="37" t="s">
        <v>13</v>
      </c>
      <c r="E125" s="72">
        <f>ROUND(H125,2)</f>
        <v>0</v>
      </c>
      <c r="F125" s="66">
        <f>C125*E125</f>
        <v>0</v>
      </c>
      <c r="G125" s="37"/>
      <c r="H125" s="43"/>
    </row>
    <row r="126" spans="1:8" x14ac:dyDescent="0.25">
      <c r="A126" s="41" t="s">
        <v>641</v>
      </c>
      <c r="B126" s="42" t="s">
        <v>14</v>
      </c>
      <c r="C126" s="37">
        <v>12</v>
      </c>
      <c r="D126" s="37" t="s">
        <v>13</v>
      </c>
      <c r="E126" s="72">
        <f>ROUND(H126,2)</f>
        <v>0</v>
      </c>
      <c r="F126" s="66">
        <f>C126*E126</f>
        <v>0</v>
      </c>
      <c r="G126" s="37"/>
      <c r="H126" s="43"/>
    </row>
    <row r="127" spans="1:8" ht="25.5" x14ac:dyDescent="0.25">
      <c r="A127" s="41" t="s">
        <v>642</v>
      </c>
      <c r="B127" s="42" t="s">
        <v>727</v>
      </c>
      <c r="C127" s="37">
        <v>12</v>
      </c>
      <c r="D127" s="37" t="s">
        <v>13</v>
      </c>
      <c r="E127" s="72">
        <f>ROUND(H127,2)</f>
        <v>0</v>
      </c>
      <c r="F127" s="66">
        <f>C127*E127</f>
        <v>0</v>
      </c>
      <c r="G127" s="37"/>
      <c r="H127" s="43"/>
    </row>
    <row r="128" spans="1:8" x14ac:dyDescent="0.25">
      <c r="A128" s="41"/>
      <c r="B128" s="30" t="s">
        <v>123</v>
      </c>
      <c r="C128" s="37"/>
      <c r="D128" s="37"/>
      <c r="E128" s="38"/>
      <c r="F128" s="89">
        <f>SUM(F124:F127)</f>
        <v>0</v>
      </c>
      <c r="G128" s="37"/>
      <c r="H128" s="40"/>
    </row>
    <row r="129" spans="1:8" x14ac:dyDescent="0.25">
      <c r="H129" s="104"/>
    </row>
    <row r="130" spans="1:8" x14ac:dyDescent="0.25">
      <c r="A130" s="31" t="s">
        <v>645</v>
      </c>
      <c r="B130" s="31" t="s">
        <v>121</v>
      </c>
      <c r="C130" s="60"/>
      <c r="D130" s="60"/>
      <c r="E130" s="70"/>
      <c r="F130" s="44"/>
      <c r="G130" s="60"/>
      <c r="H130" s="71"/>
    </row>
    <row r="131" spans="1:8" x14ac:dyDescent="0.25">
      <c r="A131" s="41" t="s">
        <v>646</v>
      </c>
      <c r="B131" s="42" t="s">
        <v>11</v>
      </c>
      <c r="C131" s="37">
        <v>12</v>
      </c>
      <c r="D131" s="37" t="s">
        <v>13</v>
      </c>
      <c r="E131" s="72">
        <f>ROUND(H131,2)</f>
        <v>0</v>
      </c>
      <c r="F131" s="66">
        <f>C131*E131</f>
        <v>0</v>
      </c>
      <c r="G131" s="37"/>
      <c r="H131" s="43"/>
    </row>
    <row r="132" spans="1:8" x14ac:dyDescent="0.25">
      <c r="A132" s="41" t="s">
        <v>647</v>
      </c>
      <c r="B132" s="42" t="s">
        <v>12</v>
      </c>
      <c r="C132" s="37">
        <v>12</v>
      </c>
      <c r="D132" s="37" t="s">
        <v>13</v>
      </c>
      <c r="E132" s="72">
        <f>ROUND(H132,2)</f>
        <v>0</v>
      </c>
      <c r="F132" s="66">
        <f>C132*E132</f>
        <v>0</v>
      </c>
      <c r="G132" s="37"/>
      <c r="H132" s="43"/>
    </row>
    <row r="133" spans="1:8" x14ac:dyDescent="0.25">
      <c r="A133" s="41" t="s">
        <v>648</v>
      </c>
      <c r="B133" s="42" t="s">
        <v>14</v>
      </c>
      <c r="C133" s="37">
        <v>12</v>
      </c>
      <c r="D133" s="37" t="s">
        <v>13</v>
      </c>
      <c r="E133" s="72">
        <f>ROUND(H133,2)</f>
        <v>0</v>
      </c>
      <c r="F133" s="66">
        <f>C133*E133</f>
        <v>0</v>
      </c>
      <c r="G133" s="37"/>
      <c r="H133" s="43"/>
    </row>
    <row r="134" spans="1:8" ht="25.5" x14ac:dyDescent="0.25">
      <c r="A134" s="41" t="s">
        <v>649</v>
      </c>
      <c r="B134" s="42" t="s">
        <v>727</v>
      </c>
      <c r="C134" s="37">
        <v>12</v>
      </c>
      <c r="D134" s="37" t="s">
        <v>13</v>
      </c>
      <c r="E134" s="72">
        <f>ROUND(H134,2)</f>
        <v>0</v>
      </c>
      <c r="F134" s="66">
        <f>C134*E134</f>
        <v>0</v>
      </c>
      <c r="G134" s="37"/>
      <c r="H134" s="43"/>
    </row>
    <row r="135" spans="1:8" x14ac:dyDescent="0.25">
      <c r="A135" s="41"/>
      <c r="B135" s="30" t="s">
        <v>124</v>
      </c>
      <c r="C135" s="37"/>
      <c r="D135" s="37"/>
      <c r="E135" s="38"/>
      <c r="F135" s="89">
        <f>SUM(F131:F134)</f>
        <v>0</v>
      </c>
      <c r="G135" s="37"/>
      <c r="H135" s="40"/>
    </row>
    <row r="136" spans="1:8" x14ac:dyDescent="0.25">
      <c r="A136" s="51"/>
      <c r="B136" s="61"/>
      <c r="C136" s="22"/>
      <c r="D136" s="22"/>
      <c r="E136" s="23"/>
      <c r="F136" s="92"/>
      <c r="G136" s="22"/>
      <c r="H136" s="93"/>
    </row>
    <row r="137" spans="1:8" x14ac:dyDescent="0.25">
      <c r="A137" s="31" t="s">
        <v>729</v>
      </c>
      <c r="B137" s="31" t="s">
        <v>785</v>
      </c>
      <c r="C137" s="60"/>
      <c r="D137" s="60"/>
      <c r="E137" s="70"/>
      <c r="F137" s="44"/>
      <c r="G137" s="60"/>
      <c r="H137" s="71"/>
    </row>
    <row r="138" spans="1:8" x14ac:dyDescent="0.25">
      <c r="A138" s="41" t="s">
        <v>730</v>
      </c>
      <c r="B138" s="42" t="s">
        <v>11</v>
      </c>
      <c r="C138" s="37">
        <v>12</v>
      </c>
      <c r="D138" s="37" t="s">
        <v>13</v>
      </c>
      <c r="E138" s="72">
        <f>ROUND(H138,2)</f>
        <v>0</v>
      </c>
      <c r="F138" s="66">
        <f>C138*E138</f>
        <v>0</v>
      </c>
      <c r="G138" s="37"/>
      <c r="H138" s="43"/>
    </row>
    <row r="139" spans="1:8" x14ac:dyDescent="0.25">
      <c r="A139" s="41" t="s">
        <v>731</v>
      </c>
      <c r="B139" s="42" t="s">
        <v>12</v>
      </c>
      <c r="C139" s="37">
        <v>12</v>
      </c>
      <c r="D139" s="37" t="s">
        <v>13</v>
      </c>
      <c r="E139" s="72">
        <f>ROUND(H139,2)</f>
        <v>0</v>
      </c>
      <c r="F139" s="66">
        <f>C139*E139</f>
        <v>0</v>
      </c>
      <c r="G139" s="37"/>
      <c r="H139" s="43"/>
    </row>
    <row r="140" spans="1:8" x14ac:dyDescent="0.25">
      <c r="A140" s="41" t="s">
        <v>732</v>
      </c>
      <c r="B140" s="42" t="s">
        <v>14</v>
      </c>
      <c r="C140" s="37">
        <v>12</v>
      </c>
      <c r="D140" s="37" t="s">
        <v>13</v>
      </c>
      <c r="E140" s="72">
        <f>ROUND(H140,2)</f>
        <v>0</v>
      </c>
      <c r="F140" s="66">
        <f>C140*E140</f>
        <v>0</v>
      </c>
      <c r="G140" s="37"/>
      <c r="H140" s="43"/>
    </row>
    <row r="141" spans="1:8" ht="25.5" x14ac:dyDescent="0.25">
      <c r="A141" s="41" t="s">
        <v>733</v>
      </c>
      <c r="B141" s="42" t="s">
        <v>734</v>
      </c>
      <c r="C141" s="37">
        <v>12</v>
      </c>
      <c r="D141" s="37" t="s">
        <v>13</v>
      </c>
      <c r="E141" s="72">
        <f>ROUND(H141,2)</f>
        <v>0</v>
      </c>
      <c r="F141" s="66">
        <f>C141*E141</f>
        <v>0</v>
      </c>
      <c r="G141" s="37"/>
      <c r="H141" s="43"/>
    </row>
    <row r="142" spans="1:8" x14ac:dyDescent="0.25">
      <c r="A142" s="41"/>
      <c r="B142" s="30" t="s">
        <v>786</v>
      </c>
      <c r="C142" s="37"/>
      <c r="D142" s="37"/>
      <c r="E142" s="38"/>
      <c r="F142" s="89">
        <f>SUM(F138:F141)</f>
        <v>0</v>
      </c>
      <c r="G142" s="37"/>
      <c r="H142" s="40"/>
    </row>
    <row r="143" spans="1:8" x14ac:dyDescent="0.25">
      <c r="A143" s="51"/>
      <c r="B143" s="61"/>
      <c r="C143" s="22"/>
      <c r="D143" s="22"/>
      <c r="E143" s="23"/>
      <c r="F143" s="92"/>
      <c r="G143" s="22"/>
      <c r="H143" s="93"/>
    </row>
    <row r="144" spans="1:8" x14ac:dyDescent="0.25">
      <c r="B144" s="194" t="s">
        <v>114</v>
      </c>
      <c r="C144" s="194"/>
      <c r="D144" s="194"/>
      <c r="E144" s="194"/>
      <c r="F144" s="90">
        <f>SUM(F18,F27,F36,F48,F56,F64,F72,F81,F90,F100,F107,F114,F121,F128,F135,F142)</f>
        <v>0</v>
      </c>
    </row>
  </sheetData>
  <sheetProtection password="C9A6" sheet="1" selectLockedCells="1"/>
  <mergeCells count="6">
    <mergeCell ref="B144:E144"/>
    <mergeCell ref="H1:H10"/>
    <mergeCell ref="A2:G2"/>
    <mergeCell ref="A3:G3"/>
    <mergeCell ref="A4:G4"/>
    <mergeCell ref="A5:G5"/>
  </mergeCells>
  <pageMargins left="0.25" right="0.25" top="0.75" bottom="0.75" header="0.3" footer="0.3"/>
  <pageSetup scale="91"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I36"/>
  <sheetViews>
    <sheetView showZeros="0" view="pageBreakPreview" topLeftCell="A10" zoomScale="60" zoomScaleNormal="100" workbookViewId="0">
      <selection activeCell="H12" sqref="H12"/>
    </sheetView>
  </sheetViews>
  <sheetFormatPr defaultColWidth="8.5703125" defaultRowHeight="12.75" x14ac:dyDescent="0.2"/>
  <cols>
    <col min="1" max="1" width="8.140625" style="76" customWidth="1"/>
    <col min="2" max="2" width="18.7109375" style="76" customWidth="1"/>
    <col min="3" max="3" width="56.85546875" style="76" customWidth="1"/>
    <col min="4" max="4" width="8.28515625" style="84" customWidth="1"/>
    <col min="5" max="5" width="9" style="76" customWidth="1"/>
    <col min="6" max="6" width="11.7109375" style="76" customWidth="1"/>
    <col min="7" max="7" width="13.85546875" style="85" customWidth="1"/>
    <col min="8" max="8" width="10.42578125" style="85" customWidth="1"/>
    <col min="9" max="9" width="16" style="83" customWidth="1"/>
    <col min="10" max="253" width="8.5703125" style="76"/>
    <col min="254" max="254" width="8.140625" style="76" customWidth="1"/>
    <col min="255" max="255" width="6" style="76" customWidth="1"/>
    <col min="256" max="256" width="9.85546875" style="76" customWidth="1"/>
    <col min="257" max="257" width="12.28515625" style="76" customWidth="1"/>
    <col min="258" max="258" width="29" style="76" customWidth="1"/>
    <col min="259" max="259" width="7.5703125" style="76" customWidth="1"/>
    <col min="260" max="260" width="6.85546875" style="76" customWidth="1"/>
    <col min="261" max="261" width="8.5703125" style="76"/>
    <col min="262" max="262" width="11.85546875" style="76" bestFit="1" customWidth="1"/>
    <col min="263" max="263" width="14.28515625" style="76" customWidth="1"/>
    <col min="264" max="509" width="8.5703125" style="76"/>
    <col min="510" max="510" width="8.140625" style="76" customWidth="1"/>
    <col min="511" max="511" width="6" style="76" customWidth="1"/>
    <col min="512" max="512" width="9.85546875" style="76" customWidth="1"/>
    <col min="513" max="513" width="12.28515625" style="76" customWidth="1"/>
    <col min="514" max="514" width="29" style="76" customWidth="1"/>
    <col min="515" max="515" width="7.5703125" style="76" customWidth="1"/>
    <col min="516" max="516" width="6.85546875" style="76" customWidth="1"/>
    <col min="517" max="517" width="8.5703125" style="76"/>
    <col min="518" max="518" width="11.85546875" style="76" bestFit="1" customWidth="1"/>
    <col min="519" max="519" width="14.28515625" style="76" customWidth="1"/>
    <col min="520" max="765" width="8.5703125" style="76"/>
    <col min="766" max="766" width="8.140625" style="76" customWidth="1"/>
    <col min="767" max="767" width="6" style="76" customWidth="1"/>
    <col min="768" max="768" width="9.85546875" style="76" customWidth="1"/>
    <col min="769" max="769" width="12.28515625" style="76" customWidth="1"/>
    <col min="770" max="770" width="29" style="76" customWidth="1"/>
    <col min="771" max="771" width="7.5703125" style="76" customWidth="1"/>
    <col min="772" max="772" width="6.85546875" style="76" customWidth="1"/>
    <col min="773" max="773" width="8.5703125" style="76"/>
    <col min="774" max="774" width="11.85546875" style="76" bestFit="1" customWidth="1"/>
    <col min="775" max="775" width="14.28515625" style="76" customWidth="1"/>
    <col min="776" max="1021" width="8.5703125" style="76"/>
    <col min="1022" max="1022" width="8.140625" style="76" customWidth="1"/>
    <col min="1023" max="1023" width="6" style="76" customWidth="1"/>
    <col min="1024" max="1024" width="9.85546875" style="76" customWidth="1"/>
    <col min="1025" max="1025" width="12.28515625" style="76" customWidth="1"/>
    <col min="1026" max="1026" width="29" style="76" customWidth="1"/>
    <col min="1027" max="1027" width="7.5703125" style="76" customWidth="1"/>
    <col min="1028" max="1028" width="6.85546875" style="76" customWidth="1"/>
    <col min="1029" max="1029" width="8.5703125" style="76"/>
    <col min="1030" max="1030" width="11.85546875" style="76" bestFit="1" customWidth="1"/>
    <col min="1031" max="1031" width="14.28515625" style="76" customWidth="1"/>
    <col min="1032" max="1277" width="8.5703125" style="76"/>
    <col min="1278" max="1278" width="8.140625" style="76" customWidth="1"/>
    <col min="1279" max="1279" width="6" style="76" customWidth="1"/>
    <col min="1280" max="1280" width="9.85546875" style="76" customWidth="1"/>
    <col min="1281" max="1281" width="12.28515625" style="76" customWidth="1"/>
    <col min="1282" max="1282" width="29" style="76" customWidth="1"/>
    <col min="1283" max="1283" width="7.5703125" style="76" customWidth="1"/>
    <col min="1284" max="1284" width="6.85546875" style="76" customWidth="1"/>
    <col min="1285" max="1285" width="8.5703125" style="76"/>
    <col min="1286" max="1286" width="11.85546875" style="76" bestFit="1" customWidth="1"/>
    <col min="1287" max="1287" width="14.28515625" style="76" customWidth="1"/>
    <col min="1288" max="1533" width="8.5703125" style="76"/>
    <col min="1534" max="1534" width="8.140625" style="76" customWidth="1"/>
    <col min="1535" max="1535" width="6" style="76" customWidth="1"/>
    <col min="1536" max="1536" width="9.85546875" style="76" customWidth="1"/>
    <col min="1537" max="1537" width="12.28515625" style="76" customWidth="1"/>
    <col min="1538" max="1538" width="29" style="76" customWidth="1"/>
    <col min="1539" max="1539" width="7.5703125" style="76" customWidth="1"/>
    <col min="1540" max="1540" width="6.85546875" style="76" customWidth="1"/>
    <col min="1541" max="1541" width="8.5703125" style="76"/>
    <col min="1542" max="1542" width="11.85546875" style="76" bestFit="1" customWidth="1"/>
    <col min="1543" max="1543" width="14.28515625" style="76" customWidth="1"/>
    <col min="1544" max="1789" width="8.5703125" style="76"/>
    <col min="1790" max="1790" width="8.140625" style="76" customWidth="1"/>
    <col min="1791" max="1791" width="6" style="76" customWidth="1"/>
    <col min="1792" max="1792" width="9.85546875" style="76" customWidth="1"/>
    <col min="1793" max="1793" width="12.28515625" style="76" customWidth="1"/>
    <col min="1794" max="1794" width="29" style="76" customWidth="1"/>
    <col min="1795" max="1795" width="7.5703125" style="76" customWidth="1"/>
    <col min="1796" max="1796" width="6.85546875" style="76" customWidth="1"/>
    <col min="1797" max="1797" width="8.5703125" style="76"/>
    <col min="1798" max="1798" width="11.85546875" style="76" bestFit="1" customWidth="1"/>
    <col min="1799" max="1799" width="14.28515625" style="76" customWidth="1"/>
    <col min="1800" max="2045" width="8.5703125" style="76"/>
    <col min="2046" max="2046" width="8.140625" style="76" customWidth="1"/>
    <col min="2047" max="2047" width="6" style="76" customWidth="1"/>
    <col min="2048" max="2048" width="9.85546875" style="76" customWidth="1"/>
    <col min="2049" max="2049" width="12.28515625" style="76" customWidth="1"/>
    <col min="2050" max="2050" width="29" style="76" customWidth="1"/>
    <col min="2051" max="2051" width="7.5703125" style="76" customWidth="1"/>
    <col min="2052" max="2052" width="6.85546875" style="76" customWidth="1"/>
    <col min="2053" max="2053" width="8.5703125" style="76"/>
    <col min="2054" max="2054" width="11.85546875" style="76" bestFit="1" customWidth="1"/>
    <col min="2055" max="2055" width="14.28515625" style="76" customWidth="1"/>
    <col min="2056" max="2301" width="8.5703125" style="76"/>
    <col min="2302" max="2302" width="8.140625" style="76" customWidth="1"/>
    <col min="2303" max="2303" width="6" style="76" customWidth="1"/>
    <col min="2304" max="2304" width="9.85546875" style="76" customWidth="1"/>
    <col min="2305" max="2305" width="12.28515625" style="76" customWidth="1"/>
    <col min="2306" max="2306" width="29" style="76" customWidth="1"/>
    <col min="2307" max="2307" width="7.5703125" style="76" customWidth="1"/>
    <col min="2308" max="2308" width="6.85546875" style="76" customWidth="1"/>
    <col min="2309" max="2309" width="8.5703125" style="76"/>
    <col min="2310" max="2310" width="11.85546875" style="76" bestFit="1" customWidth="1"/>
    <col min="2311" max="2311" width="14.28515625" style="76" customWidth="1"/>
    <col min="2312" max="2557" width="8.5703125" style="76"/>
    <col min="2558" max="2558" width="8.140625" style="76" customWidth="1"/>
    <col min="2559" max="2559" width="6" style="76" customWidth="1"/>
    <col min="2560" max="2560" width="9.85546875" style="76" customWidth="1"/>
    <col min="2561" max="2561" width="12.28515625" style="76" customWidth="1"/>
    <col min="2562" max="2562" width="29" style="76" customWidth="1"/>
    <col min="2563" max="2563" width="7.5703125" style="76" customWidth="1"/>
    <col min="2564" max="2564" width="6.85546875" style="76" customWidth="1"/>
    <col min="2565" max="2565" width="8.5703125" style="76"/>
    <col min="2566" max="2566" width="11.85546875" style="76" bestFit="1" customWidth="1"/>
    <col min="2567" max="2567" width="14.28515625" style="76" customWidth="1"/>
    <col min="2568" max="2813" width="8.5703125" style="76"/>
    <col min="2814" max="2814" width="8.140625" style="76" customWidth="1"/>
    <col min="2815" max="2815" width="6" style="76" customWidth="1"/>
    <col min="2816" max="2816" width="9.85546875" style="76" customWidth="1"/>
    <col min="2817" max="2817" width="12.28515625" style="76" customWidth="1"/>
    <col min="2818" max="2818" width="29" style="76" customWidth="1"/>
    <col min="2819" max="2819" width="7.5703125" style="76" customWidth="1"/>
    <col min="2820" max="2820" width="6.85546875" style="76" customWidth="1"/>
    <col min="2821" max="2821" width="8.5703125" style="76"/>
    <col min="2822" max="2822" width="11.85546875" style="76" bestFit="1" customWidth="1"/>
    <col min="2823" max="2823" width="14.28515625" style="76" customWidth="1"/>
    <col min="2824" max="3069" width="8.5703125" style="76"/>
    <col min="3070" max="3070" width="8.140625" style="76" customWidth="1"/>
    <col min="3071" max="3071" width="6" style="76" customWidth="1"/>
    <col min="3072" max="3072" width="9.85546875" style="76" customWidth="1"/>
    <col min="3073" max="3073" width="12.28515625" style="76" customWidth="1"/>
    <col min="3074" max="3074" width="29" style="76" customWidth="1"/>
    <col min="3075" max="3075" width="7.5703125" style="76" customWidth="1"/>
    <col min="3076" max="3076" width="6.85546875" style="76" customWidth="1"/>
    <col min="3077" max="3077" width="8.5703125" style="76"/>
    <col min="3078" max="3078" width="11.85546875" style="76" bestFit="1" customWidth="1"/>
    <col min="3079" max="3079" width="14.28515625" style="76" customWidth="1"/>
    <col min="3080" max="3325" width="8.5703125" style="76"/>
    <col min="3326" max="3326" width="8.140625" style="76" customWidth="1"/>
    <col min="3327" max="3327" width="6" style="76" customWidth="1"/>
    <col min="3328" max="3328" width="9.85546875" style="76" customWidth="1"/>
    <col min="3329" max="3329" width="12.28515625" style="76" customWidth="1"/>
    <col min="3330" max="3330" width="29" style="76" customWidth="1"/>
    <col min="3331" max="3331" width="7.5703125" style="76" customWidth="1"/>
    <col min="3332" max="3332" width="6.85546875" style="76" customWidth="1"/>
    <col min="3333" max="3333" width="8.5703125" style="76"/>
    <col min="3334" max="3334" width="11.85546875" style="76" bestFit="1" customWidth="1"/>
    <col min="3335" max="3335" width="14.28515625" style="76" customWidth="1"/>
    <col min="3336" max="3581" width="8.5703125" style="76"/>
    <col min="3582" max="3582" width="8.140625" style="76" customWidth="1"/>
    <col min="3583" max="3583" width="6" style="76" customWidth="1"/>
    <col min="3584" max="3584" width="9.85546875" style="76" customWidth="1"/>
    <col min="3585" max="3585" width="12.28515625" style="76" customWidth="1"/>
    <col min="3586" max="3586" width="29" style="76" customWidth="1"/>
    <col min="3587" max="3587" width="7.5703125" style="76" customWidth="1"/>
    <col min="3588" max="3588" width="6.85546875" style="76" customWidth="1"/>
    <col min="3589" max="3589" width="8.5703125" style="76"/>
    <col min="3590" max="3590" width="11.85546875" style="76" bestFit="1" customWidth="1"/>
    <col min="3591" max="3591" width="14.28515625" style="76" customWidth="1"/>
    <col min="3592" max="3837" width="8.5703125" style="76"/>
    <col min="3838" max="3838" width="8.140625" style="76" customWidth="1"/>
    <col min="3839" max="3839" width="6" style="76" customWidth="1"/>
    <col min="3840" max="3840" width="9.85546875" style="76" customWidth="1"/>
    <col min="3841" max="3841" width="12.28515625" style="76" customWidth="1"/>
    <col min="3842" max="3842" width="29" style="76" customWidth="1"/>
    <col min="3843" max="3843" width="7.5703125" style="76" customWidth="1"/>
    <col min="3844" max="3844" width="6.85546875" style="76" customWidth="1"/>
    <col min="3845" max="3845" width="8.5703125" style="76"/>
    <col min="3846" max="3846" width="11.85546875" style="76" bestFit="1" customWidth="1"/>
    <col min="3847" max="3847" width="14.28515625" style="76" customWidth="1"/>
    <col min="3848" max="4093" width="8.5703125" style="76"/>
    <col min="4094" max="4094" width="8.140625" style="76" customWidth="1"/>
    <col min="4095" max="4095" width="6" style="76" customWidth="1"/>
    <col min="4096" max="4096" width="9.85546875" style="76" customWidth="1"/>
    <col min="4097" max="4097" width="12.28515625" style="76" customWidth="1"/>
    <col min="4098" max="4098" width="29" style="76" customWidth="1"/>
    <col min="4099" max="4099" width="7.5703125" style="76" customWidth="1"/>
    <col min="4100" max="4100" width="6.85546875" style="76" customWidth="1"/>
    <col min="4101" max="4101" width="8.5703125" style="76"/>
    <col min="4102" max="4102" width="11.85546875" style="76" bestFit="1" customWidth="1"/>
    <col min="4103" max="4103" width="14.28515625" style="76" customWidth="1"/>
    <col min="4104" max="4349" width="8.5703125" style="76"/>
    <col min="4350" max="4350" width="8.140625" style="76" customWidth="1"/>
    <col min="4351" max="4351" width="6" style="76" customWidth="1"/>
    <col min="4352" max="4352" width="9.85546875" style="76" customWidth="1"/>
    <col min="4353" max="4353" width="12.28515625" style="76" customWidth="1"/>
    <col min="4354" max="4354" width="29" style="76" customWidth="1"/>
    <col min="4355" max="4355" width="7.5703125" style="76" customWidth="1"/>
    <col min="4356" max="4356" width="6.85546875" style="76" customWidth="1"/>
    <col min="4357" max="4357" width="8.5703125" style="76"/>
    <col min="4358" max="4358" width="11.85546875" style="76" bestFit="1" customWidth="1"/>
    <col min="4359" max="4359" width="14.28515625" style="76" customWidth="1"/>
    <col min="4360" max="4605" width="8.5703125" style="76"/>
    <col min="4606" max="4606" width="8.140625" style="76" customWidth="1"/>
    <col min="4607" max="4607" width="6" style="76" customWidth="1"/>
    <col min="4608" max="4608" width="9.85546875" style="76" customWidth="1"/>
    <col min="4609" max="4609" width="12.28515625" style="76" customWidth="1"/>
    <col min="4610" max="4610" width="29" style="76" customWidth="1"/>
    <col min="4611" max="4611" width="7.5703125" style="76" customWidth="1"/>
    <col min="4612" max="4612" width="6.85546875" style="76" customWidth="1"/>
    <col min="4613" max="4613" width="8.5703125" style="76"/>
    <col min="4614" max="4614" width="11.85546875" style="76" bestFit="1" customWidth="1"/>
    <col min="4615" max="4615" width="14.28515625" style="76" customWidth="1"/>
    <col min="4616" max="4861" width="8.5703125" style="76"/>
    <col min="4862" max="4862" width="8.140625" style="76" customWidth="1"/>
    <col min="4863" max="4863" width="6" style="76" customWidth="1"/>
    <col min="4864" max="4864" width="9.85546875" style="76" customWidth="1"/>
    <col min="4865" max="4865" width="12.28515625" style="76" customWidth="1"/>
    <col min="4866" max="4866" width="29" style="76" customWidth="1"/>
    <col min="4867" max="4867" width="7.5703125" style="76" customWidth="1"/>
    <col min="4868" max="4868" width="6.85546875" style="76" customWidth="1"/>
    <col min="4869" max="4869" width="8.5703125" style="76"/>
    <col min="4870" max="4870" width="11.85546875" style="76" bestFit="1" customWidth="1"/>
    <col min="4871" max="4871" width="14.28515625" style="76" customWidth="1"/>
    <col min="4872" max="5117" width="8.5703125" style="76"/>
    <col min="5118" max="5118" width="8.140625" style="76" customWidth="1"/>
    <col min="5119" max="5119" width="6" style="76" customWidth="1"/>
    <col min="5120" max="5120" width="9.85546875" style="76" customWidth="1"/>
    <col min="5121" max="5121" width="12.28515625" style="76" customWidth="1"/>
    <col min="5122" max="5122" width="29" style="76" customWidth="1"/>
    <col min="5123" max="5123" width="7.5703125" style="76" customWidth="1"/>
    <col min="5124" max="5124" width="6.85546875" style="76" customWidth="1"/>
    <col min="5125" max="5125" width="8.5703125" style="76"/>
    <col min="5126" max="5126" width="11.85546875" style="76" bestFit="1" customWidth="1"/>
    <col min="5127" max="5127" width="14.28515625" style="76" customWidth="1"/>
    <col min="5128" max="5373" width="8.5703125" style="76"/>
    <col min="5374" max="5374" width="8.140625" style="76" customWidth="1"/>
    <col min="5375" max="5375" width="6" style="76" customWidth="1"/>
    <col min="5376" max="5376" width="9.85546875" style="76" customWidth="1"/>
    <col min="5377" max="5377" width="12.28515625" style="76" customWidth="1"/>
    <col min="5378" max="5378" width="29" style="76" customWidth="1"/>
    <col min="5379" max="5379" width="7.5703125" style="76" customWidth="1"/>
    <col min="5380" max="5380" width="6.85546875" style="76" customWidth="1"/>
    <col min="5381" max="5381" width="8.5703125" style="76"/>
    <col min="5382" max="5382" width="11.85546875" style="76" bestFit="1" customWidth="1"/>
    <col min="5383" max="5383" width="14.28515625" style="76" customWidth="1"/>
    <col min="5384" max="5629" width="8.5703125" style="76"/>
    <col min="5630" max="5630" width="8.140625" style="76" customWidth="1"/>
    <col min="5631" max="5631" width="6" style="76" customWidth="1"/>
    <col min="5632" max="5632" width="9.85546875" style="76" customWidth="1"/>
    <col min="5633" max="5633" width="12.28515625" style="76" customWidth="1"/>
    <col min="5634" max="5634" width="29" style="76" customWidth="1"/>
    <col min="5635" max="5635" width="7.5703125" style="76" customWidth="1"/>
    <col min="5636" max="5636" width="6.85546875" style="76" customWidth="1"/>
    <col min="5637" max="5637" width="8.5703125" style="76"/>
    <col min="5638" max="5638" width="11.85546875" style="76" bestFit="1" customWidth="1"/>
    <col min="5639" max="5639" width="14.28515625" style="76" customWidth="1"/>
    <col min="5640" max="5885" width="8.5703125" style="76"/>
    <col min="5886" max="5886" width="8.140625" style="76" customWidth="1"/>
    <col min="5887" max="5887" width="6" style="76" customWidth="1"/>
    <col min="5888" max="5888" width="9.85546875" style="76" customWidth="1"/>
    <col min="5889" max="5889" width="12.28515625" style="76" customWidth="1"/>
    <col min="5890" max="5890" width="29" style="76" customWidth="1"/>
    <col min="5891" max="5891" width="7.5703125" style="76" customWidth="1"/>
    <col min="5892" max="5892" width="6.85546875" style="76" customWidth="1"/>
    <col min="5893" max="5893" width="8.5703125" style="76"/>
    <col min="5894" max="5894" width="11.85546875" style="76" bestFit="1" customWidth="1"/>
    <col min="5895" max="5895" width="14.28515625" style="76" customWidth="1"/>
    <col min="5896" max="6141" width="8.5703125" style="76"/>
    <col min="6142" max="6142" width="8.140625" style="76" customWidth="1"/>
    <col min="6143" max="6143" width="6" style="76" customWidth="1"/>
    <col min="6144" max="6144" width="9.85546875" style="76" customWidth="1"/>
    <col min="6145" max="6145" width="12.28515625" style="76" customWidth="1"/>
    <col min="6146" max="6146" width="29" style="76" customWidth="1"/>
    <col min="6147" max="6147" width="7.5703125" style="76" customWidth="1"/>
    <col min="6148" max="6148" width="6.85546875" style="76" customWidth="1"/>
    <col min="6149" max="6149" width="8.5703125" style="76"/>
    <col min="6150" max="6150" width="11.85546875" style="76" bestFit="1" customWidth="1"/>
    <col min="6151" max="6151" width="14.28515625" style="76" customWidth="1"/>
    <col min="6152" max="6397" width="8.5703125" style="76"/>
    <col min="6398" max="6398" width="8.140625" style="76" customWidth="1"/>
    <col min="6399" max="6399" width="6" style="76" customWidth="1"/>
    <col min="6400" max="6400" width="9.85546875" style="76" customWidth="1"/>
    <col min="6401" max="6401" width="12.28515625" style="76" customWidth="1"/>
    <col min="6402" max="6402" width="29" style="76" customWidth="1"/>
    <col min="6403" max="6403" width="7.5703125" style="76" customWidth="1"/>
    <col min="6404" max="6404" width="6.85546875" style="76" customWidth="1"/>
    <col min="6405" max="6405" width="8.5703125" style="76"/>
    <col min="6406" max="6406" width="11.85546875" style="76" bestFit="1" customWidth="1"/>
    <col min="6407" max="6407" width="14.28515625" style="76" customWidth="1"/>
    <col min="6408" max="6653" width="8.5703125" style="76"/>
    <col min="6654" max="6654" width="8.140625" style="76" customWidth="1"/>
    <col min="6655" max="6655" width="6" style="76" customWidth="1"/>
    <col min="6656" max="6656" width="9.85546875" style="76" customWidth="1"/>
    <col min="6657" max="6657" width="12.28515625" style="76" customWidth="1"/>
    <col min="6658" max="6658" width="29" style="76" customWidth="1"/>
    <col min="6659" max="6659" width="7.5703125" style="76" customWidth="1"/>
    <col min="6660" max="6660" width="6.85546875" style="76" customWidth="1"/>
    <col min="6661" max="6661" width="8.5703125" style="76"/>
    <col min="6662" max="6662" width="11.85546875" style="76" bestFit="1" customWidth="1"/>
    <col min="6663" max="6663" width="14.28515625" style="76" customWidth="1"/>
    <col min="6664" max="6909" width="8.5703125" style="76"/>
    <col min="6910" max="6910" width="8.140625" style="76" customWidth="1"/>
    <col min="6911" max="6911" width="6" style="76" customWidth="1"/>
    <col min="6912" max="6912" width="9.85546875" style="76" customWidth="1"/>
    <col min="6913" max="6913" width="12.28515625" style="76" customWidth="1"/>
    <col min="6914" max="6914" width="29" style="76" customWidth="1"/>
    <col min="6915" max="6915" width="7.5703125" style="76" customWidth="1"/>
    <col min="6916" max="6916" width="6.85546875" style="76" customWidth="1"/>
    <col min="6917" max="6917" width="8.5703125" style="76"/>
    <col min="6918" max="6918" width="11.85546875" style="76" bestFit="1" customWidth="1"/>
    <col min="6919" max="6919" width="14.28515625" style="76" customWidth="1"/>
    <col min="6920" max="7165" width="8.5703125" style="76"/>
    <col min="7166" max="7166" width="8.140625" style="76" customWidth="1"/>
    <col min="7167" max="7167" width="6" style="76" customWidth="1"/>
    <col min="7168" max="7168" width="9.85546875" style="76" customWidth="1"/>
    <col min="7169" max="7169" width="12.28515625" style="76" customWidth="1"/>
    <col min="7170" max="7170" width="29" style="76" customWidth="1"/>
    <col min="7171" max="7171" width="7.5703125" style="76" customWidth="1"/>
    <col min="7172" max="7172" width="6.85546875" style="76" customWidth="1"/>
    <col min="7173" max="7173" width="8.5703125" style="76"/>
    <col min="7174" max="7174" width="11.85546875" style="76" bestFit="1" customWidth="1"/>
    <col min="7175" max="7175" width="14.28515625" style="76" customWidth="1"/>
    <col min="7176" max="7421" width="8.5703125" style="76"/>
    <col min="7422" max="7422" width="8.140625" style="76" customWidth="1"/>
    <col min="7423" max="7423" width="6" style="76" customWidth="1"/>
    <col min="7424" max="7424" width="9.85546875" style="76" customWidth="1"/>
    <col min="7425" max="7425" width="12.28515625" style="76" customWidth="1"/>
    <col min="7426" max="7426" width="29" style="76" customWidth="1"/>
    <col min="7427" max="7427" width="7.5703125" style="76" customWidth="1"/>
    <col min="7428" max="7428" width="6.85546875" style="76" customWidth="1"/>
    <col min="7429" max="7429" width="8.5703125" style="76"/>
    <col min="7430" max="7430" width="11.85546875" style="76" bestFit="1" customWidth="1"/>
    <col min="7431" max="7431" width="14.28515625" style="76" customWidth="1"/>
    <col min="7432" max="7677" width="8.5703125" style="76"/>
    <col min="7678" max="7678" width="8.140625" style="76" customWidth="1"/>
    <col min="7679" max="7679" width="6" style="76" customWidth="1"/>
    <col min="7680" max="7680" width="9.85546875" style="76" customWidth="1"/>
    <col min="7681" max="7681" width="12.28515625" style="76" customWidth="1"/>
    <col min="7682" max="7682" width="29" style="76" customWidth="1"/>
    <col min="7683" max="7683" width="7.5703125" style="76" customWidth="1"/>
    <col min="7684" max="7684" width="6.85546875" style="76" customWidth="1"/>
    <col min="7685" max="7685" width="8.5703125" style="76"/>
    <col min="7686" max="7686" width="11.85546875" style="76" bestFit="1" customWidth="1"/>
    <col min="7687" max="7687" width="14.28515625" style="76" customWidth="1"/>
    <col min="7688" max="7933" width="8.5703125" style="76"/>
    <col min="7934" max="7934" width="8.140625" style="76" customWidth="1"/>
    <col min="7935" max="7935" width="6" style="76" customWidth="1"/>
    <col min="7936" max="7936" width="9.85546875" style="76" customWidth="1"/>
    <col min="7937" max="7937" width="12.28515625" style="76" customWidth="1"/>
    <col min="7938" max="7938" width="29" style="76" customWidth="1"/>
    <col min="7939" max="7939" width="7.5703125" style="76" customWidth="1"/>
    <col min="7940" max="7940" width="6.85546875" style="76" customWidth="1"/>
    <col min="7941" max="7941" width="8.5703125" style="76"/>
    <col min="7942" max="7942" width="11.85546875" style="76" bestFit="1" customWidth="1"/>
    <col min="7943" max="7943" width="14.28515625" style="76" customWidth="1"/>
    <col min="7944" max="8189" width="8.5703125" style="76"/>
    <col min="8190" max="8190" width="8.140625" style="76" customWidth="1"/>
    <col min="8191" max="8191" width="6" style="76" customWidth="1"/>
    <col min="8192" max="8192" width="9.85546875" style="76" customWidth="1"/>
    <col min="8193" max="8193" width="12.28515625" style="76" customWidth="1"/>
    <col min="8194" max="8194" width="29" style="76" customWidth="1"/>
    <col min="8195" max="8195" width="7.5703125" style="76" customWidth="1"/>
    <col min="8196" max="8196" width="6.85546875" style="76" customWidth="1"/>
    <col min="8197" max="8197" width="8.5703125" style="76"/>
    <col min="8198" max="8198" width="11.85546875" style="76" bestFit="1" customWidth="1"/>
    <col min="8199" max="8199" width="14.28515625" style="76" customWidth="1"/>
    <col min="8200" max="8445" width="8.5703125" style="76"/>
    <col min="8446" max="8446" width="8.140625" style="76" customWidth="1"/>
    <col min="8447" max="8447" width="6" style="76" customWidth="1"/>
    <col min="8448" max="8448" width="9.85546875" style="76" customWidth="1"/>
    <col min="8449" max="8449" width="12.28515625" style="76" customWidth="1"/>
    <col min="8450" max="8450" width="29" style="76" customWidth="1"/>
    <col min="8451" max="8451" width="7.5703125" style="76" customWidth="1"/>
    <col min="8452" max="8452" width="6.85546875" style="76" customWidth="1"/>
    <col min="8453" max="8453" width="8.5703125" style="76"/>
    <col min="8454" max="8454" width="11.85546875" style="76" bestFit="1" customWidth="1"/>
    <col min="8455" max="8455" width="14.28515625" style="76" customWidth="1"/>
    <col min="8456" max="8701" width="8.5703125" style="76"/>
    <col min="8702" max="8702" width="8.140625" style="76" customWidth="1"/>
    <col min="8703" max="8703" width="6" style="76" customWidth="1"/>
    <col min="8704" max="8704" width="9.85546875" style="76" customWidth="1"/>
    <col min="8705" max="8705" width="12.28515625" style="76" customWidth="1"/>
    <col min="8706" max="8706" width="29" style="76" customWidth="1"/>
    <col min="8707" max="8707" width="7.5703125" style="76" customWidth="1"/>
    <col min="8708" max="8708" width="6.85546875" style="76" customWidth="1"/>
    <col min="8709" max="8709" width="8.5703125" style="76"/>
    <col min="8710" max="8710" width="11.85546875" style="76" bestFit="1" customWidth="1"/>
    <col min="8711" max="8711" width="14.28515625" style="76" customWidth="1"/>
    <col min="8712" max="8957" width="8.5703125" style="76"/>
    <col min="8958" max="8958" width="8.140625" style="76" customWidth="1"/>
    <col min="8959" max="8959" width="6" style="76" customWidth="1"/>
    <col min="8960" max="8960" width="9.85546875" style="76" customWidth="1"/>
    <col min="8961" max="8961" width="12.28515625" style="76" customWidth="1"/>
    <col min="8962" max="8962" width="29" style="76" customWidth="1"/>
    <col min="8963" max="8963" width="7.5703125" style="76" customWidth="1"/>
    <col min="8964" max="8964" width="6.85546875" style="76" customWidth="1"/>
    <col min="8965" max="8965" width="8.5703125" style="76"/>
    <col min="8966" max="8966" width="11.85546875" style="76" bestFit="1" customWidth="1"/>
    <col min="8967" max="8967" width="14.28515625" style="76" customWidth="1"/>
    <col min="8968" max="9213" width="8.5703125" style="76"/>
    <col min="9214" max="9214" width="8.140625" style="76" customWidth="1"/>
    <col min="9215" max="9215" width="6" style="76" customWidth="1"/>
    <col min="9216" max="9216" width="9.85546875" style="76" customWidth="1"/>
    <col min="9217" max="9217" width="12.28515625" style="76" customWidth="1"/>
    <col min="9218" max="9218" width="29" style="76" customWidth="1"/>
    <col min="9219" max="9219" width="7.5703125" style="76" customWidth="1"/>
    <col min="9220" max="9220" width="6.85546875" style="76" customWidth="1"/>
    <col min="9221" max="9221" width="8.5703125" style="76"/>
    <col min="9222" max="9222" width="11.85546875" style="76" bestFit="1" customWidth="1"/>
    <col min="9223" max="9223" width="14.28515625" style="76" customWidth="1"/>
    <col min="9224" max="9469" width="8.5703125" style="76"/>
    <col min="9470" max="9470" width="8.140625" style="76" customWidth="1"/>
    <col min="9471" max="9471" width="6" style="76" customWidth="1"/>
    <col min="9472" max="9472" width="9.85546875" style="76" customWidth="1"/>
    <col min="9473" max="9473" width="12.28515625" style="76" customWidth="1"/>
    <col min="9474" max="9474" width="29" style="76" customWidth="1"/>
    <col min="9475" max="9475" width="7.5703125" style="76" customWidth="1"/>
    <col min="9476" max="9476" width="6.85546875" style="76" customWidth="1"/>
    <col min="9477" max="9477" width="8.5703125" style="76"/>
    <col min="9478" max="9478" width="11.85546875" style="76" bestFit="1" customWidth="1"/>
    <col min="9479" max="9479" width="14.28515625" style="76" customWidth="1"/>
    <col min="9480" max="9725" width="8.5703125" style="76"/>
    <col min="9726" max="9726" width="8.140625" style="76" customWidth="1"/>
    <col min="9727" max="9727" width="6" style="76" customWidth="1"/>
    <col min="9728" max="9728" width="9.85546875" style="76" customWidth="1"/>
    <col min="9729" max="9729" width="12.28515625" style="76" customWidth="1"/>
    <col min="9730" max="9730" width="29" style="76" customWidth="1"/>
    <col min="9731" max="9731" width="7.5703125" style="76" customWidth="1"/>
    <col min="9732" max="9732" width="6.85546875" style="76" customWidth="1"/>
    <col min="9733" max="9733" width="8.5703125" style="76"/>
    <col min="9734" max="9734" width="11.85546875" style="76" bestFit="1" customWidth="1"/>
    <col min="9735" max="9735" width="14.28515625" style="76" customWidth="1"/>
    <col min="9736" max="9981" width="8.5703125" style="76"/>
    <col min="9982" max="9982" width="8.140625" style="76" customWidth="1"/>
    <col min="9983" max="9983" width="6" style="76" customWidth="1"/>
    <col min="9984" max="9984" width="9.85546875" style="76" customWidth="1"/>
    <col min="9985" max="9985" width="12.28515625" style="76" customWidth="1"/>
    <col min="9986" max="9986" width="29" style="76" customWidth="1"/>
    <col min="9987" max="9987" width="7.5703125" style="76" customWidth="1"/>
    <col min="9988" max="9988" width="6.85546875" style="76" customWidth="1"/>
    <col min="9989" max="9989" width="8.5703125" style="76"/>
    <col min="9990" max="9990" width="11.85546875" style="76" bestFit="1" customWidth="1"/>
    <col min="9991" max="9991" width="14.28515625" style="76" customWidth="1"/>
    <col min="9992" max="10237" width="8.5703125" style="76"/>
    <col min="10238" max="10238" width="8.140625" style="76" customWidth="1"/>
    <col min="10239" max="10239" width="6" style="76" customWidth="1"/>
    <col min="10240" max="10240" width="9.85546875" style="76" customWidth="1"/>
    <col min="10241" max="10241" width="12.28515625" style="76" customWidth="1"/>
    <col min="10242" max="10242" width="29" style="76" customWidth="1"/>
    <col min="10243" max="10243" width="7.5703125" style="76" customWidth="1"/>
    <col min="10244" max="10244" width="6.85546875" style="76" customWidth="1"/>
    <col min="10245" max="10245" width="8.5703125" style="76"/>
    <col min="10246" max="10246" width="11.85546875" style="76" bestFit="1" customWidth="1"/>
    <col min="10247" max="10247" width="14.28515625" style="76" customWidth="1"/>
    <col min="10248" max="10493" width="8.5703125" style="76"/>
    <col min="10494" max="10494" width="8.140625" style="76" customWidth="1"/>
    <col min="10495" max="10495" width="6" style="76" customWidth="1"/>
    <col min="10496" max="10496" width="9.85546875" style="76" customWidth="1"/>
    <col min="10497" max="10497" width="12.28515625" style="76" customWidth="1"/>
    <col min="10498" max="10498" width="29" style="76" customWidth="1"/>
    <col min="10499" max="10499" width="7.5703125" style="76" customWidth="1"/>
    <col min="10500" max="10500" width="6.85546875" style="76" customWidth="1"/>
    <col min="10501" max="10501" width="8.5703125" style="76"/>
    <col min="10502" max="10502" width="11.85546875" style="76" bestFit="1" customWidth="1"/>
    <col min="10503" max="10503" width="14.28515625" style="76" customWidth="1"/>
    <col min="10504" max="10749" width="8.5703125" style="76"/>
    <col min="10750" max="10750" width="8.140625" style="76" customWidth="1"/>
    <col min="10751" max="10751" width="6" style="76" customWidth="1"/>
    <col min="10752" max="10752" width="9.85546875" style="76" customWidth="1"/>
    <col min="10753" max="10753" width="12.28515625" style="76" customWidth="1"/>
    <col min="10754" max="10754" width="29" style="76" customWidth="1"/>
    <col min="10755" max="10755" width="7.5703125" style="76" customWidth="1"/>
    <col min="10756" max="10756" width="6.85546875" style="76" customWidth="1"/>
    <col min="10757" max="10757" width="8.5703125" style="76"/>
    <col min="10758" max="10758" width="11.85546875" style="76" bestFit="1" customWidth="1"/>
    <col min="10759" max="10759" width="14.28515625" style="76" customWidth="1"/>
    <col min="10760" max="11005" width="8.5703125" style="76"/>
    <col min="11006" max="11006" width="8.140625" style="76" customWidth="1"/>
    <col min="11007" max="11007" width="6" style="76" customWidth="1"/>
    <col min="11008" max="11008" width="9.85546875" style="76" customWidth="1"/>
    <col min="11009" max="11009" width="12.28515625" style="76" customWidth="1"/>
    <col min="11010" max="11010" width="29" style="76" customWidth="1"/>
    <col min="11011" max="11011" width="7.5703125" style="76" customWidth="1"/>
    <col min="11012" max="11012" width="6.85546875" style="76" customWidth="1"/>
    <col min="11013" max="11013" width="8.5703125" style="76"/>
    <col min="11014" max="11014" width="11.85546875" style="76" bestFit="1" customWidth="1"/>
    <col min="11015" max="11015" width="14.28515625" style="76" customWidth="1"/>
    <col min="11016" max="11261" width="8.5703125" style="76"/>
    <col min="11262" max="11262" width="8.140625" style="76" customWidth="1"/>
    <col min="11263" max="11263" width="6" style="76" customWidth="1"/>
    <col min="11264" max="11264" width="9.85546875" style="76" customWidth="1"/>
    <col min="11265" max="11265" width="12.28515625" style="76" customWidth="1"/>
    <col min="11266" max="11266" width="29" style="76" customWidth="1"/>
    <col min="11267" max="11267" width="7.5703125" style="76" customWidth="1"/>
    <col min="11268" max="11268" width="6.85546875" style="76" customWidth="1"/>
    <col min="11269" max="11269" width="8.5703125" style="76"/>
    <col min="11270" max="11270" width="11.85546875" style="76" bestFit="1" customWidth="1"/>
    <col min="11271" max="11271" width="14.28515625" style="76" customWidth="1"/>
    <col min="11272" max="11517" width="8.5703125" style="76"/>
    <col min="11518" max="11518" width="8.140625" style="76" customWidth="1"/>
    <col min="11519" max="11519" width="6" style="76" customWidth="1"/>
    <col min="11520" max="11520" width="9.85546875" style="76" customWidth="1"/>
    <col min="11521" max="11521" width="12.28515625" style="76" customWidth="1"/>
    <col min="11522" max="11522" width="29" style="76" customWidth="1"/>
    <col min="11523" max="11523" width="7.5703125" style="76" customWidth="1"/>
    <col min="11524" max="11524" width="6.85546875" style="76" customWidth="1"/>
    <col min="11525" max="11525" width="8.5703125" style="76"/>
    <col min="11526" max="11526" width="11.85546875" style="76" bestFit="1" customWidth="1"/>
    <col min="11527" max="11527" width="14.28515625" style="76" customWidth="1"/>
    <col min="11528" max="11773" width="8.5703125" style="76"/>
    <col min="11774" max="11774" width="8.140625" style="76" customWidth="1"/>
    <col min="11775" max="11775" width="6" style="76" customWidth="1"/>
    <col min="11776" max="11776" width="9.85546875" style="76" customWidth="1"/>
    <col min="11777" max="11777" width="12.28515625" style="76" customWidth="1"/>
    <col min="11778" max="11778" width="29" style="76" customWidth="1"/>
    <col min="11779" max="11779" width="7.5703125" style="76" customWidth="1"/>
    <col min="11780" max="11780" width="6.85546875" style="76" customWidth="1"/>
    <col min="11781" max="11781" width="8.5703125" style="76"/>
    <col min="11782" max="11782" width="11.85546875" style="76" bestFit="1" customWidth="1"/>
    <col min="11783" max="11783" width="14.28515625" style="76" customWidth="1"/>
    <col min="11784" max="12029" width="8.5703125" style="76"/>
    <col min="12030" max="12030" width="8.140625" style="76" customWidth="1"/>
    <col min="12031" max="12031" width="6" style="76" customWidth="1"/>
    <col min="12032" max="12032" width="9.85546875" style="76" customWidth="1"/>
    <col min="12033" max="12033" width="12.28515625" style="76" customWidth="1"/>
    <col min="12034" max="12034" width="29" style="76" customWidth="1"/>
    <col min="12035" max="12035" width="7.5703125" style="76" customWidth="1"/>
    <col min="12036" max="12036" width="6.85546875" style="76" customWidth="1"/>
    <col min="12037" max="12037" width="8.5703125" style="76"/>
    <col min="12038" max="12038" width="11.85546875" style="76" bestFit="1" customWidth="1"/>
    <col min="12039" max="12039" width="14.28515625" style="76" customWidth="1"/>
    <col min="12040" max="12285" width="8.5703125" style="76"/>
    <col min="12286" max="12286" width="8.140625" style="76" customWidth="1"/>
    <col min="12287" max="12287" width="6" style="76" customWidth="1"/>
    <col min="12288" max="12288" width="9.85546875" style="76" customWidth="1"/>
    <col min="12289" max="12289" width="12.28515625" style="76" customWidth="1"/>
    <col min="12290" max="12290" width="29" style="76" customWidth="1"/>
    <col min="12291" max="12291" width="7.5703125" style="76" customWidth="1"/>
    <col min="12292" max="12292" width="6.85546875" style="76" customWidth="1"/>
    <col min="12293" max="12293" width="8.5703125" style="76"/>
    <col min="12294" max="12294" width="11.85546875" style="76" bestFit="1" customWidth="1"/>
    <col min="12295" max="12295" width="14.28515625" style="76" customWidth="1"/>
    <col min="12296" max="12541" width="8.5703125" style="76"/>
    <col min="12542" max="12542" width="8.140625" style="76" customWidth="1"/>
    <col min="12543" max="12543" width="6" style="76" customWidth="1"/>
    <col min="12544" max="12544" width="9.85546875" style="76" customWidth="1"/>
    <col min="12545" max="12545" width="12.28515625" style="76" customWidth="1"/>
    <col min="12546" max="12546" width="29" style="76" customWidth="1"/>
    <col min="12547" max="12547" width="7.5703125" style="76" customWidth="1"/>
    <col min="12548" max="12548" width="6.85546875" style="76" customWidth="1"/>
    <col min="12549" max="12549" width="8.5703125" style="76"/>
    <col min="12550" max="12550" width="11.85546875" style="76" bestFit="1" customWidth="1"/>
    <col min="12551" max="12551" width="14.28515625" style="76" customWidth="1"/>
    <col min="12552" max="12797" width="8.5703125" style="76"/>
    <col min="12798" max="12798" width="8.140625" style="76" customWidth="1"/>
    <col min="12799" max="12799" width="6" style="76" customWidth="1"/>
    <col min="12800" max="12800" width="9.85546875" style="76" customWidth="1"/>
    <col min="12801" max="12801" width="12.28515625" style="76" customWidth="1"/>
    <col min="12802" max="12802" width="29" style="76" customWidth="1"/>
    <col min="12803" max="12803" width="7.5703125" style="76" customWidth="1"/>
    <col min="12804" max="12804" width="6.85546875" style="76" customWidth="1"/>
    <col min="12805" max="12805" width="8.5703125" style="76"/>
    <col min="12806" max="12806" width="11.85546875" style="76" bestFit="1" customWidth="1"/>
    <col min="12807" max="12807" width="14.28515625" style="76" customWidth="1"/>
    <col min="12808" max="13053" width="8.5703125" style="76"/>
    <col min="13054" max="13054" width="8.140625" style="76" customWidth="1"/>
    <col min="13055" max="13055" width="6" style="76" customWidth="1"/>
    <col min="13056" max="13056" width="9.85546875" style="76" customWidth="1"/>
    <col min="13057" max="13057" width="12.28515625" style="76" customWidth="1"/>
    <col min="13058" max="13058" width="29" style="76" customWidth="1"/>
    <col min="13059" max="13059" width="7.5703125" style="76" customWidth="1"/>
    <col min="13060" max="13060" width="6.85546875" style="76" customWidth="1"/>
    <col min="13061" max="13061" width="8.5703125" style="76"/>
    <col min="13062" max="13062" width="11.85546875" style="76" bestFit="1" customWidth="1"/>
    <col min="13063" max="13063" width="14.28515625" style="76" customWidth="1"/>
    <col min="13064" max="13309" width="8.5703125" style="76"/>
    <col min="13310" max="13310" width="8.140625" style="76" customWidth="1"/>
    <col min="13311" max="13311" width="6" style="76" customWidth="1"/>
    <col min="13312" max="13312" width="9.85546875" style="76" customWidth="1"/>
    <col min="13313" max="13313" width="12.28515625" style="76" customWidth="1"/>
    <col min="13314" max="13314" width="29" style="76" customWidth="1"/>
    <col min="13315" max="13315" width="7.5703125" style="76" customWidth="1"/>
    <col min="13316" max="13316" width="6.85546875" style="76" customWidth="1"/>
    <col min="13317" max="13317" width="8.5703125" style="76"/>
    <col min="13318" max="13318" width="11.85546875" style="76" bestFit="1" customWidth="1"/>
    <col min="13319" max="13319" width="14.28515625" style="76" customWidth="1"/>
    <col min="13320" max="13565" width="8.5703125" style="76"/>
    <col min="13566" max="13566" width="8.140625" style="76" customWidth="1"/>
    <col min="13567" max="13567" width="6" style="76" customWidth="1"/>
    <col min="13568" max="13568" width="9.85546875" style="76" customWidth="1"/>
    <col min="13569" max="13569" width="12.28515625" style="76" customWidth="1"/>
    <col min="13570" max="13570" width="29" style="76" customWidth="1"/>
    <col min="13571" max="13571" width="7.5703125" style="76" customWidth="1"/>
    <col min="13572" max="13572" width="6.85546875" style="76" customWidth="1"/>
    <col min="13573" max="13573" width="8.5703125" style="76"/>
    <col min="13574" max="13574" width="11.85546875" style="76" bestFit="1" customWidth="1"/>
    <col min="13575" max="13575" width="14.28515625" style="76" customWidth="1"/>
    <col min="13576" max="13821" width="8.5703125" style="76"/>
    <col min="13822" max="13822" width="8.140625" style="76" customWidth="1"/>
    <col min="13823" max="13823" width="6" style="76" customWidth="1"/>
    <col min="13824" max="13824" width="9.85546875" style="76" customWidth="1"/>
    <col min="13825" max="13825" width="12.28515625" style="76" customWidth="1"/>
    <col min="13826" max="13826" width="29" style="76" customWidth="1"/>
    <col min="13827" max="13827" width="7.5703125" style="76" customWidth="1"/>
    <col min="13828" max="13828" width="6.85546875" style="76" customWidth="1"/>
    <col min="13829" max="13829" width="8.5703125" style="76"/>
    <col min="13830" max="13830" width="11.85546875" style="76" bestFit="1" customWidth="1"/>
    <col min="13831" max="13831" width="14.28515625" style="76" customWidth="1"/>
    <col min="13832" max="14077" width="8.5703125" style="76"/>
    <col min="14078" max="14078" width="8.140625" style="76" customWidth="1"/>
    <col min="14079" max="14079" width="6" style="76" customWidth="1"/>
    <col min="14080" max="14080" width="9.85546875" style="76" customWidth="1"/>
    <col min="14081" max="14081" width="12.28515625" style="76" customWidth="1"/>
    <col min="14082" max="14082" width="29" style="76" customWidth="1"/>
    <col min="14083" max="14083" width="7.5703125" style="76" customWidth="1"/>
    <col min="14084" max="14084" width="6.85546875" style="76" customWidth="1"/>
    <col min="14085" max="14085" width="8.5703125" style="76"/>
    <col min="14086" max="14086" width="11.85546875" style="76" bestFit="1" customWidth="1"/>
    <col min="14087" max="14087" width="14.28515625" style="76" customWidth="1"/>
    <col min="14088" max="14333" width="8.5703125" style="76"/>
    <col min="14334" max="14334" width="8.140625" style="76" customWidth="1"/>
    <col min="14335" max="14335" width="6" style="76" customWidth="1"/>
    <col min="14336" max="14336" width="9.85546875" style="76" customWidth="1"/>
    <col min="14337" max="14337" width="12.28515625" style="76" customWidth="1"/>
    <col min="14338" max="14338" width="29" style="76" customWidth="1"/>
    <col min="14339" max="14339" width="7.5703125" style="76" customWidth="1"/>
    <col min="14340" max="14340" width="6.85546875" style="76" customWidth="1"/>
    <col min="14341" max="14341" width="8.5703125" style="76"/>
    <col min="14342" max="14342" width="11.85546875" style="76" bestFit="1" customWidth="1"/>
    <col min="14343" max="14343" width="14.28515625" style="76" customWidth="1"/>
    <col min="14344" max="14589" width="8.5703125" style="76"/>
    <col min="14590" max="14590" width="8.140625" style="76" customWidth="1"/>
    <col min="14591" max="14591" width="6" style="76" customWidth="1"/>
    <col min="14592" max="14592" width="9.85546875" style="76" customWidth="1"/>
    <col min="14593" max="14593" width="12.28515625" style="76" customWidth="1"/>
    <col min="14594" max="14594" width="29" style="76" customWidth="1"/>
    <col min="14595" max="14595" width="7.5703125" style="76" customWidth="1"/>
    <col min="14596" max="14596" width="6.85546875" style="76" customWidth="1"/>
    <col min="14597" max="14597" width="8.5703125" style="76"/>
    <col min="14598" max="14598" width="11.85546875" style="76" bestFit="1" customWidth="1"/>
    <col min="14599" max="14599" width="14.28515625" style="76" customWidth="1"/>
    <col min="14600" max="14845" width="8.5703125" style="76"/>
    <col min="14846" max="14846" width="8.140625" style="76" customWidth="1"/>
    <col min="14847" max="14847" width="6" style="76" customWidth="1"/>
    <col min="14848" max="14848" width="9.85546875" style="76" customWidth="1"/>
    <col min="14849" max="14849" width="12.28515625" style="76" customWidth="1"/>
    <col min="14850" max="14850" width="29" style="76" customWidth="1"/>
    <col min="14851" max="14851" width="7.5703125" style="76" customWidth="1"/>
    <col min="14852" max="14852" width="6.85546875" style="76" customWidth="1"/>
    <col min="14853" max="14853" width="8.5703125" style="76"/>
    <col min="14854" max="14854" width="11.85546875" style="76" bestFit="1" customWidth="1"/>
    <col min="14855" max="14855" width="14.28515625" style="76" customWidth="1"/>
    <col min="14856" max="15101" width="8.5703125" style="76"/>
    <col min="15102" max="15102" width="8.140625" style="76" customWidth="1"/>
    <col min="15103" max="15103" width="6" style="76" customWidth="1"/>
    <col min="15104" max="15104" width="9.85546875" style="76" customWidth="1"/>
    <col min="15105" max="15105" width="12.28515625" style="76" customWidth="1"/>
    <col min="15106" max="15106" width="29" style="76" customWidth="1"/>
    <col min="15107" max="15107" width="7.5703125" style="76" customWidth="1"/>
    <col min="15108" max="15108" width="6.85546875" style="76" customWidth="1"/>
    <col min="15109" max="15109" width="8.5703125" style="76"/>
    <col min="15110" max="15110" width="11.85546875" style="76" bestFit="1" customWidth="1"/>
    <col min="15111" max="15111" width="14.28515625" style="76" customWidth="1"/>
    <col min="15112" max="15357" width="8.5703125" style="76"/>
    <col min="15358" max="15358" width="8.140625" style="76" customWidth="1"/>
    <col min="15359" max="15359" width="6" style="76" customWidth="1"/>
    <col min="15360" max="15360" width="9.85546875" style="76" customWidth="1"/>
    <col min="15361" max="15361" width="12.28515625" style="76" customWidth="1"/>
    <col min="15362" max="15362" width="29" style="76" customWidth="1"/>
    <col min="15363" max="15363" width="7.5703125" style="76" customWidth="1"/>
    <col min="15364" max="15364" width="6.85546875" style="76" customWidth="1"/>
    <col min="15365" max="15365" width="8.5703125" style="76"/>
    <col min="15366" max="15366" width="11.85546875" style="76" bestFit="1" customWidth="1"/>
    <col min="15367" max="15367" width="14.28515625" style="76" customWidth="1"/>
    <col min="15368" max="15613" width="8.5703125" style="76"/>
    <col min="15614" max="15614" width="8.140625" style="76" customWidth="1"/>
    <col min="15615" max="15615" width="6" style="76" customWidth="1"/>
    <col min="15616" max="15616" width="9.85546875" style="76" customWidth="1"/>
    <col min="15617" max="15617" width="12.28515625" style="76" customWidth="1"/>
    <col min="15618" max="15618" width="29" style="76" customWidth="1"/>
    <col min="15619" max="15619" width="7.5703125" style="76" customWidth="1"/>
    <col min="15620" max="15620" width="6.85546875" style="76" customWidth="1"/>
    <col min="15621" max="15621" width="8.5703125" style="76"/>
    <col min="15622" max="15622" width="11.85546875" style="76" bestFit="1" customWidth="1"/>
    <col min="15623" max="15623" width="14.28515625" style="76" customWidth="1"/>
    <col min="15624" max="15869" width="8.5703125" style="76"/>
    <col min="15870" max="15870" width="8.140625" style="76" customWidth="1"/>
    <col min="15871" max="15871" width="6" style="76" customWidth="1"/>
    <col min="15872" max="15872" width="9.85546875" style="76" customWidth="1"/>
    <col min="15873" max="15873" width="12.28515625" style="76" customWidth="1"/>
    <col min="15874" max="15874" width="29" style="76" customWidth="1"/>
    <col min="15875" max="15875" width="7.5703125" style="76" customWidth="1"/>
    <col min="15876" max="15876" width="6.85546875" style="76" customWidth="1"/>
    <col min="15877" max="15877" width="8.5703125" style="76"/>
    <col min="15878" max="15878" width="11.85546875" style="76" bestFit="1" customWidth="1"/>
    <col min="15879" max="15879" width="14.28515625" style="76" customWidth="1"/>
    <col min="15880" max="16125" width="8.5703125" style="76"/>
    <col min="16126" max="16126" width="8.140625" style="76" customWidth="1"/>
    <col min="16127" max="16127" width="6" style="76" customWidth="1"/>
    <col min="16128" max="16128" width="9.85546875" style="76" customWidth="1"/>
    <col min="16129" max="16129" width="12.28515625" style="76" customWidth="1"/>
    <col min="16130" max="16130" width="29" style="76" customWidth="1"/>
    <col min="16131" max="16131" width="7.5703125" style="76" customWidth="1"/>
    <col min="16132" max="16132" width="6.85546875" style="76" customWidth="1"/>
    <col min="16133" max="16133" width="8.5703125" style="76"/>
    <col min="16134" max="16134" width="11.85546875" style="76" bestFit="1" customWidth="1"/>
    <col min="16135" max="16135" width="14.28515625" style="76" customWidth="1"/>
    <col min="16136" max="16384" width="8.5703125" style="76"/>
  </cols>
  <sheetData>
    <row r="1" spans="1:9" x14ac:dyDescent="0.2">
      <c r="A1" s="201" t="s">
        <v>125</v>
      </c>
      <c r="B1" s="202"/>
      <c r="C1" s="202"/>
      <c r="D1" s="202"/>
      <c r="E1" s="202"/>
      <c r="F1" s="202"/>
      <c r="G1" s="202"/>
      <c r="H1" s="203"/>
      <c r="I1" s="204" t="s">
        <v>152</v>
      </c>
    </row>
    <row r="2" spans="1:9" x14ac:dyDescent="0.2">
      <c r="A2" s="206" t="s">
        <v>1</v>
      </c>
      <c r="B2" s="207"/>
      <c r="C2" s="207"/>
      <c r="D2" s="207"/>
      <c r="E2" s="207"/>
      <c r="F2" s="207"/>
      <c r="G2" s="207"/>
      <c r="H2" s="208"/>
      <c r="I2" s="205"/>
    </row>
    <row r="3" spans="1:9" x14ac:dyDescent="0.2">
      <c r="A3" s="206" t="s">
        <v>174</v>
      </c>
      <c r="B3" s="207"/>
      <c r="C3" s="207"/>
      <c r="D3" s="207"/>
      <c r="E3" s="207"/>
      <c r="F3" s="207"/>
      <c r="G3" s="207"/>
      <c r="H3" s="208"/>
      <c r="I3" s="205"/>
    </row>
    <row r="4" spans="1:9" x14ac:dyDescent="0.2">
      <c r="A4" s="206" t="s">
        <v>259</v>
      </c>
      <c r="B4" s="207"/>
      <c r="C4" s="207"/>
      <c r="D4" s="207"/>
      <c r="E4" s="207"/>
      <c r="F4" s="207"/>
      <c r="G4" s="207"/>
      <c r="H4" s="208"/>
      <c r="I4" s="205"/>
    </row>
    <row r="5" spans="1:9" x14ac:dyDescent="0.2">
      <c r="A5" s="106"/>
      <c r="B5" s="107"/>
      <c r="C5" s="108"/>
      <c r="D5" s="109"/>
      <c r="E5" s="108"/>
      <c r="F5" s="110"/>
      <c r="G5" s="111"/>
      <c r="H5" s="112"/>
      <c r="I5" s="205"/>
    </row>
    <row r="6" spans="1:9" x14ac:dyDescent="0.2">
      <c r="A6" s="209" t="s">
        <v>175</v>
      </c>
      <c r="B6" s="210"/>
      <c r="C6" s="210"/>
      <c r="D6" s="210"/>
      <c r="E6" s="210"/>
      <c r="F6" s="210"/>
      <c r="G6" s="210"/>
      <c r="H6" s="113"/>
      <c r="I6" s="205"/>
    </row>
    <row r="7" spans="1:9" x14ac:dyDescent="0.2">
      <c r="A7" s="211" t="s">
        <v>153</v>
      </c>
      <c r="B7" s="212"/>
      <c r="C7" s="212"/>
      <c r="D7" s="212"/>
      <c r="E7" s="212"/>
      <c r="F7" s="212"/>
      <c r="G7" s="212"/>
      <c r="H7" s="114"/>
      <c r="I7" s="205"/>
    </row>
    <row r="8" spans="1:9" x14ac:dyDescent="0.2">
      <c r="A8" s="115" t="s">
        <v>787</v>
      </c>
      <c r="B8" s="116"/>
      <c r="C8" s="116"/>
      <c r="D8" s="117"/>
      <c r="E8" s="116"/>
      <c r="F8" s="116"/>
      <c r="G8" s="118"/>
      <c r="H8" s="119"/>
      <c r="I8" s="205"/>
    </row>
    <row r="9" spans="1:9" ht="38.25" customHeight="1" x14ac:dyDescent="0.2">
      <c r="A9" s="120" t="s">
        <v>154</v>
      </c>
      <c r="B9" s="120" t="s">
        <v>4</v>
      </c>
      <c r="C9" s="121" t="s">
        <v>155</v>
      </c>
      <c r="D9" s="122" t="s">
        <v>156</v>
      </c>
      <c r="E9" s="121" t="s">
        <v>157</v>
      </c>
      <c r="F9" s="77" t="s">
        <v>7</v>
      </c>
      <c r="G9" s="77" t="s">
        <v>158</v>
      </c>
      <c r="H9" s="121" t="s">
        <v>159</v>
      </c>
      <c r="I9" s="205"/>
    </row>
    <row r="10" spans="1:9" ht="160.5" customHeight="1" x14ac:dyDescent="0.2">
      <c r="A10" s="123" t="s">
        <v>160</v>
      </c>
      <c r="B10" s="124" t="s">
        <v>623</v>
      </c>
      <c r="C10" s="125" t="s">
        <v>625</v>
      </c>
      <c r="D10" s="126">
        <v>2500</v>
      </c>
      <c r="E10" s="127" t="s">
        <v>161</v>
      </c>
      <c r="F10" s="78">
        <f>ROUND(I10,2)</f>
        <v>0</v>
      </c>
      <c r="G10" s="79">
        <f>SUM(F10*D10)</f>
        <v>0</v>
      </c>
      <c r="H10" s="128" t="s">
        <v>162</v>
      </c>
      <c r="I10" s="91"/>
    </row>
    <row r="11" spans="1:9" ht="186" customHeight="1" x14ac:dyDescent="0.2">
      <c r="A11" s="123" t="s">
        <v>163</v>
      </c>
      <c r="B11" s="124" t="s">
        <v>624</v>
      </c>
      <c r="C11" s="125" t="s">
        <v>626</v>
      </c>
      <c r="D11" s="126">
        <v>108000</v>
      </c>
      <c r="E11" s="127" t="s">
        <v>165</v>
      </c>
      <c r="F11" s="81">
        <v>1</v>
      </c>
      <c r="G11" s="79">
        <f>SUM(D11*F11)</f>
        <v>108000</v>
      </c>
      <c r="H11" s="128" t="s">
        <v>162</v>
      </c>
      <c r="I11" s="129"/>
    </row>
    <row r="12" spans="1:9" ht="38.25" x14ac:dyDescent="0.2">
      <c r="A12" s="123" t="s">
        <v>166</v>
      </c>
      <c r="B12" s="124" t="s">
        <v>164</v>
      </c>
      <c r="C12" s="130" t="s">
        <v>167</v>
      </c>
      <c r="D12" s="126">
        <v>2</v>
      </c>
      <c r="E12" s="127" t="s">
        <v>168</v>
      </c>
      <c r="F12" s="78">
        <f>ROUND(I12,2)</f>
        <v>0</v>
      </c>
      <c r="G12" s="79">
        <f>SUM(F12*D12)</f>
        <v>0</v>
      </c>
      <c r="H12" s="128" t="s">
        <v>162</v>
      </c>
      <c r="I12" s="80"/>
    </row>
    <row r="13" spans="1:9" ht="64.5" thickBot="1" x14ac:dyDescent="0.25">
      <c r="A13" s="131" t="s">
        <v>169</v>
      </c>
      <c r="B13" s="132" t="s">
        <v>171</v>
      </c>
      <c r="C13" s="133" t="s">
        <v>172</v>
      </c>
      <c r="D13" s="134">
        <v>100</v>
      </c>
      <c r="E13" s="135" t="s">
        <v>168</v>
      </c>
      <c r="F13" s="99">
        <f>ROUND(I13,2)</f>
        <v>0</v>
      </c>
      <c r="G13" s="100">
        <f>SUM(F13*D13)</f>
        <v>0</v>
      </c>
      <c r="H13" s="136" t="s">
        <v>162</v>
      </c>
      <c r="I13" s="101"/>
    </row>
    <row r="14" spans="1:9" ht="25.5" x14ac:dyDescent="0.2">
      <c r="A14" s="137" t="s">
        <v>154</v>
      </c>
      <c r="B14" s="137" t="s">
        <v>4</v>
      </c>
      <c r="C14" s="138" t="s">
        <v>155</v>
      </c>
      <c r="D14" s="139" t="s">
        <v>156</v>
      </c>
      <c r="E14" s="138" t="s">
        <v>157</v>
      </c>
      <c r="F14" s="97" t="s">
        <v>766</v>
      </c>
      <c r="G14" s="98" t="s">
        <v>765</v>
      </c>
      <c r="H14" s="140" t="s">
        <v>159</v>
      </c>
      <c r="I14" s="141"/>
    </row>
    <row r="15" spans="1:9" ht="28.5" x14ac:dyDescent="0.2">
      <c r="A15" s="123" t="s">
        <v>170</v>
      </c>
      <c r="B15" s="124" t="s">
        <v>763</v>
      </c>
      <c r="C15" s="142" t="s">
        <v>764</v>
      </c>
      <c r="D15" s="143">
        <v>10000</v>
      </c>
      <c r="E15" s="144" t="s">
        <v>165</v>
      </c>
      <c r="F15" s="94">
        <f>ROUND(I15,2)</f>
        <v>0</v>
      </c>
      <c r="G15" s="95">
        <f>SUM(D15*F15)</f>
        <v>0</v>
      </c>
      <c r="H15" s="128"/>
      <c r="I15" s="96"/>
    </row>
    <row r="16" spans="1:9" x14ac:dyDescent="0.2">
      <c r="A16" s="145"/>
      <c r="B16" s="146"/>
      <c r="C16" s="147"/>
      <c r="D16" s="148"/>
      <c r="E16" s="149"/>
      <c r="F16" s="87"/>
      <c r="G16" s="86"/>
      <c r="H16" s="146"/>
      <c r="I16" s="150"/>
    </row>
    <row r="17" spans="1:9" x14ac:dyDescent="0.2">
      <c r="A17" s="151"/>
      <c r="B17" s="200" t="s">
        <v>767</v>
      </c>
      <c r="C17" s="200"/>
      <c r="D17" s="200"/>
      <c r="E17" s="200"/>
      <c r="F17" s="200"/>
      <c r="G17" s="152">
        <f>SUM(G10:G13,G15)</f>
        <v>108000</v>
      </c>
      <c r="H17" s="152"/>
      <c r="I17" s="153"/>
    </row>
    <row r="18" spans="1:9" x14ac:dyDescent="0.2">
      <c r="A18" s="151"/>
      <c r="B18" s="200" t="s">
        <v>173</v>
      </c>
      <c r="C18" s="200"/>
      <c r="D18" s="200"/>
      <c r="E18" s="200"/>
      <c r="F18" s="200"/>
      <c r="G18" s="152"/>
      <c r="H18" s="152"/>
      <c r="I18" s="153"/>
    </row>
    <row r="19" spans="1:9" x14ac:dyDescent="0.2">
      <c r="A19" s="151"/>
      <c r="B19" s="151"/>
      <c r="C19" s="151"/>
      <c r="D19" s="154"/>
      <c r="E19" s="151"/>
      <c r="F19" s="151"/>
      <c r="G19" s="155"/>
      <c r="H19" s="155"/>
      <c r="I19" s="153"/>
    </row>
    <row r="20" spans="1:9" x14ac:dyDescent="0.2">
      <c r="A20" s="151"/>
      <c r="B20" s="151"/>
      <c r="C20" s="156"/>
      <c r="D20" s="154"/>
      <c r="E20" s="151"/>
      <c r="F20" s="151"/>
      <c r="G20" s="155"/>
      <c r="H20" s="155"/>
      <c r="I20" s="153"/>
    </row>
    <row r="21" spans="1:9" x14ac:dyDescent="0.2">
      <c r="A21" s="157" t="s">
        <v>778</v>
      </c>
      <c r="B21" s="157"/>
      <c r="C21" s="151"/>
      <c r="D21" s="154"/>
      <c r="E21" s="151"/>
      <c r="F21" s="151"/>
      <c r="G21" s="155"/>
      <c r="H21" s="155"/>
      <c r="I21" s="153"/>
    </row>
    <row r="22" spans="1:9" ht="12.75" customHeight="1" x14ac:dyDescent="0.2">
      <c r="A22" s="158" t="s">
        <v>776</v>
      </c>
      <c r="B22" s="199" t="s">
        <v>777</v>
      </c>
      <c r="C22" s="199"/>
      <c r="D22" s="199"/>
      <c r="E22" s="159"/>
      <c r="F22" s="151"/>
      <c r="G22" s="155"/>
      <c r="H22" s="155"/>
      <c r="I22" s="153"/>
    </row>
    <row r="23" spans="1:9" x14ac:dyDescent="0.2">
      <c r="A23" s="151"/>
      <c r="B23" s="199"/>
      <c r="C23" s="199"/>
      <c r="D23" s="199"/>
      <c r="E23" s="159"/>
      <c r="F23" s="151"/>
      <c r="G23" s="155"/>
      <c r="H23" s="155"/>
      <c r="I23" s="153"/>
    </row>
    <row r="24" spans="1:9" x14ac:dyDescent="0.2">
      <c r="A24" s="151"/>
      <c r="B24" s="199"/>
      <c r="C24" s="199"/>
      <c r="D24" s="199"/>
      <c r="E24" s="159"/>
      <c r="F24" s="151"/>
      <c r="G24" s="155"/>
      <c r="H24" s="155"/>
      <c r="I24" s="153"/>
    </row>
    <row r="25" spans="1:9" x14ac:dyDescent="0.2">
      <c r="A25" s="151"/>
      <c r="B25" s="199"/>
      <c r="C25" s="199"/>
      <c r="D25" s="199"/>
      <c r="E25" s="159"/>
      <c r="F25" s="151"/>
      <c r="G25" s="155"/>
      <c r="H25" s="155"/>
      <c r="I25" s="153"/>
    </row>
    <row r="26" spans="1:9" x14ac:dyDescent="0.2">
      <c r="A26" s="151"/>
      <c r="B26" s="199"/>
      <c r="C26" s="199"/>
      <c r="D26" s="199"/>
      <c r="E26" s="159"/>
      <c r="F26" s="151"/>
      <c r="G26" s="155"/>
      <c r="H26" s="155"/>
      <c r="I26" s="153"/>
    </row>
    <row r="27" spans="1:9" x14ac:dyDescent="0.2">
      <c r="A27" s="151"/>
      <c r="B27" s="199"/>
      <c r="C27" s="199"/>
      <c r="D27" s="199"/>
      <c r="E27" s="159"/>
      <c r="F27" s="151"/>
      <c r="G27" s="155"/>
      <c r="H27" s="155"/>
      <c r="I27" s="153"/>
    </row>
    <row r="28" spans="1:9" x14ac:dyDescent="0.2">
      <c r="A28" s="151"/>
      <c r="B28" s="199"/>
      <c r="C28" s="199"/>
      <c r="D28" s="199"/>
      <c r="E28" s="159"/>
      <c r="F28" s="151"/>
      <c r="G28" s="155"/>
      <c r="H28" s="155"/>
      <c r="I28" s="153"/>
    </row>
    <row r="29" spans="1:9" x14ac:dyDescent="0.2">
      <c r="A29" s="151"/>
      <c r="B29" s="199"/>
      <c r="C29" s="199"/>
      <c r="D29" s="199"/>
      <c r="E29" s="151"/>
      <c r="F29" s="151"/>
      <c r="G29" s="155"/>
      <c r="H29" s="155"/>
      <c r="I29" s="153"/>
    </row>
    <row r="30" spans="1:9" x14ac:dyDescent="0.2">
      <c r="A30" s="151"/>
      <c r="B30" s="199"/>
      <c r="C30" s="199"/>
      <c r="D30" s="199"/>
      <c r="E30" s="151"/>
      <c r="F30" s="151"/>
      <c r="G30" s="155"/>
      <c r="H30" s="155"/>
      <c r="I30" s="153"/>
    </row>
    <row r="31" spans="1:9" x14ac:dyDescent="0.2">
      <c r="A31" s="151"/>
      <c r="B31" s="151"/>
      <c r="C31" s="151"/>
      <c r="D31" s="154"/>
      <c r="E31" s="151"/>
      <c r="F31" s="151"/>
      <c r="G31" s="155"/>
      <c r="H31" s="155"/>
      <c r="I31" s="153"/>
    </row>
    <row r="32" spans="1:9" x14ac:dyDescent="0.2">
      <c r="A32" s="151"/>
      <c r="B32" s="151"/>
      <c r="C32" s="151"/>
      <c r="D32" s="154"/>
      <c r="E32" s="151"/>
      <c r="F32" s="151"/>
      <c r="G32" s="155"/>
      <c r="H32" s="155"/>
      <c r="I32" s="153"/>
    </row>
    <row r="33" spans="1:9" x14ac:dyDescent="0.2">
      <c r="A33" s="157"/>
      <c r="B33" s="157" t="s">
        <v>779</v>
      </c>
      <c r="C33" s="151"/>
      <c r="D33" s="154"/>
      <c r="E33" s="151"/>
      <c r="F33" s="151"/>
      <c r="G33" s="155"/>
      <c r="H33" s="155"/>
      <c r="I33" s="153"/>
    </row>
    <row r="34" spans="1:9" x14ac:dyDescent="0.2">
      <c r="A34" s="160"/>
      <c r="B34" s="160" t="s">
        <v>165</v>
      </c>
      <c r="C34" s="157" t="s">
        <v>780</v>
      </c>
      <c r="D34" s="154"/>
      <c r="E34" s="151"/>
      <c r="F34" s="151"/>
      <c r="G34" s="155"/>
      <c r="H34" s="155"/>
      <c r="I34" s="153"/>
    </row>
    <row r="35" spans="1:9" x14ac:dyDescent="0.2">
      <c r="A35" s="160"/>
      <c r="B35" s="160" t="s">
        <v>168</v>
      </c>
      <c r="C35" s="157" t="s">
        <v>781</v>
      </c>
      <c r="D35" s="154"/>
      <c r="E35" s="151"/>
      <c r="F35" s="151"/>
      <c r="G35" s="155"/>
      <c r="H35" s="155"/>
      <c r="I35" s="153"/>
    </row>
    <row r="36" spans="1:9" x14ac:dyDescent="0.2">
      <c r="A36" s="160"/>
      <c r="B36" s="160" t="s">
        <v>161</v>
      </c>
      <c r="C36" s="157" t="s">
        <v>782</v>
      </c>
      <c r="D36" s="154"/>
      <c r="E36" s="151"/>
      <c r="F36" s="151"/>
      <c r="G36" s="155"/>
      <c r="H36" s="155"/>
      <c r="I36" s="153"/>
    </row>
  </sheetData>
  <sheetProtection password="C9A6" sheet="1" selectLockedCells="1"/>
  <mergeCells count="10">
    <mergeCell ref="B22:D30"/>
    <mergeCell ref="B17:F17"/>
    <mergeCell ref="B18:F18"/>
    <mergeCell ref="A1:H1"/>
    <mergeCell ref="I1:I9"/>
    <mergeCell ref="A2:H2"/>
    <mergeCell ref="A3:H3"/>
    <mergeCell ref="A4:H4"/>
    <mergeCell ref="A6:G6"/>
    <mergeCell ref="A7:G7"/>
  </mergeCells>
  <pageMargins left="0.25" right="0.25" top="0.75" bottom="0.75" header="0.3" footer="0.3"/>
  <pageSetup scale="87" firstPageNumber="11" fitToHeight="0" orientation="landscape" r:id="rId1"/>
  <headerFooter alignWithMargins="0"/>
  <rowBreaks count="1" manualBreakCount="1">
    <brk id="11"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44"/>
  <sheetViews>
    <sheetView topLeftCell="A133" zoomScale="90" zoomScaleNormal="90" zoomScalePageLayoutView="90" workbookViewId="0">
      <selection activeCell="H12" sqref="H12"/>
    </sheetView>
  </sheetViews>
  <sheetFormatPr defaultRowHeight="15" x14ac:dyDescent="0.25"/>
  <cols>
    <col min="2" max="2" width="70.140625" customWidth="1"/>
    <col min="5" max="5" width="11.85546875" bestFit="1" customWidth="1"/>
    <col min="6" max="6" width="13.5703125" bestFit="1" customWidth="1"/>
    <col min="7" max="7" width="9.5703125" customWidth="1"/>
    <col min="8" max="8" width="14.7109375" customWidth="1"/>
    <col min="12" max="12" width="65.140625" hidden="1" customWidth="1"/>
  </cols>
  <sheetData>
    <row r="1" spans="1:8" x14ac:dyDescent="0.25">
      <c r="A1" s="1"/>
      <c r="B1" s="2"/>
      <c r="C1" s="3"/>
      <c r="D1" s="3"/>
      <c r="E1" s="4"/>
      <c r="F1" s="5"/>
      <c r="G1" s="6"/>
      <c r="H1" s="195" t="s">
        <v>0</v>
      </c>
    </row>
    <row r="2" spans="1:8" x14ac:dyDescent="0.25">
      <c r="A2" s="196" t="s">
        <v>176</v>
      </c>
      <c r="B2" s="197"/>
      <c r="C2" s="197"/>
      <c r="D2" s="197"/>
      <c r="E2" s="197"/>
      <c r="F2" s="197"/>
      <c r="G2" s="198"/>
      <c r="H2" s="195"/>
    </row>
    <row r="3" spans="1:8" x14ac:dyDescent="0.25">
      <c r="A3" s="196" t="s">
        <v>1</v>
      </c>
      <c r="B3" s="197"/>
      <c r="C3" s="197"/>
      <c r="D3" s="197"/>
      <c r="E3" s="197"/>
      <c r="F3" s="197"/>
      <c r="G3" s="198"/>
      <c r="H3" s="195"/>
    </row>
    <row r="4" spans="1:8" x14ac:dyDescent="0.25">
      <c r="A4" s="196" t="s">
        <v>33</v>
      </c>
      <c r="B4" s="197"/>
      <c r="C4" s="197"/>
      <c r="D4" s="197"/>
      <c r="E4" s="197"/>
      <c r="F4" s="197"/>
      <c r="G4" s="198"/>
      <c r="H4" s="195"/>
    </row>
    <row r="5" spans="1:8" x14ac:dyDescent="0.25">
      <c r="A5" s="196" t="s">
        <v>177</v>
      </c>
      <c r="B5" s="197"/>
      <c r="C5" s="197"/>
      <c r="D5" s="197"/>
      <c r="E5" s="197"/>
      <c r="F5" s="197"/>
      <c r="G5" s="198"/>
      <c r="H5" s="195"/>
    </row>
    <row r="6" spans="1:8" x14ac:dyDescent="0.25">
      <c r="A6" s="7"/>
      <c r="B6" s="8"/>
      <c r="C6" s="9"/>
      <c r="D6" s="10"/>
      <c r="E6" s="11"/>
      <c r="F6" s="12"/>
      <c r="G6" s="13"/>
      <c r="H6" s="195"/>
    </row>
    <row r="7" spans="1:8" x14ac:dyDescent="0.25">
      <c r="A7" s="14" t="s">
        <v>178</v>
      </c>
      <c r="B7" s="15"/>
      <c r="C7" s="16"/>
      <c r="D7" s="16"/>
      <c r="E7" s="17"/>
      <c r="F7" s="18"/>
      <c r="G7" s="19"/>
      <c r="H7" s="195"/>
    </row>
    <row r="8" spans="1:8" x14ac:dyDescent="0.25">
      <c r="A8" s="20" t="s">
        <v>2</v>
      </c>
      <c r="B8" s="21"/>
      <c r="C8" s="22"/>
      <c r="D8" s="22"/>
      <c r="E8" s="23"/>
      <c r="F8" s="12"/>
      <c r="G8" s="13"/>
      <c r="H8" s="195"/>
    </row>
    <row r="9" spans="1:8" x14ac:dyDescent="0.25">
      <c r="A9" s="24" t="s">
        <v>845</v>
      </c>
      <c r="B9" s="25"/>
      <c r="C9" s="26"/>
      <c r="D9" s="26"/>
      <c r="E9" s="27"/>
      <c r="F9" s="28"/>
      <c r="G9" s="29"/>
      <c r="H9" s="195"/>
    </row>
    <row r="10" spans="1:8" ht="25.5" x14ac:dyDescent="0.25">
      <c r="A10" s="30" t="s">
        <v>3</v>
      </c>
      <c r="B10" s="31" t="s">
        <v>4</v>
      </c>
      <c r="C10" s="32" t="s">
        <v>5</v>
      </c>
      <c r="D10" s="33" t="s">
        <v>6</v>
      </c>
      <c r="E10" s="34" t="s">
        <v>7</v>
      </c>
      <c r="F10" s="35" t="s">
        <v>8</v>
      </c>
      <c r="G10" s="36" t="s">
        <v>9</v>
      </c>
      <c r="H10" s="195"/>
    </row>
    <row r="11" spans="1:8" ht="25.5" x14ac:dyDescent="0.25">
      <c r="A11" s="31" t="s">
        <v>179</v>
      </c>
      <c r="B11" s="30" t="s">
        <v>107</v>
      </c>
      <c r="C11" s="37"/>
      <c r="D11" s="37"/>
      <c r="E11" s="38"/>
      <c r="F11" s="39"/>
      <c r="G11" s="37"/>
      <c r="H11" s="40"/>
    </row>
    <row r="12" spans="1:8" x14ac:dyDescent="0.25">
      <c r="A12" s="41" t="s">
        <v>180</v>
      </c>
      <c r="B12" s="42" t="s">
        <v>11</v>
      </c>
      <c r="C12" s="37">
        <v>12</v>
      </c>
      <c r="D12" s="37" t="s">
        <v>13</v>
      </c>
      <c r="E12" s="63">
        <f t="shared" ref="E12:E17" si="0">ROUND(H12,2)</f>
        <v>0</v>
      </c>
      <c r="F12" s="63">
        <f t="shared" ref="F12:F17" si="1">C12*E12</f>
        <v>0</v>
      </c>
      <c r="G12" s="37"/>
      <c r="H12" s="43"/>
    </row>
    <row r="13" spans="1:8" x14ac:dyDescent="0.25">
      <c r="A13" s="41" t="s">
        <v>181</v>
      </c>
      <c r="B13" s="42" t="s">
        <v>12</v>
      </c>
      <c r="C13" s="37">
        <v>12</v>
      </c>
      <c r="D13" s="37" t="s">
        <v>13</v>
      </c>
      <c r="E13" s="63">
        <f t="shared" si="0"/>
        <v>0</v>
      </c>
      <c r="F13" s="64">
        <f t="shared" si="1"/>
        <v>0</v>
      </c>
      <c r="G13" s="37"/>
      <c r="H13" s="43"/>
    </row>
    <row r="14" spans="1:8" x14ac:dyDescent="0.25">
      <c r="A14" s="41" t="s">
        <v>182</v>
      </c>
      <c r="B14" s="42" t="s">
        <v>14</v>
      </c>
      <c r="C14" s="37">
        <v>12</v>
      </c>
      <c r="D14" s="37" t="s">
        <v>13</v>
      </c>
      <c r="E14" s="63">
        <f t="shared" si="0"/>
        <v>0</v>
      </c>
      <c r="F14" s="64">
        <f t="shared" si="1"/>
        <v>0</v>
      </c>
      <c r="G14" s="37"/>
      <c r="H14" s="43"/>
    </row>
    <row r="15" spans="1:8" ht="25.5" customHeight="1" x14ac:dyDescent="0.25">
      <c r="A15" s="41" t="s">
        <v>183</v>
      </c>
      <c r="B15" s="42" t="s">
        <v>150</v>
      </c>
      <c r="C15" s="37">
        <v>2</v>
      </c>
      <c r="D15" s="37" t="s">
        <v>18</v>
      </c>
      <c r="E15" s="63">
        <f t="shared" si="0"/>
        <v>0</v>
      </c>
      <c r="F15" s="64">
        <f t="shared" si="1"/>
        <v>0</v>
      </c>
      <c r="G15" s="37"/>
      <c r="H15" s="43"/>
    </row>
    <row r="16" spans="1:8" ht="25.5" x14ac:dyDescent="0.25">
      <c r="A16" s="41" t="s">
        <v>184</v>
      </c>
      <c r="B16" s="50" t="s">
        <v>120</v>
      </c>
      <c r="C16" s="37">
        <v>2</v>
      </c>
      <c r="D16" s="37" t="s">
        <v>18</v>
      </c>
      <c r="E16" s="63">
        <f t="shared" si="0"/>
        <v>0</v>
      </c>
      <c r="F16" s="64">
        <f t="shared" si="1"/>
        <v>0</v>
      </c>
      <c r="G16" s="37"/>
      <c r="H16" s="43"/>
    </row>
    <row r="17" spans="1:8" ht="25.5" customHeight="1" x14ac:dyDescent="0.25">
      <c r="A17" s="41" t="s">
        <v>185</v>
      </c>
      <c r="B17" s="50" t="s">
        <v>151</v>
      </c>
      <c r="C17" s="37">
        <v>1</v>
      </c>
      <c r="D17" s="37" t="s">
        <v>15</v>
      </c>
      <c r="E17" s="63">
        <f t="shared" si="0"/>
        <v>0</v>
      </c>
      <c r="F17" s="64">
        <f t="shared" si="1"/>
        <v>0</v>
      </c>
      <c r="G17" s="37"/>
      <c r="H17" s="43"/>
    </row>
    <row r="18" spans="1:8" x14ac:dyDescent="0.25">
      <c r="A18" s="41"/>
      <c r="B18" s="31" t="s">
        <v>104</v>
      </c>
      <c r="C18" s="37"/>
      <c r="D18" s="37"/>
      <c r="E18" s="38"/>
      <c r="F18" s="88">
        <f>SUM(F12:F17)</f>
        <v>0</v>
      </c>
      <c r="G18" s="37"/>
      <c r="H18" s="40"/>
    </row>
    <row r="19" spans="1:8" x14ac:dyDescent="0.25">
      <c r="A19" s="45"/>
      <c r="B19" s="46"/>
      <c r="C19" s="22"/>
      <c r="D19" s="22"/>
      <c r="E19" s="23"/>
      <c r="F19" s="47"/>
      <c r="G19" s="22"/>
      <c r="H19" s="48"/>
    </row>
    <row r="20" spans="1:8" x14ac:dyDescent="0.25">
      <c r="A20" s="31" t="s">
        <v>186</v>
      </c>
      <c r="B20" s="31" t="s">
        <v>20</v>
      </c>
      <c r="C20" s="37"/>
      <c r="D20" s="37"/>
      <c r="E20" s="38"/>
      <c r="F20" s="39"/>
      <c r="G20" s="37"/>
      <c r="H20" s="40"/>
    </row>
    <row r="21" spans="1:8" x14ac:dyDescent="0.25">
      <c r="A21" s="41" t="s">
        <v>187</v>
      </c>
      <c r="B21" s="42" t="s">
        <v>11</v>
      </c>
      <c r="C21" s="37">
        <v>12</v>
      </c>
      <c r="D21" s="37" t="s">
        <v>13</v>
      </c>
      <c r="E21" s="65">
        <f>ROUND(H21,2)</f>
        <v>0</v>
      </c>
      <c r="F21" s="66">
        <f>C21*E21</f>
        <v>0</v>
      </c>
      <c r="G21" s="37"/>
      <c r="H21" s="43"/>
    </row>
    <row r="22" spans="1:8" x14ac:dyDescent="0.25">
      <c r="A22" s="41" t="s">
        <v>188</v>
      </c>
      <c r="B22" s="42" t="s">
        <v>12</v>
      </c>
      <c r="C22" s="37">
        <v>12</v>
      </c>
      <c r="D22" s="37" t="s">
        <v>13</v>
      </c>
      <c r="E22" s="65">
        <f>ROUND(H22,2)</f>
        <v>0</v>
      </c>
      <c r="F22" s="66">
        <f>C22*E22</f>
        <v>0</v>
      </c>
      <c r="G22" s="37"/>
      <c r="H22" s="43"/>
    </row>
    <row r="23" spans="1:8" x14ac:dyDescent="0.25">
      <c r="A23" s="41" t="s">
        <v>189</v>
      </c>
      <c r="B23" s="42" t="s">
        <v>14</v>
      </c>
      <c r="C23" s="37">
        <v>12</v>
      </c>
      <c r="D23" s="37" t="s">
        <v>13</v>
      </c>
      <c r="E23" s="65">
        <f>ROUND(H23,2)</f>
        <v>0</v>
      </c>
      <c r="F23" s="66">
        <f>C23*E23</f>
        <v>0</v>
      </c>
      <c r="G23" s="37"/>
      <c r="H23" s="43"/>
    </row>
    <row r="24" spans="1:8" ht="25.5" x14ac:dyDescent="0.25">
      <c r="A24" s="41" t="s">
        <v>190</v>
      </c>
      <c r="B24" s="50" t="s">
        <v>143</v>
      </c>
      <c r="C24" s="37">
        <v>12</v>
      </c>
      <c r="D24" s="37" t="s">
        <v>13</v>
      </c>
      <c r="E24" s="65">
        <f>ROUND(H24,2)</f>
        <v>0</v>
      </c>
      <c r="F24" s="66">
        <f>C24*E24</f>
        <v>0</v>
      </c>
      <c r="G24" s="37"/>
      <c r="H24" s="43"/>
    </row>
    <row r="25" spans="1:8" ht="38.25" x14ac:dyDescent="0.25">
      <c r="A25" s="41" t="s">
        <v>191</v>
      </c>
      <c r="B25" s="42" t="s">
        <v>144</v>
      </c>
      <c r="C25" s="37">
        <v>12</v>
      </c>
      <c r="D25" s="37" t="s">
        <v>13</v>
      </c>
      <c r="E25" s="65">
        <f>ROUND(H25,2)</f>
        <v>0</v>
      </c>
      <c r="F25" s="66">
        <f>C25*E25</f>
        <v>0</v>
      </c>
      <c r="G25" s="37"/>
      <c r="H25" s="43"/>
    </row>
    <row r="26" spans="1:8" ht="38.25" x14ac:dyDescent="0.25">
      <c r="A26" s="41" t="s">
        <v>192</v>
      </c>
      <c r="B26" s="52" t="s">
        <v>145</v>
      </c>
      <c r="C26" s="53">
        <v>12</v>
      </c>
      <c r="D26" s="53" t="s">
        <v>13</v>
      </c>
      <c r="E26" s="67">
        <f>H26</f>
        <v>0</v>
      </c>
      <c r="F26" s="68">
        <f>E26*C26</f>
        <v>0</v>
      </c>
      <c r="G26" s="53"/>
      <c r="H26" s="43"/>
    </row>
    <row r="27" spans="1:8" x14ac:dyDescent="0.25">
      <c r="A27" s="41"/>
      <c r="B27" s="31" t="s">
        <v>21</v>
      </c>
      <c r="C27" s="37"/>
      <c r="D27" s="37"/>
      <c r="E27" s="38"/>
      <c r="F27" s="89">
        <f>SUM(F21:F26)</f>
        <v>0</v>
      </c>
      <c r="G27" s="37"/>
      <c r="H27" s="40"/>
    </row>
    <row r="28" spans="1:8" x14ac:dyDescent="0.25">
      <c r="A28" s="45"/>
      <c r="B28" s="51"/>
      <c r="C28" s="22"/>
      <c r="D28" s="22"/>
      <c r="E28" s="23"/>
      <c r="F28" s="47"/>
      <c r="G28" s="22"/>
      <c r="H28" s="48"/>
    </row>
    <row r="29" spans="1:8" x14ac:dyDescent="0.25">
      <c r="A29" s="45"/>
      <c r="B29" s="46"/>
      <c r="C29" s="22"/>
      <c r="D29" s="22"/>
      <c r="E29" s="23"/>
      <c r="F29" s="47"/>
      <c r="G29" s="22"/>
      <c r="H29" s="48"/>
    </row>
    <row r="30" spans="1:8" x14ac:dyDescent="0.25">
      <c r="A30" s="31" t="s">
        <v>193</v>
      </c>
      <c r="B30" s="30" t="s">
        <v>106</v>
      </c>
      <c r="C30" s="37"/>
      <c r="D30" s="37"/>
      <c r="E30" s="38"/>
      <c r="F30" s="39"/>
      <c r="G30" s="37"/>
      <c r="H30" s="40"/>
    </row>
    <row r="31" spans="1:8" x14ac:dyDescent="0.25">
      <c r="A31" s="41" t="s">
        <v>194</v>
      </c>
      <c r="B31" s="42" t="s">
        <v>11</v>
      </c>
      <c r="C31" s="37">
        <v>12</v>
      </c>
      <c r="D31" s="37" t="s">
        <v>13</v>
      </c>
      <c r="E31" s="65">
        <f>ROUND(H31,2)</f>
        <v>0</v>
      </c>
      <c r="F31" s="66">
        <f>C31*E31</f>
        <v>0</v>
      </c>
      <c r="G31" s="37"/>
      <c r="H31" s="43"/>
    </row>
    <row r="32" spans="1:8" x14ac:dyDescent="0.25">
      <c r="A32" s="41" t="s">
        <v>195</v>
      </c>
      <c r="B32" s="42" t="s">
        <v>12</v>
      </c>
      <c r="C32" s="37">
        <v>12</v>
      </c>
      <c r="D32" s="37" t="s">
        <v>13</v>
      </c>
      <c r="E32" s="65">
        <f>ROUND(H32,2)</f>
        <v>0</v>
      </c>
      <c r="F32" s="66">
        <f>C32*E32</f>
        <v>0</v>
      </c>
      <c r="G32" s="37"/>
      <c r="H32" s="43"/>
    </row>
    <row r="33" spans="1:8" x14ac:dyDescent="0.25">
      <c r="A33" s="41" t="s">
        <v>196</v>
      </c>
      <c r="B33" s="42" t="s">
        <v>14</v>
      </c>
      <c r="C33" s="37">
        <v>12</v>
      </c>
      <c r="D33" s="37" t="s">
        <v>13</v>
      </c>
      <c r="E33" s="65">
        <f>ROUND(H33,2)</f>
        <v>0</v>
      </c>
      <c r="F33" s="66">
        <f>C33*E33</f>
        <v>0</v>
      </c>
      <c r="G33" s="37"/>
      <c r="H33" s="43"/>
    </row>
    <row r="34" spans="1:8" ht="38.25" x14ac:dyDescent="0.25">
      <c r="A34" s="41" t="s">
        <v>197</v>
      </c>
      <c r="B34" s="42" t="s">
        <v>142</v>
      </c>
      <c r="C34" s="37">
        <v>12</v>
      </c>
      <c r="D34" s="37" t="s">
        <v>13</v>
      </c>
      <c r="E34" s="65">
        <f>ROUND(H34,2)</f>
        <v>0</v>
      </c>
      <c r="F34" s="66">
        <f>C34*E34</f>
        <v>0</v>
      </c>
      <c r="G34" s="37"/>
      <c r="H34" s="43"/>
    </row>
    <row r="35" spans="1:8" ht="38.25" x14ac:dyDescent="0.25">
      <c r="A35" s="41" t="s">
        <v>198</v>
      </c>
      <c r="B35" s="42" t="s">
        <v>141</v>
      </c>
      <c r="C35" s="37">
        <v>12</v>
      </c>
      <c r="D35" s="37" t="s">
        <v>13</v>
      </c>
      <c r="E35" s="65">
        <f>ROUND(H35,2)</f>
        <v>0</v>
      </c>
      <c r="F35" s="66">
        <f>C35*E35</f>
        <v>0</v>
      </c>
      <c r="G35" s="37"/>
      <c r="H35" s="43"/>
    </row>
    <row r="36" spans="1:8" x14ac:dyDescent="0.25">
      <c r="A36" s="41"/>
      <c r="B36" s="54" t="s">
        <v>24</v>
      </c>
      <c r="C36" s="37"/>
      <c r="D36" s="37"/>
      <c r="E36" s="38"/>
      <c r="F36" s="89">
        <f>SUM(F31:F35)</f>
        <v>0</v>
      </c>
      <c r="G36" s="37"/>
      <c r="H36" s="40"/>
    </row>
    <row r="37" spans="1:8" x14ac:dyDescent="0.25">
      <c r="A37" s="45"/>
      <c r="B37" s="46"/>
      <c r="C37" s="22"/>
      <c r="D37" s="22"/>
      <c r="E37" s="23"/>
      <c r="F37" s="47"/>
      <c r="G37" s="22"/>
      <c r="H37" s="48"/>
    </row>
    <row r="38" spans="1:8" x14ac:dyDescent="0.25">
      <c r="A38" s="31" t="s">
        <v>199</v>
      </c>
      <c r="B38" s="30" t="s">
        <v>108</v>
      </c>
      <c r="C38" s="37"/>
      <c r="D38" s="37"/>
      <c r="E38" s="38"/>
      <c r="F38" s="39"/>
      <c r="G38" s="37"/>
      <c r="H38" s="40"/>
    </row>
    <row r="39" spans="1:8" x14ac:dyDescent="0.25">
      <c r="A39" s="41" t="s">
        <v>200</v>
      </c>
      <c r="B39" s="42" t="s">
        <v>11</v>
      </c>
      <c r="C39" s="37">
        <v>12</v>
      </c>
      <c r="D39" s="37" t="s">
        <v>13</v>
      </c>
      <c r="E39" s="65">
        <f>ROUND(H39,2)</f>
        <v>0</v>
      </c>
      <c r="F39" s="66">
        <f>C39*E39</f>
        <v>0</v>
      </c>
      <c r="G39" s="37"/>
      <c r="H39" s="43"/>
    </row>
    <row r="40" spans="1:8" x14ac:dyDescent="0.25">
      <c r="A40" s="41" t="s">
        <v>201</v>
      </c>
      <c r="B40" s="42" t="s">
        <v>12</v>
      </c>
      <c r="C40" s="37">
        <v>12</v>
      </c>
      <c r="D40" s="37" t="s">
        <v>13</v>
      </c>
      <c r="E40" s="65">
        <f t="shared" ref="E40:E45" si="2">ROUND(H40,2)</f>
        <v>0</v>
      </c>
      <c r="F40" s="66">
        <f t="shared" ref="F40:F45" si="3">C40*E40</f>
        <v>0</v>
      </c>
      <c r="G40" s="37"/>
      <c r="H40" s="43"/>
    </row>
    <row r="41" spans="1:8" x14ac:dyDescent="0.25">
      <c r="A41" s="41" t="s">
        <v>202</v>
      </c>
      <c r="B41" s="50" t="s">
        <v>14</v>
      </c>
      <c r="C41" s="37">
        <v>12</v>
      </c>
      <c r="D41" s="37" t="s">
        <v>13</v>
      </c>
      <c r="E41" s="65">
        <f t="shared" si="2"/>
        <v>0</v>
      </c>
      <c r="F41" s="66">
        <f t="shared" si="3"/>
        <v>0</v>
      </c>
      <c r="G41" s="37"/>
      <c r="H41" s="43"/>
    </row>
    <row r="42" spans="1:8" ht="25.5" x14ac:dyDescent="0.25">
      <c r="A42" s="41" t="s">
        <v>203</v>
      </c>
      <c r="B42" s="50" t="s">
        <v>140</v>
      </c>
      <c r="C42" s="37">
        <v>12</v>
      </c>
      <c r="D42" s="37" t="s">
        <v>13</v>
      </c>
      <c r="E42" s="65">
        <f t="shared" si="2"/>
        <v>0</v>
      </c>
      <c r="F42" s="66">
        <f t="shared" si="3"/>
        <v>0</v>
      </c>
      <c r="G42" s="37"/>
      <c r="H42" s="43"/>
    </row>
    <row r="43" spans="1:8" ht="25.5" x14ac:dyDescent="0.25">
      <c r="A43" s="41" t="s">
        <v>204</v>
      </c>
      <c r="B43" s="50" t="s">
        <v>139</v>
      </c>
      <c r="C43" s="37">
        <v>12</v>
      </c>
      <c r="D43" s="37" t="s">
        <v>13</v>
      </c>
      <c r="E43" s="65">
        <f t="shared" si="2"/>
        <v>0</v>
      </c>
      <c r="F43" s="66">
        <f t="shared" si="3"/>
        <v>0</v>
      </c>
      <c r="G43" s="37"/>
      <c r="H43" s="43"/>
    </row>
    <row r="44" spans="1:8" ht="25.5" x14ac:dyDescent="0.25">
      <c r="A44" s="41" t="s">
        <v>205</v>
      </c>
      <c r="B44" s="50" t="s">
        <v>138</v>
      </c>
      <c r="C44" s="37">
        <v>12</v>
      </c>
      <c r="D44" s="37" t="s">
        <v>13</v>
      </c>
      <c r="E44" s="65">
        <f t="shared" si="2"/>
        <v>0</v>
      </c>
      <c r="F44" s="66">
        <f t="shared" si="3"/>
        <v>0</v>
      </c>
      <c r="G44" s="37"/>
      <c r="H44" s="43"/>
    </row>
    <row r="45" spans="1:8" ht="25.5" x14ac:dyDescent="0.25">
      <c r="A45" s="41" t="s">
        <v>206</v>
      </c>
      <c r="B45" s="50" t="s">
        <v>137</v>
      </c>
      <c r="C45" s="37">
        <v>12</v>
      </c>
      <c r="D45" s="37" t="s">
        <v>13</v>
      </c>
      <c r="E45" s="65">
        <f t="shared" si="2"/>
        <v>0</v>
      </c>
      <c r="F45" s="66">
        <f t="shared" si="3"/>
        <v>0</v>
      </c>
      <c r="G45" s="37"/>
      <c r="H45" s="43"/>
    </row>
    <row r="46" spans="1:8" ht="25.5" x14ac:dyDescent="0.25">
      <c r="A46" s="41" t="s">
        <v>207</v>
      </c>
      <c r="B46" s="50" t="s">
        <v>136</v>
      </c>
      <c r="C46" s="37">
        <v>12</v>
      </c>
      <c r="D46" s="37" t="s">
        <v>13</v>
      </c>
      <c r="E46" s="65">
        <f>ROUND(H46,2)</f>
        <v>0</v>
      </c>
      <c r="F46" s="66">
        <f>C46*E46</f>
        <v>0</v>
      </c>
      <c r="G46" s="37"/>
      <c r="H46" s="43"/>
    </row>
    <row r="47" spans="1:8" ht="25.5" x14ac:dyDescent="0.25">
      <c r="A47" s="41" t="s">
        <v>208</v>
      </c>
      <c r="B47" s="50" t="s">
        <v>135</v>
      </c>
      <c r="C47" s="37">
        <v>12</v>
      </c>
      <c r="D47" s="37" t="s">
        <v>13</v>
      </c>
      <c r="E47" s="65">
        <f>ROUND(H47,2)</f>
        <v>0</v>
      </c>
      <c r="F47" s="66">
        <f>C47*E47</f>
        <v>0</v>
      </c>
      <c r="G47" s="37"/>
      <c r="H47" s="43"/>
    </row>
    <row r="48" spans="1:8" x14ac:dyDescent="0.25">
      <c r="A48" s="41"/>
      <c r="B48" s="31" t="s">
        <v>25</v>
      </c>
      <c r="C48" s="37"/>
      <c r="D48" s="37"/>
      <c r="E48" s="38"/>
      <c r="F48" s="89">
        <f>SUM(F39:F47)</f>
        <v>0</v>
      </c>
      <c r="G48" s="37"/>
      <c r="H48" s="40"/>
    </row>
    <row r="49" spans="1:12" x14ac:dyDescent="0.25">
      <c r="A49" s="45"/>
      <c r="B49" s="46"/>
      <c r="C49" s="22"/>
      <c r="D49" s="22"/>
      <c r="E49" s="23"/>
      <c r="F49" s="47"/>
      <c r="G49" s="22"/>
      <c r="H49" s="48"/>
    </row>
    <row r="50" spans="1:12" x14ac:dyDescent="0.25">
      <c r="A50" s="31" t="s">
        <v>209</v>
      </c>
      <c r="B50" s="49" t="s">
        <v>17</v>
      </c>
      <c r="C50" s="37"/>
      <c r="D50" s="37"/>
      <c r="E50" s="38"/>
      <c r="F50" s="39"/>
      <c r="G50" s="37"/>
      <c r="H50" s="40"/>
    </row>
    <row r="51" spans="1:12" x14ac:dyDescent="0.25">
      <c r="A51" s="41" t="s">
        <v>210</v>
      </c>
      <c r="B51" s="50" t="s">
        <v>11</v>
      </c>
      <c r="C51" s="37">
        <v>12</v>
      </c>
      <c r="D51" s="37" t="s">
        <v>13</v>
      </c>
      <c r="E51" s="65">
        <f>ROUND(H51,2)</f>
        <v>0</v>
      </c>
      <c r="F51" s="66">
        <f>C51*E51</f>
        <v>0</v>
      </c>
      <c r="G51" s="37"/>
      <c r="H51" s="43"/>
    </row>
    <row r="52" spans="1:12" x14ac:dyDescent="0.25">
      <c r="A52" s="41" t="s">
        <v>211</v>
      </c>
      <c r="B52" s="42" t="s">
        <v>12</v>
      </c>
      <c r="C52" s="37">
        <v>12</v>
      </c>
      <c r="D52" s="37" t="s">
        <v>13</v>
      </c>
      <c r="E52" s="65">
        <f>ROUND(H52,2)</f>
        <v>0</v>
      </c>
      <c r="F52" s="66">
        <f>C52*E52</f>
        <v>0</v>
      </c>
      <c r="G52" s="37"/>
      <c r="H52" s="43"/>
    </row>
    <row r="53" spans="1:12" x14ac:dyDescent="0.25">
      <c r="A53" s="41" t="s">
        <v>212</v>
      </c>
      <c r="B53" s="50" t="s">
        <v>14</v>
      </c>
      <c r="C53" s="37">
        <v>12</v>
      </c>
      <c r="D53" s="37" t="s">
        <v>13</v>
      </c>
      <c r="E53" s="65">
        <f>ROUND(H53,2)</f>
        <v>0</v>
      </c>
      <c r="F53" s="66">
        <f>C53*E53</f>
        <v>0</v>
      </c>
      <c r="G53" s="37"/>
      <c r="H53" s="43"/>
    </row>
    <row r="54" spans="1:12" ht="25.5" x14ac:dyDescent="0.25">
      <c r="A54" s="41" t="s">
        <v>213</v>
      </c>
      <c r="B54" s="50" t="s">
        <v>133</v>
      </c>
      <c r="C54" s="37">
        <v>2</v>
      </c>
      <c r="D54" s="37" t="s">
        <v>18</v>
      </c>
      <c r="E54" s="65">
        <f>ROUND(H54,2)</f>
        <v>0</v>
      </c>
      <c r="F54" s="66">
        <f>C54*E54</f>
        <v>0</v>
      </c>
      <c r="G54" s="37"/>
      <c r="H54" s="43"/>
      <c r="L54" s="50"/>
    </row>
    <row r="55" spans="1:12" ht="25.5" x14ac:dyDescent="0.25">
      <c r="A55" s="41" t="s">
        <v>214</v>
      </c>
      <c r="B55" s="50" t="s">
        <v>134</v>
      </c>
      <c r="C55" s="37">
        <v>1</v>
      </c>
      <c r="D55" s="37" t="s">
        <v>15</v>
      </c>
      <c r="E55" s="65">
        <f>ROUND(H55,2)</f>
        <v>0</v>
      </c>
      <c r="F55" s="66">
        <f>C55*E55</f>
        <v>0</v>
      </c>
      <c r="G55" s="37"/>
      <c r="H55" s="43"/>
    </row>
    <row r="56" spans="1:12" x14ac:dyDescent="0.25">
      <c r="A56" s="41"/>
      <c r="B56" s="31" t="s">
        <v>19</v>
      </c>
      <c r="C56" s="37"/>
      <c r="D56" s="37"/>
      <c r="E56" s="38"/>
      <c r="F56" s="89">
        <f>SUM(F51:F55)</f>
        <v>0</v>
      </c>
      <c r="G56" s="37"/>
      <c r="H56" s="40"/>
    </row>
    <row r="57" spans="1:12" x14ac:dyDescent="0.25">
      <c r="A57" s="45"/>
      <c r="B57" s="46"/>
      <c r="C57" s="22"/>
      <c r="D57" s="22"/>
      <c r="E57" s="23"/>
      <c r="F57" s="47"/>
      <c r="G57" s="22"/>
      <c r="H57" s="48"/>
    </row>
    <row r="58" spans="1:12" x14ac:dyDescent="0.25">
      <c r="A58" s="31" t="s">
        <v>215</v>
      </c>
      <c r="B58" s="30" t="s">
        <v>26</v>
      </c>
      <c r="C58" s="37"/>
      <c r="D58" s="37"/>
      <c r="E58" s="38"/>
      <c r="F58" s="39"/>
      <c r="G58" s="37"/>
      <c r="H58" s="40"/>
    </row>
    <row r="59" spans="1:12" x14ac:dyDescent="0.25">
      <c r="A59" s="41" t="s">
        <v>216</v>
      </c>
      <c r="B59" s="42" t="s">
        <v>11</v>
      </c>
      <c r="C59" s="37">
        <v>12</v>
      </c>
      <c r="D59" s="37" t="s">
        <v>13</v>
      </c>
      <c r="E59" s="65">
        <f>ROUND(H59,2)</f>
        <v>0</v>
      </c>
      <c r="F59" s="66">
        <f>C59*E59</f>
        <v>0</v>
      </c>
      <c r="G59" s="37"/>
      <c r="H59" s="43"/>
    </row>
    <row r="60" spans="1:12" x14ac:dyDescent="0.25">
      <c r="A60" s="41" t="s">
        <v>217</v>
      </c>
      <c r="B60" s="55" t="s">
        <v>12</v>
      </c>
      <c r="C60" s="37">
        <v>12</v>
      </c>
      <c r="D60" s="37" t="s">
        <v>13</v>
      </c>
      <c r="E60" s="65">
        <f>ROUND(H60,2)</f>
        <v>0</v>
      </c>
      <c r="F60" s="66">
        <f>C60*E60</f>
        <v>0</v>
      </c>
      <c r="G60" s="37"/>
      <c r="H60" s="43"/>
    </row>
    <row r="61" spans="1:12" x14ac:dyDescent="0.25">
      <c r="A61" s="41" t="s">
        <v>218</v>
      </c>
      <c r="B61" s="42" t="s">
        <v>14</v>
      </c>
      <c r="C61" s="37">
        <v>12</v>
      </c>
      <c r="D61" s="37" t="s">
        <v>13</v>
      </c>
      <c r="E61" s="65">
        <f>ROUND(H61,2)</f>
        <v>0</v>
      </c>
      <c r="F61" s="66">
        <f>C61*E61</f>
        <v>0</v>
      </c>
      <c r="G61" s="37"/>
      <c r="H61" s="43"/>
    </row>
    <row r="62" spans="1:12" ht="25.5" x14ac:dyDescent="0.25">
      <c r="A62" s="41" t="s">
        <v>219</v>
      </c>
      <c r="B62" s="42" t="s">
        <v>126</v>
      </c>
      <c r="C62" s="37">
        <v>3</v>
      </c>
      <c r="D62" s="37" t="s">
        <v>27</v>
      </c>
      <c r="E62" s="65">
        <f>ROUND(H62,2)</f>
        <v>0</v>
      </c>
      <c r="F62" s="66">
        <f>C62*E62</f>
        <v>0</v>
      </c>
      <c r="G62" s="37"/>
      <c r="H62" s="43"/>
    </row>
    <row r="63" spans="1:12" ht="25.5" x14ac:dyDescent="0.25">
      <c r="A63" s="41" t="s">
        <v>220</v>
      </c>
      <c r="B63" s="50" t="s">
        <v>127</v>
      </c>
      <c r="C63" s="37">
        <v>3</v>
      </c>
      <c r="D63" s="37" t="s">
        <v>27</v>
      </c>
      <c r="E63" s="65">
        <f>ROUND(H63,2)</f>
        <v>0</v>
      </c>
      <c r="F63" s="66">
        <f>C63*E63</f>
        <v>0</v>
      </c>
      <c r="G63" s="37"/>
      <c r="H63" s="43"/>
    </row>
    <row r="64" spans="1:12" x14ac:dyDescent="0.25">
      <c r="A64" s="41"/>
      <c r="B64" s="31" t="s">
        <v>28</v>
      </c>
      <c r="C64" s="37"/>
      <c r="D64" s="37"/>
      <c r="E64" s="38"/>
      <c r="F64" s="89">
        <f>SUM(F59:F63)</f>
        <v>0</v>
      </c>
      <c r="G64" s="37"/>
      <c r="H64" s="40"/>
    </row>
    <row r="65" spans="1:8" x14ac:dyDescent="0.25">
      <c r="A65" s="45"/>
      <c r="B65" s="56"/>
      <c r="C65" s="57"/>
      <c r="D65" s="57"/>
      <c r="E65" s="58"/>
      <c r="F65" s="47"/>
      <c r="G65" s="22"/>
      <c r="H65" s="48"/>
    </row>
    <row r="66" spans="1:8" x14ac:dyDescent="0.25">
      <c r="A66" s="31" t="s">
        <v>221</v>
      </c>
      <c r="B66" s="54" t="s">
        <v>29</v>
      </c>
      <c r="C66" s="37"/>
      <c r="D66" s="37"/>
      <c r="E66" s="38"/>
      <c r="F66" s="39"/>
      <c r="G66" s="37"/>
      <c r="H66" s="40"/>
    </row>
    <row r="67" spans="1:8" x14ac:dyDescent="0.25">
      <c r="A67" s="41" t="s">
        <v>222</v>
      </c>
      <c r="B67" s="59" t="s">
        <v>11</v>
      </c>
      <c r="C67" s="37">
        <v>12</v>
      </c>
      <c r="D67" s="37" t="s">
        <v>13</v>
      </c>
      <c r="E67" s="65">
        <f>ROUND(H67,2)</f>
        <v>0</v>
      </c>
      <c r="F67" s="66">
        <f>C67*E67</f>
        <v>0</v>
      </c>
      <c r="G67" s="37"/>
      <c r="H67" s="43"/>
    </row>
    <row r="68" spans="1:8" x14ac:dyDescent="0.25">
      <c r="A68" s="41" t="s">
        <v>223</v>
      </c>
      <c r="B68" s="59" t="s">
        <v>12</v>
      </c>
      <c r="C68" s="37">
        <v>12</v>
      </c>
      <c r="D68" s="37" t="s">
        <v>13</v>
      </c>
      <c r="E68" s="65">
        <f>ROUND(H68,2)</f>
        <v>0</v>
      </c>
      <c r="F68" s="66">
        <f>C68*E68</f>
        <v>0</v>
      </c>
      <c r="G68" s="37"/>
      <c r="H68" s="43"/>
    </row>
    <row r="69" spans="1:8" x14ac:dyDescent="0.25">
      <c r="A69" s="41" t="s">
        <v>224</v>
      </c>
      <c r="B69" s="59" t="s">
        <v>14</v>
      </c>
      <c r="C69" s="37">
        <v>12</v>
      </c>
      <c r="D69" s="37" t="s">
        <v>13</v>
      </c>
      <c r="E69" s="65">
        <f>ROUND(H69,2)</f>
        <v>0</v>
      </c>
      <c r="F69" s="66">
        <f>C69*E69</f>
        <v>0</v>
      </c>
      <c r="G69" s="37"/>
      <c r="H69" s="43"/>
    </row>
    <row r="70" spans="1:8" ht="38.25" x14ac:dyDescent="0.25">
      <c r="A70" s="41" t="s">
        <v>225</v>
      </c>
      <c r="B70" s="42" t="s">
        <v>128</v>
      </c>
      <c r="C70" s="37">
        <v>2</v>
      </c>
      <c r="D70" s="37" t="s">
        <v>18</v>
      </c>
      <c r="E70" s="65">
        <f>ROUND(H70,2)</f>
        <v>0</v>
      </c>
      <c r="F70" s="66">
        <f>C70*E70</f>
        <v>0</v>
      </c>
      <c r="G70" s="37"/>
      <c r="H70" s="43"/>
    </row>
    <row r="71" spans="1:8" ht="38.25" x14ac:dyDescent="0.25">
      <c r="A71" s="41" t="s">
        <v>226</v>
      </c>
      <c r="B71" s="50" t="s">
        <v>129</v>
      </c>
      <c r="C71" s="37">
        <v>2</v>
      </c>
      <c r="D71" s="37" t="s">
        <v>18</v>
      </c>
      <c r="E71" s="65">
        <f>ROUND(H71,2)</f>
        <v>0</v>
      </c>
      <c r="F71" s="66">
        <f>C71*E71</f>
        <v>0</v>
      </c>
      <c r="G71" s="37"/>
      <c r="H71" s="43"/>
    </row>
    <row r="72" spans="1:8" x14ac:dyDescent="0.25">
      <c r="A72" s="41"/>
      <c r="B72" s="49" t="s">
        <v>30</v>
      </c>
      <c r="C72" s="37"/>
      <c r="D72" s="37"/>
      <c r="E72" s="38"/>
      <c r="F72" s="89">
        <f>SUM(F67:F71)</f>
        <v>0</v>
      </c>
      <c r="G72" s="37"/>
      <c r="H72" s="40"/>
    </row>
    <row r="73" spans="1:8" x14ac:dyDescent="0.25">
      <c r="A73" s="45"/>
      <c r="B73" s="61"/>
      <c r="C73" s="22"/>
      <c r="D73" s="22"/>
      <c r="E73" s="23"/>
      <c r="F73" s="62"/>
      <c r="G73" s="22"/>
      <c r="H73" s="48"/>
    </row>
    <row r="74" spans="1:8" x14ac:dyDescent="0.25">
      <c r="A74" s="31" t="s">
        <v>227</v>
      </c>
      <c r="B74" s="31" t="s">
        <v>10</v>
      </c>
      <c r="C74" s="37"/>
      <c r="D74" s="37"/>
      <c r="E74" s="38"/>
      <c r="F74" s="39"/>
      <c r="G74" s="37"/>
      <c r="H74" s="40"/>
    </row>
    <row r="75" spans="1:8" x14ac:dyDescent="0.25">
      <c r="A75" s="41" t="s">
        <v>228</v>
      </c>
      <c r="B75" s="42" t="s">
        <v>11</v>
      </c>
      <c r="C75" s="37">
        <v>12</v>
      </c>
      <c r="D75" s="37" t="s">
        <v>13</v>
      </c>
      <c r="E75" s="65">
        <f t="shared" ref="E75:E80" si="4">ROUND(H75,2)</f>
        <v>0</v>
      </c>
      <c r="F75" s="66">
        <f t="shared" ref="F75:F80" si="5">C75*E75</f>
        <v>0</v>
      </c>
      <c r="G75" s="37"/>
      <c r="H75" s="43"/>
    </row>
    <row r="76" spans="1:8" x14ac:dyDescent="0.25">
      <c r="A76" s="41" t="s">
        <v>229</v>
      </c>
      <c r="B76" s="42" t="s">
        <v>12</v>
      </c>
      <c r="C76" s="37">
        <v>12</v>
      </c>
      <c r="D76" s="37" t="s">
        <v>13</v>
      </c>
      <c r="E76" s="65">
        <f t="shared" si="4"/>
        <v>0</v>
      </c>
      <c r="F76" s="66">
        <f t="shared" si="5"/>
        <v>0</v>
      </c>
      <c r="G76" s="37"/>
      <c r="H76" s="43"/>
    </row>
    <row r="77" spans="1:8" x14ac:dyDescent="0.25">
      <c r="A77" s="41" t="s">
        <v>230</v>
      </c>
      <c r="B77" s="42" t="s">
        <v>14</v>
      </c>
      <c r="C77" s="37">
        <v>12</v>
      </c>
      <c r="D77" s="37" t="s">
        <v>13</v>
      </c>
      <c r="E77" s="65">
        <f t="shared" si="4"/>
        <v>0</v>
      </c>
      <c r="F77" s="66">
        <f t="shared" si="5"/>
        <v>0</v>
      </c>
      <c r="G77" s="37"/>
      <c r="H77" s="43"/>
    </row>
    <row r="78" spans="1:8" ht="25.5" x14ac:dyDescent="0.25">
      <c r="A78" s="41" t="s">
        <v>231</v>
      </c>
      <c r="B78" s="42" t="s">
        <v>130</v>
      </c>
      <c r="C78" s="37">
        <v>4</v>
      </c>
      <c r="D78" s="37" t="s">
        <v>16</v>
      </c>
      <c r="E78" s="65">
        <f t="shared" si="4"/>
        <v>0</v>
      </c>
      <c r="F78" s="66">
        <f t="shared" si="5"/>
        <v>0</v>
      </c>
      <c r="G78" s="37"/>
      <c r="H78" s="43"/>
    </row>
    <row r="79" spans="1:8" ht="25.5" x14ac:dyDescent="0.25">
      <c r="A79" s="41" t="s">
        <v>232</v>
      </c>
      <c r="B79" s="42" t="s">
        <v>131</v>
      </c>
      <c r="C79" s="37">
        <v>1</v>
      </c>
      <c r="D79" s="37" t="s">
        <v>15</v>
      </c>
      <c r="E79" s="65">
        <f t="shared" si="4"/>
        <v>0</v>
      </c>
      <c r="F79" s="66">
        <f t="shared" si="5"/>
        <v>0</v>
      </c>
      <c r="G79" s="37"/>
      <c r="H79" s="43"/>
    </row>
    <row r="80" spans="1:8" ht="25.5" x14ac:dyDescent="0.25">
      <c r="A80" s="41" t="s">
        <v>233</v>
      </c>
      <c r="B80" s="42" t="s">
        <v>132</v>
      </c>
      <c r="C80" s="37">
        <v>1</v>
      </c>
      <c r="D80" s="37" t="s">
        <v>15</v>
      </c>
      <c r="E80" s="65">
        <f t="shared" si="4"/>
        <v>0</v>
      </c>
      <c r="F80" s="66">
        <f t="shared" si="5"/>
        <v>0</v>
      </c>
      <c r="G80" s="37"/>
      <c r="H80" s="43"/>
    </row>
    <row r="81" spans="1:8" x14ac:dyDescent="0.25">
      <c r="A81" s="41"/>
      <c r="B81" s="31" t="s">
        <v>728</v>
      </c>
      <c r="C81" s="37"/>
      <c r="D81" s="37"/>
      <c r="E81" s="38"/>
      <c r="F81" s="89">
        <f>SUM(F75:F80)</f>
        <v>0</v>
      </c>
      <c r="G81" s="37"/>
      <c r="H81" s="40"/>
    </row>
    <row r="82" spans="1:8" x14ac:dyDescent="0.25">
      <c r="A82" s="73"/>
      <c r="B82" s="74"/>
      <c r="C82" s="22"/>
      <c r="D82" s="22"/>
      <c r="E82" s="23"/>
      <c r="F82" s="62"/>
      <c r="G82" s="22"/>
      <c r="H82" s="75"/>
    </row>
    <row r="83" spans="1:8" x14ac:dyDescent="0.25">
      <c r="A83" s="31" t="s">
        <v>234</v>
      </c>
      <c r="B83" s="30" t="s">
        <v>22</v>
      </c>
      <c r="C83" s="37"/>
      <c r="D83" s="37"/>
      <c r="E83" s="38"/>
      <c r="F83" s="39"/>
      <c r="G83" s="37"/>
      <c r="H83" s="40"/>
    </row>
    <row r="84" spans="1:8" x14ac:dyDescent="0.25">
      <c r="A84" s="41" t="s">
        <v>235</v>
      </c>
      <c r="B84" s="42" t="s">
        <v>11</v>
      </c>
      <c r="C84" s="37">
        <v>12</v>
      </c>
      <c r="D84" s="37" t="s">
        <v>13</v>
      </c>
      <c r="E84" s="65">
        <f t="shared" ref="E84:E89" si="6">ROUND(H84,2)</f>
        <v>0</v>
      </c>
      <c r="F84" s="66">
        <f t="shared" ref="F84:F89" si="7">C84*E84</f>
        <v>0</v>
      </c>
      <c r="G84" s="37"/>
      <c r="H84" s="43"/>
    </row>
    <row r="85" spans="1:8" x14ac:dyDescent="0.25">
      <c r="A85" s="41" t="s">
        <v>236</v>
      </c>
      <c r="B85" s="42" t="s">
        <v>12</v>
      </c>
      <c r="C85" s="37">
        <v>12</v>
      </c>
      <c r="D85" s="37" t="s">
        <v>13</v>
      </c>
      <c r="E85" s="65">
        <f t="shared" si="6"/>
        <v>0</v>
      </c>
      <c r="F85" s="66">
        <f t="shared" si="7"/>
        <v>0</v>
      </c>
      <c r="G85" s="37"/>
      <c r="H85" s="43"/>
    </row>
    <row r="86" spans="1:8" x14ac:dyDescent="0.25">
      <c r="A86" s="41" t="s">
        <v>237</v>
      </c>
      <c r="B86" s="42" t="s">
        <v>14</v>
      </c>
      <c r="C86" s="37">
        <v>12</v>
      </c>
      <c r="D86" s="37" t="s">
        <v>13</v>
      </c>
      <c r="E86" s="65">
        <f t="shared" si="6"/>
        <v>0</v>
      </c>
      <c r="F86" s="66">
        <f t="shared" si="7"/>
        <v>0</v>
      </c>
      <c r="G86" s="37"/>
      <c r="H86" s="43"/>
    </row>
    <row r="87" spans="1:8" ht="25.5" x14ac:dyDescent="0.25">
      <c r="A87" s="41" t="s">
        <v>238</v>
      </c>
      <c r="B87" s="50" t="s">
        <v>131</v>
      </c>
      <c r="C87" s="37">
        <v>1</v>
      </c>
      <c r="D87" s="37" t="s">
        <v>15</v>
      </c>
      <c r="E87" s="65">
        <f t="shared" si="6"/>
        <v>0</v>
      </c>
      <c r="F87" s="66">
        <f t="shared" si="7"/>
        <v>0</v>
      </c>
      <c r="G87" s="37"/>
      <c r="H87" s="43"/>
    </row>
    <row r="88" spans="1:8" ht="25.5" x14ac:dyDescent="0.25">
      <c r="A88" s="41" t="s">
        <v>239</v>
      </c>
      <c r="B88" s="42" t="s">
        <v>132</v>
      </c>
      <c r="C88" s="37">
        <v>1</v>
      </c>
      <c r="D88" s="37" t="s">
        <v>15</v>
      </c>
      <c r="E88" s="65">
        <f t="shared" si="6"/>
        <v>0</v>
      </c>
      <c r="F88" s="66">
        <f t="shared" si="7"/>
        <v>0</v>
      </c>
      <c r="G88" s="37"/>
      <c r="H88" s="43"/>
    </row>
    <row r="89" spans="1:8" ht="25.5" x14ac:dyDescent="0.25">
      <c r="A89" s="41" t="s">
        <v>240</v>
      </c>
      <c r="B89" s="42" t="s">
        <v>130</v>
      </c>
      <c r="C89" s="37">
        <v>4</v>
      </c>
      <c r="D89" s="37" t="s">
        <v>16</v>
      </c>
      <c r="E89" s="65">
        <f t="shared" si="6"/>
        <v>0</v>
      </c>
      <c r="F89" s="66">
        <f t="shared" si="7"/>
        <v>0</v>
      </c>
      <c r="G89" s="37"/>
      <c r="H89" s="43"/>
    </row>
    <row r="90" spans="1:8" x14ac:dyDescent="0.25">
      <c r="A90" s="73"/>
      <c r="B90" s="31" t="s">
        <v>23</v>
      </c>
      <c r="C90" s="37"/>
      <c r="D90" s="37"/>
      <c r="E90" s="38"/>
      <c r="F90" s="89">
        <f>SUM(F84:F89)</f>
        <v>0</v>
      </c>
      <c r="G90" s="37"/>
      <c r="H90" s="75"/>
    </row>
    <row r="91" spans="1:8" x14ac:dyDescent="0.25">
      <c r="A91" s="69"/>
      <c r="H91" s="104"/>
    </row>
    <row r="92" spans="1:8" x14ac:dyDescent="0.25">
      <c r="A92" s="31" t="s">
        <v>241</v>
      </c>
      <c r="B92" s="31" t="s">
        <v>31</v>
      </c>
      <c r="C92" s="37"/>
      <c r="D92" s="37"/>
      <c r="E92" s="38"/>
      <c r="F92" s="39"/>
      <c r="G92" s="37"/>
      <c r="H92" s="40"/>
    </row>
    <row r="93" spans="1:8" x14ac:dyDescent="0.25">
      <c r="A93" s="41" t="s">
        <v>242</v>
      </c>
      <c r="B93" s="42" t="s">
        <v>11</v>
      </c>
      <c r="C93" s="37">
        <v>12</v>
      </c>
      <c r="D93" s="37" t="s">
        <v>13</v>
      </c>
      <c r="E93" s="65">
        <f t="shared" ref="E93:E99" si="8">ROUND(H93,2)</f>
        <v>0</v>
      </c>
      <c r="F93" s="66">
        <f t="shared" ref="F93:F99" si="9">C93*E93</f>
        <v>0</v>
      </c>
      <c r="G93" s="37"/>
      <c r="H93" s="43"/>
    </row>
    <row r="94" spans="1:8" x14ac:dyDescent="0.25">
      <c r="A94" s="41" t="s">
        <v>243</v>
      </c>
      <c r="B94" s="42" t="s">
        <v>12</v>
      </c>
      <c r="C94" s="37">
        <v>12</v>
      </c>
      <c r="D94" s="37" t="s">
        <v>13</v>
      </c>
      <c r="E94" s="65">
        <f t="shared" si="8"/>
        <v>0</v>
      </c>
      <c r="F94" s="66">
        <f t="shared" si="9"/>
        <v>0</v>
      </c>
      <c r="G94" s="37"/>
      <c r="H94" s="43"/>
    </row>
    <row r="95" spans="1:8" x14ac:dyDescent="0.25">
      <c r="A95" s="41" t="s">
        <v>244</v>
      </c>
      <c r="B95" s="42" t="s">
        <v>14</v>
      </c>
      <c r="C95" s="37">
        <v>12</v>
      </c>
      <c r="D95" s="37" t="s">
        <v>13</v>
      </c>
      <c r="E95" s="65">
        <f t="shared" si="8"/>
        <v>0</v>
      </c>
      <c r="F95" s="66">
        <f t="shared" si="9"/>
        <v>0</v>
      </c>
      <c r="G95" s="37"/>
      <c r="H95" s="43"/>
    </row>
    <row r="96" spans="1:8" ht="25.5" x14ac:dyDescent="0.25">
      <c r="A96" s="41" t="s">
        <v>245</v>
      </c>
      <c r="B96" s="42" t="s">
        <v>146</v>
      </c>
      <c r="C96" s="37">
        <v>1</v>
      </c>
      <c r="D96" s="37" t="s">
        <v>15</v>
      </c>
      <c r="E96" s="65">
        <f t="shared" si="8"/>
        <v>0</v>
      </c>
      <c r="F96" s="66">
        <f t="shared" si="9"/>
        <v>0</v>
      </c>
      <c r="G96" s="37"/>
      <c r="H96" s="43"/>
    </row>
    <row r="97" spans="1:8" ht="25.5" x14ac:dyDescent="0.25">
      <c r="A97" s="41" t="s">
        <v>246</v>
      </c>
      <c r="B97" s="42" t="s">
        <v>147</v>
      </c>
      <c r="C97" s="37">
        <v>2</v>
      </c>
      <c r="D97" s="37" t="s">
        <v>18</v>
      </c>
      <c r="E97" s="65">
        <f t="shared" si="8"/>
        <v>0</v>
      </c>
      <c r="F97" s="66">
        <f t="shared" si="9"/>
        <v>0</v>
      </c>
      <c r="G97" s="37"/>
      <c r="H97" s="43"/>
    </row>
    <row r="98" spans="1:8" ht="25.5" x14ac:dyDescent="0.25">
      <c r="A98" s="41" t="s">
        <v>247</v>
      </c>
      <c r="B98" s="42" t="s">
        <v>148</v>
      </c>
      <c r="C98" s="37">
        <v>4</v>
      </c>
      <c r="D98" s="37" t="s">
        <v>16</v>
      </c>
      <c r="E98" s="65">
        <f t="shared" si="8"/>
        <v>0</v>
      </c>
      <c r="F98" s="66">
        <f t="shared" si="9"/>
        <v>0</v>
      </c>
      <c r="G98" s="37"/>
      <c r="H98" s="43"/>
    </row>
    <row r="99" spans="1:8" ht="25.5" x14ac:dyDescent="0.25">
      <c r="A99" s="41" t="s">
        <v>248</v>
      </c>
      <c r="B99" s="42" t="s">
        <v>149</v>
      </c>
      <c r="C99" s="37">
        <v>12</v>
      </c>
      <c r="D99" s="37" t="s">
        <v>13</v>
      </c>
      <c r="E99" s="65">
        <f t="shared" si="8"/>
        <v>0</v>
      </c>
      <c r="F99" s="66">
        <f t="shared" si="9"/>
        <v>0</v>
      </c>
      <c r="G99" s="37"/>
      <c r="H99" s="43"/>
    </row>
    <row r="100" spans="1:8" x14ac:dyDescent="0.25">
      <c r="A100" s="41"/>
      <c r="B100" s="31" t="s">
        <v>32</v>
      </c>
      <c r="C100" s="37"/>
      <c r="D100" s="37"/>
      <c r="E100" s="38"/>
      <c r="F100" s="89">
        <f>SUM(F93:F99)</f>
        <v>0</v>
      </c>
      <c r="G100" s="37"/>
      <c r="H100" s="40"/>
    </row>
    <row r="101" spans="1:8" x14ac:dyDescent="0.25">
      <c r="A101" s="69"/>
      <c r="H101" s="104"/>
    </row>
    <row r="102" spans="1:8" x14ac:dyDescent="0.25">
      <c r="A102" s="31" t="s">
        <v>249</v>
      </c>
      <c r="B102" s="31" t="s">
        <v>636</v>
      </c>
      <c r="C102" s="60"/>
      <c r="D102" s="60"/>
      <c r="E102" s="70"/>
      <c r="F102" s="44"/>
      <c r="G102" s="60"/>
      <c r="H102" s="71"/>
    </row>
    <row r="103" spans="1:8" x14ac:dyDescent="0.25">
      <c r="A103" s="41" t="s">
        <v>250</v>
      </c>
      <c r="B103" s="42" t="s">
        <v>11</v>
      </c>
      <c r="C103" s="37">
        <v>12</v>
      </c>
      <c r="D103" s="37" t="s">
        <v>13</v>
      </c>
      <c r="E103" s="72">
        <f>ROUND(H103,2)</f>
        <v>0</v>
      </c>
      <c r="F103" s="66">
        <f>C103*E103</f>
        <v>0</v>
      </c>
      <c r="G103" s="37"/>
      <c r="H103" s="43"/>
    </row>
    <row r="104" spans="1:8" x14ac:dyDescent="0.25">
      <c r="A104" s="41" t="s">
        <v>251</v>
      </c>
      <c r="B104" s="42" t="s">
        <v>12</v>
      </c>
      <c r="C104" s="37">
        <v>12</v>
      </c>
      <c r="D104" s="37" t="s">
        <v>13</v>
      </c>
      <c r="E104" s="72">
        <f>ROUND(H104,2)</f>
        <v>0</v>
      </c>
      <c r="F104" s="66">
        <f>C104*E104</f>
        <v>0</v>
      </c>
      <c r="G104" s="37"/>
      <c r="H104" s="43"/>
    </row>
    <row r="105" spans="1:8" x14ac:dyDescent="0.25">
      <c r="A105" s="41" t="s">
        <v>252</v>
      </c>
      <c r="B105" s="42" t="s">
        <v>14</v>
      </c>
      <c r="C105" s="37">
        <v>12</v>
      </c>
      <c r="D105" s="37" t="s">
        <v>13</v>
      </c>
      <c r="E105" s="72">
        <f>ROUND(H105,2)</f>
        <v>0</v>
      </c>
      <c r="F105" s="66">
        <f>C105*E105</f>
        <v>0</v>
      </c>
      <c r="G105" s="37"/>
      <c r="H105" s="43"/>
    </row>
    <row r="106" spans="1:8" ht="25.5" x14ac:dyDescent="0.25">
      <c r="A106" s="41" t="s">
        <v>253</v>
      </c>
      <c r="B106" s="42" t="s">
        <v>784</v>
      </c>
      <c r="C106" s="37">
        <v>12</v>
      </c>
      <c r="D106" s="37" t="s">
        <v>13</v>
      </c>
      <c r="E106" s="72">
        <f>ROUND(H106,2)</f>
        <v>0</v>
      </c>
      <c r="F106" s="66">
        <f>C106*E106</f>
        <v>0</v>
      </c>
      <c r="G106" s="37"/>
      <c r="H106" s="43"/>
    </row>
    <row r="107" spans="1:8" x14ac:dyDescent="0.25">
      <c r="A107" s="41"/>
      <c r="B107" s="30" t="s">
        <v>637</v>
      </c>
      <c r="C107" s="37"/>
      <c r="D107" s="37"/>
      <c r="E107" s="38"/>
      <c r="F107" s="89">
        <f>SUM(F103:F106)</f>
        <v>0</v>
      </c>
      <c r="G107" s="37"/>
      <c r="H107" s="40"/>
    </row>
    <row r="108" spans="1:8" x14ac:dyDescent="0.25">
      <c r="A108" s="69"/>
      <c r="H108" s="105"/>
    </row>
    <row r="109" spans="1:8" x14ac:dyDescent="0.25">
      <c r="A109" s="31" t="s">
        <v>254</v>
      </c>
      <c r="B109" s="31" t="s">
        <v>643</v>
      </c>
      <c r="C109" s="60"/>
      <c r="D109" s="60"/>
      <c r="E109" s="70"/>
      <c r="F109" s="44"/>
      <c r="G109" s="60"/>
      <c r="H109" s="71"/>
    </row>
    <row r="110" spans="1:8" x14ac:dyDescent="0.25">
      <c r="A110" s="41" t="s">
        <v>255</v>
      </c>
      <c r="B110" s="42" t="s">
        <v>11</v>
      </c>
      <c r="C110" s="37">
        <v>12</v>
      </c>
      <c r="D110" s="37" t="s">
        <v>13</v>
      </c>
      <c r="E110" s="72">
        <f>ROUND(H110,2)</f>
        <v>0</v>
      </c>
      <c r="F110" s="66">
        <f>C110*E110</f>
        <v>0</v>
      </c>
      <c r="G110" s="37"/>
      <c r="H110" s="43"/>
    </row>
    <row r="111" spans="1:8" x14ac:dyDescent="0.25">
      <c r="A111" s="41" t="s">
        <v>256</v>
      </c>
      <c r="B111" s="42" t="s">
        <v>12</v>
      </c>
      <c r="C111" s="37">
        <v>12</v>
      </c>
      <c r="D111" s="37" t="s">
        <v>13</v>
      </c>
      <c r="E111" s="72">
        <f>ROUND(H111,2)</f>
        <v>0</v>
      </c>
      <c r="F111" s="66">
        <f>C111*E111</f>
        <v>0</v>
      </c>
      <c r="G111" s="37"/>
      <c r="H111" s="43"/>
    </row>
    <row r="112" spans="1:8" x14ac:dyDescent="0.25">
      <c r="A112" s="41" t="s">
        <v>257</v>
      </c>
      <c r="B112" s="42" t="s">
        <v>14</v>
      </c>
      <c r="C112" s="37">
        <v>12</v>
      </c>
      <c r="D112" s="37" t="s">
        <v>13</v>
      </c>
      <c r="E112" s="72">
        <f>ROUND(H112,2)</f>
        <v>0</v>
      </c>
      <c r="F112" s="66">
        <f>C112*E112</f>
        <v>0</v>
      </c>
      <c r="G112" s="37"/>
      <c r="H112" s="43"/>
    </row>
    <row r="113" spans="1:8" ht="25.5" x14ac:dyDescent="0.25">
      <c r="A113" s="41" t="s">
        <v>258</v>
      </c>
      <c r="B113" s="42" t="s">
        <v>761</v>
      </c>
      <c r="C113" s="37">
        <v>12</v>
      </c>
      <c r="D113" s="37" t="s">
        <v>13</v>
      </c>
      <c r="E113" s="72">
        <f>ROUND(H113,2)</f>
        <v>0</v>
      </c>
      <c r="F113" s="66">
        <f>C113*E113</f>
        <v>0</v>
      </c>
      <c r="G113" s="37"/>
      <c r="H113" s="43"/>
    </row>
    <row r="114" spans="1:8" x14ac:dyDescent="0.25">
      <c r="A114" s="41"/>
      <c r="B114" s="30" t="s">
        <v>644</v>
      </c>
      <c r="C114" s="37"/>
      <c r="D114" s="37"/>
      <c r="E114" s="38"/>
      <c r="F114" s="89">
        <f>SUM(F110:F113)</f>
        <v>0</v>
      </c>
      <c r="G114" s="37"/>
      <c r="H114" s="40"/>
    </row>
    <row r="115" spans="1:8" x14ac:dyDescent="0.25">
      <c r="A115" s="51"/>
      <c r="H115" s="105"/>
    </row>
    <row r="116" spans="1:8" x14ac:dyDescent="0.25">
      <c r="A116" s="31" t="s">
        <v>652</v>
      </c>
      <c r="B116" s="31" t="s">
        <v>651</v>
      </c>
      <c r="C116" s="60"/>
      <c r="D116" s="60"/>
      <c r="E116" s="70"/>
      <c r="F116" s="44"/>
      <c r="G116" s="60"/>
      <c r="H116" s="71"/>
    </row>
    <row r="117" spans="1:8" x14ac:dyDescent="0.25">
      <c r="A117" s="41" t="s">
        <v>653</v>
      </c>
      <c r="B117" s="42" t="s">
        <v>11</v>
      </c>
      <c r="C117" s="37">
        <v>12</v>
      </c>
      <c r="D117" s="37" t="s">
        <v>13</v>
      </c>
      <c r="E117" s="72">
        <f>ROUND(H117,2)</f>
        <v>0</v>
      </c>
      <c r="F117" s="66">
        <f>C117*E117</f>
        <v>0</v>
      </c>
      <c r="G117" s="37"/>
      <c r="H117" s="43"/>
    </row>
    <row r="118" spans="1:8" x14ac:dyDescent="0.25">
      <c r="A118" s="41" t="s">
        <v>654</v>
      </c>
      <c r="B118" s="42" t="s">
        <v>12</v>
      </c>
      <c r="C118" s="37">
        <v>12</v>
      </c>
      <c r="D118" s="37" t="s">
        <v>13</v>
      </c>
      <c r="E118" s="72">
        <f>ROUND(H118,2)</f>
        <v>0</v>
      </c>
      <c r="F118" s="66">
        <f>C118*E118</f>
        <v>0</v>
      </c>
      <c r="G118" s="37"/>
      <c r="H118" s="43"/>
    </row>
    <row r="119" spans="1:8" x14ac:dyDescent="0.25">
      <c r="A119" s="41" t="s">
        <v>655</v>
      </c>
      <c r="B119" s="42" t="s">
        <v>14</v>
      </c>
      <c r="C119" s="37">
        <v>12</v>
      </c>
      <c r="D119" s="37" t="s">
        <v>13</v>
      </c>
      <c r="E119" s="72">
        <f>ROUND(H119,2)</f>
        <v>0</v>
      </c>
      <c r="F119" s="66">
        <f>C119*E119</f>
        <v>0</v>
      </c>
      <c r="G119" s="37"/>
      <c r="H119" s="43"/>
    </row>
    <row r="120" spans="1:8" ht="25.5" x14ac:dyDescent="0.25">
      <c r="A120" s="41" t="s">
        <v>656</v>
      </c>
      <c r="B120" s="42" t="s">
        <v>762</v>
      </c>
      <c r="C120" s="37">
        <v>12</v>
      </c>
      <c r="D120" s="37" t="s">
        <v>13</v>
      </c>
      <c r="E120" s="72">
        <f>ROUND(H120,2)</f>
        <v>0</v>
      </c>
      <c r="F120" s="66">
        <f>C120*E120</f>
        <v>0</v>
      </c>
      <c r="G120" s="37"/>
      <c r="H120" s="43"/>
    </row>
    <row r="121" spans="1:8" x14ac:dyDescent="0.25">
      <c r="A121" s="41"/>
      <c r="B121" s="30" t="s">
        <v>650</v>
      </c>
      <c r="C121" s="37"/>
      <c r="D121" s="37"/>
      <c r="E121" s="38"/>
      <c r="F121" s="89">
        <f>SUM(F117:F120)</f>
        <v>0</v>
      </c>
      <c r="G121" s="37"/>
      <c r="H121" s="40"/>
    </row>
    <row r="122" spans="1:8" x14ac:dyDescent="0.25">
      <c r="H122" s="105"/>
    </row>
    <row r="123" spans="1:8" x14ac:dyDescent="0.25">
      <c r="A123" s="31" t="s">
        <v>657</v>
      </c>
      <c r="B123" s="31" t="s">
        <v>122</v>
      </c>
      <c r="C123" s="60"/>
      <c r="D123" s="60"/>
      <c r="E123" s="70"/>
      <c r="F123" s="44"/>
      <c r="G123" s="60"/>
      <c r="H123" s="71"/>
    </row>
    <row r="124" spans="1:8" x14ac:dyDescent="0.25">
      <c r="A124" s="41" t="s">
        <v>658</v>
      </c>
      <c r="B124" s="42" t="s">
        <v>11</v>
      </c>
      <c r="C124" s="37">
        <v>12</v>
      </c>
      <c r="D124" s="37" t="s">
        <v>13</v>
      </c>
      <c r="E124" s="72">
        <f>ROUND(H124,2)</f>
        <v>0</v>
      </c>
      <c r="F124" s="66">
        <f>C124*E124</f>
        <v>0</v>
      </c>
      <c r="G124" s="37"/>
      <c r="H124" s="43"/>
    </row>
    <row r="125" spans="1:8" x14ac:dyDescent="0.25">
      <c r="A125" s="41" t="s">
        <v>659</v>
      </c>
      <c r="B125" s="42" t="s">
        <v>12</v>
      </c>
      <c r="C125" s="37">
        <v>12</v>
      </c>
      <c r="D125" s="37" t="s">
        <v>13</v>
      </c>
      <c r="E125" s="72">
        <f>ROUND(H125,2)</f>
        <v>0</v>
      </c>
      <c r="F125" s="66">
        <f>C125*E125</f>
        <v>0</v>
      </c>
      <c r="G125" s="37"/>
      <c r="H125" s="43"/>
    </row>
    <row r="126" spans="1:8" x14ac:dyDescent="0.25">
      <c r="A126" s="41" t="s">
        <v>660</v>
      </c>
      <c r="B126" s="42" t="s">
        <v>14</v>
      </c>
      <c r="C126" s="37">
        <v>12</v>
      </c>
      <c r="D126" s="37" t="s">
        <v>13</v>
      </c>
      <c r="E126" s="72">
        <f>ROUND(H126,2)</f>
        <v>0</v>
      </c>
      <c r="F126" s="66">
        <f>C126*E126</f>
        <v>0</v>
      </c>
      <c r="G126" s="37"/>
      <c r="H126" s="43"/>
    </row>
    <row r="127" spans="1:8" ht="25.5" x14ac:dyDescent="0.25">
      <c r="A127" s="41" t="s">
        <v>661</v>
      </c>
      <c r="B127" s="42" t="s">
        <v>727</v>
      </c>
      <c r="C127" s="37">
        <v>12</v>
      </c>
      <c r="D127" s="37" t="s">
        <v>13</v>
      </c>
      <c r="E127" s="72">
        <f>ROUND(H127,2)</f>
        <v>0</v>
      </c>
      <c r="F127" s="66">
        <f>C127*E127</f>
        <v>0</v>
      </c>
      <c r="G127" s="37"/>
      <c r="H127" s="43"/>
    </row>
    <row r="128" spans="1:8" x14ac:dyDescent="0.25">
      <c r="A128" s="41"/>
      <c r="B128" s="30" t="s">
        <v>123</v>
      </c>
      <c r="C128" s="37"/>
      <c r="D128" s="37"/>
      <c r="E128" s="38"/>
      <c r="F128" s="89">
        <f>SUM(F124:F127)</f>
        <v>0</v>
      </c>
      <c r="G128" s="37"/>
      <c r="H128" s="40"/>
    </row>
    <row r="129" spans="1:8" x14ac:dyDescent="0.25">
      <c r="H129" s="104"/>
    </row>
    <row r="130" spans="1:8" x14ac:dyDescent="0.25">
      <c r="A130" s="31" t="s">
        <v>662</v>
      </c>
      <c r="B130" s="31" t="s">
        <v>121</v>
      </c>
      <c r="C130" s="60"/>
      <c r="D130" s="60"/>
      <c r="E130" s="70"/>
      <c r="F130" s="44"/>
      <c r="G130" s="60"/>
      <c r="H130" s="71"/>
    </row>
    <row r="131" spans="1:8" x14ac:dyDescent="0.25">
      <c r="A131" s="41" t="s">
        <v>663</v>
      </c>
      <c r="B131" s="42" t="s">
        <v>11</v>
      </c>
      <c r="C131" s="37">
        <v>12</v>
      </c>
      <c r="D131" s="37" t="s">
        <v>13</v>
      </c>
      <c r="E131" s="72">
        <f>ROUND(H131,2)</f>
        <v>0</v>
      </c>
      <c r="F131" s="66">
        <f>C131*E131</f>
        <v>0</v>
      </c>
      <c r="G131" s="37"/>
      <c r="H131" s="43"/>
    </row>
    <row r="132" spans="1:8" x14ac:dyDescent="0.25">
      <c r="A132" s="41" t="s">
        <v>664</v>
      </c>
      <c r="B132" s="42" t="s">
        <v>12</v>
      </c>
      <c r="C132" s="37">
        <v>12</v>
      </c>
      <c r="D132" s="37" t="s">
        <v>13</v>
      </c>
      <c r="E132" s="72">
        <f>ROUND(H132,2)</f>
        <v>0</v>
      </c>
      <c r="F132" s="66">
        <f>C132*E132</f>
        <v>0</v>
      </c>
      <c r="G132" s="37"/>
      <c r="H132" s="43"/>
    </row>
    <row r="133" spans="1:8" x14ac:dyDescent="0.25">
      <c r="A133" s="41" t="s">
        <v>665</v>
      </c>
      <c r="B133" s="42" t="s">
        <v>14</v>
      </c>
      <c r="C133" s="37">
        <v>12</v>
      </c>
      <c r="D133" s="37" t="s">
        <v>13</v>
      </c>
      <c r="E133" s="72">
        <f>ROUND(H133,2)</f>
        <v>0</v>
      </c>
      <c r="F133" s="66">
        <f>C133*E133</f>
        <v>0</v>
      </c>
      <c r="G133" s="37"/>
      <c r="H133" s="43"/>
    </row>
    <row r="134" spans="1:8" ht="25.5" x14ac:dyDescent="0.25">
      <c r="A134" s="41" t="s">
        <v>666</v>
      </c>
      <c r="B134" s="42" t="s">
        <v>727</v>
      </c>
      <c r="C134" s="37">
        <v>12</v>
      </c>
      <c r="D134" s="37" t="s">
        <v>13</v>
      </c>
      <c r="E134" s="72">
        <f>ROUND(H134,2)</f>
        <v>0</v>
      </c>
      <c r="F134" s="66">
        <f>C134*E134</f>
        <v>0</v>
      </c>
      <c r="G134" s="37"/>
      <c r="H134" s="43"/>
    </row>
    <row r="135" spans="1:8" x14ac:dyDescent="0.25">
      <c r="A135" s="41"/>
      <c r="B135" s="30" t="s">
        <v>124</v>
      </c>
      <c r="C135" s="37"/>
      <c r="D135" s="37"/>
      <c r="E135" s="38"/>
      <c r="F135" s="89">
        <f>SUM(F131:F134)</f>
        <v>0</v>
      </c>
      <c r="G135" s="37"/>
      <c r="H135" s="40"/>
    </row>
    <row r="136" spans="1:8" x14ac:dyDescent="0.25">
      <c r="A136" s="51"/>
      <c r="B136" s="61"/>
      <c r="C136" s="22"/>
      <c r="D136" s="22"/>
      <c r="E136" s="23"/>
      <c r="F136" s="92"/>
      <c r="G136" s="22"/>
      <c r="H136" s="93"/>
    </row>
    <row r="137" spans="1:8" x14ac:dyDescent="0.25">
      <c r="A137" s="31" t="s">
        <v>735</v>
      </c>
      <c r="B137" s="31" t="s">
        <v>785</v>
      </c>
      <c r="C137" s="60"/>
      <c r="D137" s="60"/>
      <c r="E137" s="70"/>
      <c r="F137" s="44"/>
      <c r="G137" s="60"/>
      <c r="H137" s="71"/>
    </row>
    <row r="138" spans="1:8" x14ac:dyDescent="0.25">
      <c r="A138" s="41" t="s">
        <v>736</v>
      </c>
      <c r="B138" s="42" t="s">
        <v>11</v>
      </c>
      <c r="C138" s="37">
        <v>12</v>
      </c>
      <c r="D138" s="37" t="s">
        <v>13</v>
      </c>
      <c r="E138" s="72">
        <f>ROUND(H138,2)</f>
        <v>0</v>
      </c>
      <c r="F138" s="66">
        <f>C138*E138</f>
        <v>0</v>
      </c>
      <c r="G138" s="37"/>
      <c r="H138" s="43"/>
    </row>
    <row r="139" spans="1:8" x14ac:dyDescent="0.25">
      <c r="A139" s="41" t="s">
        <v>737</v>
      </c>
      <c r="B139" s="42" t="s">
        <v>12</v>
      </c>
      <c r="C139" s="37">
        <v>12</v>
      </c>
      <c r="D139" s="37" t="s">
        <v>13</v>
      </c>
      <c r="E139" s="72">
        <f>ROUND(H139,2)</f>
        <v>0</v>
      </c>
      <c r="F139" s="66">
        <f>C139*E139</f>
        <v>0</v>
      </c>
      <c r="G139" s="37"/>
      <c r="H139" s="43"/>
    </row>
    <row r="140" spans="1:8" x14ac:dyDescent="0.25">
      <c r="A140" s="41" t="s">
        <v>738</v>
      </c>
      <c r="B140" s="42" t="s">
        <v>14</v>
      </c>
      <c r="C140" s="37">
        <v>12</v>
      </c>
      <c r="D140" s="37" t="s">
        <v>13</v>
      </c>
      <c r="E140" s="72">
        <f>ROUND(H140,2)</f>
        <v>0</v>
      </c>
      <c r="F140" s="66">
        <f>C140*E140</f>
        <v>0</v>
      </c>
      <c r="G140" s="37"/>
      <c r="H140" s="43"/>
    </row>
    <row r="141" spans="1:8" ht="25.5" x14ac:dyDescent="0.25">
      <c r="A141" s="41" t="s">
        <v>739</v>
      </c>
      <c r="B141" s="42" t="s">
        <v>734</v>
      </c>
      <c r="C141" s="37">
        <v>12</v>
      </c>
      <c r="D141" s="37" t="s">
        <v>13</v>
      </c>
      <c r="E141" s="72">
        <f>ROUND(H141,2)</f>
        <v>0</v>
      </c>
      <c r="F141" s="66">
        <f>C141*E141</f>
        <v>0</v>
      </c>
      <c r="G141" s="37"/>
      <c r="H141" s="43"/>
    </row>
    <row r="142" spans="1:8" x14ac:dyDescent="0.25">
      <c r="A142" s="41"/>
      <c r="B142" s="30" t="s">
        <v>786</v>
      </c>
      <c r="C142" s="37"/>
      <c r="D142" s="37"/>
      <c r="E142" s="38"/>
      <c r="F142" s="89">
        <f>SUM(F138:F141)</f>
        <v>0</v>
      </c>
      <c r="G142" s="37"/>
      <c r="H142" s="40"/>
    </row>
    <row r="143" spans="1:8" x14ac:dyDescent="0.25">
      <c r="A143" s="51"/>
      <c r="B143" s="61"/>
      <c r="C143" s="22"/>
      <c r="D143" s="22"/>
      <c r="E143" s="23"/>
      <c r="F143" s="92"/>
      <c r="G143" s="22"/>
      <c r="H143" s="93"/>
    </row>
    <row r="144" spans="1:8" x14ac:dyDescent="0.25">
      <c r="B144" s="194" t="s">
        <v>630</v>
      </c>
      <c r="C144" s="194"/>
      <c r="D144" s="194"/>
      <c r="E144" s="194"/>
      <c r="F144" s="90">
        <f>SUM(F18,F27,F36,F48,F56,F64,F72,F81,F90,F100,F107,F114,F121,F128,F135,F142)</f>
        <v>0</v>
      </c>
    </row>
  </sheetData>
  <sheetProtection password="C9A6" sheet="1" selectLockedCells="1"/>
  <mergeCells count="6">
    <mergeCell ref="B144:E144"/>
    <mergeCell ref="H1:H10"/>
    <mergeCell ref="A2:G2"/>
    <mergeCell ref="A3:G3"/>
    <mergeCell ref="A4:G4"/>
    <mergeCell ref="A5:G5"/>
  </mergeCells>
  <pageMargins left="0.25" right="0.25" top="0.75" bottom="0.75" header="0.3" footer="0.3"/>
  <pageSetup scale="91"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I36"/>
  <sheetViews>
    <sheetView showZeros="0" topLeftCell="A10" zoomScaleNormal="100" workbookViewId="0">
      <selection activeCell="H12" sqref="H12"/>
    </sheetView>
  </sheetViews>
  <sheetFormatPr defaultColWidth="8.5703125" defaultRowHeight="12.75" x14ac:dyDescent="0.2"/>
  <cols>
    <col min="1" max="1" width="8.140625" style="76" customWidth="1"/>
    <col min="2" max="2" width="18.7109375" style="76" customWidth="1"/>
    <col min="3" max="3" width="56.85546875" style="76" customWidth="1"/>
    <col min="4" max="4" width="8.28515625" style="84" customWidth="1"/>
    <col min="5" max="5" width="9" style="76" customWidth="1"/>
    <col min="6" max="6" width="11.7109375" style="76" customWidth="1"/>
    <col min="7" max="7" width="13.85546875" style="85" customWidth="1"/>
    <col min="8" max="8" width="10.42578125" style="85" customWidth="1"/>
    <col min="9" max="9" width="16" style="83" customWidth="1"/>
    <col min="10" max="253" width="8.5703125" style="76"/>
    <col min="254" max="254" width="8.140625" style="76" customWidth="1"/>
    <col min="255" max="255" width="6" style="76" customWidth="1"/>
    <col min="256" max="256" width="9.85546875" style="76" customWidth="1"/>
    <col min="257" max="257" width="12.28515625" style="76" customWidth="1"/>
    <col min="258" max="258" width="29" style="76" customWidth="1"/>
    <col min="259" max="259" width="7.5703125" style="76" customWidth="1"/>
    <col min="260" max="260" width="6.85546875" style="76" customWidth="1"/>
    <col min="261" max="261" width="8.5703125" style="76"/>
    <col min="262" max="262" width="11.85546875" style="76" bestFit="1" customWidth="1"/>
    <col min="263" max="263" width="14.28515625" style="76" customWidth="1"/>
    <col min="264" max="509" width="8.5703125" style="76"/>
    <col min="510" max="510" width="8.140625" style="76" customWidth="1"/>
    <col min="511" max="511" width="6" style="76" customWidth="1"/>
    <col min="512" max="512" width="9.85546875" style="76" customWidth="1"/>
    <col min="513" max="513" width="12.28515625" style="76" customWidth="1"/>
    <col min="514" max="514" width="29" style="76" customWidth="1"/>
    <col min="515" max="515" width="7.5703125" style="76" customWidth="1"/>
    <col min="516" max="516" width="6.85546875" style="76" customWidth="1"/>
    <col min="517" max="517" width="8.5703125" style="76"/>
    <col min="518" max="518" width="11.85546875" style="76" bestFit="1" customWidth="1"/>
    <col min="519" max="519" width="14.28515625" style="76" customWidth="1"/>
    <col min="520" max="765" width="8.5703125" style="76"/>
    <col min="766" max="766" width="8.140625" style="76" customWidth="1"/>
    <col min="767" max="767" width="6" style="76" customWidth="1"/>
    <col min="768" max="768" width="9.85546875" style="76" customWidth="1"/>
    <col min="769" max="769" width="12.28515625" style="76" customWidth="1"/>
    <col min="770" max="770" width="29" style="76" customWidth="1"/>
    <col min="771" max="771" width="7.5703125" style="76" customWidth="1"/>
    <col min="772" max="772" width="6.85546875" style="76" customWidth="1"/>
    <col min="773" max="773" width="8.5703125" style="76"/>
    <col min="774" max="774" width="11.85546875" style="76" bestFit="1" customWidth="1"/>
    <col min="775" max="775" width="14.28515625" style="76" customWidth="1"/>
    <col min="776" max="1021" width="8.5703125" style="76"/>
    <col min="1022" max="1022" width="8.140625" style="76" customWidth="1"/>
    <col min="1023" max="1023" width="6" style="76" customWidth="1"/>
    <col min="1024" max="1024" width="9.85546875" style="76" customWidth="1"/>
    <col min="1025" max="1025" width="12.28515625" style="76" customWidth="1"/>
    <col min="1026" max="1026" width="29" style="76" customWidth="1"/>
    <col min="1027" max="1027" width="7.5703125" style="76" customWidth="1"/>
    <col min="1028" max="1028" width="6.85546875" style="76" customWidth="1"/>
    <col min="1029" max="1029" width="8.5703125" style="76"/>
    <col min="1030" max="1030" width="11.85546875" style="76" bestFit="1" customWidth="1"/>
    <col min="1031" max="1031" width="14.28515625" style="76" customWidth="1"/>
    <col min="1032" max="1277" width="8.5703125" style="76"/>
    <col min="1278" max="1278" width="8.140625" style="76" customWidth="1"/>
    <col min="1279" max="1279" width="6" style="76" customWidth="1"/>
    <col min="1280" max="1280" width="9.85546875" style="76" customWidth="1"/>
    <col min="1281" max="1281" width="12.28515625" style="76" customWidth="1"/>
    <col min="1282" max="1282" width="29" style="76" customWidth="1"/>
    <col min="1283" max="1283" width="7.5703125" style="76" customWidth="1"/>
    <col min="1284" max="1284" width="6.85546875" style="76" customWidth="1"/>
    <col min="1285" max="1285" width="8.5703125" style="76"/>
    <col min="1286" max="1286" width="11.85546875" style="76" bestFit="1" customWidth="1"/>
    <col min="1287" max="1287" width="14.28515625" style="76" customWidth="1"/>
    <col min="1288" max="1533" width="8.5703125" style="76"/>
    <col min="1534" max="1534" width="8.140625" style="76" customWidth="1"/>
    <col min="1535" max="1535" width="6" style="76" customWidth="1"/>
    <col min="1536" max="1536" width="9.85546875" style="76" customWidth="1"/>
    <col min="1537" max="1537" width="12.28515625" style="76" customWidth="1"/>
    <col min="1538" max="1538" width="29" style="76" customWidth="1"/>
    <col min="1539" max="1539" width="7.5703125" style="76" customWidth="1"/>
    <col min="1540" max="1540" width="6.85546875" style="76" customWidth="1"/>
    <col min="1541" max="1541" width="8.5703125" style="76"/>
    <col min="1542" max="1542" width="11.85546875" style="76" bestFit="1" customWidth="1"/>
    <col min="1543" max="1543" width="14.28515625" style="76" customWidth="1"/>
    <col min="1544" max="1789" width="8.5703125" style="76"/>
    <col min="1790" max="1790" width="8.140625" style="76" customWidth="1"/>
    <col min="1791" max="1791" width="6" style="76" customWidth="1"/>
    <col min="1792" max="1792" width="9.85546875" style="76" customWidth="1"/>
    <col min="1793" max="1793" width="12.28515625" style="76" customWidth="1"/>
    <col min="1794" max="1794" width="29" style="76" customWidth="1"/>
    <col min="1795" max="1795" width="7.5703125" style="76" customWidth="1"/>
    <col min="1796" max="1796" width="6.85546875" style="76" customWidth="1"/>
    <col min="1797" max="1797" width="8.5703125" style="76"/>
    <col min="1798" max="1798" width="11.85546875" style="76" bestFit="1" customWidth="1"/>
    <col min="1799" max="1799" width="14.28515625" style="76" customWidth="1"/>
    <col min="1800" max="2045" width="8.5703125" style="76"/>
    <col min="2046" max="2046" width="8.140625" style="76" customWidth="1"/>
    <col min="2047" max="2047" width="6" style="76" customWidth="1"/>
    <col min="2048" max="2048" width="9.85546875" style="76" customWidth="1"/>
    <col min="2049" max="2049" width="12.28515625" style="76" customWidth="1"/>
    <col min="2050" max="2050" width="29" style="76" customWidth="1"/>
    <col min="2051" max="2051" width="7.5703125" style="76" customWidth="1"/>
    <col min="2052" max="2052" width="6.85546875" style="76" customWidth="1"/>
    <col min="2053" max="2053" width="8.5703125" style="76"/>
    <col min="2054" max="2054" width="11.85546875" style="76" bestFit="1" customWidth="1"/>
    <col min="2055" max="2055" width="14.28515625" style="76" customWidth="1"/>
    <col min="2056" max="2301" width="8.5703125" style="76"/>
    <col min="2302" max="2302" width="8.140625" style="76" customWidth="1"/>
    <col min="2303" max="2303" width="6" style="76" customWidth="1"/>
    <col min="2304" max="2304" width="9.85546875" style="76" customWidth="1"/>
    <col min="2305" max="2305" width="12.28515625" style="76" customWidth="1"/>
    <col min="2306" max="2306" width="29" style="76" customWidth="1"/>
    <col min="2307" max="2307" width="7.5703125" style="76" customWidth="1"/>
    <col min="2308" max="2308" width="6.85546875" style="76" customWidth="1"/>
    <col min="2309" max="2309" width="8.5703125" style="76"/>
    <col min="2310" max="2310" width="11.85546875" style="76" bestFit="1" customWidth="1"/>
    <col min="2311" max="2311" width="14.28515625" style="76" customWidth="1"/>
    <col min="2312" max="2557" width="8.5703125" style="76"/>
    <col min="2558" max="2558" width="8.140625" style="76" customWidth="1"/>
    <col min="2559" max="2559" width="6" style="76" customWidth="1"/>
    <col min="2560" max="2560" width="9.85546875" style="76" customWidth="1"/>
    <col min="2561" max="2561" width="12.28515625" style="76" customWidth="1"/>
    <col min="2562" max="2562" width="29" style="76" customWidth="1"/>
    <col min="2563" max="2563" width="7.5703125" style="76" customWidth="1"/>
    <col min="2564" max="2564" width="6.85546875" style="76" customWidth="1"/>
    <col min="2565" max="2565" width="8.5703125" style="76"/>
    <col min="2566" max="2566" width="11.85546875" style="76" bestFit="1" customWidth="1"/>
    <col min="2567" max="2567" width="14.28515625" style="76" customWidth="1"/>
    <col min="2568" max="2813" width="8.5703125" style="76"/>
    <col min="2814" max="2814" width="8.140625" style="76" customWidth="1"/>
    <col min="2815" max="2815" width="6" style="76" customWidth="1"/>
    <col min="2816" max="2816" width="9.85546875" style="76" customWidth="1"/>
    <col min="2817" max="2817" width="12.28515625" style="76" customWidth="1"/>
    <col min="2818" max="2818" width="29" style="76" customWidth="1"/>
    <col min="2819" max="2819" width="7.5703125" style="76" customWidth="1"/>
    <col min="2820" max="2820" width="6.85546875" style="76" customWidth="1"/>
    <col min="2821" max="2821" width="8.5703125" style="76"/>
    <col min="2822" max="2822" width="11.85546875" style="76" bestFit="1" customWidth="1"/>
    <col min="2823" max="2823" width="14.28515625" style="76" customWidth="1"/>
    <col min="2824" max="3069" width="8.5703125" style="76"/>
    <col min="3070" max="3070" width="8.140625" style="76" customWidth="1"/>
    <col min="3071" max="3071" width="6" style="76" customWidth="1"/>
    <col min="3072" max="3072" width="9.85546875" style="76" customWidth="1"/>
    <col min="3073" max="3073" width="12.28515625" style="76" customWidth="1"/>
    <col min="3074" max="3074" width="29" style="76" customWidth="1"/>
    <col min="3075" max="3075" width="7.5703125" style="76" customWidth="1"/>
    <col min="3076" max="3076" width="6.85546875" style="76" customWidth="1"/>
    <col min="3077" max="3077" width="8.5703125" style="76"/>
    <col min="3078" max="3078" width="11.85546875" style="76" bestFit="1" customWidth="1"/>
    <col min="3079" max="3079" width="14.28515625" style="76" customWidth="1"/>
    <col min="3080" max="3325" width="8.5703125" style="76"/>
    <col min="3326" max="3326" width="8.140625" style="76" customWidth="1"/>
    <col min="3327" max="3327" width="6" style="76" customWidth="1"/>
    <col min="3328" max="3328" width="9.85546875" style="76" customWidth="1"/>
    <col min="3329" max="3329" width="12.28515625" style="76" customWidth="1"/>
    <col min="3330" max="3330" width="29" style="76" customWidth="1"/>
    <col min="3331" max="3331" width="7.5703125" style="76" customWidth="1"/>
    <col min="3332" max="3332" width="6.85546875" style="76" customWidth="1"/>
    <col min="3333" max="3333" width="8.5703125" style="76"/>
    <col min="3334" max="3334" width="11.85546875" style="76" bestFit="1" customWidth="1"/>
    <col min="3335" max="3335" width="14.28515625" style="76" customWidth="1"/>
    <col min="3336" max="3581" width="8.5703125" style="76"/>
    <col min="3582" max="3582" width="8.140625" style="76" customWidth="1"/>
    <col min="3583" max="3583" width="6" style="76" customWidth="1"/>
    <col min="3584" max="3584" width="9.85546875" style="76" customWidth="1"/>
    <col min="3585" max="3585" width="12.28515625" style="76" customWidth="1"/>
    <col min="3586" max="3586" width="29" style="76" customWidth="1"/>
    <col min="3587" max="3587" width="7.5703125" style="76" customWidth="1"/>
    <col min="3588" max="3588" width="6.85546875" style="76" customWidth="1"/>
    <col min="3589" max="3589" width="8.5703125" style="76"/>
    <col min="3590" max="3590" width="11.85546875" style="76" bestFit="1" customWidth="1"/>
    <col min="3591" max="3591" width="14.28515625" style="76" customWidth="1"/>
    <col min="3592" max="3837" width="8.5703125" style="76"/>
    <col min="3838" max="3838" width="8.140625" style="76" customWidth="1"/>
    <col min="3839" max="3839" width="6" style="76" customWidth="1"/>
    <col min="3840" max="3840" width="9.85546875" style="76" customWidth="1"/>
    <col min="3841" max="3841" width="12.28515625" style="76" customWidth="1"/>
    <col min="3842" max="3842" width="29" style="76" customWidth="1"/>
    <col min="3843" max="3843" width="7.5703125" style="76" customWidth="1"/>
    <col min="3844" max="3844" width="6.85546875" style="76" customWidth="1"/>
    <col min="3845" max="3845" width="8.5703125" style="76"/>
    <col min="3846" max="3846" width="11.85546875" style="76" bestFit="1" customWidth="1"/>
    <col min="3847" max="3847" width="14.28515625" style="76" customWidth="1"/>
    <col min="3848" max="4093" width="8.5703125" style="76"/>
    <col min="4094" max="4094" width="8.140625" style="76" customWidth="1"/>
    <col min="4095" max="4095" width="6" style="76" customWidth="1"/>
    <col min="4096" max="4096" width="9.85546875" style="76" customWidth="1"/>
    <col min="4097" max="4097" width="12.28515625" style="76" customWidth="1"/>
    <col min="4098" max="4098" width="29" style="76" customWidth="1"/>
    <col min="4099" max="4099" width="7.5703125" style="76" customWidth="1"/>
    <col min="4100" max="4100" width="6.85546875" style="76" customWidth="1"/>
    <col min="4101" max="4101" width="8.5703125" style="76"/>
    <col min="4102" max="4102" width="11.85546875" style="76" bestFit="1" customWidth="1"/>
    <col min="4103" max="4103" width="14.28515625" style="76" customWidth="1"/>
    <col min="4104" max="4349" width="8.5703125" style="76"/>
    <col min="4350" max="4350" width="8.140625" style="76" customWidth="1"/>
    <col min="4351" max="4351" width="6" style="76" customWidth="1"/>
    <col min="4352" max="4352" width="9.85546875" style="76" customWidth="1"/>
    <col min="4353" max="4353" width="12.28515625" style="76" customWidth="1"/>
    <col min="4354" max="4354" width="29" style="76" customWidth="1"/>
    <col min="4355" max="4355" width="7.5703125" style="76" customWidth="1"/>
    <col min="4356" max="4356" width="6.85546875" style="76" customWidth="1"/>
    <col min="4357" max="4357" width="8.5703125" style="76"/>
    <col min="4358" max="4358" width="11.85546875" style="76" bestFit="1" customWidth="1"/>
    <col min="4359" max="4359" width="14.28515625" style="76" customWidth="1"/>
    <col min="4360" max="4605" width="8.5703125" style="76"/>
    <col min="4606" max="4606" width="8.140625" style="76" customWidth="1"/>
    <col min="4607" max="4607" width="6" style="76" customWidth="1"/>
    <col min="4608" max="4608" width="9.85546875" style="76" customWidth="1"/>
    <col min="4609" max="4609" width="12.28515625" style="76" customWidth="1"/>
    <col min="4610" max="4610" width="29" style="76" customWidth="1"/>
    <col min="4611" max="4611" width="7.5703125" style="76" customWidth="1"/>
    <col min="4612" max="4612" width="6.85546875" style="76" customWidth="1"/>
    <col min="4613" max="4613" width="8.5703125" style="76"/>
    <col min="4614" max="4614" width="11.85546875" style="76" bestFit="1" customWidth="1"/>
    <col min="4615" max="4615" width="14.28515625" style="76" customWidth="1"/>
    <col min="4616" max="4861" width="8.5703125" style="76"/>
    <col min="4862" max="4862" width="8.140625" style="76" customWidth="1"/>
    <col min="4863" max="4863" width="6" style="76" customWidth="1"/>
    <col min="4864" max="4864" width="9.85546875" style="76" customWidth="1"/>
    <col min="4865" max="4865" width="12.28515625" style="76" customWidth="1"/>
    <col min="4866" max="4866" width="29" style="76" customWidth="1"/>
    <col min="4867" max="4867" width="7.5703125" style="76" customWidth="1"/>
    <col min="4868" max="4868" width="6.85546875" style="76" customWidth="1"/>
    <col min="4869" max="4869" width="8.5703125" style="76"/>
    <col min="4870" max="4870" width="11.85546875" style="76" bestFit="1" customWidth="1"/>
    <col min="4871" max="4871" width="14.28515625" style="76" customWidth="1"/>
    <col min="4872" max="5117" width="8.5703125" style="76"/>
    <col min="5118" max="5118" width="8.140625" style="76" customWidth="1"/>
    <col min="5119" max="5119" width="6" style="76" customWidth="1"/>
    <col min="5120" max="5120" width="9.85546875" style="76" customWidth="1"/>
    <col min="5121" max="5121" width="12.28515625" style="76" customWidth="1"/>
    <col min="5122" max="5122" width="29" style="76" customWidth="1"/>
    <col min="5123" max="5123" width="7.5703125" style="76" customWidth="1"/>
    <col min="5124" max="5124" width="6.85546875" style="76" customWidth="1"/>
    <col min="5125" max="5125" width="8.5703125" style="76"/>
    <col min="5126" max="5126" width="11.85546875" style="76" bestFit="1" customWidth="1"/>
    <col min="5127" max="5127" width="14.28515625" style="76" customWidth="1"/>
    <col min="5128" max="5373" width="8.5703125" style="76"/>
    <col min="5374" max="5374" width="8.140625" style="76" customWidth="1"/>
    <col min="5375" max="5375" width="6" style="76" customWidth="1"/>
    <col min="5376" max="5376" width="9.85546875" style="76" customWidth="1"/>
    <col min="5377" max="5377" width="12.28515625" style="76" customWidth="1"/>
    <col min="5378" max="5378" width="29" style="76" customWidth="1"/>
    <col min="5379" max="5379" width="7.5703125" style="76" customWidth="1"/>
    <col min="5380" max="5380" width="6.85546875" style="76" customWidth="1"/>
    <col min="5381" max="5381" width="8.5703125" style="76"/>
    <col min="5382" max="5382" width="11.85546875" style="76" bestFit="1" customWidth="1"/>
    <col min="5383" max="5383" width="14.28515625" style="76" customWidth="1"/>
    <col min="5384" max="5629" width="8.5703125" style="76"/>
    <col min="5630" max="5630" width="8.140625" style="76" customWidth="1"/>
    <col min="5631" max="5631" width="6" style="76" customWidth="1"/>
    <col min="5632" max="5632" width="9.85546875" style="76" customWidth="1"/>
    <col min="5633" max="5633" width="12.28515625" style="76" customWidth="1"/>
    <col min="5634" max="5634" width="29" style="76" customWidth="1"/>
    <col min="5635" max="5635" width="7.5703125" style="76" customWidth="1"/>
    <col min="5636" max="5636" width="6.85546875" style="76" customWidth="1"/>
    <col min="5637" max="5637" width="8.5703125" style="76"/>
    <col min="5638" max="5638" width="11.85546875" style="76" bestFit="1" customWidth="1"/>
    <col min="5639" max="5639" width="14.28515625" style="76" customWidth="1"/>
    <col min="5640" max="5885" width="8.5703125" style="76"/>
    <col min="5886" max="5886" width="8.140625" style="76" customWidth="1"/>
    <col min="5887" max="5887" width="6" style="76" customWidth="1"/>
    <col min="5888" max="5888" width="9.85546875" style="76" customWidth="1"/>
    <col min="5889" max="5889" width="12.28515625" style="76" customWidth="1"/>
    <col min="5890" max="5890" width="29" style="76" customWidth="1"/>
    <col min="5891" max="5891" width="7.5703125" style="76" customWidth="1"/>
    <col min="5892" max="5892" width="6.85546875" style="76" customWidth="1"/>
    <col min="5893" max="5893" width="8.5703125" style="76"/>
    <col min="5894" max="5894" width="11.85546875" style="76" bestFit="1" customWidth="1"/>
    <col min="5895" max="5895" width="14.28515625" style="76" customWidth="1"/>
    <col min="5896" max="6141" width="8.5703125" style="76"/>
    <col min="6142" max="6142" width="8.140625" style="76" customWidth="1"/>
    <col min="6143" max="6143" width="6" style="76" customWidth="1"/>
    <col min="6144" max="6144" width="9.85546875" style="76" customWidth="1"/>
    <col min="6145" max="6145" width="12.28515625" style="76" customWidth="1"/>
    <col min="6146" max="6146" width="29" style="76" customWidth="1"/>
    <col min="6147" max="6147" width="7.5703125" style="76" customWidth="1"/>
    <col min="6148" max="6148" width="6.85546875" style="76" customWidth="1"/>
    <col min="6149" max="6149" width="8.5703125" style="76"/>
    <col min="6150" max="6150" width="11.85546875" style="76" bestFit="1" customWidth="1"/>
    <col min="6151" max="6151" width="14.28515625" style="76" customWidth="1"/>
    <col min="6152" max="6397" width="8.5703125" style="76"/>
    <col min="6398" max="6398" width="8.140625" style="76" customWidth="1"/>
    <col min="6399" max="6399" width="6" style="76" customWidth="1"/>
    <col min="6400" max="6400" width="9.85546875" style="76" customWidth="1"/>
    <col min="6401" max="6401" width="12.28515625" style="76" customWidth="1"/>
    <col min="6402" max="6402" width="29" style="76" customWidth="1"/>
    <col min="6403" max="6403" width="7.5703125" style="76" customWidth="1"/>
    <col min="6404" max="6404" width="6.85546875" style="76" customWidth="1"/>
    <col min="6405" max="6405" width="8.5703125" style="76"/>
    <col min="6406" max="6406" width="11.85546875" style="76" bestFit="1" customWidth="1"/>
    <col min="6407" max="6407" width="14.28515625" style="76" customWidth="1"/>
    <col min="6408" max="6653" width="8.5703125" style="76"/>
    <col min="6654" max="6654" width="8.140625" style="76" customWidth="1"/>
    <col min="6655" max="6655" width="6" style="76" customWidth="1"/>
    <col min="6656" max="6656" width="9.85546875" style="76" customWidth="1"/>
    <col min="6657" max="6657" width="12.28515625" style="76" customWidth="1"/>
    <col min="6658" max="6658" width="29" style="76" customWidth="1"/>
    <col min="6659" max="6659" width="7.5703125" style="76" customWidth="1"/>
    <col min="6660" max="6660" width="6.85546875" style="76" customWidth="1"/>
    <col min="6661" max="6661" width="8.5703125" style="76"/>
    <col min="6662" max="6662" width="11.85546875" style="76" bestFit="1" customWidth="1"/>
    <col min="6663" max="6663" width="14.28515625" style="76" customWidth="1"/>
    <col min="6664" max="6909" width="8.5703125" style="76"/>
    <col min="6910" max="6910" width="8.140625" style="76" customWidth="1"/>
    <col min="6911" max="6911" width="6" style="76" customWidth="1"/>
    <col min="6912" max="6912" width="9.85546875" style="76" customWidth="1"/>
    <col min="6913" max="6913" width="12.28515625" style="76" customWidth="1"/>
    <col min="6914" max="6914" width="29" style="76" customWidth="1"/>
    <col min="6915" max="6915" width="7.5703125" style="76" customWidth="1"/>
    <col min="6916" max="6916" width="6.85546875" style="76" customWidth="1"/>
    <col min="6917" max="6917" width="8.5703125" style="76"/>
    <col min="6918" max="6918" width="11.85546875" style="76" bestFit="1" customWidth="1"/>
    <col min="6919" max="6919" width="14.28515625" style="76" customWidth="1"/>
    <col min="6920" max="7165" width="8.5703125" style="76"/>
    <col min="7166" max="7166" width="8.140625" style="76" customWidth="1"/>
    <col min="7167" max="7167" width="6" style="76" customWidth="1"/>
    <col min="7168" max="7168" width="9.85546875" style="76" customWidth="1"/>
    <col min="7169" max="7169" width="12.28515625" style="76" customWidth="1"/>
    <col min="7170" max="7170" width="29" style="76" customWidth="1"/>
    <col min="7171" max="7171" width="7.5703125" style="76" customWidth="1"/>
    <col min="7172" max="7172" width="6.85546875" style="76" customWidth="1"/>
    <col min="7173" max="7173" width="8.5703125" style="76"/>
    <col min="7174" max="7174" width="11.85546875" style="76" bestFit="1" customWidth="1"/>
    <col min="7175" max="7175" width="14.28515625" style="76" customWidth="1"/>
    <col min="7176" max="7421" width="8.5703125" style="76"/>
    <col min="7422" max="7422" width="8.140625" style="76" customWidth="1"/>
    <col min="7423" max="7423" width="6" style="76" customWidth="1"/>
    <col min="7424" max="7424" width="9.85546875" style="76" customWidth="1"/>
    <col min="7425" max="7425" width="12.28515625" style="76" customWidth="1"/>
    <col min="7426" max="7426" width="29" style="76" customWidth="1"/>
    <col min="7427" max="7427" width="7.5703125" style="76" customWidth="1"/>
    <col min="7428" max="7428" width="6.85546875" style="76" customWidth="1"/>
    <col min="7429" max="7429" width="8.5703125" style="76"/>
    <col min="7430" max="7430" width="11.85546875" style="76" bestFit="1" customWidth="1"/>
    <col min="7431" max="7431" width="14.28515625" style="76" customWidth="1"/>
    <col min="7432" max="7677" width="8.5703125" style="76"/>
    <col min="7678" max="7678" width="8.140625" style="76" customWidth="1"/>
    <col min="7679" max="7679" width="6" style="76" customWidth="1"/>
    <col min="7680" max="7680" width="9.85546875" style="76" customWidth="1"/>
    <col min="7681" max="7681" width="12.28515625" style="76" customWidth="1"/>
    <col min="7682" max="7682" width="29" style="76" customWidth="1"/>
    <col min="7683" max="7683" width="7.5703125" style="76" customWidth="1"/>
    <col min="7684" max="7684" width="6.85546875" style="76" customWidth="1"/>
    <col min="7685" max="7685" width="8.5703125" style="76"/>
    <col min="7686" max="7686" width="11.85546875" style="76" bestFit="1" customWidth="1"/>
    <col min="7687" max="7687" width="14.28515625" style="76" customWidth="1"/>
    <col min="7688" max="7933" width="8.5703125" style="76"/>
    <col min="7934" max="7934" width="8.140625" style="76" customWidth="1"/>
    <col min="7935" max="7935" width="6" style="76" customWidth="1"/>
    <col min="7936" max="7936" width="9.85546875" style="76" customWidth="1"/>
    <col min="7937" max="7937" width="12.28515625" style="76" customWidth="1"/>
    <col min="7938" max="7938" width="29" style="76" customWidth="1"/>
    <col min="7939" max="7939" width="7.5703125" style="76" customWidth="1"/>
    <col min="7940" max="7940" width="6.85546875" style="76" customWidth="1"/>
    <col min="7941" max="7941" width="8.5703125" style="76"/>
    <col min="7942" max="7942" width="11.85546875" style="76" bestFit="1" customWidth="1"/>
    <col min="7943" max="7943" width="14.28515625" style="76" customWidth="1"/>
    <col min="7944" max="8189" width="8.5703125" style="76"/>
    <col min="8190" max="8190" width="8.140625" style="76" customWidth="1"/>
    <col min="8191" max="8191" width="6" style="76" customWidth="1"/>
    <col min="8192" max="8192" width="9.85546875" style="76" customWidth="1"/>
    <col min="8193" max="8193" width="12.28515625" style="76" customWidth="1"/>
    <col min="8194" max="8194" width="29" style="76" customWidth="1"/>
    <col min="8195" max="8195" width="7.5703125" style="76" customWidth="1"/>
    <col min="8196" max="8196" width="6.85546875" style="76" customWidth="1"/>
    <col min="8197" max="8197" width="8.5703125" style="76"/>
    <col min="8198" max="8198" width="11.85546875" style="76" bestFit="1" customWidth="1"/>
    <col min="8199" max="8199" width="14.28515625" style="76" customWidth="1"/>
    <col min="8200" max="8445" width="8.5703125" style="76"/>
    <col min="8446" max="8446" width="8.140625" style="76" customWidth="1"/>
    <col min="8447" max="8447" width="6" style="76" customWidth="1"/>
    <col min="8448" max="8448" width="9.85546875" style="76" customWidth="1"/>
    <col min="8449" max="8449" width="12.28515625" style="76" customWidth="1"/>
    <col min="8450" max="8450" width="29" style="76" customWidth="1"/>
    <col min="8451" max="8451" width="7.5703125" style="76" customWidth="1"/>
    <col min="8452" max="8452" width="6.85546875" style="76" customWidth="1"/>
    <col min="8453" max="8453" width="8.5703125" style="76"/>
    <col min="8454" max="8454" width="11.85546875" style="76" bestFit="1" customWidth="1"/>
    <col min="8455" max="8455" width="14.28515625" style="76" customWidth="1"/>
    <col min="8456" max="8701" width="8.5703125" style="76"/>
    <col min="8702" max="8702" width="8.140625" style="76" customWidth="1"/>
    <col min="8703" max="8703" width="6" style="76" customWidth="1"/>
    <col min="8704" max="8704" width="9.85546875" style="76" customWidth="1"/>
    <col min="8705" max="8705" width="12.28515625" style="76" customWidth="1"/>
    <col min="8706" max="8706" width="29" style="76" customWidth="1"/>
    <col min="8707" max="8707" width="7.5703125" style="76" customWidth="1"/>
    <col min="8708" max="8708" width="6.85546875" style="76" customWidth="1"/>
    <col min="8709" max="8709" width="8.5703125" style="76"/>
    <col min="8710" max="8710" width="11.85546875" style="76" bestFit="1" customWidth="1"/>
    <col min="8711" max="8711" width="14.28515625" style="76" customWidth="1"/>
    <col min="8712" max="8957" width="8.5703125" style="76"/>
    <col min="8958" max="8958" width="8.140625" style="76" customWidth="1"/>
    <col min="8959" max="8959" width="6" style="76" customWidth="1"/>
    <col min="8960" max="8960" width="9.85546875" style="76" customWidth="1"/>
    <col min="8961" max="8961" width="12.28515625" style="76" customWidth="1"/>
    <col min="8962" max="8962" width="29" style="76" customWidth="1"/>
    <col min="8963" max="8963" width="7.5703125" style="76" customWidth="1"/>
    <col min="8964" max="8964" width="6.85546875" style="76" customWidth="1"/>
    <col min="8965" max="8965" width="8.5703125" style="76"/>
    <col min="8966" max="8966" width="11.85546875" style="76" bestFit="1" customWidth="1"/>
    <col min="8967" max="8967" width="14.28515625" style="76" customWidth="1"/>
    <col min="8968" max="9213" width="8.5703125" style="76"/>
    <col min="9214" max="9214" width="8.140625" style="76" customWidth="1"/>
    <col min="9215" max="9215" width="6" style="76" customWidth="1"/>
    <col min="9216" max="9216" width="9.85546875" style="76" customWidth="1"/>
    <col min="9217" max="9217" width="12.28515625" style="76" customWidth="1"/>
    <col min="9218" max="9218" width="29" style="76" customWidth="1"/>
    <col min="9219" max="9219" width="7.5703125" style="76" customWidth="1"/>
    <col min="9220" max="9220" width="6.85546875" style="76" customWidth="1"/>
    <col min="9221" max="9221" width="8.5703125" style="76"/>
    <col min="9222" max="9222" width="11.85546875" style="76" bestFit="1" customWidth="1"/>
    <col min="9223" max="9223" width="14.28515625" style="76" customWidth="1"/>
    <col min="9224" max="9469" width="8.5703125" style="76"/>
    <col min="9470" max="9470" width="8.140625" style="76" customWidth="1"/>
    <col min="9471" max="9471" width="6" style="76" customWidth="1"/>
    <col min="9472" max="9472" width="9.85546875" style="76" customWidth="1"/>
    <col min="9473" max="9473" width="12.28515625" style="76" customWidth="1"/>
    <col min="9474" max="9474" width="29" style="76" customWidth="1"/>
    <col min="9475" max="9475" width="7.5703125" style="76" customWidth="1"/>
    <col min="9476" max="9476" width="6.85546875" style="76" customWidth="1"/>
    <col min="9477" max="9477" width="8.5703125" style="76"/>
    <col min="9478" max="9478" width="11.85546875" style="76" bestFit="1" customWidth="1"/>
    <col min="9479" max="9479" width="14.28515625" style="76" customWidth="1"/>
    <col min="9480" max="9725" width="8.5703125" style="76"/>
    <col min="9726" max="9726" width="8.140625" style="76" customWidth="1"/>
    <col min="9727" max="9727" width="6" style="76" customWidth="1"/>
    <col min="9728" max="9728" width="9.85546875" style="76" customWidth="1"/>
    <col min="9729" max="9729" width="12.28515625" style="76" customWidth="1"/>
    <col min="9730" max="9730" width="29" style="76" customWidth="1"/>
    <col min="9731" max="9731" width="7.5703125" style="76" customWidth="1"/>
    <col min="9732" max="9732" width="6.85546875" style="76" customWidth="1"/>
    <col min="9733" max="9733" width="8.5703125" style="76"/>
    <col min="9734" max="9734" width="11.85546875" style="76" bestFit="1" customWidth="1"/>
    <col min="9735" max="9735" width="14.28515625" style="76" customWidth="1"/>
    <col min="9736" max="9981" width="8.5703125" style="76"/>
    <col min="9982" max="9982" width="8.140625" style="76" customWidth="1"/>
    <col min="9983" max="9983" width="6" style="76" customWidth="1"/>
    <col min="9984" max="9984" width="9.85546875" style="76" customWidth="1"/>
    <col min="9985" max="9985" width="12.28515625" style="76" customWidth="1"/>
    <col min="9986" max="9986" width="29" style="76" customWidth="1"/>
    <col min="9987" max="9987" width="7.5703125" style="76" customWidth="1"/>
    <col min="9988" max="9988" width="6.85546875" style="76" customWidth="1"/>
    <col min="9989" max="9989" width="8.5703125" style="76"/>
    <col min="9990" max="9990" width="11.85546875" style="76" bestFit="1" customWidth="1"/>
    <col min="9991" max="9991" width="14.28515625" style="76" customWidth="1"/>
    <col min="9992" max="10237" width="8.5703125" style="76"/>
    <col min="10238" max="10238" width="8.140625" style="76" customWidth="1"/>
    <col min="10239" max="10239" width="6" style="76" customWidth="1"/>
    <col min="10240" max="10240" width="9.85546875" style="76" customWidth="1"/>
    <col min="10241" max="10241" width="12.28515625" style="76" customWidth="1"/>
    <col min="10242" max="10242" width="29" style="76" customWidth="1"/>
    <col min="10243" max="10243" width="7.5703125" style="76" customWidth="1"/>
    <col min="10244" max="10244" width="6.85546875" style="76" customWidth="1"/>
    <col min="10245" max="10245" width="8.5703125" style="76"/>
    <col min="10246" max="10246" width="11.85546875" style="76" bestFit="1" customWidth="1"/>
    <col min="10247" max="10247" width="14.28515625" style="76" customWidth="1"/>
    <col min="10248" max="10493" width="8.5703125" style="76"/>
    <col min="10494" max="10494" width="8.140625" style="76" customWidth="1"/>
    <col min="10495" max="10495" width="6" style="76" customWidth="1"/>
    <col min="10496" max="10496" width="9.85546875" style="76" customWidth="1"/>
    <col min="10497" max="10497" width="12.28515625" style="76" customWidth="1"/>
    <col min="10498" max="10498" width="29" style="76" customWidth="1"/>
    <col min="10499" max="10499" width="7.5703125" style="76" customWidth="1"/>
    <col min="10500" max="10500" width="6.85546875" style="76" customWidth="1"/>
    <col min="10501" max="10501" width="8.5703125" style="76"/>
    <col min="10502" max="10502" width="11.85546875" style="76" bestFit="1" customWidth="1"/>
    <col min="10503" max="10503" width="14.28515625" style="76" customWidth="1"/>
    <col min="10504" max="10749" width="8.5703125" style="76"/>
    <col min="10750" max="10750" width="8.140625" style="76" customWidth="1"/>
    <col min="10751" max="10751" width="6" style="76" customWidth="1"/>
    <col min="10752" max="10752" width="9.85546875" style="76" customWidth="1"/>
    <col min="10753" max="10753" width="12.28515625" style="76" customWidth="1"/>
    <col min="10754" max="10754" width="29" style="76" customWidth="1"/>
    <col min="10755" max="10755" width="7.5703125" style="76" customWidth="1"/>
    <col min="10756" max="10756" width="6.85546875" style="76" customWidth="1"/>
    <col min="10757" max="10757" width="8.5703125" style="76"/>
    <col min="10758" max="10758" width="11.85546875" style="76" bestFit="1" customWidth="1"/>
    <col min="10759" max="10759" width="14.28515625" style="76" customWidth="1"/>
    <col min="10760" max="11005" width="8.5703125" style="76"/>
    <col min="11006" max="11006" width="8.140625" style="76" customWidth="1"/>
    <col min="11007" max="11007" width="6" style="76" customWidth="1"/>
    <col min="11008" max="11008" width="9.85546875" style="76" customWidth="1"/>
    <col min="11009" max="11009" width="12.28515625" style="76" customWidth="1"/>
    <col min="11010" max="11010" width="29" style="76" customWidth="1"/>
    <col min="11011" max="11011" width="7.5703125" style="76" customWidth="1"/>
    <col min="11012" max="11012" width="6.85546875" style="76" customWidth="1"/>
    <col min="11013" max="11013" width="8.5703125" style="76"/>
    <col min="11014" max="11014" width="11.85546875" style="76" bestFit="1" customWidth="1"/>
    <col min="11015" max="11015" width="14.28515625" style="76" customWidth="1"/>
    <col min="11016" max="11261" width="8.5703125" style="76"/>
    <col min="11262" max="11262" width="8.140625" style="76" customWidth="1"/>
    <col min="11263" max="11263" width="6" style="76" customWidth="1"/>
    <col min="11264" max="11264" width="9.85546875" style="76" customWidth="1"/>
    <col min="11265" max="11265" width="12.28515625" style="76" customWidth="1"/>
    <col min="11266" max="11266" width="29" style="76" customWidth="1"/>
    <col min="11267" max="11267" width="7.5703125" style="76" customWidth="1"/>
    <col min="11268" max="11268" width="6.85546875" style="76" customWidth="1"/>
    <col min="11269" max="11269" width="8.5703125" style="76"/>
    <col min="11270" max="11270" width="11.85546875" style="76" bestFit="1" customWidth="1"/>
    <col min="11271" max="11271" width="14.28515625" style="76" customWidth="1"/>
    <col min="11272" max="11517" width="8.5703125" style="76"/>
    <col min="11518" max="11518" width="8.140625" style="76" customWidth="1"/>
    <col min="11519" max="11519" width="6" style="76" customWidth="1"/>
    <col min="11520" max="11520" width="9.85546875" style="76" customWidth="1"/>
    <col min="11521" max="11521" width="12.28515625" style="76" customWidth="1"/>
    <col min="11522" max="11522" width="29" style="76" customWidth="1"/>
    <col min="11523" max="11523" width="7.5703125" style="76" customWidth="1"/>
    <col min="11524" max="11524" width="6.85546875" style="76" customWidth="1"/>
    <col min="11525" max="11525" width="8.5703125" style="76"/>
    <col min="11526" max="11526" width="11.85546875" style="76" bestFit="1" customWidth="1"/>
    <col min="11527" max="11527" width="14.28515625" style="76" customWidth="1"/>
    <col min="11528" max="11773" width="8.5703125" style="76"/>
    <col min="11774" max="11774" width="8.140625" style="76" customWidth="1"/>
    <col min="11775" max="11775" width="6" style="76" customWidth="1"/>
    <col min="11776" max="11776" width="9.85546875" style="76" customWidth="1"/>
    <col min="11777" max="11777" width="12.28515625" style="76" customWidth="1"/>
    <col min="11778" max="11778" width="29" style="76" customWidth="1"/>
    <col min="11779" max="11779" width="7.5703125" style="76" customWidth="1"/>
    <col min="11780" max="11780" width="6.85546875" style="76" customWidth="1"/>
    <col min="11781" max="11781" width="8.5703125" style="76"/>
    <col min="11782" max="11782" width="11.85546875" style="76" bestFit="1" customWidth="1"/>
    <col min="11783" max="11783" width="14.28515625" style="76" customWidth="1"/>
    <col min="11784" max="12029" width="8.5703125" style="76"/>
    <col min="12030" max="12030" width="8.140625" style="76" customWidth="1"/>
    <col min="12031" max="12031" width="6" style="76" customWidth="1"/>
    <col min="12032" max="12032" width="9.85546875" style="76" customWidth="1"/>
    <col min="12033" max="12033" width="12.28515625" style="76" customWidth="1"/>
    <col min="12034" max="12034" width="29" style="76" customWidth="1"/>
    <col min="12035" max="12035" width="7.5703125" style="76" customWidth="1"/>
    <col min="12036" max="12036" width="6.85546875" style="76" customWidth="1"/>
    <col min="12037" max="12037" width="8.5703125" style="76"/>
    <col min="12038" max="12038" width="11.85546875" style="76" bestFit="1" customWidth="1"/>
    <col min="12039" max="12039" width="14.28515625" style="76" customWidth="1"/>
    <col min="12040" max="12285" width="8.5703125" style="76"/>
    <col min="12286" max="12286" width="8.140625" style="76" customWidth="1"/>
    <col min="12287" max="12287" width="6" style="76" customWidth="1"/>
    <col min="12288" max="12288" width="9.85546875" style="76" customWidth="1"/>
    <col min="12289" max="12289" width="12.28515625" style="76" customWidth="1"/>
    <col min="12290" max="12290" width="29" style="76" customWidth="1"/>
    <col min="12291" max="12291" width="7.5703125" style="76" customWidth="1"/>
    <col min="12292" max="12292" width="6.85546875" style="76" customWidth="1"/>
    <col min="12293" max="12293" width="8.5703125" style="76"/>
    <col min="12294" max="12294" width="11.85546875" style="76" bestFit="1" customWidth="1"/>
    <col min="12295" max="12295" width="14.28515625" style="76" customWidth="1"/>
    <col min="12296" max="12541" width="8.5703125" style="76"/>
    <col min="12542" max="12542" width="8.140625" style="76" customWidth="1"/>
    <col min="12543" max="12543" width="6" style="76" customWidth="1"/>
    <col min="12544" max="12544" width="9.85546875" style="76" customWidth="1"/>
    <col min="12545" max="12545" width="12.28515625" style="76" customWidth="1"/>
    <col min="12546" max="12546" width="29" style="76" customWidth="1"/>
    <col min="12547" max="12547" width="7.5703125" style="76" customWidth="1"/>
    <col min="12548" max="12548" width="6.85546875" style="76" customWidth="1"/>
    <col min="12549" max="12549" width="8.5703125" style="76"/>
    <col min="12550" max="12550" width="11.85546875" style="76" bestFit="1" customWidth="1"/>
    <col min="12551" max="12551" width="14.28515625" style="76" customWidth="1"/>
    <col min="12552" max="12797" width="8.5703125" style="76"/>
    <col min="12798" max="12798" width="8.140625" style="76" customWidth="1"/>
    <col min="12799" max="12799" width="6" style="76" customWidth="1"/>
    <col min="12800" max="12800" width="9.85546875" style="76" customWidth="1"/>
    <col min="12801" max="12801" width="12.28515625" style="76" customWidth="1"/>
    <col min="12802" max="12802" width="29" style="76" customWidth="1"/>
    <col min="12803" max="12803" width="7.5703125" style="76" customWidth="1"/>
    <col min="12804" max="12804" width="6.85546875" style="76" customWidth="1"/>
    <col min="12805" max="12805" width="8.5703125" style="76"/>
    <col min="12806" max="12806" width="11.85546875" style="76" bestFit="1" customWidth="1"/>
    <col min="12807" max="12807" width="14.28515625" style="76" customWidth="1"/>
    <col min="12808" max="13053" width="8.5703125" style="76"/>
    <col min="13054" max="13054" width="8.140625" style="76" customWidth="1"/>
    <col min="13055" max="13055" width="6" style="76" customWidth="1"/>
    <col min="13056" max="13056" width="9.85546875" style="76" customWidth="1"/>
    <col min="13057" max="13057" width="12.28515625" style="76" customWidth="1"/>
    <col min="13058" max="13058" width="29" style="76" customWidth="1"/>
    <col min="13059" max="13059" width="7.5703125" style="76" customWidth="1"/>
    <col min="13060" max="13060" width="6.85546875" style="76" customWidth="1"/>
    <col min="13061" max="13061" width="8.5703125" style="76"/>
    <col min="13062" max="13062" width="11.85546875" style="76" bestFit="1" customWidth="1"/>
    <col min="13063" max="13063" width="14.28515625" style="76" customWidth="1"/>
    <col min="13064" max="13309" width="8.5703125" style="76"/>
    <col min="13310" max="13310" width="8.140625" style="76" customWidth="1"/>
    <col min="13311" max="13311" width="6" style="76" customWidth="1"/>
    <col min="13312" max="13312" width="9.85546875" style="76" customWidth="1"/>
    <col min="13313" max="13313" width="12.28515625" style="76" customWidth="1"/>
    <col min="13314" max="13314" width="29" style="76" customWidth="1"/>
    <col min="13315" max="13315" width="7.5703125" style="76" customWidth="1"/>
    <col min="13316" max="13316" width="6.85546875" style="76" customWidth="1"/>
    <col min="13317" max="13317" width="8.5703125" style="76"/>
    <col min="13318" max="13318" width="11.85546875" style="76" bestFit="1" customWidth="1"/>
    <col min="13319" max="13319" width="14.28515625" style="76" customWidth="1"/>
    <col min="13320" max="13565" width="8.5703125" style="76"/>
    <col min="13566" max="13566" width="8.140625" style="76" customWidth="1"/>
    <col min="13567" max="13567" width="6" style="76" customWidth="1"/>
    <col min="13568" max="13568" width="9.85546875" style="76" customWidth="1"/>
    <col min="13569" max="13569" width="12.28515625" style="76" customWidth="1"/>
    <col min="13570" max="13570" width="29" style="76" customWidth="1"/>
    <col min="13571" max="13571" width="7.5703125" style="76" customWidth="1"/>
    <col min="13572" max="13572" width="6.85546875" style="76" customWidth="1"/>
    <col min="13573" max="13573" width="8.5703125" style="76"/>
    <col min="13574" max="13574" width="11.85546875" style="76" bestFit="1" customWidth="1"/>
    <col min="13575" max="13575" width="14.28515625" style="76" customWidth="1"/>
    <col min="13576" max="13821" width="8.5703125" style="76"/>
    <col min="13822" max="13822" width="8.140625" style="76" customWidth="1"/>
    <col min="13823" max="13823" width="6" style="76" customWidth="1"/>
    <col min="13824" max="13824" width="9.85546875" style="76" customWidth="1"/>
    <col min="13825" max="13825" width="12.28515625" style="76" customWidth="1"/>
    <col min="13826" max="13826" width="29" style="76" customWidth="1"/>
    <col min="13827" max="13827" width="7.5703125" style="76" customWidth="1"/>
    <col min="13828" max="13828" width="6.85546875" style="76" customWidth="1"/>
    <col min="13829" max="13829" width="8.5703125" style="76"/>
    <col min="13830" max="13830" width="11.85546875" style="76" bestFit="1" customWidth="1"/>
    <col min="13831" max="13831" width="14.28515625" style="76" customWidth="1"/>
    <col min="13832" max="14077" width="8.5703125" style="76"/>
    <col min="14078" max="14078" width="8.140625" style="76" customWidth="1"/>
    <col min="14079" max="14079" width="6" style="76" customWidth="1"/>
    <col min="14080" max="14080" width="9.85546875" style="76" customWidth="1"/>
    <col min="14081" max="14081" width="12.28515625" style="76" customWidth="1"/>
    <col min="14082" max="14082" width="29" style="76" customWidth="1"/>
    <col min="14083" max="14083" width="7.5703125" style="76" customWidth="1"/>
    <col min="14084" max="14084" width="6.85546875" style="76" customWidth="1"/>
    <col min="14085" max="14085" width="8.5703125" style="76"/>
    <col min="14086" max="14086" width="11.85546875" style="76" bestFit="1" customWidth="1"/>
    <col min="14087" max="14087" width="14.28515625" style="76" customWidth="1"/>
    <col min="14088" max="14333" width="8.5703125" style="76"/>
    <col min="14334" max="14334" width="8.140625" style="76" customWidth="1"/>
    <col min="14335" max="14335" width="6" style="76" customWidth="1"/>
    <col min="14336" max="14336" width="9.85546875" style="76" customWidth="1"/>
    <col min="14337" max="14337" width="12.28515625" style="76" customWidth="1"/>
    <col min="14338" max="14338" width="29" style="76" customWidth="1"/>
    <col min="14339" max="14339" width="7.5703125" style="76" customWidth="1"/>
    <col min="14340" max="14340" width="6.85546875" style="76" customWidth="1"/>
    <col min="14341" max="14341" width="8.5703125" style="76"/>
    <col min="14342" max="14342" width="11.85546875" style="76" bestFit="1" customWidth="1"/>
    <col min="14343" max="14343" width="14.28515625" style="76" customWidth="1"/>
    <col min="14344" max="14589" width="8.5703125" style="76"/>
    <col min="14590" max="14590" width="8.140625" style="76" customWidth="1"/>
    <col min="14591" max="14591" width="6" style="76" customWidth="1"/>
    <col min="14592" max="14592" width="9.85546875" style="76" customWidth="1"/>
    <col min="14593" max="14593" width="12.28515625" style="76" customWidth="1"/>
    <col min="14594" max="14594" width="29" style="76" customWidth="1"/>
    <col min="14595" max="14595" width="7.5703125" style="76" customWidth="1"/>
    <col min="14596" max="14596" width="6.85546875" style="76" customWidth="1"/>
    <col min="14597" max="14597" width="8.5703125" style="76"/>
    <col min="14598" max="14598" width="11.85546875" style="76" bestFit="1" customWidth="1"/>
    <col min="14599" max="14599" width="14.28515625" style="76" customWidth="1"/>
    <col min="14600" max="14845" width="8.5703125" style="76"/>
    <col min="14846" max="14846" width="8.140625" style="76" customWidth="1"/>
    <col min="14847" max="14847" width="6" style="76" customWidth="1"/>
    <col min="14848" max="14848" width="9.85546875" style="76" customWidth="1"/>
    <col min="14849" max="14849" width="12.28515625" style="76" customWidth="1"/>
    <col min="14850" max="14850" width="29" style="76" customWidth="1"/>
    <col min="14851" max="14851" width="7.5703125" style="76" customWidth="1"/>
    <col min="14852" max="14852" width="6.85546875" style="76" customWidth="1"/>
    <col min="14853" max="14853" width="8.5703125" style="76"/>
    <col min="14854" max="14854" width="11.85546875" style="76" bestFit="1" customWidth="1"/>
    <col min="14855" max="14855" width="14.28515625" style="76" customWidth="1"/>
    <col min="14856" max="15101" width="8.5703125" style="76"/>
    <col min="15102" max="15102" width="8.140625" style="76" customWidth="1"/>
    <col min="15103" max="15103" width="6" style="76" customWidth="1"/>
    <col min="15104" max="15104" width="9.85546875" style="76" customWidth="1"/>
    <col min="15105" max="15105" width="12.28515625" style="76" customWidth="1"/>
    <col min="15106" max="15106" width="29" style="76" customWidth="1"/>
    <col min="15107" max="15107" width="7.5703125" style="76" customWidth="1"/>
    <col min="15108" max="15108" width="6.85546875" style="76" customWidth="1"/>
    <col min="15109" max="15109" width="8.5703125" style="76"/>
    <col min="15110" max="15110" width="11.85546875" style="76" bestFit="1" customWidth="1"/>
    <col min="15111" max="15111" width="14.28515625" style="76" customWidth="1"/>
    <col min="15112" max="15357" width="8.5703125" style="76"/>
    <col min="15358" max="15358" width="8.140625" style="76" customWidth="1"/>
    <col min="15359" max="15359" width="6" style="76" customWidth="1"/>
    <col min="15360" max="15360" width="9.85546875" style="76" customWidth="1"/>
    <col min="15361" max="15361" width="12.28515625" style="76" customWidth="1"/>
    <col min="15362" max="15362" width="29" style="76" customWidth="1"/>
    <col min="15363" max="15363" width="7.5703125" style="76" customWidth="1"/>
    <col min="15364" max="15364" width="6.85546875" style="76" customWidth="1"/>
    <col min="15365" max="15365" width="8.5703125" style="76"/>
    <col min="15366" max="15366" width="11.85546875" style="76" bestFit="1" customWidth="1"/>
    <col min="15367" max="15367" width="14.28515625" style="76" customWidth="1"/>
    <col min="15368" max="15613" width="8.5703125" style="76"/>
    <col min="15614" max="15614" width="8.140625" style="76" customWidth="1"/>
    <col min="15615" max="15615" width="6" style="76" customWidth="1"/>
    <col min="15616" max="15616" width="9.85546875" style="76" customWidth="1"/>
    <col min="15617" max="15617" width="12.28515625" style="76" customWidth="1"/>
    <col min="15618" max="15618" width="29" style="76" customWidth="1"/>
    <col min="15619" max="15619" width="7.5703125" style="76" customWidth="1"/>
    <col min="15620" max="15620" width="6.85546875" style="76" customWidth="1"/>
    <col min="15621" max="15621" width="8.5703125" style="76"/>
    <col min="15622" max="15622" width="11.85546875" style="76" bestFit="1" customWidth="1"/>
    <col min="15623" max="15623" width="14.28515625" style="76" customWidth="1"/>
    <col min="15624" max="15869" width="8.5703125" style="76"/>
    <col min="15870" max="15870" width="8.140625" style="76" customWidth="1"/>
    <col min="15871" max="15871" width="6" style="76" customWidth="1"/>
    <col min="15872" max="15872" width="9.85546875" style="76" customWidth="1"/>
    <col min="15873" max="15873" width="12.28515625" style="76" customWidth="1"/>
    <col min="15874" max="15874" width="29" style="76" customWidth="1"/>
    <col min="15875" max="15875" width="7.5703125" style="76" customWidth="1"/>
    <col min="15876" max="15876" width="6.85546875" style="76" customWidth="1"/>
    <col min="15877" max="15877" width="8.5703125" style="76"/>
    <col min="15878" max="15878" width="11.85546875" style="76" bestFit="1" customWidth="1"/>
    <col min="15879" max="15879" width="14.28515625" style="76" customWidth="1"/>
    <col min="15880" max="16125" width="8.5703125" style="76"/>
    <col min="16126" max="16126" width="8.140625" style="76" customWidth="1"/>
    <col min="16127" max="16127" width="6" style="76" customWidth="1"/>
    <col min="16128" max="16128" width="9.85546875" style="76" customWidth="1"/>
    <col min="16129" max="16129" width="12.28515625" style="76" customWidth="1"/>
    <col min="16130" max="16130" width="29" style="76" customWidth="1"/>
    <col min="16131" max="16131" width="7.5703125" style="76" customWidth="1"/>
    <col min="16132" max="16132" width="6.85546875" style="76" customWidth="1"/>
    <col min="16133" max="16133" width="8.5703125" style="76"/>
    <col min="16134" max="16134" width="11.85546875" style="76" bestFit="1" customWidth="1"/>
    <col min="16135" max="16135" width="14.28515625" style="76" customWidth="1"/>
    <col min="16136" max="16384" width="8.5703125" style="76"/>
  </cols>
  <sheetData>
    <row r="1" spans="1:9" x14ac:dyDescent="0.2">
      <c r="A1" s="201" t="s">
        <v>176</v>
      </c>
      <c r="B1" s="202"/>
      <c r="C1" s="202"/>
      <c r="D1" s="202"/>
      <c r="E1" s="202"/>
      <c r="F1" s="202"/>
      <c r="G1" s="202"/>
      <c r="H1" s="203"/>
      <c r="I1" s="204" t="s">
        <v>152</v>
      </c>
    </row>
    <row r="2" spans="1:9" x14ac:dyDescent="0.2">
      <c r="A2" s="206" t="s">
        <v>1</v>
      </c>
      <c r="B2" s="207"/>
      <c r="C2" s="207"/>
      <c r="D2" s="207"/>
      <c r="E2" s="207"/>
      <c r="F2" s="207"/>
      <c r="G2" s="207"/>
      <c r="H2" s="208"/>
      <c r="I2" s="205"/>
    </row>
    <row r="3" spans="1:9" x14ac:dyDescent="0.2">
      <c r="A3" s="206" t="s">
        <v>174</v>
      </c>
      <c r="B3" s="207"/>
      <c r="C3" s="207"/>
      <c r="D3" s="207"/>
      <c r="E3" s="207"/>
      <c r="F3" s="207"/>
      <c r="G3" s="207"/>
      <c r="H3" s="208"/>
      <c r="I3" s="205"/>
    </row>
    <row r="4" spans="1:9" x14ac:dyDescent="0.2">
      <c r="A4" s="206" t="s">
        <v>177</v>
      </c>
      <c r="B4" s="207"/>
      <c r="C4" s="207"/>
      <c r="D4" s="207"/>
      <c r="E4" s="207"/>
      <c r="F4" s="207"/>
      <c r="G4" s="207"/>
      <c r="H4" s="208"/>
      <c r="I4" s="205"/>
    </row>
    <row r="5" spans="1:9" x14ac:dyDescent="0.2">
      <c r="A5" s="106"/>
      <c r="B5" s="107"/>
      <c r="C5" s="108"/>
      <c r="D5" s="109"/>
      <c r="E5" s="108"/>
      <c r="F5" s="110"/>
      <c r="G5" s="111"/>
      <c r="H5" s="112"/>
      <c r="I5" s="205"/>
    </row>
    <row r="6" spans="1:9" x14ac:dyDescent="0.2">
      <c r="A6" s="209" t="s">
        <v>260</v>
      </c>
      <c r="B6" s="210"/>
      <c r="C6" s="210"/>
      <c r="D6" s="210"/>
      <c r="E6" s="210"/>
      <c r="F6" s="210"/>
      <c r="G6" s="210"/>
      <c r="H6" s="113"/>
      <c r="I6" s="205"/>
    </row>
    <row r="7" spans="1:9" x14ac:dyDescent="0.2">
      <c r="A7" s="211" t="s">
        <v>153</v>
      </c>
      <c r="B7" s="212"/>
      <c r="C7" s="212"/>
      <c r="D7" s="212"/>
      <c r="E7" s="212"/>
      <c r="F7" s="212"/>
      <c r="G7" s="212"/>
      <c r="H7" s="114"/>
      <c r="I7" s="205"/>
    </row>
    <row r="8" spans="1:9" x14ac:dyDescent="0.2">
      <c r="A8" s="115" t="s">
        <v>788</v>
      </c>
      <c r="B8" s="116"/>
      <c r="C8" s="116"/>
      <c r="D8" s="117"/>
      <c r="E8" s="116"/>
      <c r="F8" s="116"/>
      <c r="G8" s="118"/>
      <c r="H8" s="119"/>
      <c r="I8" s="205"/>
    </row>
    <row r="9" spans="1:9" ht="38.25" customHeight="1" x14ac:dyDescent="0.2">
      <c r="A9" s="120" t="s">
        <v>154</v>
      </c>
      <c r="B9" s="120" t="s">
        <v>4</v>
      </c>
      <c r="C9" s="121" t="s">
        <v>155</v>
      </c>
      <c r="D9" s="122" t="s">
        <v>156</v>
      </c>
      <c r="E9" s="121" t="s">
        <v>157</v>
      </c>
      <c r="F9" s="77" t="s">
        <v>7</v>
      </c>
      <c r="G9" s="77" t="s">
        <v>158</v>
      </c>
      <c r="H9" s="121" t="s">
        <v>159</v>
      </c>
      <c r="I9" s="205"/>
    </row>
    <row r="10" spans="1:9" ht="160.5" customHeight="1" x14ac:dyDescent="0.2">
      <c r="A10" s="123" t="s">
        <v>261</v>
      </c>
      <c r="B10" s="124" t="s">
        <v>623</v>
      </c>
      <c r="C10" s="125" t="s">
        <v>625</v>
      </c>
      <c r="D10" s="126">
        <v>2500</v>
      </c>
      <c r="E10" s="127" t="s">
        <v>161</v>
      </c>
      <c r="F10" s="78">
        <f>ROUND(I10,2)</f>
        <v>0</v>
      </c>
      <c r="G10" s="79">
        <f>SUM(F10*D10)</f>
        <v>0</v>
      </c>
      <c r="H10" s="128" t="s">
        <v>162</v>
      </c>
      <c r="I10" s="91"/>
    </row>
    <row r="11" spans="1:9" ht="186" customHeight="1" x14ac:dyDescent="0.2">
      <c r="A11" s="123" t="s">
        <v>262</v>
      </c>
      <c r="B11" s="124" t="s">
        <v>624</v>
      </c>
      <c r="C11" s="125" t="s">
        <v>626</v>
      </c>
      <c r="D11" s="126">
        <v>108000</v>
      </c>
      <c r="E11" s="127" t="s">
        <v>165</v>
      </c>
      <c r="F11" s="81">
        <v>1</v>
      </c>
      <c r="G11" s="79">
        <f>SUM(D11*F11)</f>
        <v>108000</v>
      </c>
      <c r="H11" s="128" t="s">
        <v>162</v>
      </c>
      <c r="I11" s="129"/>
    </row>
    <row r="12" spans="1:9" ht="38.25" x14ac:dyDescent="0.2">
      <c r="A12" s="123" t="s">
        <v>263</v>
      </c>
      <c r="B12" s="124" t="s">
        <v>164</v>
      </c>
      <c r="C12" s="130" t="s">
        <v>167</v>
      </c>
      <c r="D12" s="126">
        <v>2</v>
      </c>
      <c r="E12" s="127" t="s">
        <v>168</v>
      </c>
      <c r="F12" s="78">
        <f>ROUND(I12,2)</f>
        <v>0</v>
      </c>
      <c r="G12" s="79">
        <f>SUM(F12*D12)</f>
        <v>0</v>
      </c>
      <c r="H12" s="128" t="s">
        <v>162</v>
      </c>
      <c r="I12" s="80"/>
    </row>
    <row r="13" spans="1:9" ht="64.5" thickBot="1" x14ac:dyDescent="0.25">
      <c r="A13" s="131" t="s">
        <v>264</v>
      </c>
      <c r="B13" s="132" t="s">
        <v>171</v>
      </c>
      <c r="C13" s="133" t="s">
        <v>172</v>
      </c>
      <c r="D13" s="134">
        <v>100</v>
      </c>
      <c r="E13" s="135" t="s">
        <v>168</v>
      </c>
      <c r="F13" s="99">
        <f>ROUND(I13,2)</f>
        <v>0</v>
      </c>
      <c r="G13" s="100">
        <f>SUM(F13*D13)</f>
        <v>0</v>
      </c>
      <c r="H13" s="136" t="s">
        <v>162</v>
      </c>
      <c r="I13" s="101"/>
    </row>
    <row r="14" spans="1:9" ht="25.5" x14ac:dyDescent="0.2">
      <c r="A14" s="137" t="s">
        <v>154</v>
      </c>
      <c r="B14" s="137" t="s">
        <v>4</v>
      </c>
      <c r="C14" s="138" t="s">
        <v>155</v>
      </c>
      <c r="D14" s="139" t="s">
        <v>156</v>
      </c>
      <c r="E14" s="138" t="s">
        <v>157</v>
      </c>
      <c r="F14" s="97" t="s">
        <v>766</v>
      </c>
      <c r="G14" s="98" t="s">
        <v>765</v>
      </c>
      <c r="H14" s="140" t="s">
        <v>159</v>
      </c>
      <c r="I14" s="141"/>
    </row>
    <row r="15" spans="1:9" ht="28.5" x14ac:dyDescent="0.2">
      <c r="A15" s="123" t="s">
        <v>768</v>
      </c>
      <c r="B15" s="124" t="s">
        <v>763</v>
      </c>
      <c r="C15" s="142" t="s">
        <v>764</v>
      </c>
      <c r="D15" s="143">
        <v>10000</v>
      </c>
      <c r="E15" s="144" t="s">
        <v>165</v>
      </c>
      <c r="F15" s="94">
        <f>ROUND(I15,2)</f>
        <v>0</v>
      </c>
      <c r="G15" s="95">
        <f>SUM(D15*F15)</f>
        <v>0</v>
      </c>
      <c r="H15" s="128"/>
      <c r="I15" s="96"/>
    </row>
    <row r="16" spans="1:9" x14ac:dyDescent="0.2">
      <c r="A16" s="145"/>
      <c r="B16" s="146"/>
      <c r="C16" s="147"/>
      <c r="D16" s="148"/>
      <c r="E16" s="149"/>
      <c r="F16" s="87"/>
      <c r="G16" s="86"/>
      <c r="H16" s="146"/>
      <c r="I16" s="150"/>
    </row>
    <row r="17" spans="1:9" x14ac:dyDescent="0.2">
      <c r="A17" s="151"/>
      <c r="B17" s="200" t="s">
        <v>769</v>
      </c>
      <c r="C17" s="200"/>
      <c r="D17" s="200"/>
      <c r="E17" s="200"/>
      <c r="F17" s="200"/>
      <c r="G17" s="152">
        <f>SUM(G10:G13,G15)</f>
        <v>108000</v>
      </c>
      <c r="H17" s="152"/>
      <c r="I17" s="153"/>
    </row>
    <row r="18" spans="1:9" x14ac:dyDescent="0.2">
      <c r="A18" s="151"/>
      <c r="B18" s="200" t="s">
        <v>265</v>
      </c>
      <c r="C18" s="200"/>
      <c r="D18" s="200"/>
      <c r="E18" s="200"/>
      <c r="F18" s="200"/>
      <c r="G18" s="152"/>
      <c r="H18" s="152"/>
      <c r="I18" s="153"/>
    </row>
    <row r="19" spans="1:9" x14ac:dyDescent="0.2">
      <c r="A19" s="151"/>
      <c r="B19" s="151"/>
      <c r="C19" s="151"/>
      <c r="D19" s="154"/>
      <c r="E19" s="151"/>
      <c r="F19" s="151"/>
      <c r="G19" s="155"/>
      <c r="H19" s="155"/>
      <c r="I19" s="153"/>
    </row>
    <row r="20" spans="1:9" x14ac:dyDescent="0.2">
      <c r="A20" s="151"/>
      <c r="B20" s="151"/>
      <c r="C20" s="156"/>
      <c r="D20" s="154"/>
      <c r="E20" s="151"/>
      <c r="F20" s="151"/>
      <c r="G20" s="155"/>
      <c r="H20" s="155"/>
      <c r="I20" s="153"/>
    </row>
    <row r="21" spans="1:9" x14ac:dyDescent="0.2">
      <c r="A21" s="157" t="s">
        <v>778</v>
      </c>
      <c r="B21" s="157"/>
      <c r="C21" s="151"/>
      <c r="D21" s="154"/>
      <c r="E21" s="151"/>
      <c r="F21" s="151"/>
      <c r="G21" s="155"/>
      <c r="H21" s="155"/>
      <c r="I21" s="153"/>
    </row>
    <row r="22" spans="1:9" x14ac:dyDescent="0.2">
      <c r="A22" s="158" t="s">
        <v>776</v>
      </c>
      <c r="B22" s="199" t="s">
        <v>777</v>
      </c>
      <c r="C22" s="199"/>
      <c r="D22" s="199"/>
      <c r="E22" s="151"/>
      <c r="F22" s="151"/>
      <c r="G22" s="155"/>
      <c r="H22" s="155"/>
      <c r="I22" s="153"/>
    </row>
    <row r="23" spans="1:9" x14ac:dyDescent="0.2">
      <c r="A23" s="151"/>
      <c r="B23" s="199"/>
      <c r="C23" s="199"/>
      <c r="D23" s="199"/>
      <c r="E23" s="151"/>
      <c r="F23" s="151"/>
      <c r="G23" s="155"/>
      <c r="H23" s="155"/>
      <c r="I23" s="153"/>
    </row>
    <row r="24" spans="1:9" x14ac:dyDescent="0.2">
      <c r="A24" s="151"/>
      <c r="B24" s="199"/>
      <c r="C24" s="199"/>
      <c r="D24" s="199"/>
      <c r="E24" s="151"/>
      <c r="F24" s="151"/>
      <c r="G24" s="155"/>
      <c r="H24" s="155"/>
      <c r="I24" s="153"/>
    </row>
    <row r="25" spans="1:9" x14ac:dyDescent="0.2">
      <c r="A25" s="151"/>
      <c r="B25" s="199"/>
      <c r="C25" s="199"/>
      <c r="D25" s="199"/>
      <c r="E25" s="151"/>
      <c r="F25" s="151"/>
      <c r="G25" s="155"/>
      <c r="H25" s="155"/>
      <c r="I25" s="153"/>
    </row>
    <row r="26" spans="1:9" x14ac:dyDescent="0.2">
      <c r="A26" s="151"/>
      <c r="B26" s="199"/>
      <c r="C26" s="199"/>
      <c r="D26" s="199"/>
      <c r="E26" s="151"/>
      <c r="F26" s="151"/>
      <c r="G26" s="155"/>
      <c r="H26" s="155"/>
      <c r="I26" s="153"/>
    </row>
    <row r="27" spans="1:9" x14ac:dyDescent="0.2">
      <c r="A27" s="151"/>
      <c r="B27" s="199"/>
      <c r="C27" s="199"/>
      <c r="D27" s="199"/>
      <c r="E27" s="151"/>
      <c r="F27" s="151"/>
      <c r="G27" s="155"/>
      <c r="H27" s="155"/>
      <c r="I27" s="153"/>
    </row>
    <row r="28" spans="1:9" x14ac:dyDescent="0.2">
      <c r="A28" s="151"/>
      <c r="B28" s="199"/>
      <c r="C28" s="199"/>
      <c r="D28" s="199"/>
      <c r="E28" s="151"/>
      <c r="F28" s="151"/>
      <c r="G28" s="155"/>
      <c r="H28" s="155"/>
      <c r="I28" s="153"/>
    </row>
    <row r="29" spans="1:9" x14ac:dyDescent="0.2">
      <c r="A29" s="151"/>
      <c r="B29" s="199"/>
      <c r="C29" s="199"/>
      <c r="D29" s="199"/>
      <c r="E29" s="151"/>
      <c r="F29" s="151"/>
      <c r="G29" s="155"/>
      <c r="H29" s="155"/>
      <c r="I29" s="153"/>
    </row>
    <row r="30" spans="1:9" x14ac:dyDescent="0.2">
      <c r="A30" s="151"/>
      <c r="B30" s="199"/>
      <c r="C30" s="199"/>
      <c r="D30" s="199"/>
      <c r="E30" s="151"/>
      <c r="F30" s="151"/>
      <c r="G30" s="155"/>
      <c r="H30" s="155"/>
      <c r="I30" s="153"/>
    </row>
    <row r="31" spans="1:9" x14ac:dyDescent="0.2">
      <c r="A31" s="151"/>
      <c r="B31" s="151"/>
      <c r="C31" s="151"/>
      <c r="D31" s="154"/>
      <c r="E31" s="151"/>
      <c r="F31" s="151"/>
      <c r="G31" s="155"/>
      <c r="H31" s="155"/>
      <c r="I31" s="153"/>
    </row>
    <row r="32" spans="1:9" x14ac:dyDescent="0.2">
      <c r="A32" s="151"/>
      <c r="B32" s="151"/>
      <c r="C32" s="151"/>
      <c r="D32" s="154"/>
      <c r="E32" s="151"/>
      <c r="F32" s="151"/>
      <c r="G32" s="155"/>
      <c r="H32" s="155"/>
      <c r="I32" s="153"/>
    </row>
    <row r="33" spans="1:9" x14ac:dyDescent="0.2">
      <c r="A33" s="151"/>
      <c r="B33" s="157" t="s">
        <v>779</v>
      </c>
      <c r="C33" s="151"/>
      <c r="D33" s="154"/>
      <c r="E33" s="151"/>
      <c r="F33" s="151"/>
      <c r="G33" s="155"/>
      <c r="H33" s="155"/>
      <c r="I33" s="153"/>
    </row>
    <row r="34" spans="1:9" x14ac:dyDescent="0.2">
      <c r="A34" s="151"/>
      <c r="B34" s="160" t="s">
        <v>165</v>
      </c>
      <c r="C34" s="157" t="s">
        <v>780</v>
      </c>
      <c r="D34" s="154"/>
      <c r="E34" s="151"/>
      <c r="F34" s="151"/>
      <c r="G34" s="155"/>
      <c r="H34" s="155"/>
      <c r="I34" s="153"/>
    </row>
    <row r="35" spans="1:9" x14ac:dyDescent="0.2">
      <c r="A35" s="151"/>
      <c r="B35" s="160" t="s">
        <v>168</v>
      </c>
      <c r="C35" s="157" t="s">
        <v>781</v>
      </c>
      <c r="D35" s="154"/>
      <c r="E35" s="151"/>
      <c r="F35" s="151"/>
      <c r="G35" s="155"/>
      <c r="H35" s="155"/>
      <c r="I35" s="153"/>
    </row>
    <row r="36" spans="1:9" x14ac:dyDescent="0.2">
      <c r="A36" s="151"/>
      <c r="B36" s="160" t="s">
        <v>161</v>
      </c>
      <c r="C36" s="157" t="s">
        <v>782</v>
      </c>
      <c r="D36" s="154"/>
      <c r="E36" s="151"/>
      <c r="F36" s="151"/>
      <c r="G36" s="155"/>
      <c r="H36" s="155"/>
      <c r="I36" s="153"/>
    </row>
  </sheetData>
  <sheetProtection password="C9A6" sheet="1" selectLockedCells="1"/>
  <mergeCells count="10">
    <mergeCell ref="B22:D30"/>
    <mergeCell ref="B17:F17"/>
    <mergeCell ref="B18:F18"/>
    <mergeCell ref="A1:H1"/>
    <mergeCell ref="I1:I9"/>
    <mergeCell ref="A2:H2"/>
    <mergeCell ref="A3:H3"/>
    <mergeCell ref="A4:H4"/>
    <mergeCell ref="A6:G6"/>
    <mergeCell ref="A7:G7"/>
  </mergeCells>
  <pageMargins left="0.25" right="0.25" top="0.75" bottom="0.75" header="0.3" footer="0.3"/>
  <pageSetup scale="87" firstPageNumber="11" fitToHeight="0" orientation="landscape" r:id="rId1"/>
  <headerFooter alignWithMargins="0"/>
  <rowBreaks count="1" manualBreakCount="1">
    <brk id="1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L144"/>
  <sheetViews>
    <sheetView zoomScale="90" zoomScaleNormal="90" zoomScalePageLayoutView="90" workbookViewId="0">
      <selection activeCell="H12" sqref="H12"/>
    </sheetView>
  </sheetViews>
  <sheetFormatPr defaultRowHeight="15" x14ac:dyDescent="0.25"/>
  <cols>
    <col min="2" max="2" width="70.140625" customWidth="1"/>
    <col min="5" max="5" width="11.85546875" bestFit="1" customWidth="1"/>
    <col min="6" max="6" width="13.5703125" bestFit="1" customWidth="1"/>
    <col min="7" max="7" width="9.5703125" customWidth="1"/>
    <col min="8" max="8" width="14.7109375" customWidth="1"/>
    <col min="12" max="12" width="65.140625" hidden="1" customWidth="1"/>
  </cols>
  <sheetData>
    <row r="1" spans="1:8" x14ac:dyDescent="0.25">
      <c r="A1" s="1"/>
      <c r="B1" s="2"/>
      <c r="C1" s="3"/>
      <c r="D1" s="3"/>
      <c r="E1" s="4"/>
      <c r="F1" s="5"/>
      <c r="G1" s="6"/>
      <c r="H1" s="195" t="s">
        <v>0</v>
      </c>
    </row>
    <row r="2" spans="1:8" x14ac:dyDescent="0.25">
      <c r="A2" s="196" t="s">
        <v>515</v>
      </c>
      <c r="B2" s="197"/>
      <c r="C2" s="197"/>
      <c r="D2" s="197"/>
      <c r="E2" s="197"/>
      <c r="F2" s="197"/>
      <c r="G2" s="198"/>
      <c r="H2" s="195"/>
    </row>
    <row r="3" spans="1:8" x14ac:dyDescent="0.25">
      <c r="A3" s="196" t="s">
        <v>1</v>
      </c>
      <c r="B3" s="197"/>
      <c r="C3" s="197"/>
      <c r="D3" s="197"/>
      <c r="E3" s="197"/>
      <c r="F3" s="197"/>
      <c r="G3" s="198"/>
      <c r="H3" s="195"/>
    </row>
    <row r="4" spans="1:8" x14ac:dyDescent="0.25">
      <c r="A4" s="196" t="s">
        <v>33</v>
      </c>
      <c r="B4" s="197"/>
      <c r="C4" s="197"/>
      <c r="D4" s="197"/>
      <c r="E4" s="197"/>
      <c r="F4" s="197"/>
      <c r="G4" s="198"/>
      <c r="H4" s="195"/>
    </row>
    <row r="5" spans="1:8" x14ac:dyDescent="0.25">
      <c r="A5" s="196" t="s">
        <v>516</v>
      </c>
      <c r="B5" s="197"/>
      <c r="C5" s="197"/>
      <c r="D5" s="197"/>
      <c r="E5" s="197"/>
      <c r="F5" s="197"/>
      <c r="G5" s="198"/>
      <c r="H5" s="195"/>
    </row>
    <row r="6" spans="1:8" x14ac:dyDescent="0.25">
      <c r="A6" s="7"/>
      <c r="B6" s="8"/>
      <c r="C6" s="9"/>
      <c r="D6" s="10"/>
      <c r="E6" s="11"/>
      <c r="F6" s="12"/>
      <c r="G6" s="13"/>
      <c r="H6" s="195"/>
    </row>
    <row r="7" spans="1:8" x14ac:dyDescent="0.25">
      <c r="A7" s="14" t="s">
        <v>514</v>
      </c>
      <c r="B7" s="15"/>
      <c r="C7" s="16"/>
      <c r="D7" s="16"/>
      <c r="E7" s="17"/>
      <c r="F7" s="18"/>
      <c r="G7" s="19"/>
      <c r="H7" s="195"/>
    </row>
    <row r="8" spans="1:8" x14ac:dyDescent="0.25">
      <c r="A8" s="20" t="s">
        <v>2</v>
      </c>
      <c r="B8" s="21"/>
      <c r="C8" s="22"/>
      <c r="D8" s="22"/>
      <c r="E8" s="23"/>
      <c r="F8" s="12"/>
      <c r="G8" s="13"/>
      <c r="H8" s="195"/>
    </row>
    <row r="9" spans="1:8" x14ac:dyDescent="0.25">
      <c r="A9" s="24" t="s">
        <v>846</v>
      </c>
      <c r="B9" s="25"/>
      <c r="C9" s="26"/>
      <c r="D9" s="26"/>
      <c r="E9" s="27"/>
      <c r="F9" s="28"/>
      <c r="G9" s="29"/>
      <c r="H9" s="195"/>
    </row>
    <row r="10" spans="1:8" ht="25.5" x14ac:dyDescent="0.25">
      <c r="A10" s="30" t="s">
        <v>3</v>
      </c>
      <c r="B10" s="31" t="s">
        <v>4</v>
      </c>
      <c r="C10" s="32" t="s">
        <v>5</v>
      </c>
      <c r="D10" s="33" t="s">
        <v>6</v>
      </c>
      <c r="E10" s="34" t="s">
        <v>7</v>
      </c>
      <c r="F10" s="35" t="s">
        <v>8</v>
      </c>
      <c r="G10" s="36" t="s">
        <v>9</v>
      </c>
      <c r="H10" s="195"/>
    </row>
    <row r="11" spans="1:8" ht="25.5" x14ac:dyDescent="0.25">
      <c r="A11" s="31" t="s">
        <v>517</v>
      </c>
      <c r="B11" s="30" t="s">
        <v>107</v>
      </c>
      <c r="C11" s="37"/>
      <c r="D11" s="37"/>
      <c r="E11" s="38"/>
      <c r="F11" s="39"/>
      <c r="G11" s="37"/>
      <c r="H11" s="40"/>
    </row>
    <row r="12" spans="1:8" x14ac:dyDescent="0.25">
      <c r="A12" s="41" t="s">
        <v>518</v>
      </c>
      <c r="B12" s="42" t="s">
        <v>11</v>
      </c>
      <c r="C12" s="37">
        <v>12</v>
      </c>
      <c r="D12" s="37" t="s">
        <v>13</v>
      </c>
      <c r="E12" s="63">
        <f t="shared" ref="E12:E17" si="0">ROUND(H12,2)</f>
        <v>0</v>
      </c>
      <c r="F12" s="63">
        <f t="shared" ref="F12:F17" si="1">C12*E12</f>
        <v>0</v>
      </c>
      <c r="G12" s="37"/>
      <c r="H12" s="43"/>
    </row>
    <row r="13" spans="1:8" x14ac:dyDescent="0.25">
      <c r="A13" s="41" t="s">
        <v>519</v>
      </c>
      <c r="B13" s="42" t="s">
        <v>12</v>
      </c>
      <c r="C13" s="37">
        <v>12</v>
      </c>
      <c r="D13" s="37" t="s">
        <v>13</v>
      </c>
      <c r="E13" s="63">
        <f t="shared" si="0"/>
        <v>0</v>
      </c>
      <c r="F13" s="64">
        <f t="shared" si="1"/>
        <v>0</v>
      </c>
      <c r="G13" s="37"/>
      <c r="H13" s="43"/>
    </row>
    <row r="14" spans="1:8" x14ac:dyDescent="0.25">
      <c r="A14" s="41" t="s">
        <v>520</v>
      </c>
      <c r="B14" s="42" t="s">
        <v>14</v>
      </c>
      <c r="C14" s="37">
        <v>12</v>
      </c>
      <c r="D14" s="37" t="s">
        <v>13</v>
      </c>
      <c r="E14" s="63">
        <f t="shared" si="0"/>
        <v>0</v>
      </c>
      <c r="F14" s="64">
        <f t="shared" si="1"/>
        <v>0</v>
      </c>
      <c r="G14" s="37"/>
      <c r="H14" s="43"/>
    </row>
    <row r="15" spans="1:8" ht="25.5" customHeight="1" x14ac:dyDescent="0.25">
      <c r="A15" s="41" t="s">
        <v>521</v>
      </c>
      <c r="B15" s="42" t="s">
        <v>150</v>
      </c>
      <c r="C15" s="37">
        <v>2</v>
      </c>
      <c r="D15" s="37" t="s">
        <v>18</v>
      </c>
      <c r="E15" s="63">
        <f t="shared" si="0"/>
        <v>0</v>
      </c>
      <c r="F15" s="64">
        <f t="shared" si="1"/>
        <v>0</v>
      </c>
      <c r="G15" s="37"/>
      <c r="H15" s="43"/>
    </row>
    <row r="16" spans="1:8" ht="25.5" x14ac:dyDescent="0.25">
      <c r="A16" s="41" t="s">
        <v>522</v>
      </c>
      <c r="B16" s="50" t="s">
        <v>120</v>
      </c>
      <c r="C16" s="37">
        <v>2</v>
      </c>
      <c r="D16" s="37" t="s">
        <v>18</v>
      </c>
      <c r="E16" s="63">
        <f t="shared" si="0"/>
        <v>0</v>
      </c>
      <c r="F16" s="64">
        <f t="shared" si="1"/>
        <v>0</v>
      </c>
      <c r="G16" s="37"/>
      <c r="H16" s="43"/>
    </row>
    <row r="17" spans="1:8" ht="25.5" customHeight="1" x14ac:dyDescent="0.25">
      <c r="A17" s="41" t="s">
        <v>523</v>
      </c>
      <c r="B17" s="50" t="s">
        <v>151</v>
      </c>
      <c r="C17" s="37">
        <v>1</v>
      </c>
      <c r="D17" s="37" t="s">
        <v>15</v>
      </c>
      <c r="E17" s="63">
        <f t="shared" si="0"/>
        <v>0</v>
      </c>
      <c r="F17" s="64">
        <f t="shared" si="1"/>
        <v>0</v>
      </c>
      <c r="G17" s="37"/>
      <c r="H17" s="43"/>
    </row>
    <row r="18" spans="1:8" x14ac:dyDescent="0.25">
      <c r="A18" s="41"/>
      <c r="B18" s="31" t="s">
        <v>104</v>
      </c>
      <c r="C18" s="37"/>
      <c r="D18" s="37"/>
      <c r="E18" s="38"/>
      <c r="F18" s="88">
        <f>SUM(F12:F17)</f>
        <v>0</v>
      </c>
      <c r="G18" s="37"/>
      <c r="H18" s="40"/>
    </row>
    <row r="19" spans="1:8" x14ac:dyDescent="0.25">
      <c r="A19" s="45"/>
      <c r="B19" s="46"/>
      <c r="C19" s="22"/>
      <c r="D19" s="22"/>
      <c r="E19" s="23"/>
      <c r="F19" s="47"/>
      <c r="G19" s="22"/>
      <c r="H19" s="48"/>
    </row>
    <row r="20" spans="1:8" x14ac:dyDescent="0.25">
      <c r="A20" s="31" t="s">
        <v>524</v>
      </c>
      <c r="B20" s="31" t="s">
        <v>20</v>
      </c>
      <c r="C20" s="37"/>
      <c r="D20" s="37"/>
      <c r="E20" s="38"/>
      <c r="F20" s="39"/>
      <c r="G20" s="37"/>
      <c r="H20" s="40"/>
    </row>
    <row r="21" spans="1:8" x14ac:dyDescent="0.25">
      <c r="A21" s="41" t="s">
        <v>525</v>
      </c>
      <c r="B21" s="42" t="s">
        <v>11</v>
      </c>
      <c r="C21" s="37">
        <v>12</v>
      </c>
      <c r="D21" s="37" t="s">
        <v>13</v>
      </c>
      <c r="E21" s="65">
        <f>ROUND(H21,2)</f>
        <v>0</v>
      </c>
      <c r="F21" s="66">
        <f>C21*E21</f>
        <v>0</v>
      </c>
      <c r="G21" s="37"/>
      <c r="H21" s="43"/>
    </row>
    <row r="22" spans="1:8" x14ac:dyDescent="0.25">
      <c r="A22" s="41" t="s">
        <v>526</v>
      </c>
      <c r="B22" s="42" t="s">
        <v>12</v>
      </c>
      <c r="C22" s="37">
        <v>12</v>
      </c>
      <c r="D22" s="37" t="s">
        <v>13</v>
      </c>
      <c r="E22" s="65">
        <f>ROUND(H22,2)</f>
        <v>0</v>
      </c>
      <c r="F22" s="66">
        <f>C22*E22</f>
        <v>0</v>
      </c>
      <c r="G22" s="37"/>
      <c r="H22" s="43"/>
    </row>
    <row r="23" spans="1:8" x14ac:dyDescent="0.25">
      <c r="A23" s="41" t="s">
        <v>527</v>
      </c>
      <c r="B23" s="42" t="s">
        <v>14</v>
      </c>
      <c r="C23" s="37">
        <v>12</v>
      </c>
      <c r="D23" s="37" t="s">
        <v>13</v>
      </c>
      <c r="E23" s="65">
        <f>ROUND(H23,2)</f>
        <v>0</v>
      </c>
      <c r="F23" s="66">
        <f>C23*E23</f>
        <v>0</v>
      </c>
      <c r="G23" s="37"/>
      <c r="H23" s="43"/>
    </row>
    <row r="24" spans="1:8" ht="25.5" x14ac:dyDescent="0.25">
      <c r="A24" s="41" t="s">
        <v>528</v>
      </c>
      <c r="B24" s="50" t="s">
        <v>143</v>
      </c>
      <c r="C24" s="37">
        <v>12</v>
      </c>
      <c r="D24" s="37" t="s">
        <v>13</v>
      </c>
      <c r="E24" s="65">
        <f>ROUND(H24,2)</f>
        <v>0</v>
      </c>
      <c r="F24" s="66">
        <f>C24*E24</f>
        <v>0</v>
      </c>
      <c r="G24" s="37"/>
      <c r="H24" s="43"/>
    </row>
    <row r="25" spans="1:8" ht="38.25" x14ac:dyDescent="0.25">
      <c r="A25" s="41" t="s">
        <v>529</v>
      </c>
      <c r="B25" s="42" t="s">
        <v>144</v>
      </c>
      <c r="C25" s="37">
        <v>12</v>
      </c>
      <c r="D25" s="37" t="s">
        <v>13</v>
      </c>
      <c r="E25" s="65">
        <f>ROUND(H25,2)</f>
        <v>0</v>
      </c>
      <c r="F25" s="66">
        <f>C25*E25</f>
        <v>0</v>
      </c>
      <c r="G25" s="37"/>
      <c r="H25" s="43"/>
    </row>
    <row r="26" spans="1:8" ht="38.25" x14ac:dyDescent="0.25">
      <c r="A26" s="41" t="s">
        <v>530</v>
      </c>
      <c r="B26" s="52" t="s">
        <v>145</v>
      </c>
      <c r="C26" s="53">
        <v>12</v>
      </c>
      <c r="D26" s="53" t="s">
        <v>13</v>
      </c>
      <c r="E26" s="67">
        <f>H26</f>
        <v>0</v>
      </c>
      <c r="F26" s="68">
        <f>E26*C26</f>
        <v>0</v>
      </c>
      <c r="G26" s="53"/>
      <c r="H26" s="43"/>
    </row>
    <row r="27" spans="1:8" x14ac:dyDescent="0.25">
      <c r="A27" s="41"/>
      <c r="B27" s="31" t="s">
        <v>21</v>
      </c>
      <c r="C27" s="37"/>
      <c r="D27" s="37"/>
      <c r="E27" s="38"/>
      <c r="F27" s="89">
        <f>SUM(F21:F26)</f>
        <v>0</v>
      </c>
      <c r="G27" s="37"/>
      <c r="H27" s="40"/>
    </row>
    <row r="28" spans="1:8" x14ac:dyDescent="0.25">
      <c r="A28" s="45"/>
      <c r="B28" s="51"/>
      <c r="C28" s="22"/>
      <c r="D28" s="22"/>
      <c r="E28" s="23"/>
      <c r="F28" s="47"/>
      <c r="G28" s="22"/>
      <c r="H28" s="48"/>
    </row>
    <row r="29" spans="1:8" x14ac:dyDescent="0.25">
      <c r="A29" s="45"/>
      <c r="B29" s="46"/>
      <c r="C29" s="22"/>
      <c r="D29" s="22"/>
      <c r="E29" s="23"/>
      <c r="F29" s="47"/>
      <c r="G29" s="22"/>
      <c r="H29" s="48"/>
    </row>
    <row r="30" spans="1:8" x14ac:dyDescent="0.25">
      <c r="A30" s="31" t="s">
        <v>531</v>
      </c>
      <c r="B30" s="30" t="s">
        <v>106</v>
      </c>
      <c r="C30" s="37"/>
      <c r="D30" s="37"/>
      <c r="E30" s="38"/>
      <c r="F30" s="39"/>
      <c r="G30" s="37"/>
      <c r="H30" s="40"/>
    </row>
    <row r="31" spans="1:8" x14ac:dyDescent="0.25">
      <c r="A31" s="41" t="s">
        <v>532</v>
      </c>
      <c r="B31" s="42" t="s">
        <v>11</v>
      </c>
      <c r="C31" s="37">
        <v>12</v>
      </c>
      <c r="D31" s="37" t="s">
        <v>13</v>
      </c>
      <c r="E31" s="65">
        <f>ROUND(H31,2)</f>
        <v>0</v>
      </c>
      <c r="F31" s="66">
        <f>C31*E31</f>
        <v>0</v>
      </c>
      <c r="G31" s="37"/>
      <c r="H31" s="43"/>
    </row>
    <row r="32" spans="1:8" x14ac:dyDescent="0.25">
      <c r="A32" s="41" t="s">
        <v>533</v>
      </c>
      <c r="B32" s="42" t="s">
        <v>12</v>
      </c>
      <c r="C32" s="37">
        <v>12</v>
      </c>
      <c r="D32" s="37" t="s">
        <v>13</v>
      </c>
      <c r="E32" s="65">
        <f>ROUND(H32,2)</f>
        <v>0</v>
      </c>
      <c r="F32" s="66">
        <f>C32*E32</f>
        <v>0</v>
      </c>
      <c r="G32" s="37"/>
      <c r="H32" s="43"/>
    </row>
    <row r="33" spans="1:8" x14ac:dyDescent="0.25">
      <c r="A33" s="41" t="s">
        <v>534</v>
      </c>
      <c r="B33" s="42" t="s">
        <v>14</v>
      </c>
      <c r="C33" s="37">
        <v>12</v>
      </c>
      <c r="D33" s="37" t="s">
        <v>13</v>
      </c>
      <c r="E33" s="65">
        <f>ROUND(H33,2)</f>
        <v>0</v>
      </c>
      <c r="F33" s="66">
        <f>C33*E33</f>
        <v>0</v>
      </c>
      <c r="G33" s="37"/>
      <c r="H33" s="43"/>
    </row>
    <row r="34" spans="1:8" ht="38.25" x14ac:dyDescent="0.25">
      <c r="A34" s="41" t="s">
        <v>535</v>
      </c>
      <c r="B34" s="42" t="s">
        <v>142</v>
      </c>
      <c r="C34" s="37">
        <v>12</v>
      </c>
      <c r="D34" s="37" t="s">
        <v>13</v>
      </c>
      <c r="E34" s="65">
        <f>ROUND(H34,2)</f>
        <v>0</v>
      </c>
      <c r="F34" s="66">
        <f>C34*E34</f>
        <v>0</v>
      </c>
      <c r="G34" s="37"/>
      <c r="H34" s="43"/>
    </row>
    <row r="35" spans="1:8" ht="38.25" x14ac:dyDescent="0.25">
      <c r="A35" s="41" t="s">
        <v>536</v>
      </c>
      <c r="B35" s="42" t="s">
        <v>141</v>
      </c>
      <c r="C35" s="37">
        <v>12</v>
      </c>
      <c r="D35" s="37" t="s">
        <v>13</v>
      </c>
      <c r="E35" s="65">
        <f>ROUND(H35,2)</f>
        <v>0</v>
      </c>
      <c r="F35" s="66">
        <f>C35*E35</f>
        <v>0</v>
      </c>
      <c r="G35" s="37"/>
      <c r="H35" s="43"/>
    </row>
    <row r="36" spans="1:8" x14ac:dyDescent="0.25">
      <c r="A36" s="41"/>
      <c r="B36" s="54" t="s">
        <v>24</v>
      </c>
      <c r="C36" s="37"/>
      <c r="D36" s="37"/>
      <c r="E36" s="38"/>
      <c r="F36" s="89">
        <f>SUM(F31:F35)</f>
        <v>0</v>
      </c>
      <c r="G36" s="37"/>
      <c r="H36" s="40"/>
    </row>
    <row r="37" spans="1:8" x14ac:dyDescent="0.25">
      <c r="A37" s="45"/>
      <c r="B37" s="46"/>
      <c r="C37" s="22"/>
      <c r="D37" s="22"/>
      <c r="E37" s="23"/>
      <c r="F37" s="47"/>
      <c r="G37" s="22"/>
      <c r="H37" s="48"/>
    </row>
    <row r="38" spans="1:8" x14ac:dyDescent="0.25">
      <c r="A38" s="31" t="s">
        <v>537</v>
      </c>
      <c r="B38" s="30" t="s">
        <v>108</v>
      </c>
      <c r="C38" s="37"/>
      <c r="D38" s="37"/>
      <c r="E38" s="38"/>
      <c r="F38" s="39"/>
      <c r="G38" s="37"/>
      <c r="H38" s="40"/>
    </row>
    <row r="39" spans="1:8" x14ac:dyDescent="0.25">
      <c r="A39" s="41" t="s">
        <v>538</v>
      </c>
      <c r="B39" s="42" t="s">
        <v>11</v>
      </c>
      <c r="C39" s="37">
        <v>12</v>
      </c>
      <c r="D39" s="37" t="s">
        <v>13</v>
      </c>
      <c r="E39" s="65">
        <f>ROUND(H39,2)</f>
        <v>0</v>
      </c>
      <c r="F39" s="66">
        <f>C39*E39</f>
        <v>0</v>
      </c>
      <c r="G39" s="37"/>
      <c r="H39" s="43"/>
    </row>
    <row r="40" spans="1:8" x14ac:dyDescent="0.25">
      <c r="A40" s="41" t="s">
        <v>539</v>
      </c>
      <c r="B40" s="42" t="s">
        <v>12</v>
      </c>
      <c r="C40" s="37">
        <v>12</v>
      </c>
      <c r="D40" s="37" t="s">
        <v>13</v>
      </c>
      <c r="E40" s="65">
        <f t="shared" ref="E40:E45" si="2">ROUND(H40,2)</f>
        <v>0</v>
      </c>
      <c r="F40" s="66">
        <f t="shared" ref="F40:F45" si="3">C40*E40</f>
        <v>0</v>
      </c>
      <c r="G40" s="37"/>
      <c r="H40" s="43"/>
    </row>
    <row r="41" spans="1:8" x14ac:dyDescent="0.25">
      <c r="A41" s="41" t="s">
        <v>540</v>
      </c>
      <c r="B41" s="50" t="s">
        <v>14</v>
      </c>
      <c r="C41" s="37">
        <v>12</v>
      </c>
      <c r="D41" s="37" t="s">
        <v>13</v>
      </c>
      <c r="E41" s="65">
        <f t="shared" si="2"/>
        <v>0</v>
      </c>
      <c r="F41" s="66">
        <f t="shared" si="3"/>
        <v>0</v>
      </c>
      <c r="G41" s="37"/>
      <c r="H41" s="43"/>
    </row>
    <row r="42" spans="1:8" ht="25.5" x14ac:dyDescent="0.25">
      <c r="A42" s="41" t="s">
        <v>541</v>
      </c>
      <c r="B42" s="50" t="s">
        <v>140</v>
      </c>
      <c r="C42" s="37">
        <v>12</v>
      </c>
      <c r="D42" s="37" t="s">
        <v>13</v>
      </c>
      <c r="E42" s="65">
        <f t="shared" si="2"/>
        <v>0</v>
      </c>
      <c r="F42" s="66">
        <f t="shared" si="3"/>
        <v>0</v>
      </c>
      <c r="G42" s="37"/>
      <c r="H42" s="43"/>
    </row>
    <row r="43" spans="1:8" ht="25.5" x14ac:dyDescent="0.25">
      <c r="A43" s="41" t="s">
        <v>542</v>
      </c>
      <c r="B43" s="50" t="s">
        <v>139</v>
      </c>
      <c r="C43" s="37">
        <v>12</v>
      </c>
      <c r="D43" s="37" t="s">
        <v>13</v>
      </c>
      <c r="E43" s="65">
        <f t="shared" si="2"/>
        <v>0</v>
      </c>
      <c r="F43" s="66">
        <f t="shared" si="3"/>
        <v>0</v>
      </c>
      <c r="G43" s="37"/>
      <c r="H43" s="43"/>
    </row>
    <row r="44" spans="1:8" ht="25.5" x14ac:dyDescent="0.25">
      <c r="A44" s="41" t="s">
        <v>543</v>
      </c>
      <c r="B44" s="50" t="s">
        <v>138</v>
      </c>
      <c r="C44" s="37">
        <v>12</v>
      </c>
      <c r="D44" s="37" t="s">
        <v>13</v>
      </c>
      <c r="E44" s="65">
        <f t="shared" si="2"/>
        <v>0</v>
      </c>
      <c r="F44" s="66">
        <f t="shared" si="3"/>
        <v>0</v>
      </c>
      <c r="G44" s="37"/>
      <c r="H44" s="43"/>
    </row>
    <row r="45" spans="1:8" ht="25.5" x14ac:dyDescent="0.25">
      <c r="A45" s="41" t="s">
        <v>544</v>
      </c>
      <c r="B45" s="50" t="s">
        <v>137</v>
      </c>
      <c r="C45" s="37">
        <v>12</v>
      </c>
      <c r="D45" s="37" t="s">
        <v>13</v>
      </c>
      <c r="E45" s="65">
        <f t="shared" si="2"/>
        <v>0</v>
      </c>
      <c r="F45" s="66">
        <f t="shared" si="3"/>
        <v>0</v>
      </c>
      <c r="G45" s="37"/>
      <c r="H45" s="43"/>
    </row>
    <row r="46" spans="1:8" ht="25.5" x14ac:dyDescent="0.25">
      <c r="A46" s="41" t="s">
        <v>545</v>
      </c>
      <c r="B46" s="50" t="s">
        <v>136</v>
      </c>
      <c r="C46" s="37">
        <v>12</v>
      </c>
      <c r="D46" s="37" t="s">
        <v>13</v>
      </c>
      <c r="E46" s="65">
        <f>ROUND(H46,2)</f>
        <v>0</v>
      </c>
      <c r="F46" s="66">
        <f>C46*E46</f>
        <v>0</v>
      </c>
      <c r="G46" s="37"/>
      <c r="H46" s="43"/>
    </row>
    <row r="47" spans="1:8" ht="25.5" x14ac:dyDescent="0.25">
      <c r="A47" s="41" t="s">
        <v>546</v>
      </c>
      <c r="B47" s="50" t="s">
        <v>135</v>
      </c>
      <c r="C47" s="37">
        <v>12</v>
      </c>
      <c r="D47" s="37" t="s">
        <v>13</v>
      </c>
      <c r="E47" s="65">
        <f>ROUND(H47,2)</f>
        <v>0</v>
      </c>
      <c r="F47" s="66">
        <f>C47*E47</f>
        <v>0</v>
      </c>
      <c r="G47" s="37"/>
      <c r="H47" s="43"/>
    </row>
    <row r="48" spans="1:8" x14ac:dyDescent="0.25">
      <c r="A48" s="41"/>
      <c r="B48" s="31" t="s">
        <v>25</v>
      </c>
      <c r="C48" s="37"/>
      <c r="D48" s="37"/>
      <c r="E48" s="38"/>
      <c r="F48" s="89">
        <f>SUM(F39:F47)</f>
        <v>0</v>
      </c>
      <c r="G48" s="37"/>
      <c r="H48" s="40"/>
    </row>
    <row r="49" spans="1:12" x14ac:dyDescent="0.25">
      <c r="A49" s="45"/>
      <c r="B49" s="46"/>
      <c r="C49" s="22"/>
      <c r="D49" s="22"/>
      <c r="E49" s="23"/>
      <c r="F49" s="47"/>
      <c r="G49" s="22"/>
      <c r="H49" s="48"/>
    </row>
    <row r="50" spans="1:12" x14ac:dyDescent="0.25">
      <c r="A50" s="31" t="s">
        <v>547</v>
      </c>
      <c r="B50" s="49" t="s">
        <v>17</v>
      </c>
      <c r="C50" s="37"/>
      <c r="D50" s="37"/>
      <c r="E50" s="38"/>
      <c r="F50" s="39"/>
      <c r="G50" s="37"/>
      <c r="H50" s="40"/>
    </row>
    <row r="51" spans="1:12" x14ac:dyDescent="0.25">
      <c r="A51" s="41" t="s">
        <v>548</v>
      </c>
      <c r="B51" s="50" t="s">
        <v>11</v>
      </c>
      <c r="C51" s="37">
        <v>12</v>
      </c>
      <c r="D51" s="37" t="s">
        <v>13</v>
      </c>
      <c r="E51" s="65">
        <f>ROUND(H51,2)</f>
        <v>0</v>
      </c>
      <c r="F51" s="66">
        <f>C51*E51</f>
        <v>0</v>
      </c>
      <c r="G51" s="37"/>
      <c r="H51" s="43"/>
    </row>
    <row r="52" spans="1:12" x14ac:dyDescent="0.25">
      <c r="A52" s="41" t="s">
        <v>549</v>
      </c>
      <c r="B52" s="42" t="s">
        <v>12</v>
      </c>
      <c r="C52" s="37">
        <v>12</v>
      </c>
      <c r="D52" s="37" t="s">
        <v>13</v>
      </c>
      <c r="E52" s="65">
        <f>ROUND(H52,2)</f>
        <v>0</v>
      </c>
      <c r="F52" s="66">
        <f>C52*E52</f>
        <v>0</v>
      </c>
      <c r="G52" s="37"/>
      <c r="H52" s="43"/>
    </row>
    <row r="53" spans="1:12" x14ac:dyDescent="0.25">
      <c r="A53" s="41" t="s">
        <v>550</v>
      </c>
      <c r="B53" s="50" t="s">
        <v>14</v>
      </c>
      <c r="C53" s="37">
        <v>12</v>
      </c>
      <c r="D53" s="37" t="s">
        <v>13</v>
      </c>
      <c r="E53" s="65">
        <f>ROUND(H53,2)</f>
        <v>0</v>
      </c>
      <c r="F53" s="66">
        <f>C53*E53</f>
        <v>0</v>
      </c>
      <c r="G53" s="37"/>
      <c r="H53" s="43"/>
    </row>
    <row r="54" spans="1:12" ht="25.5" x14ac:dyDescent="0.25">
      <c r="A54" s="41" t="s">
        <v>551</v>
      </c>
      <c r="B54" s="50" t="s">
        <v>133</v>
      </c>
      <c r="C54" s="37">
        <v>2</v>
      </c>
      <c r="D54" s="37" t="s">
        <v>18</v>
      </c>
      <c r="E54" s="65">
        <f>ROUND(H54,2)</f>
        <v>0</v>
      </c>
      <c r="F54" s="66">
        <f>C54*E54</f>
        <v>0</v>
      </c>
      <c r="G54" s="37"/>
      <c r="H54" s="43"/>
      <c r="L54" s="50"/>
    </row>
    <row r="55" spans="1:12" ht="25.5" x14ac:dyDescent="0.25">
      <c r="A55" s="41" t="s">
        <v>552</v>
      </c>
      <c r="B55" s="50" t="s">
        <v>134</v>
      </c>
      <c r="C55" s="37">
        <v>1</v>
      </c>
      <c r="D55" s="37" t="s">
        <v>15</v>
      </c>
      <c r="E55" s="65">
        <f>ROUND(H55,2)</f>
        <v>0</v>
      </c>
      <c r="F55" s="66">
        <f>C55*E55</f>
        <v>0</v>
      </c>
      <c r="G55" s="37"/>
      <c r="H55" s="43"/>
    </row>
    <row r="56" spans="1:12" x14ac:dyDescent="0.25">
      <c r="A56" s="41"/>
      <c r="B56" s="31" t="s">
        <v>19</v>
      </c>
      <c r="C56" s="37"/>
      <c r="D56" s="37"/>
      <c r="E56" s="38"/>
      <c r="F56" s="89">
        <f>SUM(F51:F55)</f>
        <v>0</v>
      </c>
      <c r="G56" s="37"/>
      <c r="H56" s="40"/>
    </row>
    <row r="57" spans="1:12" x14ac:dyDescent="0.25">
      <c r="A57" s="45"/>
      <c r="B57" s="46"/>
      <c r="C57" s="22"/>
      <c r="D57" s="22"/>
      <c r="E57" s="23"/>
      <c r="F57" s="47"/>
      <c r="G57" s="22"/>
      <c r="H57" s="48"/>
    </row>
    <row r="58" spans="1:12" x14ac:dyDescent="0.25">
      <c r="A58" s="31" t="s">
        <v>553</v>
      </c>
      <c r="B58" s="30" t="s">
        <v>26</v>
      </c>
      <c r="C58" s="37"/>
      <c r="D58" s="37"/>
      <c r="E58" s="38"/>
      <c r="F58" s="39"/>
      <c r="G58" s="37"/>
      <c r="H58" s="40"/>
    </row>
    <row r="59" spans="1:12" x14ac:dyDescent="0.25">
      <c r="A59" s="41" t="s">
        <v>554</v>
      </c>
      <c r="B59" s="42" t="s">
        <v>11</v>
      </c>
      <c r="C59" s="37">
        <v>12</v>
      </c>
      <c r="D59" s="37" t="s">
        <v>13</v>
      </c>
      <c r="E59" s="65">
        <f>ROUND(H59,2)</f>
        <v>0</v>
      </c>
      <c r="F59" s="66">
        <f>C59*E59</f>
        <v>0</v>
      </c>
      <c r="G59" s="37"/>
      <c r="H59" s="43"/>
    </row>
    <row r="60" spans="1:12" x14ac:dyDescent="0.25">
      <c r="A60" s="41" t="s">
        <v>555</v>
      </c>
      <c r="B60" s="55" t="s">
        <v>12</v>
      </c>
      <c r="C60" s="37">
        <v>12</v>
      </c>
      <c r="D60" s="37" t="s">
        <v>13</v>
      </c>
      <c r="E60" s="65">
        <f>ROUND(H60,2)</f>
        <v>0</v>
      </c>
      <c r="F60" s="66">
        <f>C60*E60</f>
        <v>0</v>
      </c>
      <c r="G60" s="37"/>
      <c r="H60" s="43"/>
    </row>
    <row r="61" spans="1:12" x14ac:dyDescent="0.25">
      <c r="A61" s="41" t="s">
        <v>556</v>
      </c>
      <c r="B61" s="42" t="s">
        <v>14</v>
      </c>
      <c r="C61" s="37">
        <v>12</v>
      </c>
      <c r="D61" s="37" t="s">
        <v>13</v>
      </c>
      <c r="E61" s="65">
        <f>ROUND(H61,2)</f>
        <v>0</v>
      </c>
      <c r="F61" s="66">
        <f>C61*E61</f>
        <v>0</v>
      </c>
      <c r="G61" s="37"/>
      <c r="H61" s="43"/>
    </row>
    <row r="62" spans="1:12" ht="25.5" x14ac:dyDescent="0.25">
      <c r="A62" s="41" t="s">
        <v>557</v>
      </c>
      <c r="B62" s="42" t="s">
        <v>126</v>
      </c>
      <c r="C62" s="37">
        <v>3</v>
      </c>
      <c r="D62" s="37" t="s">
        <v>27</v>
      </c>
      <c r="E62" s="65">
        <f>ROUND(H62,2)</f>
        <v>0</v>
      </c>
      <c r="F62" s="66">
        <f>C62*E62</f>
        <v>0</v>
      </c>
      <c r="G62" s="37"/>
      <c r="H62" s="43"/>
    </row>
    <row r="63" spans="1:12" ht="25.5" x14ac:dyDescent="0.25">
      <c r="A63" s="41" t="s">
        <v>558</v>
      </c>
      <c r="B63" s="50" t="s">
        <v>127</v>
      </c>
      <c r="C63" s="37">
        <v>3</v>
      </c>
      <c r="D63" s="37" t="s">
        <v>27</v>
      </c>
      <c r="E63" s="65">
        <f>ROUND(H63,2)</f>
        <v>0</v>
      </c>
      <c r="F63" s="66">
        <f>C63*E63</f>
        <v>0</v>
      </c>
      <c r="G63" s="37"/>
      <c r="H63" s="43"/>
    </row>
    <row r="64" spans="1:12" x14ac:dyDescent="0.25">
      <c r="A64" s="41"/>
      <c r="B64" s="31" t="s">
        <v>28</v>
      </c>
      <c r="C64" s="37"/>
      <c r="D64" s="37"/>
      <c r="E64" s="38"/>
      <c r="F64" s="89">
        <f>SUM(F59:F63)</f>
        <v>0</v>
      </c>
      <c r="G64" s="37"/>
      <c r="H64" s="40"/>
    </row>
    <row r="65" spans="1:8" x14ac:dyDescent="0.25">
      <c r="A65" s="45"/>
      <c r="B65" s="56"/>
      <c r="C65" s="57"/>
      <c r="D65" s="57"/>
      <c r="E65" s="58"/>
      <c r="F65" s="47"/>
      <c r="G65" s="22"/>
      <c r="H65" s="48"/>
    </row>
    <row r="66" spans="1:8" x14ac:dyDescent="0.25">
      <c r="A66" s="31" t="s">
        <v>559</v>
      </c>
      <c r="B66" s="54" t="s">
        <v>29</v>
      </c>
      <c r="C66" s="37"/>
      <c r="D66" s="37"/>
      <c r="E66" s="38"/>
      <c r="F66" s="39"/>
      <c r="G66" s="37"/>
      <c r="H66" s="40"/>
    </row>
    <row r="67" spans="1:8" x14ac:dyDescent="0.25">
      <c r="A67" s="41" t="s">
        <v>560</v>
      </c>
      <c r="B67" s="59" t="s">
        <v>11</v>
      </c>
      <c r="C67" s="37">
        <v>12</v>
      </c>
      <c r="D67" s="37" t="s">
        <v>13</v>
      </c>
      <c r="E67" s="65">
        <f>ROUND(H67,2)</f>
        <v>0</v>
      </c>
      <c r="F67" s="66">
        <f>C67*E67</f>
        <v>0</v>
      </c>
      <c r="G67" s="37"/>
      <c r="H67" s="43"/>
    </row>
    <row r="68" spans="1:8" x14ac:dyDescent="0.25">
      <c r="A68" s="41" t="s">
        <v>561</v>
      </c>
      <c r="B68" s="59" t="s">
        <v>12</v>
      </c>
      <c r="C68" s="37">
        <v>12</v>
      </c>
      <c r="D68" s="37" t="s">
        <v>13</v>
      </c>
      <c r="E68" s="65">
        <f>ROUND(H68,2)</f>
        <v>0</v>
      </c>
      <c r="F68" s="66">
        <f>C68*E68</f>
        <v>0</v>
      </c>
      <c r="G68" s="37"/>
      <c r="H68" s="43"/>
    </row>
    <row r="69" spans="1:8" x14ac:dyDescent="0.25">
      <c r="A69" s="41" t="s">
        <v>562</v>
      </c>
      <c r="B69" s="59" t="s">
        <v>14</v>
      </c>
      <c r="C69" s="37">
        <v>12</v>
      </c>
      <c r="D69" s="37" t="s">
        <v>13</v>
      </c>
      <c r="E69" s="65">
        <f>ROUND(H69,2)</f>
        <v>0</v>
      </c>
      <c r="F69" s="66">
        <f>C69*E69</f>
        <v>0</v>
      </c>
      <c r="G69" s="37"/>
      <c r="H69" s="43"/>
    </row>
    <row r="70" spans="1:8" ht="38.25" x14ac:dyDescent="0.25">
      <c r="A70" s="41" t="s">
        <v>563</v>
      </c>
      <c r="B70" s="42" t="s">
        <v>128</v>
      </c>
      <c r="C70" s="37">
        <v>2</v>
      </c>
      <c r="D70" s="37" t="s">
        <v>18</v>
      </c>
      <c r="E70" s="65">
        <f>ROUND(H70,2)</f>
        <v>0</v>
      </c>
      <c r="F70" s="66">
        <f>C70*E70</f>
        <v>0</v>
      </c>
      <c r="G70" s="37"/>
      <c r="H70" s="43"/>
    </row>
    <row r="71" spans="1:8" ht="38.25" x14ac:dyDescent="0.25">
      <c r="A71" s="41" t="s">
        <v>564</v>
      </c>
      <c r="B71" s="50" t="s">
        <v>129</v>
      </c>
      <c r="C71" s="37">
        <v>2</v>
      </c>
      <c r="D71" s="37" t="s">
        <v>18</v>
      </c>
      <c r="E71" s="65">
        <f>ROUND(H71,2)</f>
        <v>0</v>
      </c>
      <c r="F71" s="66">
        <f>C71*E71</f>
        <v>0</v>
      </c>
      <c r="G71" s="37"/>
      <c r="H71" s="43"/>
    </row>
    <row r="72" spans="1:8" x14ac:dyDescent="0.25">
      <c r="A72" s="41"/>
      <c r="B72" s="49" t="s">
        <v>30</v>
      </c>
      <c r="C72" s="37"/>
      <c r="D72" s="37"/>
      <c r="E72" s="38"/>
      <c r="F72" s="89">
        <f>SUM(F67:F71)</f>
        <v>0</v>
      </c>
      <c r="G72" s="37"/>
      <c r="H72" s="40"/>
    </row>
    <row r="73" spans="1:8" x14ac:dyDescent="0.25">
      <c r="A73" s="45"/>
      <c r="B73" s="61"/>
      <c r="C73" s="22"/>
      <c r="D73" s="22"/>
      <c r="E73" s="23"/>
      <c r="F73" s="62"/>
      <c r="G73" s="22"/>
      <c r="H73" s="48"/>
    </row>
    <row r="74" spans="1:8" x14ac:dyDescent="0.25">
      <c r="A74" s="31" t="s">
        <v>565</v>
      </c>
      <c r="B74" s="31" t="s">
        <v>10</v>
      </c>
      <c r="C74" s="37"/>
      <c r="D74" s="37"/>
      <c r="E74" s="38"/>
      <c r="F74" s="39"/>
      <c r="G74" s="37"/>
      <c r="H74" s="40"/>
    </row>
    <row r="75" spans="1:8" x14ac:dyDescent="0.25">
      <c r="A75" s="41" t="s">
        <v>566</v>
      </c>
      <c r="B75" s="42" t="s">
        <v>11</v>
      </c>
      <c r="C75" s="37">
        <v>12</v>
      </c>
      <c r="D75" s="37" t="s">
        <v>13</v>
      </c>
      <c r="E75" s="65">
        <f t="shared" ref="E75:E80" si="4">ROUND(H75,2)</f>
        <v>0</v>
      </c>
      <c r="F75" s="66">
        <f t="shared" ref="F75:F80" si="5">C75*E75</f>
        <v>0</v>
      </c>
      <c r="G75" s="37"/>
      <c r="H75" s="43"/>
    </row>
    <row r="76" spans="1:8" x14ac:dyDescent="0.25">
      <c r="A76" s="41" t="s">
        <v>567</v>
      </c>
      <c r="B76" s="42" t="s">
        <v>12</v>
      </c>
      <c r="C76" s="37">
        <v>12</v>
      </c>
      <c r="D76" s="37" t="s">
        <v>13</v>
      </c>
      <c r="E76" s="65">
        <f t="shared" si="4"/>
        <v>0</v>
      </c>
      <c r="F76" s="66">
        <f t="shared" si="5"/>
        <v>0</v>
      </c>
      <c r="G76" s="37"/>
      <c r="H76" s="43"/>
    </row>
    <row r="77" spans="1:8" x14ac:dyDescent="0.25">
      <c r="A77" s="41" t="s">
        <v>568</v>
      </c>
      <c r="B77" s="42" t="s">
        <v>14</v>
      </c>
      <c r="C77" s="37">
        <v>12</v>
      </c>
      <c r="D77" s="37" t="s">
        <v>13</v>
      </c>
      <c r="E77" s="65">
        <f t="shared" si="4"/>
        <v>0</v>
      </c>
      <c r="F77" s="66">
        <f t="shared" si="5"/>
        <v>0</v>
      </c>
      <c r="G77" s="37"/>
      <c r="H77" s="43"/>
    </row>
    <row r="78" spans="1:8" ht="25.5" x14ac:dyDescent="0.25">
      <c r="A78" s="41" t="s">
        <v>569</v>
      </c>
      <c r="B78" s="42" t="s">
        <v>130</v>
      </c>
      <c r="C78" s="37">
        <v>4</v>
      </c>
      <c r="D78" s="37" t="s">
        <v>16</v>
      </c>
      <c r="E78" s="65">
        <f t="shared" si="4"/>
        <v>0</v>
      </c>
      <c r="F78" s="66">
        <f t="shared" si="5"/>
        <v>0</v>
      </c>
      <c r="G78" s="37"/>
      <c r="H78" s="43"/>
    </row>
    <row r="79" spans="1:8" ht="25.5" x14ac:dyDescent="0.25">
      <c r="A79" s="41" t="s">
        <v>570</v>
      </c>
      <c r="B79" s="42" t="s">
        <v>131</v>
      </c>
      <c r="C79" s="37">
        <v>1</v>
      </c>
      <c r="D79" s="37" t="s">
        <v>15</v>
      </c>
      <c r="E79" s="65">
        <f t="shared" si="4"/>
        <v>0</v>
      </c>
      <c r="F79" s="66">
        <f t="shared" si="5"/>
        <v>0</v>
      </c>
      <c r="G79" s="37"/>
      <c r="H79" s="43"/>
    </row>
    <row r="80" spans="1:8" ht="25.5" x14ac:dyDescent="0.25">
      <c r="A80" s="41" t="s">
        <v>571</v>
      </c>
      <c r="B80" s="42" t="s">
        <v>132</v>
      </c>
      <c r="C80" s="37">
        <v>1</v>
      </c>
      <c r="D80" s="37" t="s">
        <v>15</v>
      </c>
      <c r="E80" s="65">
        <f t="shared" si="4"/>
        <v>0</v>
      </c>
      <c r="F80" s="66">
        <f t="shared" si="5"/>
        <v>0</v>
      </c>
      <c r="G80" s="37"/>
      <c r="H80" s="43"/>
    </row>
    <row r="81" spans="1:8" x14ac:dyDescent="0.25">
      <c r="A81" s="41"/>
      <c r="B81" s="31" t="s">
        <v>728</v>
      </c>
      <c r="C81" s="37"/>
      <c r="D81" s="37"/>
      <c r="E81" s="38"/>
      <c r="F81" s="89">
        <f>SUM(F75:F80)</f>
        <v>0</v>
      </c>
      <c r="G81" s="37"/>
      <c r="H81" s="40"/>
    </row>
    <row r="82" spans="1:8" x14ac:dyDescent="0.25">
      <c r="A82" s="73"/>
      <c r="B82" s="74"/>
      <c r="C82" s="22"/>
      <c r="D82" s="22"/>
      <c r="E82" s="23"/>
      <c r="F82" s="62"/>
      <c r="G82" s="22"/>
      <c r="H82" s="75"/>
    </row>
    <row r="83" spans="1:8" x14ac:dyDescent="0.25">
      <c r="A83" s="31" t="s">
        <v>572</v>
      </c>
      <c r="B83" s="30" t="s">
        <v>22</v>
      </c>
      <c r="C83" s="37"/>
      <c r="D83" s="37"/>
      <c r="E83" s="38"/>
      <c r="F83" s="39"/>
      <c r="G83" s="37"/>
      <c r="H83" s="40"/>
    </row>
    <row r="84" spans="1:8" x14ac:dyDescent="0.25">
      <c r="A84" s="41" t="s">
        <v>573</v>
      </c>
      <c r="B84" s="42" t="s">
        <v>11</v>
      </c>
      <c r="C84" s="37">
        <v>12</v>
      </c>
      <c r="D84" s="37" t="s">
        <v>13</v>
      </c>
      <c r="E84" s="65">
        <f t="shared" ref="E84:E89" si="6">ROUND(H84,2)</f>
        <v>0</v>
      </c>
      <c r="F84" s="66">
        <f t="shared" ref="F84:F89" si="7">C84*E84</f>
        <v>0</v>
      </c>
      <c r="G84" s="37"/>
      <c r="H84" s="43"/>
    </row>
    <row r="85" spans="1:8" x14ac:dyDescent="0.25">
      <c r="A85" s="41" t="s">
        <v>574</v>
      </c>
      <c r="B85" s="42" t="s">
        <v>12</v>
      </c>
      <c r="C85" s="37">
        <v>12</v>
      </c>
      <c r="D85" s="37" t="s">
        <v>13</v>
      </c>
      <c r="E85" s="65">
        <f t="shared" si="6"/>
        <v>0</v>
      </c>
      <c r="F85" s="66">
        <f t="shared" si="7"/>
        <v>0</v>
      </c>
      <c r="G85" s="37"/>
      <c r="H85" s="43"/>
    </row>
    <row r="86" spans="1:8" x14ac:dyDescent="0.25">
      <c r="A86" s="41" t="s">
        <v>575</v>
      </c>
      <c r="B86" s="42" t="s">
        <v>14</v>
      </c>
      <c r="C86" s="37">
        <v>12</v>
      </c>
      <c r="D86" s="37" t="s">
        <v>13</v>
      </c>
      <c r="E86" s="65">
        <f t="shared" si="6"/>
        <v>0</v>
      </c>
      <c r="F86" s="66">
        <f t="shared" si="7"/>
        <v>0</v>
      </c>
      <c r="G86" s="37"/>
      <c r="H86" s="43"/>
    </row>
    <row r="87" spans="1:8" ht="25.5" x14ac:dyDescent="0.25">
      <c r="A87" s="41" t="s">
        <v>576</v>
      </c>
      <c r="B87" s="50" t="s">
        <v>131</v>
      </c>
      <c r="C87" s="37">
        <v>1</v>
      </c>
      <c r="D87" s="37" t="s">
        <v>15</v>
      </c>
      <c r="E87" s="65">
        <f t="shared" si="6"/>
        <v>0</v>
      </c>
      <c r="F87" s="66">
        <f t="shared" si="7"/>
        <v>0</v>
      </c>
      <c r="G87" s="37"/>
      <c r="H87" s="43"/>
    </row>
    <row r="88" spans="1:8" ht="25.5" x14ac:dyDescent="0.25">
      <c r="A88" s="41" t="s">
        <v>577</v>
      </c>
      <c r="B88" s="42" t="s">
        <v>132</v>
      </c>
      <c r="C88" s="37">
        <v>1</v>
      </c>
      <c r="D88" s="37" t="s">
        <v>15</v>
      </c>
      <c r="E88" s="65">
        <f t="shared" si="6"/>
        <v>0</v>
      </c>
      <c r="F88" s="66">
        <f t="shared" si="7"/>
        <v>0</v>
      </c>
      <c r="G88" s="37"/>
      <c r="H88" s="43"/>
    </row>
    <row r="89" spans="1:8" ht="25.5" x14ac:dyDescent="0.25">
      <c r="A89" s="41" t="s">
        <v>578</v>
      </c>
      <c r="B89" s="42" t="s">
        <v>130</v>
      </c>
      <c r="C89" s="37">
        <v>4</v>
      </c>
      <c r="D89" s="37" t="s">
        <v>16</v>
      </c>
      <c r="E89" s="65">
        <f t="shared" si="6"/>
        <v>0</v>
      </c>
      <c r="F89" s="66">
        <f t="shared" si="7"/>
        <v>0</v>
      </c>
      <c r="G89" s="37"/>
      <c r="H89" s="43"/>
    </row>
    <row r="90" spans="1:8" x14ac:dyDescent="0.25">
      <c r="A90" s="73"/>
      <c r="B90" s="31" t="s">
        <v>23</v>
      </c>
      <c r="C90" s="37"/>
      <c r="D90" s="37"/>
      <c r="E90" s="38"/>
      <c r="F90" s="89">
        <f>SUM(F84:F89)</f>
        <v>0</v>
      </c>
      <c r="G90" s="37"/>
      <c r="H90" s="75"/>
    </row>
    <row r="91" spans="1:8" x14ac:dyDescent="0.25">
      <c r="A91" s="69"/>
      <c r="H91" s="104"/>
    </row>
    <row r="92" spans="1:8" x14ac:dyDescent="0.25">
      <c r="A92" s="31" t="s">
        <v>579</v>
      </c>
      <c r="B92" s="31" t="s">
        <v>31</v>
      </c>
      <c r="C92" s="37"/>
      <c r="D92" s="37"/>
      <c r="E92" s="38"/>
      <c r="F92" s="39"/>
      <c r="G92" s="37"/>
      <c r="H92" s="40"/>
    </row>
    <row r="93" spans="1:8" x14ac:dyDescent="0.25">
      <c r="A93" s="41" t="s">
        <v>580</v>
      </c>
      <c r="B93" s="42" t="s">
        <v>11</v>
      </c>
      <c r="C93" s="37">
        <v>12</v>
      </c>
      <c r="D93" s="37" t="s">
        <v>13</v>
      </c>
      <c r="E93" s="65">
        <f t="shared" ref="E93:E99" si="8">ROUND(H93,2)</f>
        <v>0</v>
      </c>
      <c r="F93" s="66">
        <f t="shared" ref="F93:F99" si="9">C93*E93</f>
        <v>0</v>
      </c>
      <c r="G93" s="37"/>
      <c r="H93" s="43"/>
    </row>
    <row r="94" spans="1:8" x14ac:dyDescent="0.25">
      <c r="A94" s="41" t="s">
        <v>581</v>
      </c>
      <c r="B94" s="42" t="s">
        <v>12</v>
      </c>
      <c r="C94" s="37">
        <v>12</v>
      </c>
      <c r="D94" s="37" t="s">
        <v>13</v>
      </c>
      <c r="E94" s="65">
        <f t="shared" si="8"/>
        <v>0</v>
      </c>
      <c r="F94" s="66">
        <f t="shared" si="9"/>
        <v>0</v>
      </c>
      <c r="G94" s="37"/>
      <c r="H94" s="43"/>
    </row>
    <row r="95" spans="1:8" x14ac:dyDescent="0.25">
      <c r="A95" s="41" t="s">
        <v>582</v>
      </c>
      <c r="B95" s="42" t="s">
        <v>14</v>
      </c>
      <c r="C95" s="37">
        <v>12</v>
      </c>
      <c r="D95" s="37" t="s">
        <v>13</v>
      </c>
      <c r="E95" s="65">
        <f t="shared" si="8"/>
        <v>0</v>
      </c>
      <c r="F95" s="66">
        <f t="shared" si="9"/>
        <v>0</v>
      </c>
      <c r="G95" s="37"/>
      <c r="H95" s="43"/>
    </row>
    <row r="96" spans="1:8" ht="25.5" x14ac:dyDescent="0.25">
      <c r="A96" s="41" t="s">
        <v>583</v>
      </c>
      <c r="B96" s="42" t="s">
        <v>146</v>
      </c>
      <c r="C96" s="37">
        <v>1</v>
      </c>
      <c r="D96" s="37" t="s">
        <v>15</v>
      </c>
      <c r="E96" s="65">
        <f t="shared" si="8"/>
        <v>0</v>
      </c>
      <c r="F96" s="66">
        <f t="shared" si="9"/>
        <v>0</v>
      </c>
      <c r="G96" s="37"/>
      <c r="H96" s="43"/>
    </row>
    <row r="97" spans="1:8" ht="25.5" x14ac:dyDescent="0.25">
      <c r="A97" s="41" t="s">
        <v>584</v>
      </c>
      <c r="B97" s="42" t="s">
        <v>147</v>
      </c>
      <c r="C97" s="37">
        <v>2</v>
      </c>
      <c r="D97" s="37" t="s">
        <v>18</v>
      </c>
      <c r="E97" s="65">
        <f t="shared" si="8"/>
        <v>0</v>
      </c>
      <c r="F97" s="66">
        <f t="shared" si="9"/>
        <v>0</v>
      </c>
      <c r="G97" s="37"/>
      <c r="H97" s="43"/>
    </row>
    <row r="98" spans="1:8" ht="25.5" x14ac:dyDescent="0.25">
      <c r="A98" s="41" t="s">
        <v>585</v>
      </c>
      <c r="B98" s="42" t="s">
        <v>148</v>
      </c>
      <c r="C98" s="37">
        <v>4</v>
      </c>
      <c r="D98" s="37" t="s">
        <v>16</v>
      </c>
      <c r="E98" s="65">
        <f t="shared" si="8"/>
        <v>0</v>
      </c>
      <c r="F98" s="66">
        <f t="shared" si="9"/>
        <v>0</v>
      </c>
      <c r="G98" s="37"/>
      <c r="H98" s="43"/>
    </row>
    <row r="99" spans="1:8" ht="25.5" x14ac:dyDescent="0.25">
      <c r="A99" s="41" t="s">
        <v>586</v>
      </c>
      <c r="B99" s="42" t="s">
        <v>149</v>
      </c>
      <c r="C99" s="37">
        <v>12</v>
      </c>
      <c r="D99" s="37" t="s">
        <v>13</v>
      </c>
      <c r="E99" s="65">
        <f t="shared" si="8"/>
        <v>0</v>
      </c>
      <c r="F99" s="66">
        <f t="shared" si="9"/>
        <v>0</v>
      </c>
      <c r="G99" s="37"/>
      <c r="H99" s="43"/>
    </row>
    <row r="100" spans="1:8" x14ac:dyDescent="0.25">
      <c r="A100" s="41"/>
      <c r="B100" s="31" t="s">
        <v>32</v>
      </c>
      <c r="C100" s="37"/>
      <c r="D100" s="37"/>
      <c r="E100" s="38"/>
      <c r="F100" s="89">
        <f>SUM(F93:F99)</f>
        <v>0</v>
      </c>
      <c r="G100" s="37"/>
      <c r="H100" s="40"/>
    </row>
    <row r="101" spans="1:8" x14ac:dyDescent="0.25">
      <c r="A101" s="69"/>
      <c r="H101" s="104"/>
    </row>
    <row r="102" spans="1:8" x14ac:dyDescent="0.25">
      <c r="A102" s="31" t="s">
        <v>587</v>
      </c>
      <c r="B102" s="31" t="s">
        <v>636</v>
      </c>
      <c r="C102" s="60"/>
      <c r="D102" s="60"/>
      <c r="E102" s="70"/>
      <c r="F102" s="44"/>
      <c r="G102" s="60"/>
      <c r="H102" s="71"/>
    </row>
    <row r="103" spans="1:8" x14ac:dyDescent="0.25">
      <c r="A103" s="41" t="s">
        <v>588</v>
      </c>
      <c r="B103" s="42" t="s">
        <v>11</v>
      </c>
      <c r="C103" s="37">
        <v>12</v>
      </c>
      <c r="D103" s="37" t="s">
        <v>13</v>
      </c>
      <c r="E103" s="72">
        <f>ROUND(H103,2)</f>
        <v>0</v>
      </c>
      <c r="F103" s="66">
        <f>C103*E103</f>
        <v>0</v>
      </c>
      <c r="G103" s="37"/>
      <c r="H103" s="43"/>
    </row>
    <row r="104" spans="1:8" x14ac:dyDescent="0.25">
      <c r="A104" s="41" t="s">
        <v>589</v>
      </c>
      <c r="B104" s="42" t="s">
        <v>12</v>
      </c>
      <c r="C104" s="37">
        <v>12</v>
      </c>
      <c r="D104" s="37" t="s">
        <v>13</v>
      </c>
      <c r="E104" s="72">
        <f>ROUND(H104,2)</f>
        <v>0</v>
      </c>
      <c r="F104" s="66">
        <f>C104*E104</f>
        <v>0</v>
      </c>
      <c r="G104" s="37"/>
      <c r="H104" s="43"/>
    </row>
    <row r="105" spans="1:8" x14ac:dyDescent="0.25">
      <c r="A105" s="41" t="s">
        <v>590</v>
      </c>
      <c r="B105" s="42" t="s">
        <v>14</v>
      </c>
      <c r="C105" s="37">
        <v>12</v>
      </c>
      <c r="D105" s="37" t="s">
        <v>13</v>
      </c>
      <c r="E105" s="72">
        <f>ROUND(H105,2)</f>
        <v>0</v>
      </c>
      <c r="F105" s="66">
        <f>C105*E105</f>
        <v>0</v>
      </c>
      <c r="G105" s="37"/>
      <c r="H105" s="43"/>
    </row>
    <row r="106" spans="1:8" ht="25.5" x14ac:dyDescent="0.25">
      <c r="A106" s="41" t="s">
        <v>591</v>
      </c>
      <c r="B106" s="42" t="s">
        <v>784</v>
      </c>
      <c r="C106" s="37">
        <v>12</v>
      </c>
      <c r="D106" s="37" t="s">
        <v>13</v>
      </c>
      <c r="E106" s="72">
        <f>ROUND(H106,2)</f>
        <v>0</v>
      </c>
      <c r="F106" s="66">
        <f>C106*E106</f>
        <v>0</v>
      </c>
      <c r="G106" s="37"/>
      <c r="H106" s="43"/>
    </row>
    <row r="107" spans="1:8" x14ac:dyDescent="0.25">
      <c r="A107" s="41"/>
      <c r="B107" s="30" t="s">
        <v>637</v>
      </c>
      <c r="C107" s="37"/>
      <c r="D107" s="37"/>
      <c r="E107" s="38"/>
      <c r="F107" s="89">
        <f>SUM(F103:F106)</f>
        <v>0</v>
      </c>
      <c r="G107" s="37"/>
      <c r="H107" s="40"/>
    </row>
    <row r="108" spans="1:8" x14ac:dyDescent="0.25">
      <c r="A108" s="69"/>
      <c r="H108" s="105"/>
    </row>
    <row r="109" spans="1:8" x14ac:dyDescent="0.25">
      <c r="A109" s="31" t="s">
        <v>592</v>
      </c>
      <c r="B109" s="31" t="s">
        <v>643</v>
      </c>
      <c r="C109" s="60"/>
      <c r="D109" s="60"/>
      <c r="E109" s="70"/>
      <c r="F109" s="44"/>
      <c r="G109" s="60"/>
      <c r="H109" s="71"/>
    </row>
    <row r="110" spans="1:8" x14ac:dyDescent="0.25">
      <c r="A110" s="41" t="s">
        <v>593</v>
      </c>
      <c r="B110" s="42" t="s">
        <v>11</v>
      </c>
      <c r="C110" s="37">
        <v>12</v>
      </c>
      <c r="D110" s="37" t="s">
        <v>13</v>
      </c>
      <c r="E110" s="72">
        <f>ROUND(H110,2)</f>
        <v>0</v>
      </c>
      <c r="F110" s="66">
        <f>C110*E110</f>
        <v>0</v>
      </c>
      <c r="G110" s="37"/>
      <c r="H110" s="43"/>
    </row>
    <row r="111" spans="1:8" x14ac:dyDescent="0.25">
      <c r="A111" s="41" t="s">
        <v>594</v>
      </c>
      <c r="B111" s="42" t="s">
        <v>12</v>
      </c>
      <c r="C111" s="37">
        <v>12</v>
      </c>
      <c r="D111" s="37" t="s">
        <v>13</v>
      </c>
      <c r="E111" s="72">
        <f>ROUND(H111,2)</f>
        <v>0</v>
      </c>
      <c r="F111" s="66">
        <f>C111*E111</f>
        <v>0</v>
      </c>
      <c r="G111" s="37"/>
      <c r="H111" s="43"/>
    </row>
    <row r="112" spans="1:8" x14ac:dyDescent="0.25">
      <c r="A112" s="41" t="s">
        <v>595</v>
      </c>
      <c r="B112" s="42" t="s">
        <v>14</v>
      </c>
      <c r="C112" s="37">
        <v>12</v>
      </c>
      <c r="D112" s="37" t="s">
        <v>13</v>
      </c>
      <c r="E112" s="72">
        <f>ROUND(H112,2)</f>
        <v>0</v>
      </c>
      <c r="F112" s="66">
        <f>C112*E112</f>
        <v>0</v>
      </c>
      <c r="G112" s="37"/>
      <c r="H112" s="43"/>
    </row>
    <row r="113" spans="1:8" ht="25.5" x14ac:dyDescent="0.25">
      <c r="A113" s="41" t="s">
        <v>596</v>
      </c>
      <c r="B113" s="42" t="s">
        <v>761</v>
      </c>
      <c r="C113" s="37">
        <v>12</v>
      </c>
      <c r="D113" s="37" t="s">
        <v>13</v>
      </c>
      <c r="E113" s="72">
        <f>ROUND(H113,2)</f>
        <v>0</v>
      </c>
      <c r="F113" s="66">
        <f>C113*E113</f>
        <v>0</v>
      </c>
      <c r="G113" s="37"/>
      <c r="H113" s="43"/>
    </row>
    <row r="114" spans="1:8" x14ac:dyDescent="0.25">
      <c r="A114" s="41"/>
      <c r="B114" s="30" t="s">
        <v>644</v>
      </c>
      <c r="C114" s="37"/>
      <c r="D114" s="37"/>
      <c r="E114" s="38"/>
      <c r="F114" s="89">
        <f>SUM(F110:F113)</f>
        <v>0</v>
      </c>
      <c r="G114" s="37"/>
      <c r="H114" s="40"/>
    </row>
    <row r="115" spans="1:8" x14ac:dyDescent="0.25">
      <c r="A115" s="51"/>
      <c r="H115" s="105"/>
    </row>
    <row r="116" spans="1:8" x14ac:dyDescent="0.25">
      <c r="A116" s="31" t="s">
        <v>682</v>
      </c>
      <c r="B116" s="31" t="s">
        <v>651</v>
      </c>
      <c r="C116" s="60"/>
      <c r="D116" s="60"/>
      <c r="E116" s="70"/>
      <c r="F116" s="44"/>
      <c r="G116" s="60"/>
      <c r="H116" s="71"/>
    </row>
    <row r="117" spans="1:8" x14ac:dyDescent="0.25">
      <c r="A117" s="41" t="s">
        <v>683</v>
      </c>
      <c r="B117" s="42" t="s">
        <v>11</v>
      </c>
      <c r="C117" s="37">
        <v>12</v>
      </c>
      <c r="D117" s="37" t="s">
        <v>13</v>
      </c>
      <c r="E117" s="72">
        <f>ROUND(H117,2)</f>
        <v>0</v>
      </c>
      <c r="F117" s="66">
        <f>C117*E117</f>
        <v>0</v>
      </c>
      <c r="G117" s="37"/>
      <c r="H117" s="43"/>
    </row>
    <row r="118" spans="1:8" x14ac:dyDescent="0.25">
      <c r="A118" s="41" t="s">
        <v>684</v>
      </c>
      <c r="B118" s="42" t="s">
        <v>12</v>
      </c>
      <c r="C118" s="37">
        <v>12</v>
      </c>
      <c r="D118" s="37" t="s">
        <v>13</v>
      </c>
      <c r="E118" s="72">
        <f>ROUND(H118,2)</f>
        <v>0</v>
      </c>
      <c r="F118" s="66">
        <f>C118*E118</f>
        <v>0</v>
      </c>
      <c r="G118" s="37"/>
      <c r="H118" s="43"/>
    </row>
    <row r="119" spans="1:8" x14ac:dyDescent="0.25">
      <c r="A119" s="41" t="s">
        <v>685</v>
      </c>
      <c r="B119" s="42" t="s">
        <v>14</v>
      </c>
      <c r="C119" s="37">
        <v>12</v>
      </c>
      <c r="D119" s="37" t="s">
        <v>13</v>
      </c>
      <c r="E119" s="72">
        <f>ROUND(H119,2)</f>
        <v>0</v>
      </c>
      <c r="F119" s="66">
        <f>C119*E119</f>
        <v>0</v>
      </c>
      <c r="G119" s="37"/>
      <c r="H119" s="43"/>
    </row>
    <row r="120" spans="1:8" ht="25.5" x14ac:dyDescent="0.25">
      <c r="A120" s="41" t="s">
        <v>686</v>
      </c>
      <c r="B120" s="42" t="s">
        <v>762</v>
      </c>
      <c r="C120" s="37">
        <v>12</v>
      </c>
      <c r="D120" s="37" t="s">
        <v>13</v>
      </c>
      <c r="E120" s="72">
        <f>ROUND(H120,2)</f>
        <v>0</v>
      </c>
      <c r="F120" s="66">
        <f>C120*E120</f>
        <v>0</v>
      </c>
      <c r="G120" s="37"/>
      <c r="H120" s="43"/>
    </row>
    <row r="121" spans="1:8" x14ac:dyDescent="0.25">
      <c r="A121" s="41"/>
      <c r="B121" s="30" t="s">
        <v>650</v>
      </c>
      <c r="C121" s="37"/>
      <c r="D121" s="37"/>
      <c r="E121" s="38"/>
      <c r="F121" s="89">
        <f>SUM(F117:F120)</f>
        <v>0</v>
      </c>
      <c r="G121" s="37"/>
      <c r="H121" s="40"/>
    </row>
    <row r="122" spans="1:8" x14ac:dyDescent="0.25">
      <c r="H122" s="105"/>
    </row>
    <row r="123" spans="1:8" x14ac:dyDescent="0.25">
      <c r="A123" s="31" t="s">
        <v>687</v>
      </c>
      <c r="B123" s="31" t="s">
        <v>122</v>
      </c>
      <c r="C123" s="60"/>
      <c r="D123" s="60"/>
      <c r="E123" s="70"/>
      <c r="F123" s="44"/>
      <c r="G123" s="60"/>
      <c r="H123" s="71"/>
    </row>
    <row r="124" spans="1:8" x14ac:dyDescent="0.25">
      <c r="A124" s="41" t="s">
        <v>688</v>
      </c>
      <c r="B124" s="42" t="s">
        <v>11</v>
      </c>
      <c r="C124" s="37">
        <v>12</v>
      </c>
      <c r="D124" s="37" t="s">
        <v>13</v>
      </c>
      <c r="E124" s="72">
        <f>ROUND(H124,2)</f>
        <v>0</v>
      </c>
      <c r="F124" s="66">
        <f>C124*E124</f>
        <v>0</v>
      </c>
      <c r="G124" s="37"/>
      <c r="H124" s="43"/>
    </row>
    <row r="125" spans="1:8" x14ac:dyDescent="0.25">
      <c r="A125" s="41" t="s">
        <v>689</v>
      </c>
      <c r="B125" s="42" t="s">
        <v>12</v>
      </c>
      <c r="C125" s="37">
        <v>12</v>
      </c>
      <c r="D125" s="37" t="s">
        <v>13</v>
      </c>
      <c r="E125" s="72">
        <f>ROUND(H125,2)</f>
        <v>0</v>
      </c>
      <c r="F125" s="66">
        <f>C125*E125</f>
        <v>0</v>
      </c>
      <c r="G125" s="37"/>
      <c r="H125" s="43"/>
    </row>
    <row r="126" spans="1:8" x14ac:dyDescent="0.25">
      <c r="A126" s="41" t="s">
        <v>690</v>
      </c>
      <c r="B126" s="42" t="s">
        <v>14</v>
      </c>
      <c r="C126" s="37">
        <v>12</v>
      </c>
      <c r="D126" s="37" t="s">
        <v>13</v>
      </c>
      <c r="E126" s="72">
        <f>ROUND(H126,2)</f>
        <v>0</v>
      </c>
      <c r="F126" s="66">
        <f>C126*E126</f>
        <v>0</v>
      </c>
      <c r="G126" s="37"/>
      <c r="H126" s="43"/>
    </row>
    <row r="127" spans="1:8" ht="25.5" x14ac:dyDescent="0.25">
      <c r="A127" s="41" t="s">
        <v>691</v>
      </c>
      <c r="B127" s="42" t="s">
        <v>727</v>
      </c>
      <c r="C127" s="37">
        <v>12</v>
      </c>
      <c r="D127" s="37" t="s">
        <v>13</v>
      </c>
      <c r="E127" s="72">
        <f>ROUND(H127,2)</f>
        <v>0</v>
      </c>
      <c r="F127" s="66">
        <f>C127*E127</f>
        <v>0</v>
      </c>
      <c r="G127" s="37"/>
      <c r="H127" s="43"/>
    </row>
    <row r="128" spans="1:8" x14ac:dyDescent="0.25">
      <c r="A128" s="41"/>
      <c r="B128" s="30" t="s">
        <v>123</v>
      </c>
      <c r="C128" s="37"/>
      <c r="D128" s="37"/>
      <c r="E128" s="38"/>
      <c r="F128" s="89">
        <f>SUM(F124:F127)</f>
        <v>0</v>
      </c>
      <c r="G128" s="37"/>
      <c r="H128" s="40"/>
    </row>
    <row r="129" spans="1:8" x14ac:dyDescent="0.25">
      <c r="H129" s="104"/>
    </row>
    <row r="130" spans="1:8" x14ac:dyDescent="0.25">
      <c r="A130" s="31" t="s">
        <v>692</v>
      </c>
      <c r="B130" s="31" t="s">
        <v>121</v>
      </c>
      <c r="C130" s="60"/>
      <c r="D130" s="60"/>
      <c r="E130" s="70"/>
      <c r="F130" s="44"/>
      <c r="G130" s="60"/>
      <c r="H130" s="71"/>
    </row>
    <row r="131" spans="1:8" x14ac:dyDescent="0.25">
      <c r="A131" s="41" t="s">
        <v>693</v>
      </c>
      <c r="B131" s="42" t="s">
        <v>11</v>
      </c>
      <c r="C131" s="37">
        <v>12</v>
      </c>
      <c r="D131" s="37" t="s">
        <v>13</v>
      </c>
      <c r="E131" s="72">
        <f>ROUND(H131,2)</f>
        <v>0</v>
      </c>
      <c r="F131" s="66">
        <f>C131*E131</f>
        <v>0</v>
      </c>
      <c r="G131" s="37"/>
      <c r="H131" s="43"/>
    </row>
    <row r="132" spans="1:8" x14ac:dyDescent="0.25">
      <c r="A132" s="41" t="s">
        <v>694</v>
      </c>
      <c r="B132" s="42" t="s">
        <v>12</v>
      </c>
      <c r="C132" s="37">
        <v>12</v>
      </c>
      <c r="D132" s="37" t="s">
        <v>13</v>
      </c>
      <c r="E132" s="72">
        <f>ROUND(H132,2)</f>
        <v>0</v>
      </c>
      <c r="F132" s="66">
        <f>C132*E132</f>
        <v>0</v>
      </c>
      <c r="G132" s="37"/>
      <c r="H132" s="43"/>
    </row>
    <row r="133" spans="1:8" x14ac:dyDescent="0.25">
      <c r="A133" s="41" t="s">
        <v>695</v>
      </c>
      <c r="B133" s="42" t="s">
        <v>14</v>
      </c>
      <c r="C133" s="37">
        <v>12</v>
      </c>
      <c r="D133" s="37" t="s">
        <v>13</v>
      </c>
      <c r="E133" s="72">
        <f>ROUND(H133,2)</f>
        <v>0</v>
      </c>
      <c r="F133" s="66">
        <f>C133*E133</f>
        <v>0</v>
      </c>
      <c r="G133" s="37"/>
      <c r="H133" s="43"/>
    </row>
    <row r="134" spans="1:8" ht="25.5" x14ac:dyDescent="0.25">
      <c r="A134" s="41" t="s">
        <v>696</v>
      </c>
      <c r="B134" s="42" t="s">
        <v>727</v>
      </c>
      <c r="C134" s="37">
        <v>12</v>
      </c>
      <c r="D134" s="37" t="s">
        <v>13</v>
      </c>
      <c r="E134" s="72">
        <f>ROUND(H134,2)</f>
        <v>0</v>
      </c>
      <c r="F134" s="66">
        <f>C134*E134</f>
        <v>0</v>
      </c>
      <c r="G134" s="37"/>
      <c r="H134" s="43"/>
    </row>
    <row r="135" spans="1:8" x14ac:dyDescent="0.25">
      <c r="A135" s="41"/>
      <c r="B135" s="30" t="s">
        <v>124</v>
      </c>
      <c r="C135" s="37"/>
      <c r="D135" s="37"/>
      <c r="E135" s="38"/>
      <c r="F135" s="89">
        <f>SUM(F131:F134)</f>
        <v>0</v>
      </c>
      <c r="G135" s="37"/>
      <c r="H135" s="40"/>
    </row>
    <row r="136" spans="1:8" x14ac:dyDescent="0.25">
      <c r="A136" s="51"/>
      <c r="B136" s="61"/>
      <c r="C136" s="22"/>
      <c r="D136" s="22"/>
      <c r="E136" s="23"/>
      <c r="F136" s="92"/>
      <c r="G136" s="22"/>
      <c r="H136" s="93"/>
    </row>
    <row r="137" spans="1:8" x14ac:dyDescent="0.25">
      <c r="A137" s="31" t="s">
        <v>740</v>
      </c>
      <c r="B137" s="31" t="s">
        <v>785</v>
      </c>
      <c r="C137" s="60"/>
      <c r="D137" s="60"/>
      <c r="E137" s="70"/>
      <c r="F137" s="44"/>
      <c r="G137" s="60"/>
      <c r="H137" s="71"/>
    </row>
    <row r="138" spans="1:8" x14ac:dyDescent="0.25">
      <c r="A138" s="41" t="s">
        <v>741</v>
      </c>
      <c r="B138" s="42" t="s">
        <v>11</v>
      </c>
      <c r="C138" s="37">
        <v>12</v>
      </c>
      <c r="D138" s="37" t="s">
        <v>13</v>
      </c>
      <c r="E138" s="72">
        <f>ROUND(H138,2)</f>
        <v>0</v>
      </c>
      <c r="F138" s="66">
        <f>C138*E138</f>
        <v>0</v>
      </c>
      <c r="G138" s="37"/>
      <c r="H138" s="43"/>
    </row>
    <row r="139" spans="1:8" x14ac:dyDescent="0.25">
      <c r="A139" s="41" t="s">
        <v>742</v>
      </c>
      <c r="B139" s="42" t="s">
        <v>12</v>
      </c>
      <c r="C139" s="37">
        <v>12</v>
      </c>
      <c r="D139" s="37" t="s">
        <v>13</v>
      </c>
      <c r="E139" s="72">
        <f>ROUND(H139,2)</f>
        <v>0</v>
      </c>
      <c r="F139" s="66">
        <f>C139*E139</f>
        <v>0</v>
      </c>
      <c r="G139" s="37"/>
      <c r="H139" s="43"/>
    </row>
    <row r="140" spans="1:8" x14ac:dyDescent="0.25">
      <c r="A140" s="41" t="s">
        <v>743</v>
      </c>
      <c r="B140" s="42" t="s">
        <v>14</v>
      </c>
      <c r="C140" s="37">
        <v>12</v>
      </c>
      <c r="D140" s="37" t="s">
        <v>13</v>
      </c>
      <c r="E140" s="72">
        <f>ROUND(H140,2)</f>
        <v>0</v>
      </c>
      <c r="F140" s="66">
        <f>C140*E140</f>
        <v>0</v>
      </c>
      <c r="G140" s="37"/>
      <c r="H140" s="43"/>
    </row>
    <row r="141" spans="1:8" ht="25.5" x14ac:dyDescent="0.25">
      <c r="A141" s="41" t="s">
        <v>744</v>
      </c>
      <c r="B141" s="42" t="s">
        <v>734</v>
      </c>
      <c r="C141" s="37">
        <v>12</v>
      </c>
      <c r="D141" s="37" t="s">
        <v>13</v>
      </c>
      <c r="E141" s="72">
        <f>ROUND(H141,2)</f>
        <v>0</v>
      </c>
      <c r="F141" s="66">
        <f>C141*E141</f>
        <v>0</v>
      </c>
      <c r="G141" s="37"/>
      <c r="H141" s="43"/>
    </row>
    <row r="142" spans="1:8" x14ac:dyDescent="0.25">
      <c r="A142" s="41"/>
      <c r="B142" s="30" t="s">
        <v>786</v>
      </c>
      <c r="C142" s="37"/>
      <c r="D142" s="37"/>
      <c r="E142" s="38"/>
      <c r="F142" s="89">
        <f>SUM(F138:F141)</f>
        <v>0</v>
      </c>
      <c r="G142" s="37"/>
      <c r="H142" s="40"/>
    </row>
    <row r="144" spans="1:8" x14ac:dyDescent="0.25">
      <c r="B144" s="194" t="s">
        <v>597</v>
      </c>
      <c r="C144" s="194"/>
      <c r="D144" s="194"/>
      <c r="E144" s="194"/>
      <c r="F144" s="90">
        <f>SUM(F18,F27,F36,F48,F56,F64,F72,F81,F90,F100,F107,F114,F121,F128,F135, F142)</f>
        <v>0</v>
      </c>
    </row>
  </sheetData>
  <sheetProtection password="C9A6" sheet="1" selectLockedCells="1"/>
  <mergeCells count="6">
    <mergeCell ref="B144:E144"/>
    <mergeCell ref="H1:H10"/>
    <mergeCell ref="A2:G2"/>
    <mergeCell ref="A3:G3"/>
    <mergeCell ref="A4:G4"/>
    <mergeCell ref="A5:G5"/>
  </mergeCells>
  <pageMargins left="0.25" right="0.25" top="0.75" bottom="0.75" header="0.3" footer="0.3"/>
  <pageSetup scale="91" fitToHeight="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I36"/>
  <sheetViews>
    <sheetView showZeros="0" topLeftCell="A10" zoomScaleNormal="100" workbookViewId="0">
      <selection activeCell="H12" sqref="H12"/>
    </sheetView>
  </sheetViews>
  <sheetFormatPr defaultColWidth="8.5703125" defaultRowHeight="12.75" x14ac:dyDescent="0.2"/>
  <cols>
    <col min="1" max="1" width="8.140625" style="76" customWidth="1"/>
    <col min="2" max="2" width="18.7109375" style="76" customWidth="1"/>
    <col min="3" max="3" width="56.85546875" style="76" customWidth="1"/>
    <col min="4" max="4" width="8.28515625" style="84" customWidth="1"/>
    <col min="5" max="5" width="9" style="76" customWidth="1"/>
    <col min="6" max="6" width="11.7109375" style="76" customWidth="1"/>
    <col min="7" max="7" width="13.85546875" style="85" customWidth="1"/>
    <col min="8" max="8" width="10.42578125" style="85" customWidth="1"/>
    <col min="9" max="9" width="16" style="83" customWidth="1"/>
    <col min="10" max="253" width="8.5703125" style="76"/>
    <col min="254" max="254" width="8.140625" style="76" customWidth="1"/>
    <col min="255" max="255" width="6" style="76" customWidth="1"/>
    <col min="256" max="256" width="9.85546875" style="76" customWidth="1"/>
    <col min="257" max="257" width="12.28515625" style="76" customWidth="1"/>
    <col min="258" max="258" width="29" style="76" customWidth="1"/>
    <col min="259" max="259" width="7.5703125" style="76" customWidth="1"/>
    <col min="260" max="260" width="6.85546875" style="76" customWidth="1"/>
    <col min="261" max="261" width="8.5703125" style="76"/>
    <col min="262" max="262" width="11.85546875" style="76" bestFit="1" customWidth="1"/>
    <col min="263" max="263" width="14.28515625" style="76" customWidth="1"/>
    <col min="264" max="509" width="8.5703125" style="76"/>
    <col min="510" max="510" width="8.140625" style="76" customWidth="1"/>
    <col min="511" max="511" width="6" style="76" customWidth="1"/>
    <col min="512" max="512" width="9.85546875" style="76" customWidth="1"/>
    <col min="513" max="513" width="12.28515625" style="76" customWidth="1"/>
    <col min="514" max="514" width="29" style="76" customWidth="1"/>
    <col min="515" max="515" width="7.5703125" style="76" customWidth="1"/>
    <col min="516" max="516" width="6.85546875" style="76" customWidth="1"/>
    <col min="517" max="517" width="8.5703125" style="76"/>
    <col min="518" max="518" width="11.85546875" style="76" bestFit="1" customWidth="1"/>
    <col min="519" max="519" width="14.28515625" style="76" customWidth="1"/>
    <col min="520" max="765" width="8.5703125" style="76"/>
    <col min="766" max="766" width="8.140625" style="76" customWidth="1"/>
    <col min="767" max="767" width="6" style="76" customWidth="1"/>
    <col min="768" max="768" width="9.85546875" style="76" customWidth="1"/>
    <col min="769" max="769" width="12.28515625" style="76" customWidth="1"/>
    <col min="770" max="770" width="29" style="76" customWidth="1"/>
    <col min="771" max="771" width="7.5703125" style="76" customWidth="1"/>
    <col min="772" max="772" width="6.85546875" style="76" customWidth="1"/>
    <col min="773" max="773" width="8.5703125" style="76"/>
    <col min="774" max="774" width="11.85546875" style="76" bestFit="1" customWidth="1"/>
    <col min="775" max="775" width="14.28515625" style="76" customWidth="1"/>
    <col min="776" max="1021" width="8.5703125" style="76"/>
    <col min="1022" max="1022" width="8.140625" style="76" customWidth="1"/>
    <col min="1023" max="1023" width="6" style="76" customWidth="1"/>
    <col min="1024" max="1024" width="9.85546875" style="76" customWidth="1"/>
    <col min="1025" max="1025" width="12.28515625" style="76" customWidth="1"/>
    <col min="1026" max="1026" width="29" style="76" customWidth="1"/>
    <col min="1027" max="1027" width="7.5703125" style="76" customWidth="1"/>
    <col min="1028" max="1028" width="6.85546875" style="76" customWidth="1"/>
    <col min="1029" max="1029" width="8.5703125" style="76"/>
    <col min="1030" max="1030" width="11.85546875" style="76" bestFit="1" customWidth="1"/>
    <col min="1031" max="1031" width="14.28515625" style="76" customWidth="1"/>
    <col min="1032" max="1277" width="8.5703125" style="76"/>
    <col min="1278" max="1278" width="8.140625" style="76" customWidth="1"/>
    <col min="1279" max="1279" width="6" style="76" customWidth="1"/>
    <col min="1280" max="1280" width="9.85546875" style="76" customWidth="1"/>
    <col min="1281" max="1281" width="12.28515625" style="76" customWidth="1"/>
    <col min="1282" max="1282" width="29" style="76" customWidth="1"/>
    <col min="1283" max="1283" width="7.5703125" style="76" customWidth="1"/>
    <col min="1284" max="1284" width="6.85546875" style="76" customWidth="1"/>
    <col min="1285" max="1285" width="8.5703125" style="76"/>
    <col min="1286" max="1286" width="11.85546875" style="76" bestFit="1" customWidth="1"/>
    <col min="1287" max="1287" width="14.28515625" style="76" customWidth="1"/>
    <col min="1288" max="1533" width="8.5703125" style="76"/>
    <col min="1534" max="1534" width="8.140625" style="76" customWidth="1"/>
    <col min="1535" max="1535" width="6" style="76" customWidth="1"/>
    <col min="1536" max="1536" width="9.85546875" style="76" customWidth="1"/>
    <col min="1537" max="1537" width="12.28515625" style="76" customWidth="1"/>
    <col min="1538" max="1538" width="29" style="76" customWidth="1"/>
    <col min="1539" max="1539" width="7.5703125" style="76" customWidth="1"/>
    <col min="1540" max="1540" width="6.85546875" style="76" customWidth="1"/>
    <col min="1541" max="1541" width="8.5703125" style="76"/>
    <col min="1542" max="1542" width="11.85546875" style="76" bestFit="1" customWidth="1"/>
    <col min="1543" max="1543" width="14.28515625" style="76" customWidth="1"/>
    <col min="1544" max="1789" width="8.5703125" style="76"/>
    <col min="1790" max="1790" width="8.140625" style="76" customWidth="1"/>
    <col min="1791" max="1791" width="6" style="76" customWidth="1"/>
    <col min="1792" max="1792" width="9.85546875" style="76" customWidth="1"/>
    <col min="1793" max="1793" width="12.28515625" style="76" customWidth="1"/>
    <col min="1794" max="1794" width="29" style="76" customWidth="1"/>
    <col min="1795" max="1795" width="7.5703125" style="76" customWidth="1"/>
    <col min="1796" max="1796" width="6.85546875" style="76" customWidth="1"/>
    <col min="1797" max="1797" width="8.5703125" style="76"/>
    <col min="1798" max="1798" width="11.85546875" style="76" bestFit="1" customWidth="1"/>
    <col min="1799" max="1799" width="14.28515625" style="76" customWidth="1"/>
    <col min="1800" max="2045" width="8.5703125" style="76"/>
    <col min="2046" max="2046" width="8.140625" style="76" customWidth="1"/>
    <col min="2047" max="2047" width="6" style="76" customWidth="1"/>
    <col min="2048" max="2048" width="9.85546875" style="76" customWidth="1"/>
    <col min="2049" max="2049" width="12.28515625" style="76" customWidth="1"/>
    <col min="2050" max="2050" width="29" style="76" customWidth="1"/>
    <col min="2051" max="2051" width="7.5703125" style="76" customWidth="1"/>
    <col min="2052" max="2052" width="6.85546875" style="76" customWidth="1"/>
    <col min="2053" max="2053" width="8.5703125" style="76"/>
    <col min="2054" max="2054" width="11.85546875" style="76" bestFit="1" customWidth="1"/>
    <col min="2055" max="2055" width="14.28515625" style="76" customWidth="1"/>
    <col min="2056" max="2301" width="8.5703125" style="76"/>
    <col min="2302" max="2302" width="8.140625" style="76" customWidth="1"/>
    <col min="2303" max="2303" width="6" style="76" customWidth="1"/>
    <col min="2304" max="2304" width="9.85546875" style="76" customWidth="1"/>
    <col min="2305" max="2305" width="12.28515625" style="76" customWidth="1"/>
    <col min="2306" max="2306" width="29" style="76" customWidth="1"/>
    <col min="2307" max="2307" width="7.5703125" style="76" customWidth="1"/>
    <col min="2308" max="2308" width="6.85546875" style="76" customWidth="1"/>
    <col min="2309" max="2309" width="8.5703125" style="76"/>
    <col min="2310" max="2310" width="11.85546875" style="76" bestFit="1" customWidth="1"/>
    <col min="2311" max="2311" width="14.28515625" style="76" customWidth="1"/>
    <col min="2312" max="2557" width="8.5703125" style="76"/>
    <col min="2558" max="2558" width="8.140625" style="76" customWidth="1"/>
    <col min="2559" max="2559" width="6" style="76" customWidth="1"/>
    <col min="2560" max="2560" width="9.85546875" style="76" customWidth="1"/>
    <col min="2561" max="2561" width="12.28515625" style="76" customWidth="1"/>
    <col min="2562" max="2562" width="29" style="76" customWidth="1"/>
    <col min="2563" max="2563" width="7.5703125" style="76" customWidth="1"/>
    <col min="2564" max="2564" width="6.85546875" style="76" customWidth="1"/>
    <col min="2565" max="2565" width="8.5703125" style="76"/>
    <col min="2566" max="2566" width="11.85546875" style="76" bestFit="1" customWidth="1"/>
    <col min="2567" max="2567" width="14.28515625" style="76" customWidth="1"/>
    <col min="2568" max="2813" width="8.5703125" style="76"/>
    <col min="2814" max="2814" width="8.140625" style="76" customWidth="1"/>
    <col min="2815" max="2815" width="6" style="76" customWidth="1"/>
    <col min="2816" max="2816" width="9.85546875" style="76" customWidth="1"/>
    <col min="2817" max="2817" width="12.28515625" style="76" customWidth="1"/>
    <col min="2818" max="2818" width="29" style="76" customWidth="1"/>
    <col min="2819" max="2819" width="7.5703125" style="76" customWidth="1"/>
    <col min="2820" max="2820" width="6.85546875" style="76" customWidth="1"/>
    <col min="2821" max="2821" width="8.5703125" style="76"/>
    <col min="2822" max="2822" width="11.85546875" style="76" bestFit="1" customWidth="1"/>
    <col min="2823" max="2823" width="14.28515625" style="76" customWidth="1"/>
    <col min="2824" max="3069" width="8.5703125" style="76"/>
    <col min="3070" max="3070" width="8.140625" style="76" customWidth="1"/>
    <col min="3071" max="3071" width="6" style="76" customWidth="1"/>
    <col min="3072" max="3072" width="9.85546875" style="76" customWidth="1"/>
    <col min="3073" max="3073" width="12.28515625" style="76" customWidth="1"/>
    <col min="3074" max="3074" width="29" style="76" customWidth="1"/>
    <col min="3075" max="3075" width="7.5703125" style="76" customWidth="1"/>
    <col min="3076" max="3076" width="6.85546875" style="76" customWidth="1"/>
    <col min="3077" max="3077" width="8.5703125" style="76"/>
    <col min="3078" max="3078" width="11.85546875" style="76" bestFit="1" customWidth="1"/>
    <col min="3079" max="3079" width="14.28515625" style="76" customWidth="1"/>
    <col min="3080" max="3325" width="8.5703125" style="76"/>
    <col min="3326" max="3326" width="8.140625" style="76" customWidth="1"/>
    <col min="3327" max="3327" width="6" style="76" customWidth="1"/>
    <col min="3328" max="3328" width="9.85546875" style="76" customWidth="1"/>
    <col min="3329" max="3329" width="12.28515625" style="76" customWidth="1"/>
    <col min="3330" max="3330" width="29" style="76" customWidth="1"/>
    <col min="3331" max="3331" width="7.5703125" style="76" customWidth="1"/>
    <col min="3332" max="3332" width="6.85546875" style="76" customWidth="1"/>
    <col min="3333" max="3333" width="8.5703125" style="76"/>
    <col min="3334" max="3334" width="11.85546875" style="76" bestFit="1" customWidth="1"/>
    <col min="3335" max="3335" width="14.28515625" style="76" customWidth="1"/>
    <col min="3336" max="3581" width="8.5703125" style="76"/>
    <col min="3582" max="3582" width="8.140625" style="76" customWidth="1"/>
    <col min="3583" max="3583" width="6" style="76" customWidth="1"/>
    <col min="3584" max="3584" width="9.85546875" style="76" customWidth="1"/>
    <col min="3585" max="3585" width="12.28515625" style="76" customWidth="1"/>
    <col min="3586" max="3586" width="29" style="76" customWidth="1"/>
    <col min="3587" max="3587" width="7.5703125" style="76" customWidth="1"/>
    <col min="3588" max="3588" width="6.85546875" style="76" customWidth="1"/>
    <col min="3589" max="3589" width="8.5703125" style="76"/>
    <col min="3590" max="3590" width="11.85546875" style="76" bestFit="1" customWidth="1"/>
    <col min="3591" max="3591" width="14.28515625" style="76" customWidth="1"/>
    <col min="3592" max="3837" width="8.5703125" style="76"/>
    <col min="3838" max="3838" width="8.140625" style="76" customWidth="1"/>
    <col min="3839" max="3839" width="6" style="76" customWidth="1"/>
    <col min="3840" max="3840" width="9.85546875" style="76" customWidth="1"/>
    <col min="3841" max="3841" width="12.28515625" style="76" customWidth="1"/>
    <col min="3842" max="3842" width="29" style="76" customWidth="1"/>
    <col min="3843" max="3843" width="7.5703125" style="76" customWidth="1"/>
    <col min="3844" max="3844" width="6.85546875" style="76" customWidth="1"/>
    <col min="3845" max="3845" width="8.5703125" style="76"/>
    <col min="3846" max="3846" width="11.85546875" style="76" bestFit="1" customWidth="1"/>
    <col min="3847" max="3847" width="14.28515625" style="76" customWidth="1"/>
    <col min="3848" max="4093" width="8.5703125" style="76"/>
    <col min="4094" max="4094" width="8.140625" style="76" customWidth="1"/>
    <col min="4095" max="4095" width="6" style="76" customWidth="1"/>
    <col min="4096" max="4096" width="9.85546875" style="76" customWidth="1"/>
    <col min="4097" max="4097" width="12.28515625" style="76" customWidth="1"/>
    <col min="4098" max="4098" width="29" style="76" customWidth="1"/>
    <col min="4099" max="4099" width="7.5703125" style="76" customWidth="1"/>
    <col min="4100" max="4100" width="6.85546875" style="76" customWidth="1"/>
    <col min="4101" max="4101" width="8.5703125" style="76"/>
    <col min="4102" max="4102" width="11.85546875" style="76" bestFit="1" customWidth="1"/>
    <col min="4103" max="4103" width="14.28515625" style="76" customWidth="1"/>
    <col min="4104" max="4349" width="8.5703125" style="76"/>
    <col min="4350" max="4350" width="8.140625" style="76" customWidth="1"/>
    <col min="4351" max="4351" width="6" style="76" customWidth="1"/>
    <col min="4352" max="4352" width="9.85546875" style="76" customWidth="1"/>
    <col min="4353" max="4353" width="12.28515625" style="76" customWidth="1"/>
    <col min="4354" max="4354" width="29" style="76" customWidth="1"/>
    <col min="4355" max="4355" width="7.5703125" style="76" customWidth="1"/>
    <col min="4356" max="4356" width="6.85546875" style="76" customWidth="1"/>
    <col min="4357" max="4357" width="8.5703125" style="76"/>
    <col min="4358" max="4358" width="11.85546875" style="76" bestFit="1" customWidth="1"/>
    <col min="4359" max="4359" width="14.28515625" style="76" customWidth="1"/>
    <col min="4360" max="4605" width="8.5703125" style="76"/>
    <col min="4606" max="4606" width="8.140625" style="76" customWidth="1"/>
    <col min="4607" max="4607" width="6" style="76" customWidth="1"/>
    <col min="4608" max="4608" width="9.85546875" style="76" customWidth="1"/>
    <col min="4609" max="4609" width="12.28515625" style="76" customWidth="1"/>
    <col min="4610" max="4610" width="29" style="76" customWidth="1"/>
    <col min="4611" max="4611" width="7.5703125" style="76" customWidth="1"/>
    <col min="4612" max="4612" width="6.85546875" style="76" customWidth="1"/>
    <col min="4613" max="4613" width="8.5703125" style="76"/>
    <col min="4614" max="4614" width="11.85546875" style="76" bestFit="1" customWidth="1"/>
    <col min="4615" max="4615" width="14.28515625" style="76" customWidth="1"/>
    <col min="4616" max="4861" width="8.5703125" style="76"/>
    <col min="4862" max="4862" width="8.140625" style="76" customWidth="1"/>
    <col min="4863" max="4863" width="6" style="76" customWidth="1"/>
    <col min="4864" max="4864" width="9.85546875" style="76" customWidth="1"/>
    <col min="4865" max="4865" width="12.28515625" style="76" customWidth="1"/>
    <col min="4866" max="4866" width="29" style="76" customWidth="1"/>
    <col min="4867" max="4867" width="7.5703125" style="76" customWidth="1"/>
    <col min="4868" max="4868" width="6.85546875" style="76" customWidth="1"/>
    <col min="4869" max="4869" width="8.5703125" style="76"/>
    <col min="4870" max="4870" width="11.85546875" style="76" bestFit="1" customWidth="1"/>
    <col min="4871" max="4871" width="14.28515625" style="76" customWidth="1"/>
    <col min="4872" max="5117" width="8.5703125" style="76"/>
    <col min="5118" max="5118" width="8.140625" style="76" customWidth="1"/>
    <col min="5119" max="5119" width="6" style="76" customWidth="1"/>
    <col min="5120" max="5120" width="9.85546875" style="76" customWidth="1"/>
    <col min="5121" max="5121" width="12.28515625" style="76" customWidth="1"/>
    <col min="5122" max="5122" width="29" style="76" customWidth="1"/>
    <col min="5123" max="5123" width="7.5703125" style="76" customWidth="1"/>
    <col min="5124" max="5124" width="6.85546875" style="76" customWidth="1"/>
    <col min="5125" max="5125" width="8.5703125" style="76"/>
    <col min="5126" max="5126" width="11.85546875" style="76" bestFit="1" customWidth="1"/>
    <col min="5127" max="5127" width="14.28515625" style="76" customWidth="1"/>
    <col min="5128" max="5373" width="8.5703125" style="76"/>
    <col min="5374" max="5374" width="8.140625" style="76" customWidth="1"/>
    <col min="5375" max="5375" width="6" style="76" customWidth="1"/>
    <col min="5376" max="5376" width="9.85546875" style="76" customWidth="1"/>
    <col min="5377" max="5377" width="12.28515625" style="76" customWidth="1"/>
    <col min="5378" max="5378" width="29" style="76" customWidth="1"/>
    <col min="5379" max="5379" width="7.5703125" style="76" customWidth="1"/>
    <col min="5380" max="5380" width="6.85546875" style="76" customWidth="1"/>
    <col min="5381" max="5381" width="8.5703125" style="76"/>
    <col min="5382" max="5382" width="11.85546875" style="76" bestFit="1" customWidth="1"/>
    <col min="5383" max="5383" width="14.28515625" style="76" customWidth="1"/>
    <col min="5384" max="5629" width="8.5703125" style="76"/>
    <col min="5630" max="5630" width="8.140625" style="76" customWidth="1"/>
    <col min="5631" max="5631" width="6" style="76" customWidth="1"/>
    <col min="5632" max="5632" width="9.85546875" style="76" customWidth="1"/>
    <col min="5633" max="5633" width="12.28515625" style="76" customWidth="1"/>
    <col min="5634" max="5634" width="29" style="76" customWidth="1"/>
    <col min="5635" max="5635" width="7.5703125" style="76" customWidth="1"/>
    <col min="5636" max="5636" width="6.85546875" style="76" customWidth="1"/>
    <col min="5637" max="5637" width="8.5703125" style="76"/>
    <col min="5638" max="5638" width="11.85546875" style="76" bestFit="1" customWidth="1"/>
    <col min="5639" max="5639" width="14.28515625" style="76" customWidth="1"/>
    <col min="5640" max="5885" width="8.5703125" style="76"/>
    <col min="5886" max="5886" width="8.140625" style="76" customWidth="1"/>
    <col min="5887" max="5887" width="6" style="76" customWidth="1"/>
    <col min="5888" max="5888" width="9.85546875" style="76" customWidth="1"/>
    <col min="5889" max="5889" width="12.28515625" style="76" customWidth="1"/>
    <col min="5890" max="5890" width="29" style="76" customWidth="1"/>
    <col min="5891" max="5891" width="7.5703125" style="76" customWidth="1"/>
    <col min="5892" max="5892" width="6.85546875" style="76" customWidth="1"/>
    <col min="5893" max="5893" width="8.5703125" style="76"/>
    <col min="5894" max="5894" width="11.85546875" style="76" bestFit="1" customWidth="1"/>
    <col min="5895" max="5895" width="14.28515625" style="76" customWidth="1"/>
    <col min="5896" max="6141" width="8.5703125" style="76"/>
    <col min="6142" max="6142" width="8.140625" style="76" customWidth="1"/>
    <col min="6143" max="6143" width="6" style="76" customWidth="1"/>
    <col min="6144" max="6144" width="9.85546875" style="76" customWidth="1"/>
    <col min="6145" max="6145" width="12.28515625" style="76" customWidth="1"/>
    <col min="6146" max="6146" width="29" style="76" customWidth="1"/>
    <col min="6147" max="6147" width="7.5703125" style="76" customWidth="1"/>
    <col min="6148" max="6148" width="6.85546875" style="76" customWidth="1"/>
    <col min="6149" max="6149" width="8.5703125" style="76"/>
    <col min="6150" max="6150" width="11.85546875" style="76" bestFit="1" customWidth="1"/>
    <col min="6151" max="6151" width="14.28515625" style="76" customWidth="1"/>
    <col min="6152" max="6397" width="8.5703125" style="76"/>
    <col min="6398" max="6398" width="8.140625" style="76" customWidth="1"/>
    <col min="6399" max="6399" width="6" style="76" customWidth="1"/>
    <col min="6400" max="6400" width="9.85546875" style="76" customWidth="1"/>
    <col min="6401" max="6401" width="12.28515625" style="76" customWidth="1"/>
    <col min="6402" max="6402" width="29" style="76" customWidth="1"/>
    <col min="6403" max="6403" width="7.5703125" style="76" customWidth="1"/>
    <col min="6404" max="6404" width="6.85546875" style="76" customWidth="1"/>
    <col min="6405" max="6405" width="8.5703125" style="76"/>
    <col min="6406" max="6406" width="11.85546875" style="76" bestFit="1" customWidth="1"/>
    <col min="6407" max="6407" width="14.28515625" style="76" customWidth="1"/>
    <col min="6408" max="6653" width="8.5703125" style="76"/>
    <col min="6654" max="6654" width="8.140625" style="76" customWidth="1"/>
    <col min="6655" max="6655" width="6" style="76" customWidth="1"/>
    <col min="6656" max="6656" width="9.85546875" style="76" customWidth="1"/>
    <col min="6657" max="6657" width="12.28515625" style="76" customWidth="1"/>
    <col min="6658" max="6658" width="29" style="76" customWidth="1"/>
    <col min="6659" max="6659" width="7.5703125" style="76" customWidth="1"/>
    <col min="6660" max="6660" width="6.85546875" style="76" customWidth="1"/>
    <col min="6661" max="6661" width="8.5703125" style="76"/>
    <col min="6662" max="6662" width="11.85546875" style="76" bestFit="1" customWidth="1"/>
    <col min="6663" max="6663" width="14.28515625" style="76" customWidth="1"/>
    <col min="6664" max="6909" width="8.5703125" style="76"/>
    <col min="6910" max="6910" width="8.140625" style="76" customWidth="1"/>
    <col min="6911" max="6911" width="6" style="76" customWidth="1"/>
    <col min="6912" max="6912" width="9.85546875" style="76" customWidth="1"/>
    <col min="6913" max="6913" width="12.28515625" style="76" customWidth="1"/>
    <col min="6914" max="6914" width="29" style="76" customWidth="1"/>
    <col min="6915" max="6915" width="7.5703125" style="76" customWidth="1"/>
    <col min="6916" max="6916" width="6.85546875" style="76" customWidth="1"/>
    <col min="6917" max="6917" width="8.5703125" style="76"/>
    <col min="6918" max="6918" width="11.85546875" style="76" bestFit="1" customWidth="1"/>
    <col min="6919" max="6919" width="14.28515625" style="76" customWidth="1"/>
    <col min="6920" max="7165" width="8.5703125" style="76"/>
    <col min="7166" max="7166" width="8.140625" style="76" customWidth="1"/>
    <col min="7167" max="7167" width="6" style="76" customWidth="1"/>
    <col min="7168" max="7168" width="9.85546875" style="76" customWidth="1"/>
    <col min="7169" max="7169" width="12.28515625" style="76" customWidth="1"/>
    <col min="7170" max="7170" width="29" style="76" customWidth="1"/>
    <col min="7171" max="7171" width="7.5703125" style="76" customWidth="1"/>
    <col min="7172" max="7172" width="6.85546875" style="76" customWidth="1"/>
    <col min="7173" max="7173" width="8.5703125" style="76"/>
    <col min="7174" max="7174" width="11.85546875" style="76" bestFit="1" customWidth="1"/>
    <col min="7175" max="7175" width="14.28515625" style="76" customWidth="1"/>
    <col min="7176" max="7421" width="8.5703125" style="76"/>
    <col min="7422" max="7422" width="8.140625" style="76" customWidth="1"/>
    <col min="7423" max="7423" width="6" style="76" customWidth="1"/>
    <col min="7424" max="7424" width="9.85546875" style="76" customWidth="1"/>
    <col min="7425" max="7425" width="12.28515625" style="76" customWidth="1"/>
    <col min="7426" max="7426" width="29" style="76" customWidth="1"/>
    <col min="7427" max="7427" width="7.5703125" style="76" customWidth="1"/>
    <col min="7428" max="7428" width="6.85546875" style="76" customWidth="1"/>
    <col min="7429" max="7429" width="8.5703125" style="76"/>
    <col min="7430" max="7430" width="11.85546875" style="76" bestFit="1" customWidth="1"/>
    <col min="7431" max="7431" width="14.28515625" style="76" customWidth="1"/>
    <col min="7432" max="7677" width="8.5703125" style="76"/>
    <col min="7678" max="7678" width="8.140625" style="76" customWidth="1"/>
    <col min="7679" max="7679" width="6" style="76" customWidth="1"/>
    <col min="7680" max="7680" width="9.85546875" style="76" customWidth="1"/>
    <col min="7681" max="7681" width="12.28515625" style="76" customWidth="1"/>
    <col min="7682" max="7682" width="29" style="76" customWidth="1"/>
    <col min="7683" max="7683" width="7.5703125" style="76" customWidth="1"/>
    <col min="7684" max="7684" width="6.85546875" style="76" customWidth="1"/>
    <col min="7685" max="7685" width="8.5703125" style="76"/>
    <col min="7686" max="7686" width="11.85546875" style="76" bestFit="1" customWidth="1"/>
    <col min="7687" max="7687" width="14.28515625" style="76" customWidth="1"/>
    <col min="7688" max="7933" width="8.5703125" style="76"/>
    <col min="7934" max="7934" width="8.140625" style="76" customWidth="1"/>
    <col min="7935" max="7935" width="6" style="76" customWidth="1"/>
    <col min="7936" max="7936" width="9.85546875" style="76" customWidth="1"/>
    <col min="7937" max="7937" width="12.28515625" style="76" customWidth="1"/>
    <col min="7938" max="7938" width="29" style="76" customWidth="1"/>
    <col min="7939" max="7939" width="7.5703125" style="76" customWidth="1"/>
    <col min="7940" max="7940" width="6.85546875" style="76" customWidth="1"/>
    <col min="7941" max="7941" width="8.5703125" style="76"/>
    <col min="7942" max="7942" width="11.85546875" style="76" bestFit="1" customWidth="1"/>
    <col min="7943" max="7943" width="14.28515625" style="76" customWidth="1"/>
    <col min="7944" max="8189" width="8.5703125" style="76"/>
    <col min="8190" max="8190" width="8.140625" style="76" customWidth="1"/>
    <col min="8191" max="8191" width="6" style="76" customWidth="1"/>
    <col min="8192" max="8192" width="9.85546875" style="76" customWidth="1"/>
    <col min="8193" max="8193" width="12.28515625" style="76" customWidth="1"/>
    <col min="8194" max="8194" width="29" style="76" customWidth="1"/>
    <col min="8195" max="8195" width="7.5703125" style="76" customWidth="1"/>
    <col min="8196" max="8196" width="6.85546875" style="76" customWidth="1"/>
    <col min="8197" max="8197" width="8.5703125" style="76"/>
    <col min="8198" max="8198" width="11.85546875" style="76" bestFit="1" customWidth="1"/>
    <col min="8199" max="8199" width="14.28515625" style="76" customWidth="1"/>
    <col min="8200" max="8445" width="8.5703125" style="76"/>
    <col min="8446" max="8446" width="8.140625" style="76" customWidth="1"/>
    <col min="8447" max="8447" width="6" style="76" customWidth="1"/>
    <col min="8448" max="8448" width="9.85546875" style="76" customWidth="1"/>
    <col min="8449" max="8449" width="12.28515625" style="76" customWidth="1"/>
    <col min="8450" max="8450" width="29" style="76" customWidth="1"/>
    <col min="8451" max="8451" width="7.5703125" style="76" customWidth="1"/>
    <col min="8452" max="8452" width="6.85546875" style="76" customWidth="1"/>
    <col min="8453" max="8453" width="8.5703125" style="76"/>
    <col min="8454" max="8454" width="11.85546875" style="76" bestFit="1" customWidth="1"/>
    <col min="8455" max="8455" width="14.28515625" style="76" customWidth="1"/>
    <col min="8456" max="8701" width="8.5703125" style="76"/>
    <col min="8702" max="8702" width="8.140625" style="76" customWidth="1"/>
    <col min="8703" max="8703" width="6" style="76" customWidth="1"/>
    <col min="8704" max="8704" width="9.85546875" style="76" customWidth="1"/>
    <col min="8705" max="8705" width="12.28515625" style="76" customWidth="1"/>
    <col min="8706" max="8706" width="29" style="76" customWidth="1"/>
    <col min="8707" max="8707" width="7.5703125" style="76" customWidth="1"/>
    <col min="8708" max="8708" width="6.85546875" style="76" customWidth="1"/>
    <col min="8709" max="8709" width="8.5703125" style="76"/>
    <col min="8710" max="8710" width="11.85546875" style="76" bestFit="1" customWidth="1"/>
    <col min="8711" max="8711" width="14.28515625" style="76" customWidth="1"/>
    <col min="8712" max="8957" width="8.5703125" style="76"/>
    <col min="8958" max="8958" width="8.140625" style="76" customWidth="1"/>
    <col min="8959" max="8959" width="6" style="76" customWidth="1"/>
    <col min="8960" max="8960" width="9.85546875" style="76" customWidth="1"/>
    <col min="8961" max="8961" width="12.28515625" style="76" customWidth="1"/>
    <col min="8962" max="8962" width="29" style="76" customWidth="1"/>
    <col min="8963" max="8963" width="7.5703125" style="76" customWidth="1"/>
    <col min="8964" max="8964" width="6.85546875" style="76" customWidth="1"/>
    <col min="8965" max="8965" width="8.5703125" style="76"/>
    <col min="8966" max="8966" width="11.85546875" style="76" bestFit="1" customWidth="1"/>
    <col min="8967" max="8967" width="14.28515625" style="76" customWidth="1"/>
    <col min="8968" max="9213" width="8.5703125" style="76"/>
    <col min="9214" max="9214" width="8.140625" style="76" customWidth="1"/>
    <col min="9215" max="9215" width="6" style="76" customWidth="1"/>
    <col min="9216" max="9216" width="9.85546875" style="76" customWidth="1"/>
    <col min="9217" max="9217" width="12.28515625" style="76" customWidth="1"/>
    <col min="9218" max="9218" width="29" style="76" customWidth="1"/>
    <col min="9219" max="9219" width="7.5703125" style="76" customWidth="1"/>
    <col min="9220" max="9220" width="6.85546875" style="76" customWidth="1"/>
    <col min="9221" max="9221" width="8.5703125" style="76"/>
    <col min="9222" max="9222" width="11.85546875" style="76" bestFit="1" customWidth="1"/>
    <col min="9223" max="9223" width="14.28515625" style="76" customWidth="1"/>
    <col min="9224" max="9469" width="8.5703125" style="76"/>
    <col min="9470" max="9470" width="8.140625" style="76" customWidth="1"/>
    <col min="9471" max="9471" width="6" style="76" customWidth="1"/>
    <col min="9472" max="9472" width="9.85546875" style="76" customWidth="1"/>
    <col min="9473" max="9473" width="12.28515625" style="76" customWidth="1"/>
    <col min="9474" max="9474" width="29" style="76" customWidth="1"/>
    <col min="9475" max="9475" width="7.5703125" style="76" customWidth="1"/>
    <col min="9476" max="9476" width="6.85546875" style="76" customWidth="1"/>
    <col min="9477" max="9477" width="8.5703125" style="76"/>
    <col min="9478" max="9478" width="11.85546875" style="76" bestFit="1" customWidth="1"/>
    <col min="9479" max="9479" width="14.28515625" style="76" customWidth="1"/>
    <col min="9480" max="9725" width="8.5703125" style="76"/>
    <col min="9726" max="9726" width="8.140625" style="76" customWidth="1"/>
    <col min="9727" max="9727" width="6" style="76" customWidth="1"/>
    <col min="9728" max="9728" width="9.85546875" style="76" customWidth="1"/>
    <col min="9729" max="9729" width="12.28515625" style="76" customWidth="1"/>
    <col min="9730" max="9730" width="29" style="76" customWidth="1"/>
    <col min="9731" max="9731" width="7.5703125" style="76" customWidth="1"/>
    <col min="9732" max="9732" width="6.85546875" style="76" customWidth="1"/>
    <col min="9733" max="9733" width="8.5703125" style="76"/>
    <col min="9734" max="9734" width="11.85546875" style="76" bestFit="1" customWidth="1"/>
    <col min="9735" max="9735" width="14.28515625" style="76" customWidth="1"/>
    <col min="9736" max="9981" width="8.5703125" style="76"/>
    <col min="9982" max="9982" width="8.140625" style="76" customWidth="1"/>
    <col min="9983" max="9983" width="6" style="76" customWidth="1"/>
    <col min="9984" max="9984" width="9.85546875" style="76" customWidth="1"/>
    <col min="9985" max="9985" width="12.28515625" style="76" customWidth="1"/>
    <col min="9986" max="9986" width="29" style="76" customWidth="1"/>
    <col min="9987" max="9987" width="7.5703125" style="76" customWidth="1"/>
    <col min="9988" max="9988" width="6.85546875" style="76" customWidth="1"/>
    <col min="9989" max="9989" width="8.5703125" style="76"/>
    <col min="9990" max="9990" width="11.85546875" style="76" bestFit="1" customWidth="1"/>
    <col min="9991" max="9991" width="14.28515625" style="76" customWidth="1"/>
    <col min="9992" max="10237" width="8.5703125" style="76"/>
    <col min="10238" max="10238" width="8.140625" style="76" customWidth="1"/>
    <col min="10239" max="10239" width="6" style="76" customWidth="1"/>
    <col min="10240" max="10240" width="9.85546875" style="76" customWidth="1"/>
    <col min="10241" max="10241" width="12.28515625" style="76" customWidth="1"/>
    <col min="10242" max="10242" width="29" style="76" customWidth="1"/>
    <col min="10243" max="10243" width="7.5703125" style="76" customWidth="1"/>
    <col min="10244" max="10244" width="6.85546875" style="76" customWidth="1"/>
    <col min="10245" max="10245" width="8.5703125" style="76"/>
    <col min="10246" max="10246" width="11.85546875" style="76" bestFit="1" customWidth="1"/>
    <col min="10247" max="10247" width="14.28515625" style="76" customWidth="1"/>
    <col min="10248" max="10493" width="8.5703125" style="76"/>
    <col min="10494" max="10494" width="8.140625" style="76" customWidth="1"/>
    <col min="10495" max="10495" width="6" style="76" customWidth="1"/>
    <col min="10496" max="10496" width="9.85546875" style="76" customWidth="1"/>
    <col min="10497" max="10497" width="12.28515625" style="76" customWidth="1"/>
    <col min="10498" max="10498" width="29" style="76" customWidth="1"/>
    <col min="10499" max="10499" width="7.5703125" style="76" customWidth="1"/>
    <col min="10500" max="10500" width="6.85546875" style="76" customWidth="1"/>
    <col min="10501" max="10501" width="8.5703125" style="76"/>
    <col min="10502" max="10502" width="11.85546875" style="76" bestFit="1" customWidth="1"/>
    <col min="10503" max="10503" width="14.28515625" style="76" customWidth="1"/>
    <col min="10504" max="10749" width="8.5703125" style="76"/>
    <col min="10750" max="10750" width="8.140625" style="76" customWidth="1"/>
    <col min="10751" max="10751" width="6" style="76" customWidth="1"/>
    <col min="10752" max="10752" width="9.85546875" style="76" customWidth="1"/>
    <col min="10753" max="10753" width="12.28515625" style="76" customWidth="1"/>
    <col min="10754" max="10754" width="29" style="76" customWidth="1"/>
    <col min="10755" max="10755" width="7.5703125" style="76" customWidth="1"/>
    <col min="10756" max="10756" width="6.85546875" style="76" customWidth="1"/>
    <col min="10757" max="10757" width="8.5703125" style="76"/>
    <col min="10758" max="10758" width="11.85546875" style="76" bestFit="1" customWidth="1"/>
    <col min="10759" max="10759" width="14.28515625" style="76" customWidth="1"/>
    <col min="10760" max="11005" width="8.5703125" style="76"/>
    <col min="11006" max="11006" width="8.140625" style="76" customWidth="1"/>
    <col min="11007" max="11007" width="6" style="76" customWidth="1"/>
    <col min="11008" max="11008" width="9.85546875" style="76" customWidth="1"/>
    <col min="11009" max="11009" width="12.28515625" style="76" customWidth="1"/>
    <col min="11010" max="11010" width="29" style="76" customWidth="1"/>
    <col min="11011" max="11011" width="7.5703125" style="76" customWidth="1"/>
    <col min="11012" max="11012" width="6.85546875" style="76" customWidth="1"/>
    <col min="11013" max="11013" width="8.5703125" style="76"/>
    <col min="11014" max="11014" width="11.85546875" style="76" bestFit="1" customWidth="1"/>
    <col min="11015" max="11015" width="14.28515625" style="76" customWidth="1"/>
    <col min="11016" max="11261" width="8.5703125" style="76"/>
    <col min="11262" max="11262" width="8.140625" style="76" customWidth="1"/>
    <col min="11263" max="11263" width="6" style="76" customWidth="1"/>
    <col min="11264" max="11264" width="9.85546875" style="76" customWidth="1"/>
    <col min="11265" max="11265" width="12.28515625" style="76" customWidth="1"/>
    <col min="11266" max="11266" width="29" style="76" customWidth="1"/>
    <col min="11267" max="11267" width="7.5703125" style="76" customWidth="1"/>
    <col min="11268" max="11268" width="6.85546875" style="76" customWidth="1"/>
    <col min="11269" max="11269" width="8.5703125" style="76"/>
    <col min="11270" max="11270" width="11.85546875" style="76" bestFit="1" customWidth="1"/>
    <col min="11271" max="11271" width="14.28515625" style="76" customWidth="1"/>
    <col min="11272" max="11517" width="8.5703125" style="76"/>
    <col min="11518" max="11518" width="8.140625" style="76" customWidth="1"/>
    <col min="11519" max="11519" width="6" style="76" customWidth="1"/>
    <col min="11520" max="11520" width="9.85546875" style="76" customWidth="1"/>
    <col min="11521" max="11521" width="12.28515625" style="76" customWidth="1"/>
    <col min="11522" max="11522" width="29" style="76" customWidth="1"/>
    <col min="11523" max="11523" width="7.5703125" style="76" customWidth="1"/>
    <col min="11524" max="11524" width="6.85546875" style="76" customWidth="1"/>
    <col min="11525" max="11525" width="8.5703125" style="76"/>
    <col min="11526" max="11526" width="11.85546875" style="76" bestFit="1" customWidth="1"/>
    <col min="11527" max="11527" width="14.28515625" style="76" customWidth="1"/>
    <col min="11528" max="11773" width="8.5703125" style="76"/>
    <col min="11774" max="11774" width="8.140625" style="76" customWidth="1"/>
    <col min="11775" max="11775" width="6" style="76" customWidth="1"/>
    <col min="11776" max="11776" width="9.85546875" style="76" customWidth="1"/>
    <col min="11777" max="11777" width="12.28515625" style="76" customWidth="1"/>
    <col min="11778" max="11778" width="29" style="76" customWidth="1"/>
    <col min="11779" max="11779" width="7.5703125" style="76" customWidth="1"/>
    <col min="11780" max="11780" width="6.85546875" style="76" customWidth="1"/>
    <col min="11781" max="11781" width="8.5703125" style="76"/>
    <col min="11782" max="11782" width="11.85546875" style="76" bestFit="1" customWidth="1"/>
    <col min="11783" max="11783" width="14.28515625" style="76" customWidth="1"/>
    <col min="11784" max="12029" width="8.5703125" style="76"/>
    <col min="12030" max="12030" width="8.140625" style="76" customWidth="1"/>
    <col min="12031" max="12031" width="6" style="76" customWidth="1"/>
    <col min="12032" max="12032" width="9.85546875" style="76" customWidth="1"/>
    <col min="12033" max="12033" width="12.28515625" style="76" customWidth="1"/>
    <col min="12034" max="12034" width="29" style="76" customWidth="1"/>
    <col min="12035" max="12035" width="7.5703125" style="76" customWidth="1"/>
    <col min="12036" max="12036" width="6.85546875" style="76" customWidth="1"/>
    <col min="12037" max="12037" width="8.5703125" style="76"/>
    <col min="12038" max="12038" width="11.85546875" style="76" bestFit="1" customWidth="1"/>
    <col min="12039" max="12039" width="14.28515625" style="76" customWidth="1"/>
    <col min="12040" max="12285" width="8.5703125" style="76"/>
    <col min="12286" max="12286" width="8.140625" style="76" customWidth="1"/>
    <col min="12287" max="12287" width="6" style="76" customWidth="1"/>
    <col min="12288" max="12288" width="9.85546875" style="76" customWidth="1"/>
    <col min="12289" max="12289" width="12.28515625" style="76" customWidth="1"/>
    <col min="12290" max="12290" width="29" style="76" customWidth="1"/>
    <col min="12291" max="12291" width="7.5703125" style="76" customWidth="1"/>
    <col min="12292" max="12292" width="6.85546875" style="76" customWidth="1"/>
    <col min="12293" max="12293" width="8.5703125" style="76"/>
    <col min="12294" max="12294" width="11.85546875" style="76" bestFit="1" customWidth="1"/>
    <col min="12295" max="12295" width="14.28515625" style="76" customWidth="1"/>
    <col min="12296" max="12541" width="8.5703125" style="76"/>
    <col min="12542" max="12542" width="8.140625" style="76" customWidth="1"/>
    <col min="12543" max="12543" width="6" style="76" customWidth="1"/>
    <col min="12544" max="12544" width="9.85546875" style="76" customWidth="1"/>
    <col min="12545" max="12545" width="12.28515625" style="76" customWidth="1"/>
    <col min="12546" max="12546" width="29" style="76" customWidth="1"/>
    <col min="12547" max="12547" width="7.5703125" style="76" customWidth="1"/>
    <col min="12548" max="12548" width="6.85546875" style="76" customWidth="1"/>
    <col min="12549" max="12549" width="8.5703125" style="76"/>
    <col min="12550" max="12550" width="11.85546875" style="76" bestFit="1" customWidth="1"/>
    <col min="12551" max="12551" width="14.28515625" style="76" customWidth="1"/>
    <col min="12552" max="12797" width="8.5703125" style="76"/>
    <col min="12798" max="12798" width="8.140625" style="76" customWidth="1"/>
    <col min="12799" max="12799" width="6" style="76" customWidth="1"/>
    <col min="12800" max="12800" width="9.85546875" style="76" customWidth="1"/>
    <col min="12801" max="12801" width="12.28515625" style="76" customWidth="1"/>
    <col min="12802" max="12802" width="29" style="76" customWidth="1"/>
    <col min="12803" max="12803" width="7.5703125" style="76" customWidth="1"/>
    <col min="12804" max="12804" width="6.85546875" style="76" customWidth="1"/>
    <col min="12805" max="12805" width="8.5703125" style="76"/>
    <col min="12806" max="12806" width="11.85546875" style="76" bestFit="1" customWidth="1"/>
    <col min="12807" max="12807" width="14.28515625" style="76" customWidth="1"/>
    <col min="12808" max="13053" width="8.5703125" style="76"/>
    <col min="13054" max="13054" width="8.140625" style="76" customWidth="1"/>
    <col min="13055" max="13055" width="6" style="76" customWidth="1"/>
    <col min="13056" max="13056" width="9.85546875" style="76" customWidth="1"/>
    <col min="13057" max="13057" width="12.28515625" style="76" customWidth="1"/>
    <col min="13058" max="13058" width="29" style="76" customWidth="1"/>
    <col min="13059" max="13059" width="7.5703125" style="76" customWidth="1"/>
    <col min="13060" max="13060" width="6.85546875" style="76" customWidth="1"/>
    <col min="13061" max="13061" width="8.5703125" style="76"/>
    <col min="13062" max="13062" width="11.85546875" style="76" bestFit="1" customWidth="1"/>
    <col min="13063" max="13063" width="14.28515625" style="76" customWidth="1"/>
    <col min="13064" max="13309" width="8.5703125" style="76"/>
    <col min="13310" max="13310" width="8.140625" style="76" customWidth="1"/>
    <col min="13311" max="13311" width="6" style="76" customWidth="1"/>
    <col min="13312" max="13312" width="9.85546875" style="76" customWidth="1"/>
    <col min="13313" max="13313" width="12.28515625" style="76" customWidth="1"/>
    <col min="13314" max="13314" width="29" style="76" customWidth="1"/>
    <col min="13315" max="13315" width="7.5703125" style="76" customWidth="1"/>
    <col min="13316" max="13316" width="6.85546875" style="76" customWidth="1"/>
    <col min="13317" max="13317" width="8.5703125" style="76"/>
    <col min="13318" max="13318" width="11.85546875" style="76" bestFit="1" customWidth="1"/>
    <col min="13319" max="13319" width="14.28515625" style="76" customWidth="1"/>
    <col min="13320" max="13565" width="8.5703125" style="76"/>
    <col min="13566" max="13566" width="8.140625" style="76" customWidth="1"/>
    <col min="13567" max="13567" width="6" style="76" customWidth="1"/>
    <col min="13568" max="13568" width="9.85546875" style="76" customWidth="1"/>
    <col min="13569" max="13569" width="12.28515625" style="76" customWidth="1"/>
    <col min="13570" max="13570" width="29" style="76" customWidth="1"/>
    <col min="13571" max="13571" width="7.5703125" style="76" customWidth="1"/>
    <col min="13572" max="13572" width="6.85546875" style="76" customWidth="1"/>
    <col min="13573" max="13573" width="8.5703125" style="76"/>
    <col min="13574" max="13574" width="11.85546875" style="76" bestFit="1" customWidth="1"/>
    <col min="13575" max="13575" width="14.28515625" style="76" customWidth="1"/>
    <col min="13576" max="13821" width="8.5703125" style="76"/>
    <col min="13822" max="13822" width="8.140625" style="76" customWidth="1"/>
    <col min="13823" max="13823" width="6" style="76" customWidth="1"/>
    <col min="13824" max="13824" width="9.85546875" style="76" customWidth="1"/>
    <col min="13825" max="13825" width="12.28515625" style="76" customWidth="1"/>
    <col min="13826" max="13826" width="29" style="76" customWidth="1"/>
    <col min="13827" max="13827" width="7.5703125" style="76" customWidth="1"/>
    <col min="13828" max="13828" width="6.85546875" style="76" customWidth="1"/>
    <col min="13829" max="13829" width="8.5703125" style="76"/>
    <col min="13830" max="13830" width="11.85546875" style="76" bestFit="1" customWidth="1"/>
    <col min="13831" max="13831" width="14.28515625" style="76" customWidth="1"/>
    <col min="13832" max="14077" width="8.5703125" style="76"/>
    <col min="14078" max="14078" width="8.140625" style="76" customWidth="1"/>
    <col min="14079" max="14079" width="6" style="76" customWidth="1"/>
    <col min="14080" max="14080" width="9.85546875" style="76" customWidth="1"/>
    <col min="14081" max="14081" width="12.28515625" style="76" customWidth="1"/>
    <col min="14082" max="14082" width="29" style="76" customWidth="1"/>
    <col min="14083" max="14083" width="7.5703125" style="76" customWidth="1"/>
    <col min="14084" max="14084" width="6.85546875" style="76" customWidth="1"/>
    <col min="14085" max="14085" width="8.5703125" style="76"/>
    <col min="14086" max="14086" width="11.85546875" style="76" bestFit="1" customWidth="1"/>
    <col min="14087" max="14087" width="14.28515625" style="76" customWidth="1"/>
    <col min="14088" max="14333" width="8.5703125" style="76"/>
    <col min="14334" max="14334" width="8.140625" style="76" customWidth="1"/>
    <col min="14335" max="14335" width="6" style="76" customWidth="1"/>
    <col min="14336" max="14336" width="9.85546875" style="76" customWidth="1"/>
    <col min="14337" max="14337" width="12.28515625" style="76" customWidth="1"/>
    <col min="14338" max="14338" width="29" style="76" customWidth="1"/>
    <col min="14339" max="14339" width="7.5703125" style="76" customWidth="1"/>
    <col min="14340" max="14340" width="6.85546875" style="76" customWidth="1"/>
    <col min="14341" max="14341" width="8.5703125" style="76"/>
    <col min="14342" max="14342" width="11.85546875" style="76" bestFit="1" customWidth="1"/>
    <col min="14343" max="14343" width="14.28515625" style="76" customWidth="1"/>
    <col min="14344" max="14589" width="8.5703125" style="76"/>
    <col min="14590" max="14590" width="8.140625" style="76" customWidth="1"/>
    <col min="14591" max="14591" width="6" style="76" customWidth="1"/>
    <col min="14592" max="14592" width="9.85546875" style="76" customWidth="1"/>
    <col min="14593" max="14593" width="12.28515625" style="76" customWidth="1"/>
    <col min="14594" max="14594" width="29" style="76" customWidth="1"/>
    <col min="14595" max="14595" width="7.5703125" style="76" customWidth="1"/>
    <col min="14596" max="14596" width="6.85546875" style="76" customWidth="1"/>
    <col min="14597" max="14597" width="8.5703125" style="76"/>
    <col min="14598" max="14598" width="11.85546875" style="76" bestFit="1" customWidth="1"/>
    <col min="14599" max="14599" width="14.28515625" style="76" customWidth="1"/>
    <col min="14600" max="14845" width="8.5703125" style="76"/>
    <col min="14846" max="14846" width="8.140625" style="76" customWidth="1"/>
    <col min="14847" max="14847" width="6" style="76" customWidth="1"/>
    <col min="14848" max="14848" width="9.85546875" style="76" customWidth="1"/>
    <col min="14849" max="14849" width="12.28515625" style="76" customWidth="1"/>
    <col min="14850" max="14850" width="29" style="76" customWidth="1"/>
    <col min="14851" max="14851" width="7.5703125" style="76" customWidth="1"/>
    <col min="14852" max="14852" width="6.85546875" style="76" customWidth="1"/>
    <col min="14853" max="14853" width="8.5703125" style="76"/>
    <col min="14854" max="14854" width="11.85546875" style="76" bestFit="1" customWidth="1"/>
    <col min="14855" max="14855" width="14.28515625" style="76" customWidth="1"/>
    <col min="14856" max="15101" width="8.5703125" style="76"/>
    <col min="15102" max="15102" width="8.140625" style="76" customWidth="1"/>
    <col min="15103" max="15103" width="6" style="76" customWidth="1"/>
    <col min="15104" max="15104" width="9.85546875" style="76" customWidth="1"/>
    <col min="15105" max="15105" width="12.28515625" style="76" customWidth="1"/>
    <col min="15106" max="15106" width="29" style="76" customWidth="1"/>
    <col min="15107" max="15107" width="7.5703125" style="76" customWidth="1"/>
    <col min="15108" max="15108" width="6.85546875" style="76" customWidth="1"/>
    <col min="15109" max="15109" width="8.5703125" style="76"/>
    <col min="15110" max="15110" width="11.85546875" style="76" bestFit="1" customWidth="1"/>
    <col min="15111" max="15111" width="14.28515625" style="76" customWidth="1"/>
    <col min="15112" max="15357" width="8.5703125" style="76"/>
    <col min="15358" max="15358" width="8.140625" style="76" customWidth="1"/>
    <col min="15359" max="15359" width="6" style="76" customWidth="1"/>
    <col min="15360" max="15360" width="9.85546875" style="76" customWidth="1"/>
    <col min="15361" max="15361" width="12.28515625" style="76" customWidth="1"/>
    <col min="15362" max="15362" width="29" style="76" customWidth="1"/>
    <col min="15363" max="15363" width="7.5703125" style="76" customWidth="1"/>
    <col min="15364" max="15364" width="6.85546875" style="76" customWidth="1"/>
    <col min="15365" max="15365" width="8.5703125" style="76"/>
    <col min="15366" max="15366" width="11.85546875" style="76" bestFit="1" customWidth="1"/>
    <col min="15367" max="15367" width="14.28515625" style="76" customWidth="1"/>
    <col min="15368" max="15613" width="8.5703125" style="76"/>
    <col min="15614" max="15614" width="8.140625" style="76" customWidth="1"/>
    <col min="15615" max="15615" width="6" style="76" customWidth="1"/>
    <col min="15616" max="15616" width="9.85546875" style="76" customWidth="1"/>
    <col min="15617" max="15617" width="12.28515625" style="76" customWidth="1"/>
    <col min="15618" max="15618" width="29" style="76" customWidth="1"/>
    <col min="15619" max="15619" width="7.5703125" style="76" customWidth="1"/>
    <col min="15620" max="15620" width="6.85546875" style="76" customWidth="1"/>
    <col min="15621" max="15621" width="8.5703125" style="76"/>
    <col min="15622" max="15622" width="11.85546875" style="76" bestFit="1" customWidth="1"/>
    <col min="15623" max="15623" width="14.28515625" style="76" customWidth="1"/>
    <col min="15624" max="15869" width="8.5703125" style="76"/>
    <col min="15870" max="15870" width="8.140625" style="76" customWidth="1"/>
    <col min="15871" max="15871" width="6" style="76" customWidth="1"/>
    <col min="15872" max="15872" width="9.85546875" style="76" customWidth="1"/>
    <col min="15873" max="15873" width="12.28515625" style="76" customWidth="1"/>
    <col min="15874" max="15874" width="29" style="76" customWidth="1"/>
    <col min="15875" max="15875" width="7.5703125" style="76" customWidth="1"/>
    <col min="15876" max="15876" width="6.85546875" style="76" customWidth="1"/>
    <col min="15877" max="15877" width="8.5703125" style="76"/>
    <col min="15878" max="15878" width="11.85546875" style="76" bestFit="1" customWidth="1"/>
    <col min="15879" max="15879" width="14.28515625" style="76" customWidth="1"/>
    <col min="15880" max="16125" width="8.5703125" style="76"/>
    <col min="16126" max="16126" width="8.140625" style="76" customWidth="1"/>
    <col min="16127" max="16127" width="6" style="76" customWidth="1"/>
    <col min="16128" max="16128" width="9.85546875" style="76" customWidth="1"/>
    <col min="16129" max="16129" width="12.28515625" style="76" customWidth="1"/>
    <col min="16130" max="16130" width="29" style="76" customWidth="1"/>
    <col min="16131" max="16131" width="7.5703125" style="76" customWidth="1"/>
    <col min="16132" max="16132" width="6.85546875" style="76" customWidth="1"/>
    <col min="16133" max="16133" width="8.5703125" style="76"/>
    <col min="16134" max="16134" width="11.85546875" style="76" bestFit="1" customWidth="1"/>
    <col min="16135" max="16135" width="14.28515625" style="76" customWidth="1"/>
    <col min="16136" max="16384" width="8.5703125" style="76"/>
  </cols>
  <sheetData>
    <row r="1" spans="1:9" x14ac:dyDescent="0.2">
      <c r="A1" s="201" t="s">
        <v>515</v>
      </c>
      <c r="B1" s="202"/>
      <c r="C1" s="202"/>
      <c r="D1" s="202"/>
      <c r="E1" s="202"/>
      <c r="F1" s="202"/>
      <c r="G1" s="202"/>
      <c r="H1" s="203"/>
      <c r="I1" s="204" t="s">
        <v>152</v>
      </c>
    </row>
    <row r="2" spans="1:9" x14ac:dyDescent="0.2">
      <c r="A2" s="206" t="s">
        <v>1</v>
      </c>
      <c r="B2" s="207"/>
      <c r="C2" s="207"/>
      <c r="D2" s="207"/>
      <c r="E2" s="207"/>
      <c r="F2" s="207"/>
      <c r="G2" s="207"/>
      <c r="H2" s="208"/>
      <c r="I2" s="205"/>
    </row>
    <row r="3" spans="1:9" x14ac:dyDescent="0.2">
      <c r="A3" s="206" t="s">
        <v>174</v>
      </c>
      <c r="B3" s="207"/>
      <c r="C3" s="207"/>
      <c r="D3" s="207"/>
      <c r="E3" s="207"/>
      <c r="F3" s="207"/>
      <c r="G3" s="207"/>
      <c r="H3" s="208"/>
      <c r="I3" s="205"/>
    </row>
    <row r="4" spans="1:9" x14ac:dyDescent="0.2">
      <c r="A4" s="206" t="s">
        <v>516</v>
      </c>
      <c r="B4" s="207"/>
      <c r="C4" s="207"/>
      <c r="D4" s="207"/>
      <c r="E4" s="207"/>
      <c r="F4" s="207"/>
      <c r="G4" s="207"/>
      <c r="H4" s="208"/>
      <c r="I4" s="205"/>
    </row>
    <row r="5" spans="1:9" x14ac:dyDescent="0.2">
      <c r="A5" s="106"/>
      <c r="B5" s="107"/>
      <c r="C5" s="108"/>
      <c r="D5" s="109"/>
      <c r="E5" s="108"/>
      <c r="F5" s="110"/>
      <c r="G5" s="111"/>
      <c r="H5" s="112"/>
      <c r="I5" s="205"/>
    </row>
    <row r="6" spans="1:9" x14ac:dyDescent="0.2">
      <c r="A6" s="209" t="s">
        <v>600</v>
      </c>
      <c r="B6" s="210"/>
      <c r="C6" s="210"/>
      <c r="D6" s="210"/>
      <c r="E6" s="210"/>
      <c r="F6" s="210"/>
      <c r="G6" s="210"/>
      <c r="H6" s="113"/>
      <c r="I6" s="205"/>
    </row>
    <row r="7" spans="1:9" x14ac:dyDescent="0.2">
      <c r="A7" s="211" t="s">
        <v>153</v>
      </c>
      <c r="B7" s="212"/>
      <c r="C7" s="212"/>
      <c r="D7" s="212"/>
      <c r="E7" s="212"/>
      <c r="F7" s="212"/>
      <c r="G7" s="212"/>
      <c r="H7" s="114"/>
      <c r="I7" s="205"/>
    </row>
    <row r="8" spans="1:9" x14ac:dyDescent="0.2">
      <c r="A8" s="115" t="s">
        <v>790</v>
      </c>
      <c r="B8" s="116"/>
      <c r="C8" s="116"/>
      <c r="D8" s="117"/>
      <c r="E8" s="116"/>
      <c r="F8" s="116"/>
      <c r="G8" s="118"/>
      <c r="H8" s="119"/>
      <c r="I8" s="205"/>
    </row>
    <row r="9" spans="1:9" ht="38.25" customHeight="1" x14ac:dyDescent="0.2">
      <c r="A9" s="120" t="s">
        <v>154</v>
      </c>
      <c r="B9" s="120" t="s">
        <v>4</v>
      </c>
      <c r="C9" s="121" t="s">
        <v>155</v>
      </c>
      <c r="D9" s="122" t="s">
        <v>156</v>
      </c>
      <c r="E9" s="121" t="s">
        <v>157</v>
      </c>
      <c r="F9" s="77" t="s">
        <v>7</v>
      </c>
      <c r="G9" s="77" t="s">
        <v>158</v>
      </c>
      <c r="H9" s="121" t="s">
        <v>159</v>
      </c>
      <c r="I9" s="205"/>
    </row>
    <row r="10" spans="1:9" ht="160.5" customHeight="1" x14ac:dyDescent="0.2">
      <c r="A10" s="123" t="s">
        <v>601</v>
      </c>
      <c r="B10" s="124" t="s">
        <v>623</v>
      </c>
      <c r="C10" s="125" t="s">
        <v>625</v>
      </c>
      <c r="D10" s="126">
        <v>2500</v>
      </c>
      <c r="E10" s="127" t="s">
        <v>161</v>
      </c>
      <c r="F10" s="78">
        <f>ROUND(I10,2)</f>
        <v>0</v>
      </c>
      <c r="G10" s="79">
        <f>SUM(F10*D10)</f>
        <v>0</v>
      </c>
      <c r="H10" s="128" t="s">
        <v>162</v>
      </c>
      <c r="I10" s="91"/>
    </row>
    <row r="11" spans="1:9" ht="186" customHeight="1" x14ac:dyDescent="0.2">
      <c r="A11" s="123" t="s">
        <v>602</v>
      </c>
      <c r="B11" s="124" t="s">
        <v>624</v>
      </c>
      <c r="C11" s="125" t="s">
        <v>626</v>
      </c>
      <c r="D11" s="126">
        <v>108000</v>
      </c>
      <c r="E11" s="127" t="s">
        <v>165</v>
      </c>
      <c r="F11" s="81">
        <v>1</v>
      </c>
      <c r="G11" s="79">
        <f>SUM(D11*F11)</f>
        <v>108000</v>
      </c>
      <c r="H11" s="128" t="s">
        <v>162</v>
      </c>
      <c r="I11" s="129"/>
    </row>
    <row r="12" spans="1:9" ht="38.25" x14ac:dyDescent="0.2">
      <c r="A12" s="123" t="s">
        <v>603</v>
      </c>
      <c r="B12" s="124" t="s">
        <v>164</v>
      </c>
      <c r="C12" s="130" t="s">
        <v>167</v>
      </c>
      <c r="D12" s="126">
        <v>2</v>
      </c>
      <c r="E12" s="127" t="s">
        <v>168</v>
      </c>
      <c r="F12" s="78">
        <f>ROUND(I12,2)</f>
        <v>0</v>
      </c>
      <c r="G12" s="79">
        <f>SUM(F12*D12)</f>
        <v>0</v>
      </c>
      <c r="H12" s="128" t="s">
        <v>162</v>
      </c>
      <c r="I12" s="80"/>
    </row>
    <row r="13" spans="1:9" ht="64.5" thickBot="1" x14ac:dyDescent="0.25">
      <c r="A13" s="131" t="s">
        <v>604</v>
      </c>
      <c r="B13" s="132" t="s">
        <v>171</v>
      </c>
      <c r="C13" s="133" t="s">
        <v>172</v>
      </c>
      <c r="D13" s="134">
        <v>100</v>
      </c>
      <c r="E13" s="135" t="s">
        <v>168</v>
      </c>
      <c r="F13" s="99">
        <f>ROUND(I13,2)</f>
        <v>0</v>
      </c>
      <c r="G13" s="100">
        <f>SUM(F13*D13)</f>
        <v>0</v>
      </c>
      <c r="H13" s="136" t="s">
        <v>162</v>
      </c>
      <c r="I13" s="101"/>
    </row>
    <row r="14" spans="1:9" ht="25.5" x14ac:dyDescent="0.2">
      <c r="A14" s="137" t="s">
        <v>154</v>
      </c>
      <c r="B14" s="137" t="s">
        <v>4</v>
      </c>
      <c r="C14" s="138" t="s">
        <v>155</v>
      </c>
      <c r="D14" s="139" t="s">
        <v>156</v>
      </c>
      <c r="E14" s="138" t="s">
        <v>157</v>
      </c>
      <c r="F14" s="97" t="s">
        <v>766</v>
      </c>
      <c r="G14" s="98" t="s">
        <v>765</v>
      </c>
      <c r="H14" s="140" t="s">
        <v>159</v>
      </c>
      <c r="I14" s="141"/>
    </row>
    <row r="15" spans="1:9" ht="28.5" x14ac:dyDescent="0.2">
      <c r="A15" s="123" t="s">
        <v>770</v>
      </c>
      <c r="B15" s="124" t="s">
        <v>763</v>
      </c>
      <c r="C15" s="142" t="s">
        <v>764</v>
      </c>
      <c r="D15" s="143">
        <v>10000</v>
      </c>
      <c r="E15" s="144" t="s">
        <v>165</v>
      </c>
      <c r="F15" s="94">
        <f>ROUND(I15,2)</f>
        <v>0</v>
      </c>
      <c r="G15" s="95">
        <f>SUM(D15*F15)</f>
        <v>0</v>
      </c>
      <c r="H15" s="128"/>
      <c r="I15" s="96"/>
    </row>
    <row r="16" spans="1:9" x14ac:dyDescent="0.2">
      <c r="A16" s="145"/>
      <c r="B16" s="146"/>
      <c r="C16" s="147"/>
      <c r="D16" s="148"/>
      <c r="E16" s="149"/>
      <c r="F16" s="87"/>
      <c r="G16" s="86"/>
      <c r="H16" s="146"/>
      <c r="I16" s="150"/>
    </row>
    <row r="17" spans="1:9" x14ac:dyDescent="0.2">
      <c r="A17" s="151"/>
      <c r="B17" s="200" t="s">
        <v>771</v>
      </c>
      <c r="C17" s="200"/>
      <c r="D17" s="200"/>
      <c r="E17" s="200"/>
      <c r="F17" s="200"/>
      <c r="G17" s="152">
        <f>SUM(G10:G13,G15)</f>
        <v>108000</v>
      </c>
      <c r="H17" s="152"/>
      <c r="I17" s="153"/>
    </row>
    <row r="18" spans="1:9" x14ac:dyDescent="0.2">
      <c r="A18" s="151"/>
      <c r="B18" s="200" t="s">
        <v>605</v>
      </c>
      <c r="C18" s="200"/>
      <c r="D18" s="200"/>
      <c r="E18" s="200"/>
      <c r="F18" s="200"/>
      <c r="G18" s="152"/>
      <c r="H18" s="152"/>
      <c r="I18" s="153"/>
    </row>
    <row r="19" spans="1:9" x14ac:dyDescent="0.2">
      <c r="A19" s="151"/>
      <c r="B19" s="151"/>
      <c r="C19" s="151"/>
      <c r="D19" s="154"/>
      <c r="E19" s="151"/>
      <c r="F19" s="151"/>
      <c r="G19" s="155"/>
      <c r="H19" s="155"/>
      <c r="I19" s="153"/>
    </row>
    <row r="20" spans="1:9" x14ac:dyDescent="0.2">
      <c r="A20" s="151"/>
      <c r="B20" s="151"/>
      <c r="C20" s="156"/>
      <c r="D20" s="154"/>
      <c r="E20" s="151"/>
      <c r="F20" s="151"/>
      <c r="G20" s="155"/>
      <c r="H20" s="155"/>
      <c r="I20" s="153"/>
    </row>
    <row r="21" spans="1:9" x14ac:dyDescent="0.2">
      <c r="A21" s="157" t="s">
        <v>778</v>
      </c>
      <c r="B21" s="157"/>
      <c r="C21" s="151"/>
      <c r="D21" s="154"/>
      <c r="E21" s="151"/>
      <c r="F21" s="151"/>
      <c r="G21" s="155"/>
      <c r="H21" s="155"/>
      <c r="I21" s="153"/>
    </row>
    <row r="22" spans="1:9" x14ac:dyDescent="0.2">
      <c r="A22" s="158" t="s">
        <v>776</v>
      </c>
      <c r="B22" s="199" t="s">
        <v>777</v>
      </c>
      <c r="C22" s="199"/>
      <c r="D22" s="199"/>
      <c r="E22" s="151"/>
      <c r="F22" s="151"/>
      <c r="G22" s="155"/>
      <c r="H22" s="155"/>
      <c r="I22" s="153"/>
    </row>
    <row r="23" spans="1:9" x14ac:dyDescent="0.2">
      <c r="A23" s="151"/>
      <c r="B23" s="199"/>
      <c r="C23" s="199"/>
      <c r="D23" s="199"/>
      <c r="E23" s="151"/>
      <c r="F23" s="151"/>
      <c r="G23" s="155"/>
      <c r="H23" s="155"/>
      <c r="I23" s="153"/>
    </row>
    <row r="24" spans="1:9" x14ac:dyDescent="0.2">
      <c r="A24" s="151"/>
      <c r="B24" s="199"/>
      <c r="C24" s="199"/>
      <c r="D24" s="199"/>
      <c r="E24" s="151"/>
      <c r="F24" s="151"/>
      <c r="G24" s="155"/>
      <c r="H24" s="155"/>
      <c r="I24" s="153"/>
    </row>
    <row r="25" spans="1:9" x14ac:dyDescent="0.2">
      <c r="A25" s="151"/>
      <c r="B25" s="199"/>
      <c r="C25" s="199"/>
      <c r="D25" s="199"/>
      <c r="E25" s="151"/>
      <c r="F25" s="151"/>
      <c r="G25" s="155"/>
      <c r="H25" s="155"/>
      <c r="I25" s="153"/>
    </row>
    <row r="26" spans="1:9" x14ac:dyDescent="0.2">
      <c r="A26" s="151"/>
      <c r="B26" s="199"/>
      <c r="C26" s="199"/>
      <c r="D26" s="199"/>
      <c r="E26" s="151"/>
      <c r="F26" s="151"/>
      <c r="G26" s="155"/>
      <c r="H26" s="155"/>
      <c r="I26" s="153"/>
    </row>
    <row r="27" spans="1:9" x14ac:dyDescent="0.2">
      <c r="A27" s="151"/>
      <c r="B27" s="199"/>
      <c r="C27" s="199"/>
      <c r="D27" s="199"/>
      <c r="E27" s="151"/>
      <c r="F27" s="151"/>
      <c r="G27" s="155"/>
      <c r="H27" s="155"/>
      <c r="I27" s="153"/>
    </row>
    <row r="28" spans="1:9" x14ac:dyDescent="0.2">
      <c r="A28" s="151"/>
      <c r="B28" s="199"/>
      <c r="C28" s="199"/>
      <c r="D28" s="199"/>
      <c r="E28" s="151"/>
      <c r="F28" s="151"/>
      <c r="G28" s="155"/>
      <c r="H28" s="155"/>
      <c r="I28" s="153"/>
    </row>
    <row r="29" spans="1:9" x14ac:dyDescent="0.2">
      <c r="A29" s="151"/>
      <c r="B29" s="199"/>
      <c r="C29" s="199"/>
      <c r="D29" s="199"/>
      <c r="E29" s="151"/>
      <c r="F29" s="151"/>
      <c r="G29" s="155"/>
      <c r="H29" s="155"/>
      <c r="I29" s="153"/>
    </row>
    <row r="30" spans="1:9" x14ac:dyDescent="0.2">
      <c r="A30" s="151"/>
      <c r="B30" s="199"/>
      <c r="C30" s="199"/>
      <c r="D30" s="199"/>
      <c r="E30" s="151"/>
      <c r="F30" s="151"/>
      <c r="G30" s="155"/>
      <c r="H30" s="155"/>
      <c r="I30" s="153"/>
    </row>
    <row r="31" spans="1:9" x14ac:dyDescent="0.2">
      <c r="A31" s="151"/>
      <c r="B31" s="151"/>
      <c r="C31" s="151"/>
      <c r="D31" s="154"/>
      <c r="E31" s="151"/>
      <c r="F31" s="151"/>
      <c r="G31" s="155"/>
      <c r="H31" s="155"/>
      <c r="I31" s="153"/>
    </row>
    <row r="32" spans="1:9" x14ac:dyDescent="0.2">
      <c r="A32" s="151"/>
      <c r="B32" s="151"/>
      <c r="C32" s="151"/>
      <c r="D32" s="154"/>
      <c r="E32" s="151"/>
      <c r="F32" s="151"/>
      <c r="G32" s="155"/>
      <c r="H32" s="155"/>
      <c r="I32" s="153"/>
    </row>
    <row r="33" spans="1:9" x14ac:dyDescent="0.2">
      <c r="A33" s="151"/>
      <c r="B33" s="157" t="s">
        <v>779</v>
      </c>
      <c r="C33" s="151"/>
      <c r="D33" s="154"/>
      <c r="E33" s="151"/>
      <c r="F33" s="151"/>
      <c r="G33" s="155"/>
      <c r="H33" s="155"/>
      <c r="I33" s="153"/>
    </row>
    <row r="34" spans="1:9" x14ac:dyDescent="0.2">
      <c r="A34" s="151"/>
      <c r="B34" s="160" t="s">
        <v>165</v>
      </c>
      <c r="C34" s="157" t="s">
        <v>780</v>
      </c>
      <c r="D34" s="154"/>
      <c r="E34" s="151"/>
      <c r="F34" s="151"/>
      <c r="G34" s="155"/>
      <c r="H34" s="155"/>
      <c r="I34" s="153"/>
    </row>
    <row r="35" spans="1:9" x14ac:dyDescent="0.2">
      <c r="A35" s="151"/>
      <c r="B35" s="160" t="s">
        <v>168</v>
      </c>
      <c r="C35" s="157" t="s">
        <v>781</v>
      </c>
      <c r="D35" s="154"/>
      <c r="E35" s="151"/>
      <c r="F35" s="151"/>
      <c r="G35" s="155"/>
      <c r="H35" s="155"/>
      <c r="I35" s="153"/>
    </row>
    <row r="36" spans="1:9" x14ac:dyDescent="0.2">
      <c r="A36" s="151"/>
      <c r="B36" s="160" t="s">
        <v>161</v>
      </c>
      <c r="C36" s="157" t="s">
        <v>782</v>
      </c>
      <c r="D36" s="154"/>
      <c r="E36" s="151"/>
      <c r="F36" s="151"/>
      <c r="G36" s="155"/>
      <c r="H36" s="155"/>
      <c r="I36" s="153"/>
    </row>
  </sheetData>
  <sheetProtection password="C9A6" sheet="1" selectLockedCells="1"/>
  <mergeCells count="10">
    <mergeCell ref="B22:D30"/>
    <mergeCell ref="B17:F17"/>
    <mergeCell ref="B18:F18"/>
    <mergeCell ref="A1:H1"/>
    <mergeCell ref="I1:I9"/>
    <mergeCell ref="A2:H2"/>
    <mergeCell ref="A3:H3"/>
    <mergeCell ref="A4:H4"/>
    <mergeCell ref="A6:G6"/>
    <mergeCell ref="A7:G7"/>
  </mergeCells>
  <pageMargins left="0.25" right="0.25" top="0.75" bottom="0.75" header="0.3" footer="0.3"/>
  <pageSetup scale="87" firstPageNumber="11" fitToHeight="0" orientation="landscape" r:id="rId1"/>
  <headerFooter alignWithMargins="0"/>
  <rowBreaks count="1" manualBreakCount="1">
    <brk id="11"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L144"/>
  <sheetViews>
    <sheetView zoomScale="90" zoomScaleNormal="90" zoomScalePageLayoutView="90" workbookViewId="0">
      <selection activeCell="H12" sqref="H12"/>
    </sheetView>
  </sheetViews>
  <sheetFormatPr defaultRowHeight="15" x14ac:dyDescent="0.25"/>
  <cols>
    <col min="2" max="2" width="70.140625" customWidth="1"/>
    <col min="5" max="5" width="11.85546875" bestFit="1" customWidth="1"/>
    <col min="6" max="6" width="13.5703125" bestFit="1" customWidth="1"/>
    <col min="7" max="7" width="9.5703125" customWidth="1"/>
    <col min="8" max="8" width="14.7109375" customWidth="1"/>
    <col min="12" max="12" width="65.140625" hidden="1" customWidth="1"/>
  </cols>
  <sheetData>
    <row r="1" spans="1:8" x14ac:dyDescent="0.25">
      <c r="A1" s="1"/>
      <c r="B1" s="2"/>
      <c r="C1" s="3"/>
      <c r="D1" s="3"/>
      <c r="E1" s="4"/>
      <c r="F1" s="5"/>
      <c r="G1" s="6"/>
      <c r="H1" s="195" t="s">
        <v>0</v>
      </c>
    </row>
    <row r="2" spans="1:8" x14ac:dyDescent="0.25">
      <c r="A2" s="196" t="s">
        <v>431</v>
      </c>
      <c r="B2" s="197"/>
      <c r="C2" s="197"/>
      <c r="D2" s="197"/>
      <c r="E2" s="197"/>
      <c r="F2" s="197"/>
      <c r="G2" s="198"/>
      <c r="H2" s="195"/>
    </row>
    <row r="3" spans="1:8" x14ac:dyDescent="0.25">
      <c r="A3" s="196" t="s">
        <v>1</v>
      </c>
      <c r="B3" s="197"/>
      <c r="C3" s="197"/>
      <c r="D3" s="197"/>
      <c r="E3" s="197"/>
      <c r="F3" s="197"/>
      <c r="G3" s="198"/>
      <c r="H3" s="195"/>
    </row>
    <row r="4" spans="1:8" x14ac:dyDescent="0.25">
      <c r="A4" s="196" t="s">
        <v>33</v>
      </c>
      <c r="B4" s="197"/>
      <c r="C4" s="197"/>
      <c r="D4" s="197"/>
      <c r="E4" s="197"/>
      <c r="F4" s="197"/>
      <c r="G4" s="198"/>
      <c r="H4" s="195"/>
    </row>
    <row r="5" spans="1:8" x14ac:dyDescent="0.25">
      <c r="A5" s="196" t="s">
        <v>598</v>
      </c>
      <c r="B5" s="197"/>
      <c r="C5" s="197"/>
      <c r="D5" s="197"/>
      <c r="E5" s="197"/>
      <c r="F5" s="197"/>
      <c r="G5" s="198"/>
      <c r="H5" s="195"/>
    </row>
    <row r="6" spans="1:8" x14ac:dyDescent="0.25">
      <c r="A6" s="7"/>
      <c r="B6" s="8"/>
      <c r="C6" s="9"/>
      <c r="D6" s="10"/>
      <c r="E6" s="11"/>
      <c r="F6" s="12"/>
      <c r="G6" s="13"/>
      <c r="H6" s="195"/>
    </row>
    <row r="7" spans="1:8" x14ac:dyDescent="0.25">
      <c r="A7" s="14" t="s">
        <v>513</v>
      </c>
      <c r="B7" s="15"/>
      <c r="C7" s="16"/>
      <c r="D7" s="16"/>
      <c r="E7" s="17"/>
      <c r="F7" s="18"/>
      <c r="G7" s="19"/>
      <c r="H7" s="195"/>
    </row>
    <row r="8" spans="1:8" x14ac:dyDescent="0.25">
      <c r="A8" s="20" t="s">
        <v>2</v>
      </c>
      <c r="B8" s="21"/>
      <c r="C8" s="22"/>
      <c r="D8" s="22"/>
      <c r="E8" s="23"/>
      <c r="F8" s="12"/>
      <c r="G8" s="13"/>
      <c r="H8" s="195"/>
    </row>
    <row r="9" spans="1:8" x14ac:dyDescent="0.25">
      <c r="A9" s="24" t="s">
        <v>847</v>
      </c>
      <c r="B9" s="25"/>
      <c r="C9" s="26"/>
      <c r="D9" s="26"/>
      <c r="E9" s="27"/>
      <c r="F9" s="28"/>
      <c r="G9" s="29"/>
      <c r="H9" s="195"/>
    </row>
    <row r="10" spans="1:8" ht="25.5" x14ac:dyDescent="0.25">
      <c r="A10" s="30" t="s">
        <v>3</v>
      </c>
      <c r="B10" s="31" t="s">
        <v>4</v>
      </c>
      <c r="C10" s="32" t="s">
        <v>5</v>
      </c>
      <c r="D10" s="33" t="s">
        <v>6</v>
      </c>
      <c r="E10" s="34" t="s">
        <v>7</v>
      </c>
      <c r="F10" s="35" t="s">
        <v>8</v>
      </c>
      <c r="G10" s="36" t="s">
        <v>9</v>
      </c>
      <c r="H10" s="195"/>
    </row>
    <row r="11" spans="1:8" ht="25.5" x14ac:dyDescent="0.25">
      <c r="A11" s="31" t="s">
        <v>432</v>
      </c>
      <c r="B11" s="30" t="s">
        <v>107</v>
      </c>
      <c r="C11" s="37"/>
      <c r="D11" s="37"/>
      <c r="E11" s="38"/>
      <c r="F11" s="39"/>
      <c r="G11" s="37"/>
      <c r="H11" s="40"/>
    </row>
    <row r="12" spans="1:8" x14ac:dyDescent="0.25">
      <c r="A12" s="41" t="s">
        <v>433</v>
      </c>
      <c r="B12" s="42" t="s">
        <v>11</v>
      </c>
      <c r="C12" s="37">
        <v>12</v>
      </c>
      <c r="D12" s="37" t="s">
        <v>13</v>
      </c>
      <c r="E12" s="63">
        <f t="shared" ref="E12:E17" si="0">ROUND(H12,2)</f>
        <v>0</v>
      </c>
      <c r="F12" s="63">
        <f t="shared" ref="F12:F17" si="1">C12*E12</f>
        <v>0</v>
      </c>
      <c r="G12" s="37"/>
      <c r="H12" s="43"/>
    </row>
    <row r="13" spans="1:8" x14ac:dyDescent="0.25">
      <c r="A13" s="41" t="s">
        <v>434</v>
      </c>
      <c r="B13" s="42" t="s">
        <v>12</v>
      </c>
      <c r="C13" s="37">
        <v>12</v>
      </c>
      <c r="D13" s="37" t="s">
        <v>13</v>
      </c>
      <c r="E13" s="63">
        <f t="shared" si="0"/>
        <v>0</v>
      </c>
      <c r="F13" s="64">
        <f t="shared" si="1"/>
        <v>0</v>
      </c>
      <c r="G13" s="37"/>
      <c r="H13" s="43"/>
    </row>
    <row r="14" spans="1:8" x14ac:dyDescent="0.25">
      <c r="A14" s="41" t="s">
        <v>435</v>
      </c>
      <c r="B14" s="42" t="s">
        <v>14</v>
      </c>
      <c r="C14" s="37">
        <v>12</v>
      </c>
      <c r="D14" s="37" t="s">
        <v>13</v>
      </c>
      <c r="E14" s="63">
        <f t="shared" si="0"/>
        <v>0</v>
      </c>
      <c r="F14" s="64">
        <f t="shared" si="1"/>
        <v>0</v>
      </c>
      <c r="G14" s="37"/>
      <c r="H14" s="43"/>
    </row>
    <row r="15" spans="1:8" ht="25.5" customHeight="1" x14ac:dyDescent="0.25">
      <c r="A15" s="41" t="s">
        <v>436</v>
      </c>
      <c r="B15" s="42" t="s">
        <v>150</v>
      </c>
      <c r="C15" s="37">
        <v>2</v>
      </c>
      <c r="D15" s="37" t="s">
        <v>18</v>
      </c>
      <c r="E15" s="63">
        <f t="shared" si="0"/>
        <v>0</v>
      </c>
      <c r="F15" s="64">
        <f t="shared" si="1"/>
        <v>0</v>
      </c>
      <c r="G15" s="37"/>
      <c r="H15" s="43"/>
    </row>
    <row r="16" spans="1:8" ht="25.5" x14ac:dyDescent="0.25">
      <c r="A16" s="41" t="s">
        <v>437</v>
      </c>
      <c r="B16" s="50" t="s">
        <v>120</v>
      </c>
      <c r="C16" s="37">
        <v>2</v>
      </c>
      <c r="D16" s="37" t="s">
        <v>18</v>
      </c>
      <c r="E16" s="63">
        <f t="shared" si="0"/>
        <v>0</v>
      </c>
      <c r="F16" s="64">
        <f t="shared" si="1"/>
        <v>0</v>
      </c>
      <c r="G16" s="37"/>
      <c r="H16" s="43"/>
    </row>
    <row r="17" spans="1:8" ht="25.5" customHeight="1" x14ac:dyDescent="0.25">
      <c r="A17" s="41" t="s">
        <v>438</v>
      </c>
      <c r="B17" s="50" t="s">
        <v>151</v>
      </c>
      <c r="C17" s="37">
        <v>1</v>
      </c>
      <c r="D17" s="37" t="s">
        <v>15</v>
      </c>
      <c r="E17" s="63">
        <f t="shared" si="0"/>
        <v>0</v>
      </c>
      <c r="F17" s="64">
        <f t="shared" si="1"/>
        <v>0</v>
      </c>
      <c r="G17" s="37"/>
      <c r="H17" s="43"/>
    </row>
    <row r="18" spans="1:8" x14ac:dyDescent="0.25">
      <c r="A18" s="41"/>
      <c r="B18" s="31" t="s">
        <v>104</v>
      </c>
      <c r="C18" s="37"/>
      <c r="D18" s="37"/>
      <c r="E18" s="38"/>
      <c r="F18" s="88">
        <f>SUM(F12:F17)</f>
        <v>0</v>
      </c>
      <c r="G18" s="37"/>
      <c r="H18" s="40"/>
    </row>
    <row r="19" spans="1:8" x14ac:dyDescent="0.25">
      <c r="A19" s="45"/>
      <c r="B19" s="46"/>
      <c r="C19" s="22"/>
      <c r="D19" s="22"/>
      <c r="E19" s="23"/>
      <c r="F19" s="47"/>
      <c r="G19" s="22"/>
      <c r="H19" s="48"/>
    </row>
    <row r="20" spans="1:8" x14ac:dyDescent="0.25">
      <c r="A20" s="31" t="s">
        <v>439</v>
      </c>
      <c r="B20" s="31" t="s">
        <v>20</v>
      </c>
      <c r="C20" s="37"/>
      <c r="D20" s="37"/>
      <c r="E20" s="38"/>
      <c r="F20" s="39"/>
      <c r="G20" s="37"/>
      <c r="H20" s="40"/>
    </row>
    <row r="21" spans="1:8" x14ac:dyDescent="0.25">
      <c r="A21" s="41" t="s">
        <v>440</v>
      </c>
      <c r="B21" s="42" t="s">
        <v>11</v>
      </c>
      <c r="C21" s="37">
        <v>12</v>
      </c>
      <c r="D21" s="37" t="s">
        <v>13</v>
      </c>
      <c r="E21" s="65">
        <f>ROUND(H21,2)</f>
        <v>0</v>
      </c>
      <c r="F21" s="66">
        <f>C21*E21</f>
        <v>0</v>
      </c>
      <c r="G21" s="37"/>
      <c r="H21" s="43"/>
    </row>
    <row r="22" spans="1:8" x14ac:dyDescent="0.25">
      <c r="A22" s="41" t="s">
        <v>441</v>
      </c>
      <c r="B22" s="42" t="s">
        <v>12</v>
      </c>
      <c r="C22" s="37">
        <v>12</v>
      </c>
      <c r="D22" s="37" t="s">
        <v>13</v>
      </c>
      <c r="E22" s="65">
        <f>ROUND(H22,2)</f>
        <v>0</v>
      </c>
      <c r="F22" s="66">
        <f>C22*E22</f>
        <v>0</v>
      </c>
      <c r="G22" s="37"/>
      <c r="H22" s="43"/>
    </row>
    <row r="23" spans="1:8" x14ac:dyDescent="0.25">
      <c r="A23" s="41" t="s">
        <v>442</v>
      </c>
      <c r="B23" s="42" t="s">
        <v>14</v>
      </c>
      <c r="C23" s="37">
        <v>12</v>
      </c>
      <c r="D23" s="37" t="s">
        <v>13</v>
      </c>
      <c r="E23" s="65">
        <f>ROUND(H23,2)</f>
        <v>0</v>
      </c>
      <c r="F23" s="66">
        <f>C23*E23</f>
        <v>0</v>
      </c>
      <c r="G23" s="37"/>
      <c r="H23" s="43"/>
    </row>
    <row r="24" spans="1:8" ht="25.5" x14ac:dyDescent="0.25">
      <c r="A24" s="41" t="s">
        <v>443</v>
      </c>
      <c r="B24" s="50" t="s">
        <v>143</v>
      </c>
      <c r="C24" s="37">
        <v>12</v>
      </c>
      <c r="D24" s="37" t="s">
        <v>13</v>
      </c>
      <c r="E24" s="65">
        <f>ROUND(H24,2)</f>
        <v>0</v>
      </c>
      <c r="F24" s="66">
        <f>C24*E24</f>
        <v>0</v>
      </c>
      <c r="G24" s="37"/>
      <c r="H24" s="43"/>
    </row>
    <row r="25" spans="1:8" ht="38.25" x14ac:dyDescent="0.25">
      <c r="A25" s="41" t="s">
        <v>444</v>
      </c>
      <c r="B25" s="42" t="s">
        <v>144</v>
      </c>
      <c r="C25" s="37">
        <v>12</v>
      </c>
      <c r="D25" s="37" t="s">
        <v>13</v>
      </c>
      <c r="E25" s="65">
        <f>ROUND(H25,2)</f>
        <v>0</v>
      </c>
      <c r="F25" s="66">
        <f>C25*E25</f>
        <v>0</v>
      </c>
      <c r="G25" s="37"/>
      <c r="H25" s="43"/>
    </row>
    <row r="26" spans="1:8" ht="38.25" x14ac:dyDescent="0.25">
      <c r="A26" s="41" t="s">
        <v>445</v>
      </c>
      <c r="B26" s="52" t="s">
        <v>145</v>
      </c>
      <c r="C26" s="53">
        <v>12</v>
      </c>
      <c r="D26" s="53" t="s">
        <v>13</v>
      </c>
      <c r="E26" s="67">
        <f>H26</f>
        <v>0</v>
      </c>
      <c r="F26" s="68">
        <f>E26*C26</f>
        <v>0</v>
      </c>
      <c r="G26" s="53"/>
      <c r="H26" s="43"/>
    </row>
    <row r="27" spans="1:8" x14ac:dyDescent="0.25">
      <c r="A27" s="41"/>
      <c r="B27" s="31" t="s">
        <v>21</v>
      </c>
      <c r="C27" s="37"/>
      <c r="D27" s="37"/>
      <c r="E27" s="38"/>
      <c r="F27" s="89">
        <f>SUM(F21:F26)</f>
        <v>0</v>
      </c>
      <c r="G27" s="37"/>
      <c r="H27" s="40"/>
    </row>
    <row r="28" spans="1:8" x14ac:dyDescent="0.25">
      <c r="A28" s="45"/>
      <c r="B28" s="51"/>
      <c r="C28" s="22"/>
      <c r="D28" s="22"/>
      <c r="E28" s="23"/>
      <c r="F28" s="47"/>
      <c r="G28" s="22"/>
      <c r="H28" s="48"/>
    </row>
    <row r="29" spans="1:8" x14ac:dyDescent="0.25">
      <c r="A29" s="45"/>
      <c r="B29" s="46"/>
      <c r="C29" s="22"/>
      <c r="D29" s="22"/>
      <c r="E29" s="23"/>
      <c r="F29" s="47"/>
      <c r="G29" s="22"/>
      <c r="H29" s="48"/>
    </row>
    <row r="30" spans="1:8" x14ac:dyDescent="0.25">
      <c r="A30" s="31" t="s">
        <v>446</v>
      </c>
      <c r="B30" s="30" t="s">
        <v>106</v>
      </c>
      <c r="C30" s="37"/>
      <c r="D30" s="37"/>
      <c r="E30" s="38"/>
      <c r="F30" s="39"/>
      <c r="G30" s="37"/>
      <c r="H30" s="40"/>
    </row>
    <row r="31" spans="1:8" x14ac:dyDescent="0.25">
      <c r="A31" s="41" t="s">
        <v>447</v>
      </c>
      <c r="B31" s="42" t="s">
        <v>11</v>
      </c>
      <c r="C31" s="37">
        <v>12</v>
      </c>
      <c r="D31" s="37" t="s">
        <v>13</v>
      </c>
      <c r="E31" s="65">
        <f>ROUND(H31,2)</f>
        <v>0</v>
      </c>
      <c r="F31" s="66">
        <f>C31*E31</f>
        <v>0</v>
      </c>
      <c r="G31" s="37"/>
      <c r="H31" s="43"/>
    </row>
    <row r="32" spans="1:8" x14ac:dyDescent="0.25">
      <c r="A32" s="41" t="s">
        <v>448</v>
      </c>
      <c r="B32" s="42" t="s">
        <v>12</v>
      </c>
      <c r="C32" s="37">
        <v>12</v>
      </c>
      <c r="D32" s="37" t="s">
        <v>13</v>
      </c>
      <c r="E32" s="65">
        <f>ROUND(H32,2)</f>
        <v>0</v>
      </c>
      <c r="F32" s="66">
        <f>C32*E32</f>
        <v>0</v>
      </c>
      <c r="G32" s="37"/>
      <c r="H32" s="43"/>
    </row>
    <row r="33" spans="1:8" x14ac:dyDescent="0.25">
      <c r="A33" s="41" t="s">
        <v>449</v>
      </c>
      <c r="B33" s="42" t="s">
        <v>14</v>
      </c>
      <c r="C33" s="37">
        <v>12</v>
      </c>
      <c r="D33" s="37" t="s">
        <v>13</v>
      </c>
      <c r="E33" s="65">
        <f>ROUND(H33,2)</f>
        <v>0</v>
      </c>
      <c r="F33" s="66">
        <f>C33*E33</f>
        <v>0</v>
      </c>
      <c r="G33" s="37"/>
      <c r="H33" s="43"/>
    </row>
    <row r="34" spans="1:8" ht="38.25" x14ac:dyDescent="0.25">
      <c r="A34" s="41" t="s">
        <v>450</v>
      </c>
      <c r="B34" s="42" t="s">
        <v>142</v>
      </c>
      <c r="C34" s="37">
        <v>12</v>
      </c>
      <c r="D34" s="37" t="s">
        <v>13</v>
      </c>
      <c r="E34" s="65">
        <f>ROUND(H34,2)</f>
        <v>0</v>
      </c>
      <c r="F34" s="66">
        <f>C34*E34</f>
        <v>0</v>
      </c>
      <c r="G34" s="37"/>
      <c r="H34" s="43"/>
    </row>
    <row r="35" spans="1:8" ht="38.25" x14ac:dyDescent="0.25">
      <c r="A35" s="41" t="s">
        <v>451</v>
      </c>
      <c r="B35" s="42" t="s">
        <v>141</v>
      </c>
      <c r="C35" s="37">
        <v>12</v>
      </c>
      <c r="D35" s="37" t="s">
        <v>13</v>
      </c>
      <c r="E35" s="65">
        <f>ROUND(H35,2)</f>
        <v>0</v>
      </c>
      <c r="F35" s="66">
        <f>C35*E35</f>
        <v>0</v>
      </c>
      <c r="G35" s="37"/>
      <c r="H35" s="43"/>
    </row>
    <row r="36" spans="1:8" x14ac:dyDescent="0.25">
      <c r="A36" s="41"/>
      <c r="B36" s="54" t="s">
        <v>24</v>
      </c>
      <c r="C36" s="37"/>
      <c r="D36" s="37"/>
      <c r="E36" s="38"/>
      <c r="F36" s="89">
        <f>SUM(F31:F35)</f>
        <v>0</v>
      </c>
      <c r="G36" s="37"/>
      <c r="H36" s="40"/>
    </row>
    <row r="37" spans="1:8" x14ac:dyDescent="0.25">
      <c r="A37" s="45"/>
      <c r="B37" s="46"/>
      <c r="C37" s="22"/>
      <c r="D37" s="22"/>
      <c r="E37" s="23"/>
      <c r="F37" s="47"/>
      <c r="G37" s="22"/>
      <c r="H37" s="48"/>
    </row>
    <row r="38" spans="1:8" x14ac:dyDescent="0.25">
      <c r="A38" s="31" t="s">
        <v>452</v>
      </c>
      <c r="B38" s="30" t="s">
        <v>108</v>
      </c>
      <c r="C38" s="37"/>
      <c r="D38" s="37"/>
      <c r="E38" s="38"/>
      <c r="F38" s="39"/>
      <c r="G38" s="37"/>
      <c r="H38" s="40"/>
    </row>
    <row r="39" spans="1:8" x14ac:dyDescent="0.25">
      <c r="A39" s="41" t="s">
        <v>453</v>
      </c>
      <c r="B39" s="42" t="s">
        <v>11</v>
      </c>
      <c r="C39" s="37">
        <v>12</v>
      </c>
      <c r="D39" s="37" t="s">
        <v>13</v>
      </c>
      <c r="E39" s="65">
        <f>ROUND(H39,2)</f>
        <v>0</v>
      </c>
      <c r="F39" s="66">
        <f>C39*E39</f>
        <v>0</v>
      </c>
      <c r="G39" s="37"/>
      <c r="H39" s="43"/>
    </row>
    <row r="40" spans="1:8" x14ac:dyDescent="0.25">
      <c r="A40" s="41" t="s">
        <v>454</v>
      </c>
      <c r="B40" s="42" t="s">
        <v>12</v>
      </c>
      <c r="C40" s="37">
        <v>12</v>
      </c>
      <c r="D40" s="37" t="s">
        <v>13</v>
      </c>
      <c r="E40" s="65">
        <f t="shared" ref="E40:E45" si="2">ROUND(H40,2)</f>
        <v>0</v>
      </c>
      <c r="F40" s="66">
        <f t="shared" ref="F40:F45" si="3">C40*E40</f>
        <v>0</v>
      </c>
      <c r="G40" s="37"/>
      <c r="H40" s="43"/>
    </row>
    <row r="41" spans="1:8" x14ac:dyDescent="0.25">
      <c r="A41" s="41" t="s">
        <v>455</v>
      </c>
      <c r="B41" s="50" t="s">
        <v>14</v>
      </c>
      <c r="C41" s="37">
        <v>12</v>
      </c>
      <c r="D41" s="37" t="s">
        <v>13</v>
      </c>
      <c r="E41" s="65">
        <f t="shared" si="2"/>
        <v>0</v>
      </c>
      <c r="F41" s="66">
        <f t="shared" si="3"/>
        <v>0</v>
      </c>
      <c r="G41" s="37"/>
      <c r="H41" s="43"/>
    </row>
    <row r="42" spans="1:8" ht="25.5" x14ac:dyDescent="0.25">
      <c r="A42" s="41" t="s">
        <v>456</v>
      </c>
      <c r="B42" s="50" t="s">
        <v>140</v>
      </c>
      <c r="C42" s="37">
        <v>12</v>
      </c>
      <c r="D42" s="37" t="s">
        <v>13</v>
      </c>
      <c r="E42" s="65">
        <f t="shared" si="2"/>
        <v>0</v>
      </c>
      <c r="F42" s="66">
        <f t="shared" si="3"/>
        <v>0</v>
      </c>
      <c r="G42" s="37"/>
      <c r="H42" s="43"/>
    </row>
    <row r="43" spans="1:8" ht="25.5" x14ac:dyDescent="0.25">
      <c r="A43" s="41" t="s">
        <v>457</v>
      </c>
      <c r="B43" s="50" t="s">
        <v>139</v>
      </c>
      <c r="C43" s="37">
        <v>12</v>
      </c>
      <c r="D43" s="37" t="s">
        <v>13</v>
      </c>
      <c r="E43" s="65">
        <f t="shared" si="2"/>
        <v>0</v>
      </c>
      <c r="F43" s="66">
        <f t="shared" si="3"/>
        <v>0</v>
      </c>
      <c r="G43" s="37"/>
      <c r="H43" s="43"/>
    </row>
    <row r="44" spans="1:8" ht="25.5" x14ac:dyDescent="0.25">
      <c r="A44" s="41" t="s">
        <v>458</v>
      </c>
      <c r="B44" s="50" t="s">
        <v>138</v>
      </c>
      <c r="C44" s="37">
        <v>12</v>
      </c>
      <c r="D44" s="37" t="s">
        <v>13</v>
      </c>
      <c r="E44" s="65">
        <f t="shared" si="2"/>
        <v>0</v>
      </c>
      <c r="F44" s="66">
        <f t="shared" si="3"/>
        <v>0</v>
      </c>
      <c r="G44" s="37"/>
      <c r="H44" s="43"/>
    </row>
    <row r="45" spans="1:8" ht="25.5" x14ac:dyDescent="0.25">
      <c r="A45" s="41" t="s">
        <v>459</v>
      </c>
      <c r="B45" s="50" t="s">
        <v>137</v>
      </c>
      <c r="C45" s="37">
        <v>12</v>
      </c>
      <c r="D45" s="37" t="s">
        <v>13</v>
      </c>
      <c r="E45" s="65">
        <f t="shared" si="2"/>
        <v>0</v>
      </c>
      <c r="F45" s="66">
        <f t="shared" si="3"/>
        <v>0</v>
      </c>
      <c r="G45" s="37"/>
      <c r="H45" s="43"/>
    </row>
    <row r="46" spans="1:8" ht="25.5" x14ac:dyDescent="0.25">
      <c r="A46" s="41" t="s">
        <v>460</v>
      </c>
      <c r="B46" s="50" t="s">
        <v>136</v>
      </c>
      <c r="C46" s="37">
        <v>12</v>
      </c>
      <c r="D46" s="37" t="s">
        <v>13</v>
      </c>
      <c r="E46" s="65">
        <f>ROUND(H46,2)</f>
        <v>0</v>
      </c>
      <c r="F46" s="66">
        <f>C46*E46</f>
        <v>0</v>
      </c>
      <c r="G46" s="37"/>
      <c r="H46" s="43"/>
    </row>
    <row r="47" spans="1:8" ht="25.5" x14ac:dyDescent="0.25">
      <c r="A47" s="41" t="s">
        <v>461</v>
      </c>
      <c r="B47" s="50" t="s">
        <v>135</v>
      </c>
      <c r="C47" s="37">
        <v>12</v>
      </c>
      <c r="D47" s="37" t="s">
        <v>13</v>
      </c>
      <c r="E47" s="65">
        <f>ROUND(H47,2)</f>
        <v>0</v>
      </c>
      <c r="F47" s="66">
        <f>C47*E47</f>
        <v>0</v>
      </c>
      <c r="G47" s="37"/>
      <c r="H47" s="43"/>
    </row>
    <row r="48" spans="1:8" x14ac:dyDescent="0.25">
      <c r="A48" s="41"/>
      <c r="B48" s="31" t="s">
        <v>25</v>
      </c>
      <c r="C48" s="37"/>
      <c r="D48" s="37"/>
      <c r="E48" s="38"/>
      <c r="F48" s="89">
        <f>SUM(F39:F47)</f>
        <v>0</v>
      </c>
      <c r="G48" s="37"/>
      <c r="H48" s="40"/>
    </row>
    <row r="49" spans="1:12" x14ac:dyDescent="0.25">
      <c r="A49" s="45"/>
      <c r="B49" s="46"/>
      <c r="C49" s="22"/>
      <c r="D49" s="22"/>
      <c r="E49" s="23"/>
      <c r="F49" s="47"/>
      <c r="G49" s="22"/>
      <c r="H49" s="48"/>
    </row>
    <row r="50" spans="1:12" x14ac:dyDescent="0.25">
      <c r="A50" s="31" t="s">
        <v>462</v>
      </c>
      <c r="B50" s="49" t="s">
        <v>17</v>
      </c>
      <c r="C50" s="37"/>
      <c r="D50" s="37"/>
      <c r="E50" s="38"/>
      <c r="F50" s="39"/>
      <c r="G50" s="37"/>
      <c r="H50" s="40"/>
    </row>
    <row r="51" spans="1:12" x14ac:dyDescent="0.25">
      <c r="A51" s="41" t="s">
        <v>463</v>
      </c>
      <c r="B51" s="50" t="s">
        <v>11</v>
      </c>
      <c r="C51" s="37">
        <v>12</v>
      </c>
      <c r="D51" s="37" t="s">
        <v>13</v>
      </c>
      <c r="E51" s="65">
        <f>ROUND(H51,2)</f>
        <v>0</v>
      </c>
      <c r="F51" s="66">
        <f>C51*E51</f>
        <v>0</v>
      </c>
      <c r="G51" s="37"/>
      <c r="H51" s="43"/>
    </row>
    <row r="52" spans="1:12" x14ac:dyDescent="0.25">
      <c r="A52" s="41" t="s">
        <v>464</v>
      </c>
      <c r="B52" s="42" t="s">
        <v>12</v>
      </c>
      <c r="C52" s="37">
        <v>12</v>
      </c>
      <c r="D52" s="37" t="s">
        <v>13</v>
      </c>
      <c r="E52" s="65">
        <f>ROUND(H52,2)</f>
        <v>0</v>
      </c>
      <c r="F52" s="66">
        <f>C52*E52</f>
        <v>0</v>
      </c>
      <c r="G52" s="37"/>
      <c r="H52" s="43"/>
    </row>
    <row r="53" spans="1:12" x14ac:dyDescent="0.25">
      <c r="A53" s="41" t="s">
        <v>465</v>
      </c>
      <c r="B53" s="50" t="s">
        <v>14</v>
      </c>
      <c r="C53" s="37">
        <v>12</v>
      </c>
      <c r="D53" s="37" t="s">
        <v>13</v>
      </c>
      <c r="E53" s="65">
        <f>ROUND(H53,2)</f>
        <v>0</v>
      </c>
      <c r="F53" s="66">
        <f>C53*E53</f>
        <v>0</v>
      </c>
      <c r="G53" s="37"/>
      <c r="H53" s="43"/>
    </row>
    <row r="54" spans="1:12" ht="25.5" x14ac:dyDescent="0.25">
      <c r="A54" s="41" t="s">
        <v>466</v>
      </c>
      <c r="B54" s="50" t="s">
        <v>133</v>
      </c>
      <c r="C54" s="37">
        <v>2</v>
      </c>
      <c r="D54" s="37" t="s">
        <v>18</v>
      </c>
      <c r="E54" s="65">
        <f>ROUND(H54,2)</f>
        <v>0</v>
      </c>
      <c r="F54" s="66">
        <f>C54*E54</f>
        <v>0</v>
      </c>
      <c r="G54" s="37"/>
      <c r="H54" s="43"/>
      <c r="L54" s="50"/>
    </row>
    <row r="55" spans="1:12" ht="25.5" x14ac:dyDescent="0.25">
      <c r="A55" s="41" t="s">
        <v>467</v>
      </c>
      <c r="B55" s="50" t="s">
        <v>134</v>
      </c>
      <c r="C55" s="37">
        <v>1</v>
      </c>
      <c r="D55" s="37" t="s">
        <v>15</v>
      </c>
      <c r="E55" s="65">
        <f>ROUND(H55,2)</f>
        <v>0</v>
      </c>
      <c r="F55" s="66">
        <f>C55*E55</f>
        <v>0</v>
      </c>
      <c r="G55" s="37"/>
      <c r="H55" s="43"/>
    </row>
    <row r="56" spans="1:12" x14ac:dyDescent="0.25">
      <c r="A56" s="41"/>
      <c r="B56" s="31" t="s">
        <v>19</v>
      </c>
      <c r="C56" s="37"/>
      <c r="D56" s="37"/>
      <c r="E56" s="38"/>
      <c r="F56" s="89">
        <f>SUM(F51:F55)</f>
        <v>0</v>
      </c>
      <c r="G56" s="37"/>
      <c r="H56" s="40"/>
    </row>
    <row r="57" spans="1:12" x14ac:dyDescent="0.25">
      <c r="A57" s="45"/>
      <c r="B57" s="46"/>
      <c r="C57" s="22"/>
      <c r="D57" s="22"/>
      <c r="E57" s="23"/>
      <c r="F57" s="47"/>
      <c r="G57" s="22"/>
      <c r="H57" s="48"/>
    </row>
    <row r="58" spans="1:12" x14ac:dyDescent="0.25">
      <c r="A58" s="31" t="s">
        <v>468</v>
      </c>
      <c r="B58" s="30" t="s">
        <v>26</v>
      </c>
      <c r="C58" s="37"/>
      <c r="D58" s="37"/>
      <c r="E58" s="38"/>
      <c r="F58" s="39"/>
      <c r="G58" s="37"/>
      <c r="H58" s="40"/>
    </row>
    <row r="59" spans="1:12" x14ac:dyDescent="0.25">
      <c r="A59" s="41" t="s">
        <v>469</v>
      </c>
      <c r="B59" s="42" t="s">
        <v>11</v>
      </c>
      <c r="C59" s="37">
        <v>12</v>
      </c>
      <c r="D59" s="37" t="s">
        <v>13</v>
      </c>
      <c r="E59" s="65">
        <f>ROUND(H59,2)</f>
        <v>0</v>
      </c>
      <c r="F59" s="66">
        <f>C59*E59</f>
        <v>0</v>
      </c>
      <c r="G59" s="37"/>
      <c r="H59" s="43"/>
    </row>
    <row r="60" spans="1:12" x14ac:dyDescent="0.25">
      <c r="A60" s="41" t="s">
        <v>470</v>
      </c>
      <c r="B60" s="55" t="s">
        <v>12</v>
      </c>
      <c r="C60" s="37">
        <v>12</v>
      </c>
      <c r="D60" s="37" t="s">
        <v>13</v>
      </c>
      <c r="E60" s="65">
        <f>ROUND(H60,2)</f>
        <v>0</v>
      </c>
      <c r="F60" s="66">
        <f>C60*E60</f>
        <v>0</v>
      </c>
      <c r="G60" s="37"/>
      <c r="H60" s="43"/>
    </row>
    <row r="61" spans="1:12" x14ac:dyDescent="0.25">
      <c r="A61" s="41" t="s">
        <v>471</v>
      </c>
      <c r="B61" s="42" t="s">
        <v>14</v>
      </c>
      <c r="C61" s="37">
        <v>12</v>
      </c>
      <c r="D61" s="37" t="s">
        <v>13</v>
      </c>
      <c r="E61" s="65">
        <f>ROUND(H61,2)</f>
        <v>0</v>
      </c>
      <c r="F61" s="66">
        <f>C61*E61</f>
        <v>0</v>
      </c>
      <c r="G61" s="37"/>
      <c r="H61" s="43"/>
    </row>
    <row r="62" spans="1:12" ht="25.5" x14ac:dyDescent="0.25">
      <c r="A62" s="41" t="s">
        <v>472</v>
      </c>
      <c r="B62" s="42" t="s">
        <v>126</v>
      </c>
      <c r="C62" s="37">
        <v>3</v>
      </c>
      <c r="D62" s="37" t="s">
        <v>27</v>
      </c>
      <c r="E62" s="65">
        <f>ROUND(H62,2)</f>
        <v>0</v>
      </c>
      <c r="F62" s="66">
        <f>C62*E62</f>
        <v>0</v>
      </c>
      <c r="G62" s="37"/>
      <c r="H62" s="43"/>
    </row>
    <row r="63" spans="1:12" ht="25.5" x14ac:dyDescent="0.25">
      <c r="A63" s="41" t="s">
        <v>473</v>
      </c>
      <c r="B63" s="50" t="s">
        <v>127</v>
      </c>
      <c r="C63" s="37">
        <v>3</v>
      </c>
      <c r="D63" s="37" t="s">
        <v>27</v>
      </c>
      <c r="E63" s="65">
        <f>ROUND(H63,2)</f>
        <v>0</v>
      </c>
      <c r="F63" s="66">
        <f>C63*E63</f>
        <v>0</v>
      </c>
      <c r="G63" s="37"/>
      <c r="H63" s="43"/>
    </row>
    <row r="64" spans="1:12" x14ac:dyDescent="0.25">
      <c r="A64" s="41"/>
      <c r="B64" s="31" t="s">
        <v>28</v>
      </c>
      <c r="C64" s="37"/>
      <c r="D64" s="37"/>
      <c r="E64" s="38"/>
      <c r="F64" s="89">
        <f>SUM(F59:F63)</f>
        <v>0</v>
      </c>
      <c r="G64" s="37"/>
      <c r="H64" s="40"/>
    </row>
    <row r="65" spans="1:8" x14ac:dyDescent="0.25">
      <c r="A65" s="45"/>
      <c r="B65" s="56"/>
      <c r="C65" s="57"/>
      <c r="D65" s="57"/>
      <c r="E65" s="58"/>
      <c r="F65" s="47"/>
      <c r="G65" s="22"/>
      <c r="H65" s="48"/>
    </row>
    <row r="66" spans="1:8" x14ac:dyDescent="0.25">
      <c r="A66" s="31" t="s">
        <v>474</v>
      </c>
      <c r="B66" s="54" t="s">
        <v>29</v>
      </c>
      <c r="C66" s="37"/>
      <c r="D66" s="37"/>
      <c r="E66" s="38"/>
      <c r="F66" s="39"/>
      <c r="G66" s="37"/>
      <c r="H66" s="40"/>
    </row>
    <row r="67" spans="1:8" x14ac:dyDescent="0.25">
      <c r="A67" s="41" t="s">
        <v>475</v>
      </c>
      <c r="B67" s="59" t="s">
        <v>11</v>
      </c>
      <c r="C67" s="37">
        <v>12</v>
      </c>
      <c r="D67" s="37" t="s">
        <v>13</v>
      </c>
      <c r="E67" s="65">
        <f>ROUND(H67,2)</f>
        <v>0</v>
      </c>
      <c r="F67" s="66">
        <f>C67*E67</f>
        <v>0</v>
      </c>
      <c r="G67" s="37"/>
      <c r="H67" s="43"/>
    </row>
    <row r="68" spans="1:8" x14ac:dyDescent="0.25">
      <c r="A68" s="41" t="s">
        <v>476</v>
      </c>
      <c r="B68" s="59" t="s">
        <v>12</v>
      </c>
      <c r="C68" s="37">
        <v>12</v>
      </c>
      <c r="D68" s="37" t="s">
        <v>13</v>
      </c>
      <c r="E68" s="65">
        <f>ROUND(H68,2)</f>
        <v>0</v>
      </c>
      <c r="F68" s="66">
        <f>C68*E68</f>
        <v>0</v>
      </c>
      <c r="G68" s="37"/>
      <c r="H68" s="43"/>
    </row>
    <row r="69" spans="1:8" x14ac:dyDescent="0.25">
      <c r="A69" s="41" t="s">
        <v>477</v>
      </c>
      <c r="B69" s="59" t="s">
        <v>14</v>
      </c>
      <c r="C69" s="37">
        <v>12</v>
      </c>
      <c r="D69" s="37" t="s">
        <v>13</v>
      </c>
      <c r="E69" s="65">
        <f>ROUND(H69,2)</f>
        <v>0</v>
      </c>
      <c r="F69" s="66">
        <f>C69*E69</f>
        <v>0</v>
      </c>
      <c r="G69" s="37"/>
      <c r="H69" s="43"/>
    </row>
    <row r="70" spans="1:8" ht="38.25" x14ac:dyDescent="0.25">
      <c r="A70" s="41" t="s">
        <v>478</v>
      </c>
      <c r="B70" s="42" t="s">
        <v>128</v>
      </c>
      <c r="C70" s="37">
        <v>2</v>
      </c>
      <c r="D70" s="37" t="s">
        <v>18</v>
      </c>
      <c r="E70" s="65">
        <f>ROUND(H70,2)</f>
        <v>0</v>
      </c>
      <c r="F70" s="66">
        <f>C70*E70</f>
        <v>0</v>
      </c>
      <c r="G70" s="37"/>
      <c r="H70" s="43"/>
    </row>
    <row r="71" spans="1:8" ht="38.25" x14ac:dyDescent="0.25">
      <c r="A71" s="41" t="s">
        <v>479</v>
      </c>
      <c r="B71" s="50" t="s">
        <v>129</v>
      </c>
      <c r="C71" s="37">
        <v>2</v>
      </c>
      <c r="D71" s="37" t="s">
        <v>18</v>
      </c>
      <c r="E71" s="65">
        <f>ROUND(H71,2)</f>
        <v>0</v>
      </c>
      <c r="F71" s="66">
        <f>C71*E71</f>
        <v>0</v>
      </c>
      <c r="G71" s="37"/>
      <c r="H71" s="43"/>
    </row>
    <row r="72" spans="1:8" x14ac:dyDescent="0.25">
      <c r="A72" s="41"/>
      <c r="B72" s="49" t="s">
        <v>30</v>
      </c>
      <c r="C72" s="37"/>
      <c r="D72" s="37"/>
      <c r="E72" s="38"/>
      <c r="F72" s="89">
        <f>SUM(F67:F71)</f>
        <v>0</v>
      </c>
      <c r="G72" s="37"/>
      <c r="H72" s="40"/>
    </row>
    <row r="73" spans="1:8" x14ac:dyDescent="0.25">
      <c r="A73" s="45"/>
      <c r="B73" s="61"/>
      <c r="C73" s="22"/>
      <c r="D73" s="22"/>
      <c r="E73" s="23"/>
      <c r="F73" s="62"/>
      <c r="G73" s="22"/>
      <c r="H73" s="48"/>
    </row>
    <row r="74" spans="1:8" x14ac:dyDescent="0.25">
      <c r="A74" s="31" t="s">
        <v>480</v>
      </c>
      <c r="B74" s="31" t="s">
        <v>10</v>
      </c>
      <c r="C74" s="37"/>
      <c r="D74" s="37"/>
      <c r="E74" s="38"/>
      <c r="F74" s="39"/>
      <c r="G74" s="37"/>
      <c r="H74" s="40"/>
    </row>
    <row r="75" spans="1:8" x14ac:dyDescent="0.25">
      <c r="A75" s="41" t="s">
        <v>481</v>
      </c>
      <c r="B75" s="42" t="s">
        <v>11</v>
      </c>
      <c r="C75" s="37">
        <v>12</v>
      </c>
      <c r="D75" s="37" t="s">
        <v>13</v>
      </c>
      <c r="E75" s="65">
        <f t="shared" ref="E75:E80" si="4">ROUND(H75,2)</f>
        <v>0</v>
      </c>
      <c r="F75" s="66">
        <f t="shared" ref="F75:F80" si="5">C75*E75</f>
        <v>0</v>
      </c>
      <c r="G75" s="37"/>
      <c r="H75" s="43"/>
    </row>
    <row r="76" spans="1:8" x14ac:dyDescent="0.25">
      <c r="A76" s="41" t="s">
        <v>482</v>
      </c>
      <c r="B76" s="42" t="s">
        <v>12</v>
      </c>
      <c r="C76" s="37">
        <v>12</v>
      </c>
      <c r="D76" s="37" t="s">
        <v>13</v>
      </c>
      <c r="E76" s="65">
        <f t="shared" si="4"/>
        <v>0</v>
      </c>
      <c r="F76" s="66">
        <f t="shared" si="5"/>
        <v>0</v>
      </c>
      <c r="G76" s="37"/>
      <c r="H76" s="43"/>
    </row>
    <row r="77" spans="1:8" x14ac:dyDescent="0.25">
      <c r="A77" s="41" t="s">
        <v>483</v>
      </c>
      <c r="B77" s="42" t="s">
        <v>14</v>
      </c>
      <c r="C77" s="37">
        <v>12</v>
      </c>
      <c r="D77" s="37" t="s">
        <v>13</v>
      </c>
      <c r="E77" s="65">
        <f t="shared" si="4"/>
        <v>0</v>
      </c>
      <c r="F77" s="66">
        <f t="shared" si="5"/>
        <v>0</v>
      </c>
      <c r="G77" s="37"/>
      <c r="H77" s="43"/>
    </row>
    <row r="78" spans="1:8" ht="25.5" x14ac:dyDescent="0.25">
      <c r="A78" s="41" t="s">
        <v>484</v>
      </c>
      <c r="B78" s="42" t="s">
        <v>130</v>
      </c>
      <c r="C78" s="37">
        <v>4</v>
      </c>
      <c r="D78" s="37" t="s">
        <v>16</v>
      </c>
      <c r="E78" s="65">
        <f t="shared" si="4"/>
        <v>0</v>
      </c>
      <c r="F78" s="66">
        <f t="shared" si="5"/>
        <v>0</v>
      </c>
      <c r="G78" s="37"/>
      <c r="H78" s="43"/>
    </row>
    <row r="79" spans="1:8" ht="25.5" x14ac:dyDescent="0.25">
      <c r="A79" s="41" t="s">
        <v>485</v>
      </c>
      <c r="B79" s="42" t="s">
        <v>131</v>
      </c>
      <c r="C79" s="37">
        <v>1</v>
      </c>
      <c r="D79" s="37" t="s">
        <v>15</v>
      </c>
      <c r="E79" s="65">
        <f t="shared" si="4"/>
        <v>0</v>
      </c>
      <c r="F79" s="66">
        <f t="shared" si="5"/>
        <v>0</v>
      </c>
      <c r="G79" s="37"/>
      <c r="H79" s="43"/>
    </row>
    <row r="80" spans="1:8" ht="25.5" x14ac:dyDescent="0.25">
      <c r="A80" s="41" t="s">
        <v>486</v>
      </c>
      <c r="B80" s="42" t="s">
        <v>132</v>
      </c>
      <c r="C80" s="37">
        <v>1</v>
      </c>
      <c r="D80" s="37" t="s">
        <v>15</v>
      </c>
      <c r="E80" s="65">
        <f t="shared" si="4"/>
        <v>0</v>
      </c>
      <c r="F80" s="66">
        <f t="shared" si="5"/>
        <v>0</v>
      </c>
      <c r="G80" s="37"/>
      <c r="H80" s="43"/>
    </row>
    <row r="81" spans="1:8" x14ac:dyDescent="0.25">
      <c r="A81" s="41"/>
      <c r="B81" s="31" t="s">
        <v>728</v>
      </c>
      <c r="C81" s="37"/>
      <c r="D81" s="37"/>
      <c r="E81" s="38"/>
      <c r="F81" s="89">
        <f>SUM(F75:F80)</f>
        <v>0</v>
      </c>
      <c r="G81" s="37"/>
      <c r="H81" s="40"/>
    </row>
    <row r="82" spans="1:8" x14ac:dyDescent="0.25">
      <c r="A82" s="73"/>
      <c r="B82" s="74"/>
      <c r="C82" s="22"/>
      <c r="D82" s="22"/>
      <c r="E82" s="23"/>
      <c r="F82" s="62"/>
      <c r="G82" s="22"/>
      <c r="H82" s="75"/>
    </row>
    <row r="83" spans="1:8" x14ac:dyDescent="0.25">
      <c r="A83" s="31" t="s">
        <v>487</v>
      </c>
      <c r="B83" s="30" t="s">
        <v>22</v>
      </c>
      <c r="C83" s="37"/>
      <c r="D83" s="37"/>
      <c r="E83" s="38"/>
      <c r="F83" s="39"/>
      <c r="G83" s="37"/>
      <c r="H83" s="40"/>
    </row>
    <row r="84" spans="1:8" x14ac:dyDescent="0.25">
      <c r="A84" s="41" t="s">
        <v>488</v>
      </c>
      <c r="B84" s="42" t="s">
        <v>11</v>
      </c>
      <c r="C84" s="37">
        <v>12</v>
      </c>
      <c r="D84" s="37" t="s">
        <v>13</v>
      </c>
      <c r="E84" s="65">
        <f t="shared" ref="E84:E89" si="6">ROUND(H84,2)</f>
        <v>0</v>
      </c>
      <c r="F84" s="66">
        <f t="shared" ref="F84:F89" si="7">C84*E84</f>
        <v>0</v>
      </c>
      <c r="G84" s="37"/>
      <c r="H84" s="43"/>
    </row>
    <row r="85" spans="1:8" x14ac:dyDescent="0.25">
      <c r="A85" s="41" t="s">
        <v>489</v>
      </c>
      <c r="B85" s="42" t="s">
        <v>12</v>
      </c>
      <c r="C85" s="37">
        <v>12</v>
      </c>
      <c r="D85" s="37" t="s">
        <v>13</v>
      </c>
      <c r="E85" s="65">
        <f t="shared" si="6"/>
        <v>0</v>
      </c>
      <c r="F85" s="66">
        <f t="shared" si="7"/>
        <v>0</v>
      </c>
      <c r="G85" s="37"/>
      <c r="H85" s="43"/>
    </row>
    <row r="86" spans="1:8" x14ac:dyDescent="0.25">
      <c r="A86" s="41" t="s">
        <v>490</v>
      </c>
      <c r="B86" s="42" t="s">
        <v>14</v>
      </c>
      <c r="C86" s="37">
        <v>12</v>
      </c>
      <c r="D86" s="37" t="s">
        <v>13</v>
      </c>
      <c r="E86" s="65">
        <f t="shared" si="6"/>
        <v>0</v>
      </c>
      <c r="F86" s="66">
        <f t="shared" si="7"/>
        <v>0</v>
      </c>
      <c r="G86" s="37"/>
      <c r="H86" s="43"/>
    </row>
    <row r="87" spans="1:8" ht="25.5" x14ac:dyDescent="0.25">
      <c r="A87" s="41" t="s">
        <v>491</v>
      </c>
      <c r="B87" s="50" t="s">
        <v>131</v>
      </c>
      <c r="C87" s="37">
        <v>1</v>
      </c>
      <c r="D87" s="37" t="s">
        <v>15</v>
      </c>
      <c r="E87" s="65">
        <f t="shared" si="6"/>
        <v>0</v>
      </c>
      <c r="F87" s="66">
        <f t="shared" si="7"/>
        <v>0</v>
      </c>
      <c r="G87" s="37"/>
      <c r="H87" s="43"/>
    </row>
    <row r="88" spans="1:8" ht="25.5" x14ac:dyDescent="0.25">
      <c r="A88" s="41" t="s">
        <v>492</v>
      </c>
      <c r="B88" s="42" t="s">
        <v>132</v>
      </c>
      <c r="C88" s="37">
        <v>1</v>
      </c>
      <c r="D88" s="37" t="s">
        <v>15</v>
      </c>
      <c r="E88" s="65">
        <f t="shared" si="6"/>
        <v>0</v>
      </c>
      <c r="F88" s="66">
        <f t="shared" si="7"/>
        <v>0</v>
      </c>
      <c r="G88" s="37"/>
      <c r="H88" s="43"/>
    </row>
    <row r="89" spans="1:8" ht="25.5" x14ac:dyDescent="0.25">
      <c r="A89" s="41" t="s">
        <v>493</v>
      </c>
      <c r="B89" s="42" t="s">
        <v>130</v>
      </c>
      <c r="C89" s="37">
        <v>4</v>
      </c>
      <c r="D89" s="37" t="s">
        <v>16</v>
      </c>
      <c r="E89" s="65">
        <f t="shared" si="6"/>
        <v>0</v>
      </c>
      <c r="F89" s="66">
        <f t="shared" si="7"/>
        <v>0</v>
      </c>
      <c r="G89" s="37"/>
      <c r="H89" s="43"/>
    </row>
    <row r="90" spans="1:8" x14ac:dyDescent="0.25">
      <c r="A90" s="73"/>
      <c r="B90" s="31" t="s">
        <v>23</v>
      </c>
      <c r="C90" s="37"/>
      <c r="D90" s="37"/>
      <c r="E90" s="38"/>
      <c r="F90" s="89">
        <f>SUM(F84:F89)</f>
        <v>0</v>
      </c>
      <c r="G90" s="37"/>
      <c r="H90" s="75"/>
    </row>
    <row r="91" spans="1:8" x14ac:dyDescent="0.25">
      <c r="A91" s="69"/>
      <c r="H91" s="104"/>
    </row>
    <row r="92" spans="1:8" x14ac:dyDescent="0.25">
      <c r="A92" s="31" t="s">
        <v>494</v>
      </c>
      <c r="B92" s="31" t="s">
        <v>31</v>
      </c>
      <c r="C92" s="37"/>
      <c r="D92" s="37"/>
      <c r="E92" s="38"/>
      <c r="F92" s="39"/>
      <c r="G92" s="37"/>
      <c r="H92" s="40"/>
    </row>
    <row r="93" spans="1:8" x14ac:dyDescent="0.25">
      <c r="A93" s="41" t="s">
        <v>495</v>
      </c>
      <c r="B93" s="42" t="s">
        <v>11</v>
      </c>
      <c r="C93" s="37">
        <v>12</v>
      </c>
      <c r="D93" s="37" t="s">
        <v>13</v>
      </c>
      <c r="E93" s="65">
        <f t="shared" ref="E93:E99" si="8">ROUND(H93,2)</f>
        <v>0</v>
      </c>
      <c r="F93" s="66">
        <f t="shared" ref="F93:F99" si="9">C93*E93</f>
        <v>0</v>
      </c>
      <c r="G93" s="37"/>
      <c r="H93" s="43"/>
    </row>
    <row r="94" spans="1:8" x14ac:dyDescent="0.25">
      <c r="A94" s="41" t="s">
        <v>496</v>
      </c>
      <c r="B94" s="42" t="s">
        <v>12</v>
      </c>
      <c r="C94" s="37">
        <v>12</v>
      </c>
      <c r="D94" s="37" t="s">
        <v>13</v>
      </c>
      <c r="E94" s="65">
        <f t="shared" si="8"/>
        <v>0</v>
      </c>
      <c r="F94" s="66">
        <f t="shared" si="9"/>
        <v>0</v>
      </c>
      <c r="G94" s="37"/>
      <c r="H94" s="43"/>
    </row>
    <row r="95" spans="1:8" x14ac:dyDescent="0.25">
      <c r="A95" s="41" t="s">
        <v>497</v>
      </c>
      <c r="B95" s="42" t="s">
        <v>14</v>
      </c>
      <c r="C95" s="37">
        <v>12</v>
      </c>
      <c r="D95" s="37" t="s">
        <v>13</v>
      </c>
      <c r="E95" s="65">
        <f t="shared" si="8"/>
        <v>0</v>
      </c>
      <c r="F95" s="66">
        <f t="shared" si="9"/>
        <v>0</v>
      </c>
      <c r="G95" s="37"/>
      <c r="H95" s="43"/>
    </row>
    <row r="96" spans="1:8" ht="25.5" x14ac:dyDescent="0.25">
      <c r="A96" s="41" t="s">
        <v>498</v>
      </c>
      <c r="B96" s="42" t="s">
        <v>146</v>
      </c>
      <c r="C96" s="37">
        <v>1</v>
      </c>
      <c r="D96" s="37" t="s">
        <v>15</v>
      </c>
      <c r="E96" s="65">
        <f t="shared" si="8"/>
        <v>0</v>
      </c>
      <c r="F96" s="66">
        <f t="shared" si="9"/>
        <v>0</v>
      </c>
      <c r="G96" s="37"/>
      <c r="H96" s="43"/>
    </row>
    <row r="97" spans="1:8" ht="25.5" x14ac:dyDescent="0.25">
      <c r="A97" s="41" t="s">
        <v>499</v>
      </c>
      <c r="B97" s="42" t="s">
        <v>147</v>
      </c>
      <c r="C97" s="37">
        <v>2</v>
      </c>
      <c r="D97" s="37" t="s">
        <v>18</v>
      </c>
      <c r="E97" s="65">
        <f t="shared" si="8"/>
        <v>0</v>
      </c>
      <c r="F97" s="66">
        <f t="shared" si="9"/>
        <v>0</v>
      </c>
      <c r="G97" s="37"/>
      <c r="H97" s="43"/>
    </row>
    <row r="98" spans="1:8" ht="25.5" x14ac:dyDescent="0.25">
      <c r="A98" s="41" t="s">
        <v>500</v>
      </c>
      <c r="B98" s="42" t="s">
        <v>148</v>
      </c>
      <c r="C98" s="37">
        <v>4</v>
      </c>
      <c r="D98" s="37" t="s">
        <v>16</v>
      </c>
      <c r="E98" s="65">
        <f t="shared" si="8"/>
        <v>0</v>
      </c>
      <c r="F98" s="66">
        <f t="shared" si="9"/>
        <v>0</v>
      </c>
      <c r="G98" s="37"/>
      <c r="H98" s="43"/>
    </row>
    <row r="99" spans="1:8" ht="25.5" x14ac:dyDescent="0.25">
      <c r="A99" s="41" t="s">
        <v>501</v>
      </c>
      <c r="B99" s="42" t="s">
        <v>149</v>
      </c>
      <c r="C99" s="37">
        <v>12</v>
      </c>
      <c r="D99" s="37" t="s">
        <v>13</v>
      </c>
      <c r="E99" s="65">
        <f t="shared" si="8"/>
        <v>0</v>
      </c>
      <c r="F99" s="66">
        <f t="shared" si="9"/>
        <v>0</v>
      </c>
      <c r="G99" s="37"/>
      <c r="H99" s="43"/>
    </row>
    <row r="100" spans="1:8" x14ac:dyDescent="0.25">
      <c r="A100" s="41"/>
      <c r="B100" s="31" t="s">
        <v>32</v>
      </c>
      <c r="C100" s="37"/>
      <c r="D100" s="37"/>
      <c r="E100" s="38"/>
      <c r="F100" s="89">
        <f>SUM(F93:F99)</f>
        <v>0</v>
      </c>
      <c r="G100" s="37"/>
      <c r="H100" s="40"/>
    </row>
    <row r="101" spans="1:8" x14ac:dyDescent="0.25">
      <c r="A101" s="69"/>
      <c r="H101" s="104"/>
    </row>
    <row r="102" spans="1:8" x14ac:dyDescent="0.25">
      <c r="A102" s="31" t="s">
        <v>502</v>
      </c>
      <c r="B102" s="31" t="s">
        <v>636</v>
      </c>
      <c r="C102" s="60"/>
      <c r="D102" s="60"/>
      <c r="E102" s="70"/>
      <c r="F102" s="44"/>
      <c r="G102" s="60"/>
      <c r="H102" s="71"/>
    </row>
    <row r="103" spans="1:8" x14ac:dyDescent="0.25">
      <c r="A103" s="41" t="s">
        <v>503</v>
      </c>
      <c r="B103" s="42" t="s">
        <v>11</v>
      </c>
      <c r="C103" s="37">
        <v>12</v>
      </c>
      <c r="D103" s="37" t="s">
        <v>13</v>
      </c>
      <c r="E103" s="72">
        <f>ROUND(H103,2)</f>
        <v>0</v>
      </c>
      <c r="F103" s="66">
        <f>C103*E103</f>
        <v>0</v>
      </c>
      <c r="G103" s="37"/>
      <c r="H103" s="43"/>
    </row>
    <row r="104" spans="1:8" x14ac:dyDescent="0.25">
      <c r="A104" s="41" t="s">
        <v>504</v>
      </c>
      <c r="B104" s="42" t="s">
        <v>12</v>
      </c>
      <c r="C104" s="37">
        <v>12</v>
      </c>
      <c r="D104" s="37" t="s">
        <v>13</v>
      </c>
      <c r="E104" s="72">
        <f>ROUND(H104,2)</f>
        <v>0</v>
      </c>
      <c r="F104" s="66">
        <f>C104*E104</f>
        <v>0</v>
      </c>
      <c r="G104" s="37"/>
      <c r="H104" s="43"/>
    </row>
    <row r="105" spans="1:8" x14ac:dyDescent="0.25">
      <c r="A105" s="41" t="s">
        <v>505</v>
      </c>
      <c r="B105" s="42" t="s">
        <v>14</v>
      </c>
      <c r="C105" s="37">
        <v>12</v>
      </c>
      <c r="D105" s="37" t="s">
        <v>13</v>
      </c>
      <c r="E105" s="72">
        <f>ROUND(H105,2)</f>
        <v>0</v>
      </c>
      <c r="F105" s="66">
        <f>C105*E105</f>
        <v>0</v>
      </c>
      <c r="G105" s="37"/>
      <c r="H105" s="43"/>
    </row>
    <row r="106" spans="1:8" ht="25.5" x14ac:dyDescent="0.25">
      <c r="A106" s="41" t="s">
        <v>506</v>
      </c>
      <c r="B106" s="42" t="s">
        <v>784</v>
      </c>
      <c r="C106" s="37">
        <v>12</v>
      </c>
      <c r="D106" s="37" t="s">
        <v>13</v>
      </c>
      <c r="E106" s="72">
        <f>ROUND(H106,2)</f>
        <v>0</v>
      </c>
      <c r="F106" s="66">
        <f>C106*E106</f>
        <v>0</v>
      </c>
      <c r="G106" s="37"/>
      <c r="H106" s="43"/>
    </row>
    <row r="107" spans="1:8" x14ac:dyDescent="0.25">
      <c r="A107" s="41"/>
      <c r="B107" s="30" t="s">
        <v>637</v>
      </c>
      <c r="C107" s="37"/>
      <c r="D107" s="37"/>
      <c r="E107" s="38"/>
      <c r="F107" s="89">
        <f>SUM(F103:F106)</f>
        <v>0</v>
      </c>
      <c r="G107" s="37"/>
      <c r="H107" s="40"/>
    </row>
    <row r="108" spans="1:8" x14ac:dyDescent="0.25">
      <c r="A108" s="69"/>
      <c r="H108" s="105"/>
    </row>
    <row r="109" spans="1:8" x14ac:dyDescent="0.25">
      <c r="A109" s="31" t="s">
        <v>507</v>
      </c>
      <c r="B109" s="31" t="s">
        <v>643</v>
      </c>
      <c r="C109" s="60"/>
      <c r="D109" s="60"/>
      <c r="E109" s="70"/>
      <c r="F109" s="44"/>
      <c r="G109" s="60"/>
      <c r="H109" s="71"/>
    </row>
    <row r="110" spans="1:8" x14ac:dyDescent="0.25">
      <c r="A110" s="41" t="s">
        <v>508</v>
      </c>
      <c r="B110" s="42" t="s">
        <v>11</v>
      </c>
      <c r="C110" s="37">
        <v>12</v>
      </c>
      <c r="D110" s="37" t="s">
        <v>13</v>
      </c>
      <c r="E110" s="72">
        <f>ROUND(H110,2)</f>
        <v>0</v>
      </c>
      <c r="F110" s="66">
        <f>C110*E110</f>
        <v>0</v>
      </c>
      <c r="G110" s="37"/>
      <c r="H110" s="43"/>
    </row>
    <row r="111" spans="1:8" x14ac:dyDescent="0.25">
      <c r="A111" s="41" t="s">
        <v>509</v>
      </c>
      <c r="B111" s="42" t="s">
        <v>12</v>
      </c>
      <c r="C111" s="37">
        <v>12</v>
      </c>
      <c r="D111" s="37" t="s">
        <v>13</v>
      </c>
      <c r="E111" s="72">
        <f>ROUND(H111,2)</f>
        <v>0</v>
      </c>
      <c r="F111" s="66">
        <f>C111*E111</f>
        <v>0</v>
      </c>
      <c r="G111" s="37"/>
      <c r="H111" s="43"/>
    </row>
    <row r="112" spans="1:8" x14ac:dyDescent="0.25">
      <c r="A112" s="41" t="s">
        <v>510</v>
      </c>
      <c r="B112" s="42" t="s">
        <v>14</v>
      </c>
      <c r="C112" s="37">
        <v>12</v>
      </c>
      <c r="D112" s="37" t="s">
        <v>13</v>
      </c>
      <c r="E112" s="72">
        <f>ROUND(H112,2)</f>
        <v>0</v>
      </c>
      <c r="F112" s="66">
        <f>C112*E112</f>
        <v>0</v>
      </c>
      <c r="G112" s="37"/>
      <c r="H112" s="43"/>
    </row>
    <row r="113" spans="1:8" ht="25.5" x14ac:dyDescent="0.25">
      <c r="A113" s="41" t="s">
        <v>511</v>
      </c>
      <c r="B113" s="42" t="s">
        <v>761</v>
      </c>
      <c r="C113" s="37">
        <v>12</v>
      </c>
      <c r="D113" s="37" t="s">
        <v>13</v>
      </c>
      <c r="E113" s="72">
        <f>ROUND(H113,2)</f>
        <v>0</v>
      </c>
      <c r="F113" s="66">
        <f>C113*E113</f>
        <v>0</v>
      </c>
      <c r="G113" s="37"/>
      <c r="H113" s="43"/>
    </row>
    <row r="114" spans="1:8" x14ac:dyDescent="0.25">
      <c r="A114" s="41"/>
      <c r="B114" s="30" t="s">
        <v>644</v>
      </c>
      <c r="C114" s="37"/>
      <c r="D114" s="37"/>
      <c r="E114" s="38"/>
      <c r="F114" s="89">
        <f>SUM(F110:F113)</f>
        <v>0</v>
      </c>
      <c r="G114" s="37"/>
      <c r="H114" s="40"/>
    </row>
    <row r="115" spans="1:8" x14ac:dyDescent="0.25">
      <c r="A115" s="51"/>
      <c r="H115" s="105"/>
    </row>
    <row r="116" spans="1:8" x14ac:dyDescent="0.25">
      <c r="A116" s="31" t="s">
        <v>667</v>
      </c>
      <c r="B116" s="31" t="s">
        <v>651</v>
      </c>
      <c r="C116" s="60"/>
      <c r="D116" s="60"/>
      <c r="E116" s="70"/>
      <c r="F116" s="44"/>
      <c r="G116" s="60"/>
      <c r="H116" s="71"/>
    </row>
    <row r="117" spans="1:8" x14ac:dyDescent="0.25">
      <c r="A117" s="41" t="s">
        <v>668</v>
      </c>
      <c r="B117" s="42" t="s">
        <v>11</v>
      </c>
      <c r="C117" s="37">
        <v>12</v>
      </c>
      <c r="D117" s="37" t="s">
        <v>13</v>
      </c>
      <c r="E117" s="72">
        <f>ROUND(H117,2)</f>
        <v>0</v>
      </c>
      <c r="F117" s="66">
        <f>C117*E117</f>
        <v>0</v>
      </c>
      <c r="G117" s="37"/>
      <c r="H117" s="43"/>
    </row>
    <row r="118" spans="1:8" x14ac:dyDescent="0.25">
      <c r="A118" s="41" t="s">
        <v>669</v>
      </c>
      <c r="B118" s="42" t="s">
        <v>12</v>
      </c>
      <c r="C118" s="37">
        <v>12</v>
      </c>
      <c r="D118" s="37" t="s">
        <v>13</v>
      </c>
      <c r="E118" s="72">
        <f>ROUND(H118,2)</f>
        <v>0</v>
      </c>
      <c r="F118" s="66">
        <f>C118*E118</f>
        <v>0</v>
      </c>
      <c r="G118" s="37"/>
      <c r="H118" s="43"/>
    </row>
    <row r="119" spans="1:8" x14ac:dyDescent="0.25">
      <c r="A119" s="41" t="s">
        <v>670</v>
      </c>
      <c r="B119" s="42" t="s">
        <v>14</v>
      </c>
      <c r="C119" s="37">
        <v>12</v>
      </c>
      <c r="D119" s="37" t="s">
        <v>13</v>
      </c>
      <c r="E119" s="72">
        <f>ROUND(H119,2)</f>
        <v>0</v>
      </c>
      <c r="F119" s="66">
        <f>C119*E119</f>
        <v>0</v>
      </c>
      <c r="G119" s="37"/>
      <c r="H119" s="43"/>
    </row>
    <row r="120" spans="1:8" ht="25.5" x14ac:dyDescent="0.25">
      <c r="A120" s="41" t="s">
        <v>671</v>
      </c>
      <c r="B120" s="42" t="s">
        <v>762</v>
      </c>
      <c r="C120" s="37">
        <v>12</v>
      </c>
      <c r="D120" s="37" t="s">
        <v>13</v>
      </c>
      <c r="E120" s="72">
        <f>ROUND(H120,2)</f>
        <v>0</v>
      </c>
      <c r="F120" s="66">
        <f>C120*E120</f>
        <v>0</v>
      </c>
      <c r="G120" s="37"/>
      <c r="H120" s="43"/>
    </row>
    <row r="121" spans="1:8" x14ac:dyDescent="0.25">
      <c r="A121" s="41"/>
      <c r="B121" s="30" t="s">
        <v>650</v>
      </c>
      <c r="C121" s="37"/>
      <c r="D121" s="37"/>
      <c r="E121" s="38"/>
      <c r="F121" s="89">
        <f>SUM(F117:F120)</f>
        <v>0</v>
      </c>
      <c r="G121" s="37"/>
      <c r="H121" s="40"/>
    </row>
    <row r="122" spans="1:8" x14ac:dyDescent="0.25">
      <c r="H122" s="105"/>
    </row>
    <row r="123" spans="1:8" x14ac:dyDescent="0.25">
      <c r="A123" s="31" t="s">
        <v>672</v>
      </c>
      <c r="B123" s="31" t="s">
        <v>122</v>
      </c>
      <c r="C123" s="60"/>
      <c r="D123" s="60"/>
      <c r="E123" s="70"/>
      <c r="F123" s="44"/>
      <c r="G123" s="60"/>
      <c r="H123" s="71"/>
    </row>
    <row r="124" spans="1:8" x14ac:dyDescent="0.25">
      <c r="A124" s="41" t="s">
        <v>673</v>
      </c>
      <c r="B124" s="42" t="s">
        <v>11</v>
      </c>
      <c r="C124" s="37">
        <v>12</v>
      </c>
      <c r="D124" s="37" t="s">
        <v>13</v>
      </c>
      <c r="E124" s="72">
        <f>ROUND(H124,2)</f>
        <v>0</v>
      </c>
      <c r="F124" s="66">
        <f>C124*E124</f>
        <v>0</v>
      </c>
      <c r="G124" s="37"/>
      <c r="H124" s="43"/>
    </row>
    <row r="125" spans="1:8" x14ac:dyDescent="0.25">
      <c r="A125" s="41" t="s">
        <v>674</v>
      </c>
      <c r="B125" s="42" t="s">
        <v>12</v>
      </c>
      <c r="C125" s="37">
        <v>12</v>
      </c>
      <c r="D125" s="37" t="s">
        <v>13</v>
      </c>
      <c r="E125" s="72">
        <f>ROUND(H125,2)</f>
        <v>0</v>
      </c>
      <c r="F125" s="66">
        <f>C125*E125</f>
        <v>0</v>
      </c>
      <c r="G125" s="37"/>
      <c r="H125" s="43"/>
    </row>
    <row r="126" spans="1:8" x14ac:dyDescent="0.25">
      <c r="A126" s="41" t="s">
        <v>675</v>
      </c>
      <c r="B126" s="42" t="s">
        <v>14</v>
      </c>
      <c r="C126" s="37">
        <v>12</v>
      </c>
      <c r="D126" s="37" t="s">
        <v>13</v>
      </c>
      <c r="E126" s="72">
        <f>ROUND(H126,2)</f>
        <v>0</v>
      </c>
      <c r="F126" s="66">
        <f>C126*E126</f>
        <v>0</v>
      </c>
      <c r="G126" s="37"/>
      <c r="H126" s="43"/>
    </row>
    <row r="127" spans="1:8" ht="25.5" x14ac:dyDescent="0.25">
      <c r="A127" s="41" t="s">
        <v>676</v>
      </c>
      <c r="B127" s="42" t="s">
        <v>727</v>
      </c>
      <c r="C127" s="37">
        <v>12</v>
      </c>
      <c r="D127" s="37" t="s">
        <v>13</v>
      </c>
      <c r="E127" s="72">
        <f>ROUND(H127,2)</f>
        <v>0</v>
      </c>
      <c r="F127" s="66">
        <f>C127*E127</f>
        <v>0</v>
      </c>
      <c r="G127" s="37"/>
      <c r="H127" s="43"/>
    </row>
    <row r="128" spans="1:8" x14ac:dyDescent="0.25">
      <c r="A128" s="41"/>
      <c r="B128" s="30" t="s">
        <v>123</v>
      </c>
      <c r="C128" s="37"/>
      <c r="D128" s="37"/>
      <c r="E128" s="38"/>
      <c r="F128" s="89">
        <f>SUM(F124:F127)</f>
        <v>0</v>
      </c>
      <c r="G128" s="37"/>
      <c r="H128" s="40"/>
    </row>
    <row r="129" spans="1:8" x14ac:dyDescent="0.25">
      <c r="H129" s="104"/>
    </row>
    <row r="130" spans="1:8" x14ac:dyDescent="0.25">
      <c r="A130" s="31" t="s">
        <v>677</v>
      </c>
      <c r="B130" s="31" t="s">
        <v>121</v>
      </c>
      <c r="C130" s="60"/>
      <c r="D130" s="60"/>
      <c r="E130" s="70"/>
      <c r="F130" s="44"/>
      <c r="G130" s="60"/>
      <c r="H130" s="71"/>
    </row>
    <row r="131" spans="1:8" x14ac:dyDescent="0.25">
      <c r="A131" s="41" t="s">
        <v>678</v>
      </c>
      <c r="B131" s="42" t="s">
        <v>11</v>
      </c>
      <c r="C131" s="37">
        <v>12</v>
      </c>
      <c r="D131" s="37" t="s">
        <v>13</v>
      </c>
      <c r="E131" s="72">
        <f>ROUND(H131,2)</f>
        <v>0</v>
      </c>
      <c r="F131" s="66">
        <f>C131*E131</f>
        <v>0</v>
      </c>
      <c r="G131" s="37"/>
      <c r="H131" s="43"/>
    </row>
    <row r="132" spans="1:8" x14ac:dyDescent="0.25">
      <c r="A132" s="41" t="s">
        <v>679</v>
      </c>
      <c r="B132" s="42" t="s">
        <v>12</v>
      </c>
      <c r="C132" s="37">
        <v>12</v>
      </c>
      <c r="D132" s="37" t="s">
        <v>13</v>
      </c>
      <c r="E132" s="72">
        <f>ROUND(H132,2)</f>
        <v>0</v>
      </c>
      <c r="F132" s="66">
        <f>C132*E132</f>
        <v>0</v>
      </c>
      <c r="G132" s="37"/>
      <c r="H132" s="43"/>
    </row>
    <row r="133" spans="1:8" x14ac:dyDescent="0.25">
      <c r="A133" s="41" t="s">
        <v>680</v>
      </c>
      <c r="B133" s="42" t="s">
        <v>14</v>
      </c>
      <c r="C133" s="37">
        <v>12</v>
      </c>
      <c r="D133" s="37" t="s">
        <v>13</v>
      </c>
      <c r="E133" s="72">
        <f>ROUND(H133,2)</f>
        <v>0</v>
      </c>
      <c r="F133" s="66">
        <f>C133*E133</f>
        <v>0</v>
      </c>
      <c r="G133" s="37"/>
      <c r="H133" s="43"/>
    </row>
    <row r="134" spans="1:8" ht="25.5" x14ac:dyDescent="0.25">
      <c r="A134" s="41" t="s">
        <v>681</v>
      </c>
      <c r="B134" s="42" t="s">
        <v>727</v>
      </c>
      <c r="C134" s="37">
        <v>12</v>
      </c>
      <c r="D134" s="37" t="s">
        <v>13</v>
      </c>
      <c r="E134" s="72">
        <f>ROUND(H134,2)</f>
        <v>0</v>
      </c>
      <c r="F134" s="66">
        <f>C134*E134</f>
        <v>0</v>
      </c>
      <c r="G134" s="37"/>
      <c r="H134" s="43"/>
    </row>
    <row r="135" spans="1:8" x14ac:dyDescent="0.25">
      <c r="A135" s="41"/>
      <c r="B135" s="30" t="s">
        <v>124</v>
      </c>
      <c r="C135" s="37"/>
      <c r="D135" s="37"/>
      <c r="E135" s="38"/>
      <c r="F135" s="89">
        <f>SUM(F131:F134)</f>
        <v>0</v>
      </c>
      <c r="G135" s="37"/>
      <c r="H135" s="40"/>
    </row>
    <row r="136" spans="1:8" x14ac:dyDescent="0.25">
      <c r="A136" s="51"/>
      <c r="B136" s="61"/>
      <c r="C136" s="22"/>
      <c r="D136" s="22"/>
      <c r="E136" s="23"/>
      <c r="F136" s="92"/>
      <c r="G136" s="22"/>
      <c r="H136" s="93"/>
    </row>
    <row r="137" spans="1:8" x14ac:dyDescent="0.25">
      <c r="A137" s="31" t="s">
        <v>745</v>
      </c>
      <c r="B137" s="31" t="s">
        <v>785</v>
      </c>
      <c r="C137" s="60"/>
      <c r="D137" s="60"/>
      <c r="E137" s="70"/>
      <c r="F137" s="44"/>
      <c r="G137" s="60"/>
      <c r="H137" s="71"/>
    </row>
    <row r="138" spans="1:8" x14ac:dyDescent="0.25">
      <c r="A138" s="41" t="s">
        <v>746</v>
      </c>
      <c r="B138" s="42" t="s">
        <v>11</v>
      </c>
      <c r="C138" s="37">
        <v>12</v>
      </c>
      <c r="D138" s="37" t="s">
        <v>13</v>
      </c>
      <c r="E138" s="72">
        <f>ROUND(H138,2)</f>
        <v>0</v>
      </c>
      <c r="F138" s="66">
        <f>C138*E138</f>
        <v>0</v>
      </c>
      <c r="G138" s="37"/>
      <c r="H138" s="43"/>
    </row>
    <row r="139" spans="1:8" x14ac:dyDescent="0.25">
      <c r="A139" s="41" t="s">
        <v>747</v>
      </c>
      <c r="B139" s="42" t="s">
        <v>12</v>
      </c>
      <c r="C139" s="37">
        <v>12</v>
      </c>
      <c r="D139" s="37" t="s">
        <v>13</v>
      </c>
      <c r="E139" s="72">
        <f>ROUND(H139,2)</f>
        <v>0</v>
      </c>
      <c r="F139" s="66">
        <f>C139*E139</f>
        <v>0</v>
      </c>
      <c r="G139" s="37"/>
      <c r="H139" s="43"/>
    </row>
    <row r="140" spans="1:8" x14ac:dyDescent="0.25">
      <c r="A140" s="41" t="s">
        <v>748</v>
      </c>
      <c r="B140" s="42" t="s">
        <v>14</v>
      </c>
      <c r="C140" s="37">
        <v>12</v>
      </c>
      <c r="D140" s="37" t="s">
        <v>13</v>
      </c>
      <c r="E140" s="72">
        <f>ROUND(H140,2)</f>
        <v>0</v>
      </c>
      <c r="F140" s="66">
        <f>C140*E140</f>
        <v>0</v>
      </c>
      <c r="G140" s="37"/>
      <c r="H140" s="43"/>
    </row>
    <row r="141" spans="1:8" ht="25.5" x14ac:dyDescent="0.25">
      <c r="A141" s="41" t="s">
        <v>749</v>
      </c>
      <c r="B141" s="42" t="s">
        <v>734</v>
      </c>
      <c r="C141" s="37">
        <v>12</v>
      </c>
      <c r="D141" s="37" t="s">
        <v>13</v>
      </c>
      <c r="E141" s="72">
        <f>ROUND(H141,2)</f>
        <v>0</v>
      </c>
      <c r="F141" s="66">
        <f>C141*E141</f>
        <v>0</v>
      </c>
      <c r="G141" s="37"/>
      <c r="H141" s="43"/>
    </row>
    <row r="142" spans="1:8" x14ac:dyDescent="0.25">
      <c r="A142" s="41"/>
      <c r="B142" s="30" t="s">
        <v>786</v>
      </c>
      <c r="C142" s="37"/>
      <c r="D142" s="37"/>
      <c r="E142" s="38"/>
      <c r="F142" s="89">
        <f>SUM(F138:F141)</f>
        <v>0</v>
      </c>
      <c r="G142" s="37"/>
      <c r="H142" s="40"/>
    </row>
    <row r="143" spans="1:8" x14ac:dyDescent="0.25">
      <c r="A143" s="51"/>
      <c r="B143" s="61"/>
      <c r="C143" s="22"/>
      <c r="D143" s="22"/>
      <c r="E143" s="23"/>
      <c r="F143" s="92"/>
      <c r="G143" s="22"/>
      <c r="H143" s="93"/>
    </row>
    <row r="144" spans="1:8" x14ac:dyDescent="0.25">
      <c r="B144" s="194" t="s">
        <v>512</v>
      </c>
      <c r="C144" s="194"/>
      <c r="D144" s="194"/>
      <c r="E144" s="194"/>
      <c r="F144" s="90">
        <f>SUM(F18,F27,F36,F48,F56,F64,F72,F81,F90,F100,F107,F114,F121,F128,F135,F142)</f>
        <v>0</v>
      </c>
    </row>
  </sheetData>
  <sheetProtection password="C9A6" sheet="1" selectLockedCells="1"/>
  <mergeCells count="6">
    <mergeCell ref="B144:E144"/>
    <mergeCell ref="H1:H10"/>
    <mergeCell ref="A2:G2"/>
    <mergeCell ref="A3:G3"/>
    <mergeCell ref="A4:G4"/>
    <mergeCell ref="A5:G5"/>
  </mergeCells>
  <pageMargins left="0.25" right="0.25" top="0.75" bottom="0.75" header="0.3" footer="0.3"/>
  <pageSetup scale="91"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I36"/>
  <sheetViews>
    <sheetView showZeros="0" topLeftCell="A10" zoomScaleNormal="100" workbookViewId="0">
      <selection activeCell="H12" sqref="H12"/>
    </sheetView>
  </sheetViews>
  <sheetFormatPr defaultColWidth="8.5703125" defaultRowHeight="12.75" x14ac:dyDescent="0.2"/>
  <cols>
    <col min="1" max="1" width="8.140625" style="76" customWidth="1"/>
    <col min="2" max="2" width="18.7109375" style="76" customWidth="1"/>
    <col min="3" max="3" width="56.85546875" style="76" customWidth="1"/>
    <col min="4" max="4" width="8.28515625" style="84" customWidth="1"/>
    <col min="5" max="5" width="9" style="76" customWidth="1"/>
    <col min="6" max="6" width="11.7109375" style="76" customWidth="1"/>
    <col min="7" max="7" width="13.85546875" style="85" customWidth="1"/>
    <col min="8" max="8" width="10.42578125" style="85" customWidth="1"/>
    <col min="9" max="9" width="16" style="83" customWidth="1"/>
    <col min="10" max="253" width="8.5703125" style="76"/>
    <col min="254" max="254" width="8.140625" style="76" customWidth="1"/>
    <col min="255" max="255" width="6" style="76" customWidth="1"/>
    <col min="256" max="256" width="9.85546875" style="76" customWidth="1"/>
    <col min="257" max="257" width="12.28515625" style="76" customWidth="1"/>
    <col min="258" max="258" width="29" style="76" customWidth="1"/>
    <col min="259" max="259" width="7.5703125" style="76" customWidth="1"/>
    <col min="260" max="260" width="6.85546875" style="76" customWidth="1"/>
    <col min="261" max="261" width="8.5703125" style="76"/>
    <col min="262" max="262" width="11.85546875" style="76" bestFit="1" customWidth="1"/>
    <col min="263" max="263" width="14.28515625" style="76" customWidth="1"/>
    <col min="264" max="509" width="8.5703125" style="76"/>
    <col min="510" max="510" width="8.140625" style="76" customWidth="1"/>
    <col min="511" max="511" width="6" style="76" customWidth="1"/>
    <col min="512" max="512" width="9.85546875" style="76" customWidth="1"/>
    <col min="513" max="513" width="12.28515625" style="76" customWidth="1"/>
    <col min="514" max="514" width="29" style="76" customWidth="1"/>
    <col min="515" max="515" width="7.5703125" style="76" customWidth="1"/>
    <col min="516" max="516" width="6.85546875" style="76" customWidth="1"/>
    <col min="517" max="517" width="8.5703125" style="76"/>
    <col min="518" max="518" width="11.85546875" style="76" bestFit="1" customWidth="1"/>
    <col min="519" max="519" width="14.28515625" style="76" customWidth="1"/>
    <col min="520" max="765" width="8.5703125" style="76"/>
    <col min="766" max="766" width="8.140625" style="76" customWidth="1"/>
    <col min="767" max="767" width="6" style="76" customWidth="1"/>
    <col min="768" max="768" width="9.85546875" style="76" customWidth="1"/>
    <col min="769" max="769" width="12.28515625" style="76" customWidth="1"/>
    <col min="770" max="770" width="29" style="76" customWidth="1"/>
    <col min="771" max="771" width="7.5703125" style="76" customWidth="1"/>
    <col min="772" max="772" width="6.85546875" style="76" customWidth="1"/>
    <col min="773" max="773" width="8.5703125" style="76"/>
    <col min="774" max="774" width="11.85546875" style="76" bestFit="1" customWidth="1"/>
    <col min="775" max="775" width="14.28515625" style="76" customWidth="1"/>
    <col min="776" max="1021" width="8.5703125" style="76"/>
    <col min="1022" max="1022" width="8.140625" style="76" customWidth="1"/>
    <col min="1023" max="1023" width="6" style="76" customWidth="1"/>
    <col min="1024" max="1024" width="9.85546875" style="76" customWidth="1"/>
    <col min="1025" max="1025" width="12.28515625" style="76" customWidth="1"/>
    <col min="1026" max="1026" width="29" style="76" customWidth="1"/>
    <col min="1027" max="1027" width="7.5703125" style="76" customWidth="1"/>
    <col min="1028" max="1028" width="6.85546875" style="76" customWidth="1"/>
    <col min="1029" max="1029" width="8.5703125" style="76"/>
    <col min="1030" max="1030" width="11.85546875" style="76" bestFit="1" customWidth="1"/>
    <col min="1031" max="1031" width="14.28515625" style="76" customWidth="1"/>
    <col min="1032" max="1277" width="8.5703125" style="76"/>
    <col min="1278" max="1278" width="8.140625" style="76" customWidth="1"/>
    <col min="1279" max="1279" width="6" style="76" customWidth="1"/>
    <col min="1280" max="1280" width="9.85546875" style="76" customWidth="1"/>
    <col min="1281" max="1281" width="12.28515625" style="76" customWidth="1"/>
    <col min="1282" max="1282" width="29" style="76" customWidth="1"/>
    <col min="1283" max="1283" width="7.5703125" style="76" customWidth="1"/>
    <col min="1284" max="1284" width="6.85546875" style="76" customWidth="1"/>
    <col min="1285" max="1285" width="8.5703125" style="76"/>
    <col min="1286" max="1286" width="11.85546875" style="76" bestFit="1" customWidth="1"/>
    <col min="1287" max="1287" width="14.28515625" style="76" customWidth="1"/>
    <col min="1288" max="1533" width="8.5703125" style="76"/>
    <col min="1534" max="1534" width="8.140625" style="76" customWidth="1"/>
    <col min="1535" max="1535" width="6" style="76" customWidth="1"/>
    <col min="1536" max="1536" width="9.85546875" style="76" customWidth="1"/>
    <col min="1537" max="1537" width="12.28515625" style="76" customWidth="1"/>
    <col min="1538" max="1538" width="29" style="76" customWidth="1"/>
    <col min="1539" max="1539" width="7.5703125" style="76" customWidth="1"/>
    <col min="1540" max="1540" width="6.85546875" style="76" customWidth="1"/>
    <col min="1541" max="1541" width="8.5703125" style="76"/>
    <col min="1542" max="1542" width="11.85546875" style="76" bestFit="1" customWidth="1"/>
    <col min="1543" max="1543" width="14.28515625" style="76" customWidth="1"/>
    <col min="1544" max="1789" width="8.5703125" style="76"/>
    <col min="1790" max="1790" width="8.140625" style="76" customWidth="1"/>
    <col min="1791" max="1791" width="6" style="76" customWidth="1"/>
    <col min="1792" max="1792" width="9.85546875" style="76" customWidth="1"/>
    <col min="1793" max="1793" width="12.28515625" style="76" customWidth="1"/>
    <col min="1794" max="1794" width="29" style="76" customWidth="1"/>
    <col min="1795" max="1795" width="7.5703125" style="76" customWidth="1"/>
    <col min="1796" max="1796" width="6.85546875" style="76" customWidth="1"/>
    <col min="1797" max="1797" width="8.5703125" style="76"/>
    <col min="1798" max="1798" width="11.85546875" style="76" bestFit="1" customWidth="1"/>
    <col min="1799" max="1799" width="14.28515625" style="76" customWidth="1"/>
    <col min="1800" max="2045" width="8.5703125" style="76"/>
    <col min="2046" max="2046" width="8.140625" style="76" customWidth="1"/>
    <col min="2047" max="2047" width="6" style="76" customWidth="1"/>
    <col min="2048" max="2048" width="9.85546875" style="76" customWidth="1"/>
    <col min="2049" max="2049" width="12.28515625" style="76" customWidth="1"/>
    <col min="2050" max="2050" width="29" style="76" customWidth="1"/>
    <col min="2051" max="2051" width="7.5703125" style="76" customWidth="1"/>
    <col min="2052" max="2052" width="6.85546875" style="76" customWidth="1"/>
    <col min="2053" max="2053" width="8.5703125" style="76"/>
    <col min="2054" max="2054" width="11.85546875" style="76" bestFit="1" customWidth="1"/>
    <col min="2055" max="2055" width="14.28515625" style="76" customWidth="1"/>
    <col min="2056" max="2301" width="8.5703125" style="76"/>
    <col min="2302" max="2302" width="8.140625" style="76" customWidth="1"/>
    <col min="2303" max="2303" width="6" style="76" customWidth="1"/>
    <col min="2304" max="2304" width="9.85546875" style="76" customWidth="1"/>
    <col min="2305" max="2305" width="12.28515625" style="76" customWidth="1"/>
    <col min="2306" max="2306" width="29" style="76" customWidth="1"/>
    <col min="2307" max="2307" width="7.5703125" style="76" customWidth="1"/>
    <col min="2308" max="2308" width="6.85546875" style="76" customWidth="1"/>
    <col min="2309" max="2309" width="8.5703125" style="76"/>
    <col min="2310" max="2310" width="11.85546875" style="76" bestFit="1" customWidth="1"/>
    <col min="2311" max="2311" width="14.28515625" style="76" customWidth="1"/>
    <col min="2312" max="2557" width="8.5703125" style="76"/>
    <col min="2558" max="2558" width="8.140625" style="76" customWidth="1"/>
    <col min="2559" max="2559" width="6" style="76" customWidth="1"/>
    <col min="2560" max="2560" width="9.85546875" style="76" customWidth="1"/>
    <col min="2561" max="2561" width="12.28515625" style="76" customWidth="1"/>
    <col min="2562" max="2562" width="29" style="76" customWidth="1"/>
    <col min="2563" max="2563" width="7.5703125" style="76" customWidth="1"/>
    <col min="2564" max="2564" width="6.85546875" style="76" customWidth="1"/>
    <col min="2565" max="2565" width="8.5703125" style="76"/>
    <col min="2566" max="2566" width="11.85546875" style="76" bestFit="1" customWidth="1"/>
    <col min="2567" max="2567" width="14.28515625" style="76" customWidth="1"/>
    <col min="2568" max="2813" width="8.5703125" style="76"/>
    <col min="2814" max="2814" width="8.140625" style="76" customWidth="1"/>
    <col min="2815" max="2815" width="6" style="76" customWidth="1"/>
    <col min="2816" max="2816" width="9.85546875" style="76" customWidth="1"/>
    <col min="2817" max="2817" width="12.28515625" style="76" customWidth="1"/>
    <col min="2818" max="2818" width="29" style="76" customWidth="1"/>
    <col min="2819" max="2819" width="7.5703125" style="76" customWidth="1"/>
    <col min="2820" max="2820" width="6.85546875" style="76" customWidth="1"/>
    <col min="2821" max="2821" width="8.5703125" style="76"/>
    <col min="2822" max="2822" width="11.85546875" style="76" bestFit="1" customWidth="1"/>
    <col min="2823" max="2823" width="14.28515625" style="76" customWidth="1"/>
    <col min="2824" max="3069" width="8.5703125" style="76"/>
    <col min="3070" max="3070" width="8.140625" style="76" customWidth="1"/>
    <col min="3071" max="3071" width="6" style="76" customWidth="1"/>
    <col min="3072" max="3072" width="9.85546875" style="76" customWidth="1"/>
    <col min="3073" max="3073" width="12.28515625" style="76" customWidth="1"/>
    <col min="3074" max="3074" width="29" style="76" customWidth="1"/>
    <col min="3075" max="3075" width="7.5703125" style="76" customWidth="1"/>
    <col min="3076" max="3076" width="6.85546875" style="76" customWidth="1"/>
    <col min="3077" max="3077" width="8.5703125" style="76"/>
    <col min="3078" max="3078" width="11.85546875" style="76" bestFit="1" customWidth="1"/>
    <col min="3079" max="3079" width="14.28515625" style="76" customWidth="1"/>
    <col min="3080" max="3325" width="8.5703125" style="76"/>
    <col min="3326" max="3326" width="8.140625" style="76" customWidth="1"/>
    <col min="3327" max="3327" width="6" style="76" customWidth="1"/>
    <col min="3328" max="3328" width="9.85546875" style="76" customWidth="1"/>
    <col min="3329" max="3329" width="12.28515625" style="76" customWidth="1"/>
    <col min="3330" max="3330" width="29" style="76" customWidth="1"/>
    <col min="3331" max="3331" width="7.5703125" style="76" customWidth="1"/>
    <col min="3332" max="3332" width="6.85546875" style="76" customWidth="1"/>
    <col min="3333" max="3333" width="8.5703125" style="76"/>
    <col min="3334" max="3334" width="11.85546875" style="76" bestFit="1" customWidth="1"/>
    <col min="3335" max="3335" width="14.28515625" style="76" customWidth="1"/>
    <col min="3336" max="3581" width="8.5703125" style="76"/>
    <col min="3582" max="3582" width="8.140625" style="76" customWidth="1"/>
    <col min="3583" max="3583" width="6" style="76" customWidth="1"/>
    <col min="3584" max="3584" width="9.85546875" style="76" customWidth="1"/>
    <col min="3585" max="3585" width="12.28515625" style="76" customWidth="1"/>
    <col min="3586" max="3586" width="29" style="76" customWidth="1"/>
    <col min="3587" max="3587" width="7.5703125" style="76" customWidth="1"/>
    <col min="3588" max="3588" width="6.85546875" style="76" customWidth="1"/>
    <col min="3589" max="3589" width="8.5703125" style="76"/>
    <col min="3590" max="3590" width="11.85546875" style="76" bestFit="1" customWidth="1"/>
    <col min="3591" max="3591" width="14.28515625" style="76" customWidth="1"/>
    <col min="3592" max="3837" width="8.5703125" style="76"/>
    <col min="3838" max="3838" width="8.140625" style="76" customWidth="1"/>
    <col min="3839" max="3839" width="6" style="76" customWidth="1"/>
    <col min="3840" max="3840" width="9.85546875" style="76" customWidth="1"/>
    <col min="3841" max="3841" width="12.28515625" style="76" customWidth="1"/>
    <col min="3842" max="3842" width="29" style="76" customWidth="1"/>
    <col min="3843" max="3843" width="7.5703125" style="76" customWidth="1"/>
    <col min="3844" max="3844" width="6.85546875" style="76" customWidth="1"/>
    <col min="3845" max="3845" width="8.5703125" style="76"/>
    <col min="3846" max="3846" width="11.85546875" style="76" bestFit="1" customWidth="1"/>
    <col min="3847" max="3847" width="14.28515625" style="76" customWidth="1"/>
    <col min="3848" max="4093" width="8.5703125" style="76"/>
    <col min="4094" max="4094" width="8.140625" style="76" customWidth="1"/>
    <col min="4095" max="4095" width="6" style="76" customWidth="1"/>
    <col min="4096" max="4096" width="9.85546875" style="76" customWidth="1"/>
    <col min="4097" max="4097" width="12.28515625" style="76" customWidth="1"/>
    <col min="4098" max="4098" width="29" style="76" customWidth="1"/>
    <col min="4099" max="4099" width="7.5703125" style="76" customWidth="1"/>
    <col min="4100" max="4100" width="6.85546875" style="76" customWidth="1"/>
    <col min="4101" max="4101" width="8.5703125" style="76"/>
    <col min="4102" max="4102" width="11.85546875" style="76" bestFit="1" customWidth="1"/>
    <col min="4103" max="4103" width="14.28515625" style="76" customWidth="1"/>
    <col min="4104" max="4349" width="8.5703125" style="76"/>
    <col min="4350" max="4350" width="8.140625" style="76" customWidth="1"/>
    <col min="4351" max="4351" width="6" style="76" customWidth="1"/>
    <col min="4352" max="4352" width="9.85546875" style="76" customWidth="1"/>
    <col min="4353" max="4353" width="12.28515625" style="76" customWidth="1"/>
    <col min="4354" max="4354" width="29" style="76" customWidth="1"/>
    <col min="4355" max="4355" width="7.5703125" style="76" customWidth="1"/>
    <col min="4356" max="4356" width="6.85546875" style="76" customWidth="1"/>
    <col min="4357" max="4357" width="8.5703125" style="76"/>
    <col min="4358" max="4358" width="11.85546875" style="76" bestFit="1" customWidth="1"/>
    <col min="4359" max="4359" width="14.28515625" style="76" customWidth="1"/>
    <col min="4360" max="4605" width="8.5703125" style="76"/>
    <col min="4606" max="4606" width="8.140625" style="76" customWidth="1"/>
    <col min="4607" max="4607" width="6" style="76" customWidth="1"/>
    <col min="4608" max="4608" width="9.85546875" style="76" customWidth="1"/>
    <col min="4609" max="4609" width="12.28515625" style="76" customWidth="1"/>
    <col min="4610" max="4610" width="29" style="76" customWidth="1"/>
    <col min="4611" max="4611" width="7.5703125" style="76" customWidth="1"/>
    <col min="4612" max="4612" width="6.85546875" style="76" customWidth="1"/>
    <col min="4613" max="4613" width="8.5703125" style="76"/>
    <col min="4614" max="4614" width="11.85546875" style="76" bestFit="1" customWidth="1"/>
    <col min="4615" max="4615" width="14.28515625" style="76" customWidth="1"/>
    <col min="4616" max="4861" width="8.5703125" style="76"/>
    <col min="4862" max="4862" width="8.140625" style="76" customWidth="1"/>
    <col min="4863" max="4863" width="6" style="76" customWidth="1"/>
    <col min="4864" max="4864" width="9.85546875" style="76" customWidth="1"/>
    <col min="4865" max="4865" width="12.28515625" style="76" customWidth="1"/>
    <col min="4866" max="4866" width="29" style="76" customWidth="1"/>
    <col min="4867" max="4867" width="7.5703125" style="76" customWidth="1"/>
    <col min="4868" max="4868" width="6.85546875" style="76" customWidth="1"/>
    <col min="4869" max="4869" width="8.5703125" style="76"/>
    <col min="4870" max="4870" width="11.85546875" style="76" bestFit="1" customWidth="1"/>
    <col min="4871" max="4871" width="14.28515625" style="76" customWidth="1"/>
    <col min="4872" max="5117" width="8.5703125" style="76"/>
    <col min="5118" max="5118" width="8.140625" style="76" customWidth="1"/>
    <col min="5119" max="5119" width="6" style="76" customWidth="1"/>
    <col min="5120" max="5120" width="9.85546875" style="76" customWidth="1"/>
    <col min="5121" max="5121" width="12.28515625" style="76" customWidth="1"/>
    <col min="5122" max="5122" width="29" style="76" customWidth="1"/>
    <col min="5123" max="5123" width="7.5703125" style="76" customWidth="1"/>
    <col min="5124" max="5124" width="6.85546875" style="76" customWidth="1"/>
    <col min="5125" max="5125" width="8.5703125" style="76"/>
    <col min="5126" max="5126" width="11.85546875" style="76" bestFit="1" customWidth="1"/>
    <col min="5127" max="5127" width="14.28515625" style="76" customWidth="1"/>
    <col min="5128" max="5373" width="8.5703125" style="76"/>
    <col min="5374" max="5374" width="8.140625" style="76" customWidth="1"/>
    <col min="5375" max="5375" width="6" style="76" customWidth="1"/>
    <col min="5376" max="5376" width="9.85546875" style="76" customWidth="1"/>
    <col min="5377" max="5377" width="12.28515625" style="76" customWidth="1"/>
    <col min="5378" max="5378" width="29" style="76" customWidth="1"/>
    <col min="5379" max="5379" width="7.5703125" style="76" customWidth="1"/>
    <col min="5380" max="5380" width="6.85546875" style="76" customWidth="1"/>
    <col min="5381" max="5381" width="8.5703125" style="76"/>
    <col min="5382" max="5382" width="11.85546875" style="76" bestFit="1" customWidth="1"/>
    <col min="5383" max="5383" width="14.28515625" style="76" customWidth="1"/>
    <col min="5384" max="5629" width="8.5703125" style="76"/>
    <col min="5630" max="5630" width="8.140625" style="76" customWidth="1"/>
    <col min="5631" max="5631" width="6" style="76" customWidth="1"/>
    <col min="5632" max="5632" width="9.85546875" style="76" customWidth="1"/>
    <col min="5633" max="5633" width="12.28515625" style="76" customWidth="1"/>
    <col min="5634" max="5634" width="29" style="76" customWidth="1"/>
    <col min="5635" max="5635" width="7.5703125" style="76" customWidth="1"/>
    <col min="5636" max="5636" width="6.85546875" style="76" customWidth="1"/>
    <col min="5637" max="5637" width="8.5703125" style="76"/>
    <col min="5638" max="5638" width="11.85546875" style="76" bestFit="1" customWidth="1"/>
    <col min="5639" max="5639" width="14.28515625" style="76" customWidth="1"/>
    <col min="5640" max="5885" width="8.5703125" style="76"/>
    <col min="5886" max="5886" width="8.140625" style="76" customWidth="1"/>
    <col min="5887" max="5887" width="6" style="76" customWidth="1"/>
    <col min="5888" max="5888" width="9.85546875" style="76" customWidth="1"/>
    <col min="5889" max="5889" width="12.28515625" style="76" customWidth="1"/>
    <col min="5890" max="5890" width="29" style="76" customWidth="1"/>
    <col min="5891" max="5891" width="7.5703125" style="76" customWidth="1"/>
    <col min="5892" max="5892" width="6.85546875" style="76" customWidth="1"/>
    <col min="5893" max="5893" width="8.5703125" style="76"/>
    <col min="5894" max="5894" width="11.85546875" style="76" bestFit="1" customWidth="1"/>
    <col min="5895" max="5895" width="14.28515625" style="76" customWidth="1"/>
    <col min="5896" max="6141" width="8.5703125" style="76"/>
    <col min="6142" max="6142" width="8.140625" style="76" customWidth="1"/>
    <col min="6143" max="6143" width="6" style="76" customWidth="1"/>
    <col min="6144" max="6144" width="9.85546875" style="76" customWidth="1"/>
    <col min="6145" max="6145" width="12.28515625" style="76" customWidth="1"/>
    <col min="6146" max="6146" width="29" style="76" customWidth="1"/>
    <col min="6147" max="6147" width="7.5703125" style="76" customWidth="1"/>
    <col min="6148" max="6148" width="6.85546875" style="76" customWidth="1"/>
    <col min="6149" max="6149" width="8.5703125" style="76"/>
    <col min="6150" max="6150" width="11.85546875" style="76" bestFit="1" customWidth="1"/>
    <col min="6151" max="6151" width="14.28515625" style="76" customWidth="1"/>
    <col min="6152" max="6397" width="8.5703125" style="76"/>
    <col min="6398" max="6398" width="8.140625" style="76" customWidth="1"/>
    <col min="6399" max="6399" width="6" style="76" customWidth="1"/>
    <col min="6400" max="6400" width="9.85546875" style="76" customWidth="1"/>
    <col min="6401" max="6401" width="12.28515625" style="76" customWidth="1"/>
    <col min="6402" max="6402" width="29" style="76" customWidth="1"/>
    <col min="6403" max="6403" width="7.5703125" style="76" customWidth="1"/>
    <col min="6404" max="6404" width="6.85546875" style="76" customWidth="1"/>
    <col min="6405" max="6405" width="8.5703125" style="76"/>
    <col min="6406" max="6406" width="11.85546875" style="76" bestFit="1" customWidth="1"/>
    <col min="6407" max="6407" width="14.28515625" style="76" customWidth="1"/>
    <col min="6408" max="6653" width="8.5703125" style="76"/>
    <col min="6654" max="6654" width="8.140625" style="76" customWidth="1"/>
    <col min="6655" max="6655" width="6" style="76" customWidth="1"/>
    <col min="6656" max="6656" width="9.85546875" style="76" customWidth="1"/>
    <col min="6657" max="6657" width="12.28515625" style="76" customWidth="1"/>
    <col min="6658" max="6658" width="29" style="76" customWidth="1"/>
    <col min="6659" max="6659" width="7.5703125" style="76" customWidth="1"/>
    <col min="6660" max="6660" width="6.85546875" style="76" customWidth="1"/>
    <col min="6661" max="6661" width="8.5703125" style="76"/>
    <col min="6662" max="6662" width="11.85546875" style="76" bestFit="1" customWidth="1"/>
    <col min="6663" max="6663" width="14.28515625" style="76" customWidth="1"/>
    <col min="6664" max="6909" width="8.5703125" style="76"/>
    <col min="6910" max="6910" width="8.140625" style="76" customWidth="1"/>
    <col min="6911" max="6911" width="6" style="76" customWidth="1"/>
    <col min="6912" max="6912" width="9.85546875" style="76" customWidth="1"/>
    <col min="6913" max="6913" width="12.28515625" style="76" customWidth="1"/>
    <col min="6914" max="6914" width="29" style="76" customWidth="1"/>
    <col min="6915" max="6915" width="7.5703125" style="76" customWidth="1"/>
    <col min="6916" max="6916" width="6.85546875" style="76" customWidth="1"/>
    <col min="6917" max="6917" width="8.5703125" style="76"/>
    <col min="6918" max="6918" width="11.85546875" style="76" bestFit="1" customWidth="1"/>
    <col min="6919" max="6919" width="14.28515625" style="76" customWidth="1"/>
    <col min="6920" max="7165" width="8.5703125" style="76"/>
    <col min="7166" max="7166" width="8.140625" style="76" customWidth="1"/>
    <col min="7167" max="7167" width="6" style="76" customWidth="1"/>
    <col min="7168" max="7168" width="9.85546875" style="76" customWidth="1"/>
    <col min="7169" max="7169" width="12.28515625" style="76" customWidth="1"/>
    <col min="7170" max="7170" width="29" style="76" customWidth="1"/>
    <col min="7171" max="7171" width="7.5703125" style="76" customWidth="1"/>
    <col min="7172" max="7172" width="6.85546875" style="76" customWidth="1"/>
    <col min="7173" max="7173" width="8.5703125" style="76"/>
    <col min="7174" max="7174" width="11.85546875" style="76" bestFit="1" customWidth="1"/>
    <col min="7175" max="7175" width="14.28515625" style="76" customWidth="1"/>
    <col min="7176" max="7421" width="8.5703125" style="76"/>
    <col min="7422" max="7422" width="8.140625" style="76" customWidth="1"/>
    <col min="7423" max="7423" width="6" style="76" customWidth="1"/>
    <col min="7424" max="7424" width="9.85546875" style="76" customWidth="1"/>
    <col min="7425" max="7425" width="12.28515625" style="76" customWidth="1"/>
    <col min="7426" max="7426" width="29" style="76" customWidth="1"/>
    <col min="7427" max="7427" width="7.5703125" style="76" customWidth="1"/>
    <col min="7428" max="7428" width="6.85546875" style="76" customWidth="1"/>
    <col min="7429" max="7429" width="8.5703125" style="76"/>
    <col min="7430" max="7430" width="11.85546875" style="76" bestFit="1" customWidth="1"/>
    <col min="7431" max="7431" width="14.28515625" style="76" customWidth="1"/>
    <col min="7432" max="7677" width="8.5703125" style="76"/>
    <col min="7678" max="7678" width="8.140625" style="76" customWidth="1"/>
    <col min="7679" max="7679" width="6" style="76" customWidth="1"/>
    <col min="7680" max="7680" width="9.85546875" style="76" customWidth="1"/>
    <col min="7681" max="7681" width="12.28515625" style="76" customWidth="1"/>
    <col min="7682" max="7682" width="29" style="76" customWidth="1"/>
    <col min="7683" max="7683" width="7.5703125" style="76" customWidth="1"/>
    <col min="7684" max="7684" width="6.85546875" style="76" customWidth="1"/>
    <col min="7685" max="7685" width="8.5703125" style="76"/>
    <col min="7686" max="7686" width="11.85546875" style="76" bestFit="1" customWidth="1"/>
    <col min="7687" max="7687" width="14.28515625" style="76" customWidth="1"/>
    <col min="7688" max="7933" width="8.5703125" style="76"/>
    <col min="7934" max="7934" width="8.140625" style="76" customWidth="1"/>
    <col min="7935" max="7935" width="6" style="76" customWidth="1"/>
    <col min="7936" max="7936" width="9.85546875" style="76" customWidth="1"/>
    <col min="7937" max="7937" width="12.28515625" style="76" customWidth="1"/>
    <col min="7938" max="7938" width="29" style="76" customWidth="1"/>
    <col min="7939" max="7939" width="7.5703125" style="76" customWidth="1"/>
    <col min="7940" max="7940" width="6.85546875" style="76" customWidth="1"/>
    <col min="7941" max="7941" width="8.5703125" style="76"/>
    <col min="7942" max="7942" width="11.85546875" style="76" bestFit="1" customWidth="1"/>
    <col min="7943" max="7943" width="14.28515625" style="76" customWidth="1"/>
    <col min="7944" max="8189" width="8.5703125" style="76"/>
    <col min="8190" max="8190" width="8.140625" style="76" customWidth="1"/>
    <col min="8191" max="8191" width="6" style="76" customWidth="1"/>
    <col min="8192" max="8192" width="9.85546875" style="76" customWidth="1"/>
    <col min="8193" max="8193" width="12.28515625" style="76" customWidth="1"/>
    <col min="8194" max="8194" width="29" style="76" customWidth="1"/>
    <col min="8195" max="8195" width="7.5703125" style="76" customWidth="1"/>
    <col min="8196" max="8196" width="6.85546875" style="76" customWidth="1"/>
    <col min="8197" max="8197" width="8.5703125" style="76"/>
    <col min="8198" max="8198" width="11.85546875" style="76" bestFit="1" customWidth="1"/>
    <col min="8199" max="8199" width="14.28515625" style="76" customWidth="1"/>
    <col min="8200" max="8445" width="8.5703125" style="76"/>
    <col min="8446" max="8446" width="8.140625" style="76" customWidth="1"/>
    <col min="8447" max="8447" width="6" style="76" customWidth="1"/>
    <col min="8448" max="8448" width="9.85546875" style="76" customWidth="1"/>
    <col min="8449" max="8449" width="12.28515625" style="76" customWidth="1"/>
    <col min="8450" max="8450" width="29" style="76" customWidth="1"/>
    <col min="8451" max="8451" width="7.5703125" style="76" customWidth="1"/>
    <col min="8452" max="8452" width="6.85546875" style="76" customWidth="1"/>
    <col min="8453" max="8453" width="8.5703125" style="76"/>
    <col min="8454" max="8454" width="11.85546875" style="76" bestFit="1" customWidth="1"/>
    <col min="8455" max="8455" width="14.28515625" style="76" customWidth="1"/>
    <col min="8456" max="8701" width="8.5703125" style="76"/>
    <col min="8702" max="8702" width="8.140625" style="76" customWidth="1"/>
    <col min="8703" max="8703" width="6" style="76" customWidth="1"/>
    <col min="8704" max="8704" width="9.85546875" style="76" customWidth="1"/>
    <col min="8705" max="8705" width="12.28515625" style="76" customWidth="1"/>
    <col min="8706" max="8706" width="29" style="76" customWidth="1"/>
    <col min="8707" max="8707" width="7.5703125" style="76" customWidth="1"/>
    <col min="8708" max="8708" width="6.85546875" style="76" customWidth="1"/>
    <col min="8709" max="8709" width="8.5703125" style="76"/>
    <col min="8710" max="8710" width="11.85546875" style="76" bestFit="1" customWidth="1"/>
    <col min="8711" max="8711" width="14.28515625" style="76" customWidth="1"/>
    <col min="8712" max="8957" width="8.5703125" style="76"/>
    <col min="8958" max="8958" width="8.140625" style="76" customWidth="1"/>
    <col min="8959" max="8959" width="6" style="76" customWidth="1"/>
    <col min="8960" max="8960" width="9.85546875" style="76" customWidth="1"/>
    <col min="8961" max="8961" width="12.28515625" style="76" customWidth="1"/>
    <col min="8962" max="8962" width="29" style="76" customWidth="1"/>
    <col min="8963" max="8963" width="7.5703125" style="76" customWidth="1"/>
    <col min="8964" max="8964" width="6.85546875" style="76" customWidth="1"/>
    <col min="8965" max="8965" width="8.5703125" style="76"/>
    <col min="8966" max="8966" width="11.85546875" style="76" bestFit="1" customWidth="1"/>
    <col min="8967" max="8967" width="14.28515625" style="76" customWidth="1"/>
    <col min="8968" max="9213" width="8.5703125" style="76"/>
    <col min="9214" max="9214" width="8.140625" style="76" customWidth="1"/>
    <col min="9215" max="9215" width="6" style="76" customWidth="1"/>
    <col min="9216" max="9216" width="9.85546875" style="76" customWidth="1"/>
    <col min="9217" max="9217" width="12.28515625" style="76" customWidth="1"/>
    <col min="9218" max="9218" width="29" style="76" customWidth="1"/>
    <col min="9219" max="9219" width="7.5703125" style="76" customWidth="1"/>
    <col min="9220" max="9220" width="6.85546875" style="76" customWidth="1"/>
    <col min="9221" max="9221" width="8.5703125" style="76"/>
    <col min="9222" max="9222" width="11.85546875" style="76" bestFit="1" customWidth="1"/>
    <col min="9223" max="9223" width="14.28515625" style="76" customWidth="1"/>
    <col min="9224" max="9469" width="8.5703125" style="76"/>
    <col min="9470" max="9470" width="8.140625" style="76" customWidth="1"/>
    <col min="9471" max="9471" width="6" style="76" customWidth="1"/>
    <col min="9472" max="9472" width="9.85546875" style="76" customWidth="1"/>
    <col min="9473" max="9473" width="12.28515625" style="76" customWidth="1"/>
    <col min="9474" max="9474" width="29" style="76" customWidth="1"/>
    <col min="9475" max="9475" width="7.5703125" style="76" customWidth="1"/>
    <col min="9476" max="9476" width="6.85546875" style="76" customWidth="1"/>
    <col min="9477" max="9477" width="8.5703125" style="76"/>
    <col min="9478" max="9478" width="11.85546875" style="76" bestFit="1" customWidth="1"/>
    <col min="9479" max="9479" width="14.28515625" style="76" customWidth="1"/>
    <col min="9480" max="9725" width="8.5703125" style="76"/>
    <col min="9726" max="9726" width="8.140625" style="76" customWidth="1"/>
    <col min="9727" max="9727" width="6" style="76" customWidth="1"/>
    <col min="9728" max="9728" width="9.85546875" style="76" customWidth="1"/>
    <col min="9729" max="9729" width="12.28515625" style="76" customWidth="1"/>
    <col min="9730" max="9730" width="29" style="76" customWidth="1"/>
    <col min="9731" max="9731" width="7.5703125" style="76" customWidth="1"/>
    <col min="9732" max="9732" width="6.85546875" style="76" customWidth="1"/>
    <col min="9733" max="9733" width="8.5703125" style="76"/>
    <col min="9734" max="9734" width="11.85546875" style="76" bestFit="1" customWidth="1"/>
    <col min="9735" max="9735" width="14.28515625" style="76" customWidth="1"/>
    <col min="9736" max="9981" width="8.5703125" style="76"/>
    <col min="9982" max="9982" width="8.140625" style="76" customWidth="1"/>
    <col min="9983" max="9983" width="6" style="76" customWidth="1"/>
    <col min="9984" max="9984" width="9.85546875" style="76" customWidth="1"/>
    <col min="9985" max="9985" width="12.28515625" style="76" customWidth="1"/>
    <col min="9986" max="9986" width="29" style="76" customWidth="1"/>
    <col min="9987" max="9987" width="7.5703125" style="76" customWidth="1"/>
    <col min="9988" max="9988" width="6.85546875" style="76" customWidth="1"/>
    <col min="9989" max="9989" width="8.5703125" style="76"/>
    <col min="9990" max="9990" width="11.85546875" style="76" bestFit="1" customWidth="1"/>
    <col min="9991" max="9991" width="14.28515625" style="76" customWidth="1"/>
    <col min="9992" max="10237" width="8.5703125" style="76"/>
    <col min="10238" max="10238" width="8.140625" style="76" customWidth="1"/>
    <col min="10239" max="10239" width="6" style="76" customWidth="1"/>
    <col min="10240" max="10240" width="9.85546875" style="76" customWidth="1"/>
    <col min="10241" max="10241" width="12.28515625" style="76" customWidth="1"/>
    <col min="10242" max="10242" width="29" style="76" customWidth="1"/>
    <col min="10243" max="10243" width="7.5703125" style="76" customWidth="1"/>
    <col min="10244" max="10244" width="6.85546875" style="76" customWidth="1"/>
    <col min="10245" max="10245" width="8.5703125" style="76"/>
    <col min="10246" max="10246" width="11.85546875" style="76" bestFit="1" customWidth="1"/>
    <col min="10247" max="10247" width="14.28515625" style="76" customWidth="1"/>
    <col min="10248" max="10493" width="8.5703125" style="76"/>
    <col min="10494" max="10494" width="8.140625" style="76" customWidth="1"/>
    <col min="10495" max="10495" width="6" style="76" customWidth="1"/>
    <col min="10496" max="10496" width="9.85546875" style="76" customWidth="1"/>
    <col min="10497" max="10497" width="12.28515625" style="76" customWidth="1"/>
    <col min="10498" max="10498" width="29" style="76" customWidth="1"/>
    <col min="10499" max="10499" width="7.5703125" style="76" customWidth="1"/>
    <col min="10500" max="10500" width="6.85546875" style="76" customWidth="1"/>
    <col min="10501" max="10501" width="8.5703125" style="76"/>
    <col min="10502" max="10502" width="11.85546875" style="76" bestFit="1" customWidth="1"/>
    <col min="10503" max="10503" width="14.28515625" style="76" customWidth="1"/>
    <col min="10504" max="10749" width="8.5703125" style="76"/>
    <col min="10750" max="10750" width="8.140625" style="76" customWidth="1"/>
    <col min="10751" max="10751" width="6" style="76" customWidth="1"/>
    <col min="10752" max="10752" width="9.85546875" style="76" customWidth="1"/>
    <col min="10753" max="10753" width="12.28515625" style="76" customWidth="1"/>
    <col min="10754" max="10754" width="29" style="76" customWidth="1"/>
    <col min="10755" max="10755" width="7.5703125" style="76" customWidth="1"/>
    <col min="10756" max="10756" width="6.85546875" style="76" customWidth="1"/>
    <col min="10757" max="10757" width="8.5703125" style="76"/>
    <col min="10758" max="10758" width="11.85546875" style="76" bestFit="1" customWidth="1"/>
    <col min="10759" max="10759" width="14.28515625" style="76" customWidth="1"/>
    <col min="10760" max="11005" width="8.5703125" style="76"/>
    <col min="11006" max="11006" width="8.140625" style="76" customWidth="1"/>
    <col min="11007" max="11007" width="6" style="76" customWidth="1"/>
    <col min="11008" max="11008" width="9.85546875" style="76" customWidth="1"/>
    <col min="11009" max="11009" width="12.28515625" style="76" customWidth="1"/>
    <col min="11010" max="11010" width="29" style="76" customWidth="1"/>
    <col min="11011" max="11011" width="7.5703125" style="76" customWidth="1"/>
    <col min="11012" max="11012" width="6.85546875" style="76" customWidth="1"/>
    <col min="11013" max="11013" width="8.5703125" style="76"/>
    <col min="11014" max="11014" width="11.85546875" style="76" bestFit="1" customWidth="1"/>
    <col min="11015" max="11015" width="14.28515625" style="76" customWidth="1"/>
    <col min="11016" max="11261" width="8.5703125" style="76"/>
    <col min="11262" max="11262" width="8.140625" style="76" customWidth="1"/>
    <col min="11263" max="11263" width="6" style="76" customWidth="1"/>
    <col min="11264" max="11264" width="9.85546875" style="76" customWidth="1"/>
    <col min="11265" max="11265" width="12.28515625" style="76" customWidth="1"/>
    <col min="11266" max="11266" width="29" style="76" customWidth="1"/>
    <col min="11267" max="11267" width="7.5703125" style="76" customWidth="1"/>
    <col min="11268" max="11268" width="6.85546875" style="76" customWidth="1"/>
    <col min="11269" max="11269" width="8.5703125" style="76"/>
    <col min="11270" max="11270" width="11.85546875" style="76" bestFit="1" customWidth="1"/>
    <col min="11271" max="11271" width="14.28515625" style="76" customWidth="1"/>
    <col min="11272" max="11517" width="8.5703125" style="76"/>
    <col min="11518" max="11518" width="8.140625" style="76" customWidth="1"/>
    <col min="11519" max="11519" width="6" style="76" customWidth="1"/>
    <col min="11520" max="11520" width="9.85546875" style="76" customWidth="1"/>
    <col min="11521" max="11521" width="12.28515625" style="76" customWidth="1"/>
    <col min="11522" max="11522" width="29" style="76" customWidth="1"/>
    <col min="11523" max="11523" width="7.5703125" style="76" customWidth="1"/>
    <col min="11524" max="11524" width="6.85546875" style="76" customWidth="1"/>
    <col min="11525" max="11525" width="8.5703125" style="76"/>
    <col min="11526" max="11526" width="11.85546875" style="76" bestFit="1" customWidth="1"/>
    <col min="11527" max="11527" width="14.28515625" style="76" customWidth="1"/>
    <col min="11528" max="11773" width="8.5703125" style="76"/>
    <col min="11774" max="11774" width="8.140625" style="76" customWidth="1"/>
    <col min="11775" max="11775" width="6" style="76" customWidth="1"/>
    <col min="11776" max="11776" width="9.85546875" style="76" customWidth="1"/>
    <col min="11777" max="11777" width="12.28515625" style="76" customWidth="1"/>
    <col min="11778" max="11778" width="29" style="76" customWidth="1"/>
    <col min="11779" max="11779" width="7.5703125" style="76" customWidth="1"/>
    <col min="11780" max="11780" width="6.85546875" style="76" customWidth="1"/>
    <col min="11781" max="11781" width="8.5703125" style="76"/>
    <col min="11782" max="11782" width="11.85546875" style="76" bestFit="1" customWidth="1"/>
    <col min="11783" max="11783" width="14.28515625" style="76" customWidth="1"/>
    <col min="11784" max="12029" width="8.5703125" style="76"/>
    <col min="12030" max="12030" width="8.140625" style="76" customWidth="1"/>
    <col min="12031" max="12031" width="6" style="76" customWidth="1"/>
    <col min="12032" max="12032" width="9.85546875" style="76" customWidth="1"/>
    <col min="12033" max="12033" width="12.28515625" style="76" customWidth="1"/>
    <col min="12034" max="12034" width="29" style="76" customWidth="1"/>
    <col min="12035" max="12035" width="7.5703125" style="76" customWidth="1"/>
    <col min="12036" max="12036" width="6.85546875" style="76" customWidth="1"/>
    <col min="12037" max="12037" width="8.5703125" style="76"/>
    <col min="12038" max="12038" width="11.85546875" style="76" bestFit="1" customWidth="1"/>
    <col min="12039" max="12039" width="14.28515625" style="76" customWidth="1"/>
    <col min="12040" max="12285" width="8.5703125" style="76"/>
    <col min="12286" max="12286" width="8.140625" style="76" customWidth="1"/>
    <col min="12287" max="12287" width="6" style="76" customWidth="1"/>
    <col min="12288" max="12288" width="9.85546875" style="76" customWidth="1"/>
    <col min="12289" max="12289" width="12.28515625" style="76" customWidth="1"/>
    <col min="12290" max="12290" width="29" style="76" customWidth="1"/>
    <col min="12291" max="12291" width="7.5703125" style="76" customWidth="1"/>
    <col min="12292" max="12292" width="6.85546875" style="76" customWidth="1"/>
    <col min="12293" max="12293" width="8.5703125" style="76"/>
    <col min="12294" max="12294" width="11.85546875" style="76" bestFit="1" customWidth="1"/>
    <col min="12295" max="12295" width="14.28515625" style="76" customWidth="1"/>
    <col min="12296" max="12541" width="8.5703125" style="76"/>
    <col min="12542" max="12542" width="8.140625" style="76" customWidth="1"/>
    <col min="12543" max="12543" width="6" style="76" customWidth="1"/>
    <col min="12544" max="12544" width="9.85546875" style="76" customWidth="1"/>
    <col min="12545" max="12545" width="12.28515625" style="76" customWidth="1"/>
    <col min="12546" max="12546" width="29" style="76" customWidth="1"/>
    <col min="12547" max="12547" width="7.5703125" style="76" customWidth="1"/>
    <col min="12548" max="12548" width="6.85546875" style="76" customWidth="1"/>
    <col min="12549" max="12549" width="8.5703125" style="76"/>
    <col min="12550" max="12550" width="11.85546875" style="76" bestFit="1" customWidth="1"/>
    <col min="12551" max="12551" width="14.28515625" style="76" customWidth="1"/>
    <col min="12552" max="12797" width="8.5703125" style="76"/>
    <col min="12798" max="12798" width="8.140625" style="76" customWidth="1"/>
    <col min="12799" max="12799" width="6" style="76" customWidth="1"/>
    <col min="12800" max="12800" width="9.85546875" style="76" customWidth="1"/>
    <col min="12801" max="12801" width="12.28515625" style="76" customWidth="1"/>
    <col min="12802" max="12802" width="29" style="76" customWidth="1"/>
    <col min="12803" max="12803" width="7.5703125" style="76" customWidth="1"/>
    <col min="12804" max="12804" width="6.85546875" style="76" customWidth="1"/>
    <col min="12805" max="12805" width="8.5703125" style="76"/>
    <col min="12806" max="12806" width="11.85546875" style="76" bestFit="1" customWidth="1"/>
    <col min="12807" max="12807" width="14.28515625" style="76" customWidth="1"/>
    <col min="12808" max="13053" width="8.5703125" style="76"/>
    <col min="13054" max="13054" width="8.140625" style="76" customWidth="1"/>
    <col min="13055" max="13055" width="6" style="76" customWidth="1"/>
    <col min="13056" max="13056" width="9.85546875" style="76" customWidth="1"/>
    <col min="13057" max="13057" width="12.28515625" style="76" customWidth="1"/>
    <col min="13058" max="13058" width="29" style="76" customWidth="1"/>
    <col min="13059" max="13059" width="7.5703125" style="76" customWidth="1"/>
    <col min="13060" max="13060" width="6.85546875" style="76" customWidth="1"/>
    <col min="13061" max="13061" width="8.5703125" style="76"/>
    <col min="13062" max="13062" width="11.85546875" style="76" bestFit="1" customWidth="1"/>
    <col min="13063" max="13063" width="14.28515625" style="76" customWidth="1"/>
    <col min="13064" max="13309" width="8.5703125" style="76"/>
    <col min="13310" max="13310" width="8.140625" style="76" customWidth="1"/>
    <col min="13311" max="13311" width="6" style="76" customWidth="1"/>
    <col min="13312" max="13312" width="9.85546875" style="76" customWidth="1"/>
    <col min="13313" max="13313" width="12.28515625" style="76" customWidth="1"/>
    <col min="13314" max="13314" width="29" style="76" customWidth="1"/>
    <col min="13315" max="13315" width="7.5703125" style="76" customWidth="1"/>
    <col min="13316" max="13316" width="6.85546875" style="76" customWidth="1"/>
    <col min="13317" max="13317" width="8.5703125" style="76"/>
    <col min="13318" max="13318" width="11.85546875" style="76" bestFit="1" customWidth="1"/>
    <col min="13319" max="13319" width="14.28515625" style="76" customWidth="1"/>
    <col min="13320" max="13565" width="8.5703125" style="76"/>
    <col min="13566" max="13566" width="8.140625" style="76" customWidth="1"/>
    <col min="13567" max="13567" width="6" style="76" customWidth="1"/>
    <col min="13568" max="13568" width="9.85546875" style="76" customWidth="1"/>
    <col min="13569" max="13569" width="12.28515625" style="76" customWidth="1"/>
    <col min="13570" max="13570" width="29" style="76" customWidth="1"/>
    <col min="13571" max="13571" width="7.5703125" style="76" customWidth="1"/>
    <col min="13572" max="13572" width="6.85546875" style="76" customWidth="1"/>
    <col min="13573" max="13573" width="8.5703125" style="76"/>
    <col min="13574" max="13574" width="11.85546875" style="76" bestFit="1" customWidth="1"/>
    <col min="13575" max="13575" width="14.28515625" style="76" customWidth="1"/>
    <col min="13576" max="13821" width="8.5703125" style="76"/>
    <col min="13822" max="13822" width="8.140625" style="76" customWidth="1"/>
    <col min="13823" max="13823" width="6" style="76" customWidth="1"/>
    <col min="13824" max="13824" width="9.85546875" style="76" customWidth="1"/>
    <col min="13825" max="13825" width="12.28515625" style="76" customWidth="1"/>
    <col min="13826" max="13826" width="29" style="76" customWidth="1"/>
    <col min="13827" max="13827" width="7.5703125" style="76" customWidth="1"/>
    <col min="13828" max="13828" width="6.85546875" style="76" customWidth="1"/>
    <col min="13829" max="13829" width="8.5703125" style="76"/>
    <col min="13830" max="13830" width="11.85546875" style="76" bestFit="1" customWidth="1"/>
    <col min="13831" max="13831" width="14.28515625" style="76" customWidth="1"/>
    <col min="13832" max="14077" width="8.5703125" style="76"/>
    <col min="14078" max="14078" width="8.140625" style="76" customWidth="1"/>
    <col min="14079" max="14079" width="6" style="76" customWidth="1"/>
    <col min="14080" max="14080" width="9.85546875" style="76" customWidth="1"/>
    <col min="14081" max="14081" width="12.28515625" style="76" customWidth="1"/>
    <col min="14082" max="14082" width="29" style="76" customWidth="1"/>
    <col min="14083" max="14083" width="7.5703125" style="76" customWidth="1"/>
    <col min="14084" max="14084" width="6.85546875" style="76" customWidth="1"/>
    <col min="14085" max="14085" width="8.5703125" style="76"/>
    <col min="14086" max="14086" width="11.85546875" style="76" bestFit="1" customWidth="1"/>
    <col min="14087" max="14087" width="14.28515625" style="76" customWidth="1"/>
    <col min="14088" max="14333" width="8.5703125" style="76"/>
    <col min="14334" max="14334" width="8.140625" style="76" customWidth="1"/>
    <col min="14335" max="14335" width="6" style="76" customWidth="1"/>
    <col min="14336" max="14336" width="9.85546875" style="76" customWidth="1"/>
    <col min="14337" max="14337" width="12.28515625" style="76" customWidth="1"/>
    <col min="14338" max="14338" width="29" style="76" customWidth="1"/>
    <col min="14339" max="14339" width="7.5703125" style="76" customWidth="1"/>
    <col min="14340" max="14340" width="6.85546875" style="76" customWidth="1"/>
    <col min="14341" max="14341" width="8.5703125" style="76"/>
    <col min="14342" max="14342" width="11.85546875" style="76" bestFit="1" customWidth="1"/>
    <col min="14343" max="14343" width="14.28515625" style="76" customWidth="1"/>
    <col min="14344" max="14589" width="8.5703125" style="76"/>
    <col min="14590" max="14590" width="8.140625" style="76" customWidth="1"/>
    <col min="14591" max="14591" width="6" style="76" customWidth="1"/>
    <col min="14592" max="14592" width="9.85546875" style="76" customWidth="1"/>
    <col min="14593" max="14593" width="12.28515625" style="76" customWidth="1"/>
    <col min="14594" max="14594" width="29" style="76" customWidth="1"/>
    <col min="14595" max="14595" width="7.5703125" style="76" customWidth="1"/>
    <col min="14596" max="14596" width="6.85546875" style="76" customWidth="1"/>
    <col min="14597" max="14597" width="8.5703125" style="76"/>
    <col min="14598" max="14598" width="11.85546875" style="76" bestFit="1" customWidth="1"/>
    <col min="14599" max="14599" width="14.28515625" style="76" customWidth="1"/>
    <col min="14600" max="14845" width="8.5703125" style="76"/>
    <col min="14846" max="14846" width="8.140625" style="76" customWidth="1"/>
    <col min="14847" max="14847" width="6" style="76" customWidth="1"/>
    <col min="14848" max="14848" width="9.85546875" style="76" customWidth="1"/>
    <col min="14849" max="14849" width="12.28515625" style="76" customWidth="1"/>
    <col min="14850" max="14850" width="29" style="76" customWidth="1"/>
    <col min="14851" max="14851" width="7.5703125" style="76" customWidth="1"/>
    <col min="14852" max="14852" width="6.85546875" style="76" customWidth="1"/>
    <col min="14853" max="14853" width="8.5703125" style="76"/>
    <col min="14854" max="14854" width="11.85546875" style="76" bestFit="1" customWidth="1"/>
    <col min="14855" max="14855" width="14.28515625" style="76" customWidth="1"/>
    <col min="14856" max="15101" width="8.5703125" style="76"/>
    <col min="15102" max="15102" width="8.140625" style="76" customWidth="1"/>
    <col min="15103" max="15103" width="6" style="76" customWidth="1"/>
    <col min="15104" max="15104" width="9.85546875" style="76" customWidth="1"/>
    <col min="15105" max="15105" width="12.28515625" style="76" customWidth="1"/>
    <col min="15106" max="15106" width="29" style="76" customWidth="1"/>
    <col min="15107" max="15107" width="7.5703125" style="76" customWidth="1"/>
    <col min="15108" max="15108" width="6.85546875" style="76" customWidth="1"/>
    <col min="15109" max="15109" width="8.5703125" style="76"/>
    <col min="15110" max="15110" width="11.85546875" style="76" bestFit="1" customWidth="1"/>
    <col min="15111" max="15111" width="14.28515625" style="76" customWidth="1"/>
    <col min="15112" max="15357" width="8.5703125" style="76"/>
    <col min="15358" max="15358" width="8.140625" style="76" customWidth="1"/>
    <col min="15359" max="15359" width="6" style="76" customWidth="1"/>
    <col min="15360" max="15360" width="9.85546875" style="76" customWidth="1"/>
    <col min="15361" max="15361" width="12.28515625" style="76" customWidth="1"/>
    <col min="15362" max="15362" width="29" style="76" customWidth="1"/>
    <col min="15363" max="15363" width="7.5703125" style="76" customWidth="1"/>
    <col min="15364" max="15364" width="6.85546875" style="76" customWidth="1"/>
    <col min="15365" max="15365" width="8.5703125" style="76"/>
    <col min="15366" max="15366" width="11.85546875" style="76" bestFit="1" customWidth="1"/>
    <col min="15367" max="15367" width="14.28515625" style="76" customWidth="1"/>
    <col min="15368" max="15613" width="8.5703125" style="76"/>
    <col min="15614" max="15614" width="8.140625" style="76" customWidth="1"/>
    <col min="15615" max="15615" width="6" style="76" customWidth="1"/>
    <col min="15616" max="15616" width="9.85546875" style="76" customWidth="1"/>
    <col min="15617" max="15617" width="12.28515625" style="76" customWidth="1"/>
    <col min="15618" max="15618" width="29" style="76" customWidth="1"/>
    <col min="15619" max="15619" width="7.5703125" style="76" customWidth="1"/>
    <col min="15620" max="15620" width="6.85546875" style="76" customWidth="1"/>
    <col min="15621" max="15621" width="8.5703125" style="76"/>
    <col min="15622" max="15622" width="11.85546875" style="76" bestFit="1" customWidth="1"/>
    <col min="15623" max="15623" width="14.28515625" style="76" customWidth="1"/>
    <col min="15624" max="15869" width="8.5703125" style="76"/>
    <col min="15870" max="15870" width="8.140625" style="76" customWidth="1"/>
    <col min="15871" max="15871" width="6" style="76" customWidth="1"/>
    <col min="15872" max="15872" width="9.85546875" style="76" customWidth="1"/>
    <col min="15873" max="15873" width="12.28515625" style="76" customWidth="1"/>
    <col min="15874" max="15874" width="29" style="76" customWidth="1"/>
    <col min="15875" max="15875" width="7.5703125" style="76" customWidth="1"/>
    <col min="15876" max="15876" width="6.85546875" style="76" customWidth="1"/>
    <col min="15877" max="15877" width="8.5703125" style="76"/>
    <col min="15878" max="15878" width="11.85546875" style="76" bestFit="1" customWidth="1"/>
    <col min="15879" max="15879" width="14.28515625" style="76" customWidth="1"/>
    <col min="15880" max="16125" width="8.5703125" style="76"/>
    <col min="16126" max="16126" width="8.140625" style="76" customWidth="1"/>
    <col min="16127" max="16127" width="6" style="76" customWidth="1"/>
    <col min="16128" max="16128" width="9.85546875" style="76" customWidth="1"/>
    <col min="16129" max="16129" width="12.28515625" style="76" customWidth="1"/>
    <col min="16130" max="16130" width="29" style="76" customWidth="1"/>
    <col min="16131" max="16131" width="7.5703125" style="76" customWidth="1"/>
    <col min="16132" max="16132" width="6.85546875" style="76" customWidth="1"/>
    <col min="16133" max="16133" width="8.5703125" style="76"/>
    <col min="16134" max="16134" width="11.85546875" style="76" bestFit="1" customWidth="1"/>
    <col min="16135" max="16135" width="14.28515625" style="76" customWidth="1"/>
    <col min="16136" max="16384" width="8.5703125" style="76"/>
  </cols>
  <sheetData>
    <row r="1" spans="1:9" x14ac:dyDescent="0.2">
      <c r="A1" s="201" t="s">
        <v>431</v>
      </c>
      <c r="B1" s="202"/>
      <c r="C1" s="202"/>
      <c r="D1" s="202"/>
      <c r="E1" s="202"/>
      <c r="F1" s="202"/>
      <c r="G1" s="202"/>
      <c r="H1" s="203"/>
      <c r="I1" s="204" t="s">
        <v>152</v>
      </c>
    </row>
    <row r="2" spans="1:9" x14ac:dyDescent="0.2">
      <c r="A2" s="206" t="s">
        <v>1</v>
      </c>
      <c r="B2" s="207"/>
      <c r="C2" s="207"/>
      <c r="D2" s="207"/>
      <c r="E2" s="207"/>
      <c r="F2" s="207"/>
      <c r="G2" s="207"/>
      <c r="H2" s="208"/>
      <c r="I2" s="205"/>
    </row>
    <row r="3" spans="1:9" x14ac:dyDescent="0.2">
      <c r="A3" s="206" t="s">
        <v>174</v>
      </c>
      <c r="B3" s="207"/>
      <c r="C3" s="207"/>
      <c r="D3" s="207"/>
      <c r="E3" s="207"/>
      <c r="F3" s="207"/>
      <c r="G3" s="207"/>
      <c r="H3" s="208"/>
      <c r="I3" s="205"/>
    </row>
    <row r="4" spans="1:9" x14ac:dyDescent="0.2">
      <c r="A4" s="206" t="s">
        <v>598</v>
      </c>
      <c r="B4" s="207"/>
      <c r="C4" s="207"/>
      <c r="D4" s="207"/>
      <c r="E4" s="207"/>
      <c r="F4" s="207"/>
      <c r="G4" s="207"/>
      <c r="H4" s="208"/>
      <c r="I4" s="205"/>
    </row>
    <row r="5" spans="1:9" x14ac:dyDescent="0.2">
      <c r="A5" s="106"/>
      <c r="B5" s="107"/>
      <c r="C5" s="108"/>
      <c r="D5" s="109"/>
      <c r="E5" s="108"/>
      <c r="F5" s="110"/>
      <c r="G5" s="111"/>
      <c r="H5" s="112"/>
      <c r="I5" s="205"/>
    </row>
    <row r="6" spans="1:9" x14ac:dyDescent="0.2">
      <c r="A6" s="209" t="s">
        <v>607</v>
      </c>
      <c r="B6" s="210"/>
      <c r="C6" s="210"/>
      <c r="D6" s="210"/>
      <c r="E6" s="210"/>
      <c r="F6" s="210"/>
      <c r="G6" s="210"/>
      <c r="H6" s="113"/>
      <c r="I6" s="205"/>
    </row>
    <row r="7" spans="1:9" x14ac:dyDescent="0.2">
      <c r="A7" s="211" t="s">
        <v>153</v>
      </c>
      <c r="B7" s="212"/>
      <c r="C7" s="212"/>
      <c r="D7" s="212"/>
      <c r="E7" s="212"/>
      <c r="F7" s="212"/>
      <c r="G7" s="212"/>
      <c r="H7" s="114"/>
      <c r="I7" s="205"/>
    </row>
    <row r="8" spans="1:9" x14ac:dyDescent="0.2">
      <c r="A8" s="115" t="s">
        <v>789</v>
      </c>
      <c r="B8" s="116"/>
      <c r="C8" s="116"/>
      <c r="D8" s="117"/>
      <c r="E8" s="116"/>
      <c r="F8" s="116"/>
      <c r="G8" s="118"/>
      <c r="H8" s="119"/>
      <c r="I8" s="205"/>
    </row>
    <row r="9" spans="1:9" ht="38.25" customHeight="1" x14ac:dyDescent="0.2">
      <c r="A9" s="120" t="s">
        <v>154</v>
      </c>
      <c r="B9" s="120" t="s">
        <v>4</v>
      </c>
      <c r="C9" s="121" t="s">
        <v>155</v>
      </c>
      <c r="D9" s="122" t="s">
        <v>156</v>
      </c>
      <c r="E9" s="121" t="s">
        <v>157</v>
      </c>
      <c r="F9" s="77" t="s">
        <v>7</v>
      </c>
      <c r="G9" s="77" t="s">
        <v>158</v>
      </c>
      <c r="H9" s="121" t="s">
        <v>159</v>
      </c>
      <c r="I9" s="205"/>
    </row>
    <row r="10" spans="1:9" ht="160.5" customHeight="1" x14ac:dyDescent="0.2">
      <c r="A10" s="123" t="s">
        <v>608</v>
      </c>
      <c r="B10" s="124" t="s">
        <v>623</v>
      </c>
      <c r="C10" s="125" t="s">
        <v>625</v>
      </c>
      <c r="D10" s="126">
        <v>2500</v>
      </c>
      <c r="E10" s="127" t="s">
        <v>161</v>
      </c>
      <c r="F10" s="78">
        <f>ROUND(I10,2)</f>
        <v>0</v>
      </c>
      <c r="G10" s="79">
        <f>SUM(F10*D10)</f>
        <v>0</v>
      </c>
      <c r="H10" s="128" t="s">
        <v>162</v>
      </c>
      <c r="I10" s="91"/>
    </row>
    <row r="11" spans="1:9" ht="186" customHeight="1" x14ac:dyDescent="0.2">
      <c r="A11" s="123" t="s">
        <v>609</v>
      </c>
      <c r="B11" s="124" t="s">
        <v>624</v>
      </c>
      <c r="C11" s="125" t="s">
        <v>626</v>
      </c>
      <c r="D11" s="126">
        <v>108000</v>
      </c>
      <c r="E11" s="127" t="s">
        <v>165</v>
      </c>
      <c r="F11" s="81">
        <v>1</v>
      </c>
      <c r="G11" s="79">
        <f>SUM(D11*F11)</f>
        <v>108000</v>
      </c>
      <c r="H11" s="128" t="s">
        <v>162</v>
      </c>
      <c r="I11" s="129"/>
    </row>
    <row r="12" spans="1:9" ht="38.25" x14ac:dyDescent="0.2">
      <c r="A12" s="123" t="s">
        <v>610</v>
      </c>
      <c r="B12" s="124" t="s">
        <v>164</v>
      </c>
      <c r="C12" s="130" t="s">
        <v>167</v>
      </c>
      <c r="D12" s="126">
        <v>2</v>
      </c>
      <c r="E12" s="127" t="s">
        <v>168</v>
      </c>
      <c r="F12" s="78">
        <f>ROUND(I12,2)</f>
        <v>0</v>
      </c>
      <c r="G12" s="79">
        <f>SUM(F12*D12)</f>
        <v>0</v>
      </c>
      <c r="H12" s="128" t="s">
        <v>162</v>
      </c>
      <c r="I12" s="80"/>
    </row>
    <row r="13" spans="1:9" ht="64.5" thickBot="1" x14ac:dyDescent="0.25">
      <c r="A13" s="131" t="s">
        <v>611</v>
      </c>
      <c r="B13" s="132" t="s">
        <v>171</v>
      </c>
      <c r="C13" s="133" t="s">
        <v>172</v>
      </c>
      <c r="D13" s="134">
        <v>100</v>
      </c>
      <c r="E13" s="135" t="s">
        <v>168</v>
      </c>
      <c r="F13" s="99">
        <f>ROUND(I13,2)</f>
        <v>0</v>
      </c>
      <c r="G13" s="100">
        <f>SUM(F13*D13)</f>
        <v>0</v>
      </c>
      <c r="H13" s="136" t="s">
        <v>162</v>
      </c>
      <c r="I13" s="101"/>
    </row>
    <row r="14" spans="1:9" ht="25.5" x14ac:dyDescent="0.2">
      <c r="A14" s="137" t="s">
        <v>154</v>
      </c>
      <c r="B14" s="137" t="s">
        <v>4</v>
      </c>
      <c r="C14" s="138" t="s">
        <v>155</v>
      </c>
      <c r="D14" s="139" t="s">
        <v>156</v>
      </c>
      <c r="E14" s="138" t="s">
        <v>157</v>
      </c>
      <c r="F14" s="97" t="s">
        <v>766</v>
      </c>
      <c r="G14" s="98" t="s">
        <v>765</v>
      </c>
      <c r="H14" s="140" t="s">
        <v>159</v>
      </c>
      <c r="I14" s="141"/>
    </row>
    <row r="15" spans="1:9" ht="28.5" x14ac:dyDescent="0.2">
      <c r="A15" s="123" t="s">
        <v>773</v>
      </c>
      <c r="B15" s="124" t="s">
        <v>763</v>
      </c>
      <c r="C15" s="142" t="s">
        <v>764</v>
      </c>
      <c r="D15" s="143">
        <v>10000</v>
      </c>
      <c r="E15" s="144" t="s">
        <v>165</v>
      </c>
      <c r="F15" s="94">
        <f>ROUND(I15,2)</f>
        <v>0</v>
      </c>
      <c r="G15" s="95">
        <f>SUM(D15*F15)</f>
        <v>0</v>
      </c>
      <c r="H15" s="128"/>
      <c r="I15" s="96"/>
    </row>
    <row r="16" spans="1:9" x14ac:dyDescent="0.2">
      <c r="A16" s="145"/>
      <c r="B16" s="146"/>
      <c r="C16" s="147"/>
      <c r="D16" s="148"/>
      <c r="E16" s="149"/>
      <c r="F16" s="87"/>
      <c r="G16" s="86"/>
      <c r="H16" s="146"/>
      <c r="I16" s="150"/>
    </row>
    <row r="17" spans="1:9" x14ac:dyDescent="0.2">
      <c r="A17" s="151"/>
      <c r="B17" s="200" t="s">
        <v>772</v>
      </c>
      <c r="C17" s="200"/>
      <c r="D17" s="200"/>
      <c r="E17" s="200"/>
      <c r="F17" s="200"/>
      <c r="G17" s="152">
        <f>SUM(G10:G13,G15)</f>
        <v>108000</v>
      </c>
      <c r="H17" s="152"/>
      <c r="I17" s="153"/>
    </row>
    <row r="18" spans="1:9" x14ac:dyDescent="0.2">
      <c r="A18" s="151"/>
      <c r="B18" s="200" t="s">
        <v>606</v>
      </c>
      <c r="C18" s="200"/>
      <c r="D18" s="200"/>
      <c r="E18" s="200"/>
      <c r="F18" s="200"/>
      <c r="G18" s="152"/>
      <c r="H18" s="152"/>
      <c r="I18" s="153"/>
    </row>
    <row r="19" spans="1:9" x14ac:dyDescent="0.2">
      <c r="A19" s="151"/>
      <c r="B19" s="151"/>
      <c r="C19" s="151"/>
      <c r="D19" s="154"/>
      <c r="E19" s="151"/>
      <c r="F19" s="151"/>
      <c r="G19" s="155"/>
      <c r="H19" s="155"/>
      <c r="I19" s="153"/>
    </row>
    <row r="20" spans="1:9" x14ac:dyDescent="0.2">
      <c r="A20" s="151"/>
      <c r="B20" s="151"/>
      <c r="C20" s="156"/>
      <c r="D20" s="154"/>
      <c r="E20" s="151"/>
      <c r="F20" s="151"/>
      <c r="G20" s="155"/>
      <c r="H20" s="155"/>
      <c r="I20" s="153"/>
    </row>
    <row r="21" spans="1:9" x14ac:dyDescent="0.2">
      <c r="A21" s="157" t="s">
        <v>778</v>
      </c>
      <c r="B21" s="157"/>
      <c r="C21" s="151"/>
      <c r="D21" s="154"/>
      <c r="E21" s="151"/>
      <c r="F21" s="151"/>
      <c r="G21" s="155"/>
      <c r="H21" s="155"/>
      <c r="I21" s="153"/>
    </row>
    <row r="22" spans="1:9" x14ac:dyDescent="0.2">
      <c r="A22" s="158" t="s">
        <v>776</v>
      </c>
      <c r="B22" s="199" t="s">
        <v>777</v>
      </c>
      <c r="C22" s="199"/>
      <c r="D22" s="199"/>
      <c r="E22" s="151"/>
      <c r="F22" s="151"/>
      <c r="G22" s="155"/>
      <c r="H22" s="155"/>
      <c r="I22" s="153"/>
    </row>
    <row r="23" spans="1:9" x14ac:dyDescent="0.2">
      <c r="A23" s="151"/>
      <c r="B23" s="199"/>
      <c r="C23" s="199"/>
      <c r="D23" s="199"/>
      <c r="E23" s="151"/>
      <c r="F23" s="151"/>
      <c r="G23" s="155"/>
      <c r="H23" s="155"/>
      <c r="I23" s="153"/>
    </row>
    <row r="24" spans="1:9" x14ac:dyDescent="0.2">
      <c r="A24" s="151"/>
      <c r="B24" s="199"/>
      <c r="C24" s="199"/>
      <c r="D24" s="199"/>
      <c r="E24" s="151"/>
      <c r="F24" s="151"/>
      <c r="G24" s="155"/>
      <c r="H24" s="155"/>
      <c r="I24" s="153"/>
    </row>
    <row r="25" spans="1:9" x14ac:dyDescent="0.2">
      <c r="A25" s="151"/>
      <c r="B25" s="199"/>
      <c r="C25" s="199"/>
      <c r="D25" s="199"/>
      <c r="E25" s="151"/>
      <c r="F25" s="151"/>
      <c r="G25" s="155"/>
      <c r="H25" s="155"/>
      <c r="I25" s="153"/>
    </row>
    <row r="26" spans="1:9" x14ac:dyDescent="0.2">
      <c r="A26" s="151"/>
      <c r="B26" s="199"/>
      <c r="C26" s="199"/>
      <c r="D26" s="199"/>
      <c r="E26" s="151"/>
      <c r="F26" s="151"/>
      <c r="G26" s="155"/>
      <c r="H26" s="155"/>
      <c r="I26" s="153"/>
    </row>
    <row r="27" spans="1:9" x14ac:dyDescent="0.2">
      <c r="A27" s="151"/>
      <c r="B27" s="199"/>
      <c r="C27" s="199"/>
      <c r="D27" s="199"/>
      <c r="E27" s="151"/>
      <c r="F27" s="151"/>
      <c r="G27" s="155"/>
      <c r="H27" s="155"/>
      <c r="I27" s="153"/>
    </row>
    <row r="28" spans="1:9" x14ac:dyDescent="0.2">
      <c r="A28" s="151"/>
      <c r="B28" s="199"/>
      <c r="C28" s="199"/>
      <c r="D28" s="199"/>
      <c r="E28" s="151"/>
      <c r="F28" s="151"/>
      <c r="G28" s="155"/>
      <c r="H28" s="155"/>
      <c r="I28" s="153"/>
    </row>
    <row r="29" spans="1:9" x14ac:dyDescent="0.2">
      <c r="A29" s="151"/>
      <c r="B29" s="199"/>
      <c r="C29" s="199"/>
      <c r="D29" s="199"/>
      <c r="E29" s="151"/>
      <c r="F29" s="151"/>
      <c r="G29" s="155"/>
      <c r="H29" s="155"/>
      <c r="I29" s="153"/>
    </row>
    <row r="30" spans="1:9" x14ac:dyDescent="0.2">
      <c r="A30" s="151"/>
      <c r="B30" s="199"/>
      <c r="C30" s="199"/>
      <c r="D30" s="199"/>
      <c r="E30" s="151"/>
      <c r="F30" s="151"/>
      <c r="G30" s="155"/>
      <c r="H30" s="155"/>
      <c r="I30" s="153"/>
    </row>
    <row r="31" spans="1:9" x14ac:dyDescent="0.2">
      <c r="A31" s="151"/>
      <c r="B31" s="151"/>
      <c r="C31" s="151"/>
      <c r="D31" s="154"/>
      <c r="E31" s="151"/>
      <c r="F31" s="151"/>
      <c r="G31" s="155"/>
      <c r="H31" s="155"/>
      <c r="I31" s="153"/>
    </row>
    <row r="32" spans="1:9" x14ac:dyDescent="0.2">
      <c r="A32" s="151"/>
      <c r="B32" s="151"/>
      <c r="C32" s="151"/>
      <c r="D32" s="154"/>
      <c r="E32" s="151"/>
      <c r="F32" s="151"/>
      <c r="G32" s="155"/>
      <c r="H32" s="155"/>
      <c r="I32" s="153"/>
    </row>
    <row r="33" spans="1:9" x14ac:dyDescent="0.2">
      <c r="A33" s="151"/>
      <c r="B33" s="157" t="s">
        <v>779</v>
      </c>
      <c r="C33" s="151"/>
      <c r="D33" s="154"/>
      <c r="E33" s="151"/>
      <c r="F33" s="151"/>
      <c r="G33" s="155"/>
      <c r="H33" s="155"/>
      <c r="I33" s="153"/>
    </row>
    <row r="34" spans="1:9" x14ac:dyDescent="0.2">
      <c r="A34" s="151"/>
      <c r="B34" s="160" t="s">
        <v>165</v>
      </c>
      <c r="C34" s="157" t="s">
        <v>780</v>
      </c>
      <c r="D34" s="154"/>
      <c r="E34" s="151"/>
      <c r="F34" s="151"/>
      <c r="G34" s="155"/>
      <c r="H34" s="155"/>
      <c r="I34" s="153"/>
    </row>
    <row r="35" spans="1:9" x14ac:dyDescent="0.2">
      <c r="A35" s="151"/>
      <c r="B35" s="160" t="s">
        <v>168</v>
      </c>
      <c r="C35" s="157" t="s">
        <v>781</v>
      </c>
      <c r="D35" s="154"/>
      <c r="E35" s="151"/>
      <c r="F35" s="151"/>
      <c r="G35" s="155"/>
      <c r="H35" s="155"/>
      <c r="I35" s="153"/>
    </row>
    <row r="36" spans="1:9" x14ac:dyDescent="0.2">
      <c r="A36" s="151"/>
      <c r="B36" s="160" t="s">
        <v>161</v>
      </c>
      <c r="C36" s="157" t="s">
        <v>782</v>
      </c>
      <c r="D36" s="154"/>
      <c r="E36" s="151"/>
      <c r="F36" s="151"/>
      <c r="G36" s="155"/>
      <c r="H36" s="155"/>
      <c r="I36" s="153"/>
    </row>
  </sheetData>
  <sheetProtection password="C9A6" sheet="1" selectLockedCells="1"/>
  <mergeCells count="10">
    <mergeCell ref="B22:D30"/>
    <mergeCell ref="B17:F17"/>
    <mergeCell ref="B18:F18"/>
    <mergeCell ref="A1:H1"/>
    <mergeCell ref="I1:I9"/>
    <mergeCell ref="A2:H2"/>
    <mergeCell ref="A3:H3"/>
    <mergeCell ref="A4:H4"/>
    <mergeCell ref="A6:G6"/>
    <mergeCell ref="A7:G7"/>
  </mergeCells>
  <pageMargins left="0.25" right="0.25" top="0.75" bottom="0.75" header="0.3" footer="0.3"/>
  <pageSetup scale="87" firstPageNumber="11" fitToHeight="0" orientation="landscape" r:id="rId1"/>
  <headerFooter alignWithMargins="0"/>
  <rowBreaks count="1" manualBreakCount="1">
    <brk id="11"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L144"/>
  <sheetViews>
    <sheetView zoomScale="90" zoomScaleNormal="90" zoomScalePageLayoutView="90" workbookViewId="0">
      <selection activeCell="H12" sqref="H12"/>
    </sheetView>
  </sheetViews>
  <sheetFormatPr defaultRowHeight="15" x14ac:dyDescent="0.25"/>
  <cols>
    <col min="2" max="2" width="70.140625" customWidth="1"/>
    <col min="5" max="5" width="11.85546875" bestFit="1" customWidth="1"/>
    <col min="6" max="6" width="13.5703125" bestFit="1" customWidth="1"/>
    <col min="7" max="7" width="9.5703125" customWidth="1"/>
    <col min="8" max="8" width="14.7109375" customWidth="1"/>
    <col min="12" max="12" width="65.140625" hidden="1" customWidth="1"/>
  </cols>
  <sheetData>
    <row r="1" spans="1:8" x14ac:dyDescent="0.25">
      <c r="A1" s="1"/>
      <c r="B1" s="2"/>
      <c r="C1" s="3"/>
      <c r="D1" s="3"/>
      <c r="E1" s="4"/>
      <c r="F1" s="5"/>
      <c r="G1" s="6"/>
      <c r="H1" s="195" t="s">
        <v>0</v>
      </c>
    </row>
    <row r="2" spans="1:8" x14ac:dyDescent="0.25">
      <c r="A2" s="196" t="s">
        <v>348</v>
      </c>
      <c r="B2" s="197"/>
      <c r="C2" s="197"/>
      <c r="D2" s="197"/>
      <c r="E2" s="197"/>
      <c r="F2" s="197"/>
      <c r="G2" s="198"/>
      <c r="H2" s="195"/>
    </row>
    <row r="3" spans="1:8" x14ac:dyDescent="0.25">
      <c r="A3" s="196" t="s">
        <v>1</v>
      </c>
      <c r="B3" s="197"/>
      <c r="C3" s="197"/>
      <c r="D3" s="197"/>
      <c r="E3" s="197"/>
      <c r="F3" s="197"/>
      <c r="G3" s="198"/>
      <c r="H3" s="195"/>
    </row>
    <row r="4" spans="1:8" x14ac:dyDescent="0.25">
      <c r="A4" s="196" t="s">
        <v>33</v>
      </c>
      <c r="B4" s="197"/>
      <c r="C4" s="197"/>
      <c r="D4" s="197"/>
      <c r="E4" s="197"/>
      <c r="F4" s="197"/>
      <c r="G4" s="198"/>
      <c r="H4" s="195"/>
    </row>
    <row r="5" spans="1:8" x14ac:dyDescent="0.25">
      <c r="A5" s="196" t="s">
        <v>599</v>
      </c>
      <c r="B5" s="197"/>
      <c r="C5" s="197"/>
      <c r="D5" s="197"/>
      <c r="E5" s="197"/>
      <c r="F5" s="197"/>
      <c r="G5" s="198"/>
      <c r="H5" s="195"/>
    </row>
    <row r="6" spans="1:8" x14ac:dyDescent="0.25">
      <c r="A6" s="7"/>
      <c r="B6" s="8"/>
      <c r="C6" s="9"/>
      <c r="D6" s="10"/>
      <c r="E6" s="11"/>
      <c r="F6" s="12"/>
      <c r="G6" s="13"/>
      <c r="H6" s="195"/>
    </row>
    <row r="7" spans="1:8" x14ac:dyDescent="0.25">
      <c r="A7" s="14" t="s">
        <v>349</v>
      </c>
      <c r="B7" s="15"/>
      <c r="C7" s="16"/>
      <c r="D7" s="16"/>
      <c r="E7" s="17"/>
      <c r="F7" s="18"/>
      <c r="G7" s="19"/>
      <c r="H7" s="195"/>
    </row>
    <row r="8" spans="1:8" x14ac:dyDescent="0.25">
      <c r="A8" s="20" t="s">
        <v>2</v>
      </c>
      <c r="B8" s="21"/>
      <c r="C8" s="22"/>
      <c r="D8" s="22"/>
      <c r="E8" s="23"/>
      <c r="F8" s="12"/>
      <c r="G8" s="13"/>
      <c r="H8" s="195"/>
    </row>
    <row r="9" spans="1:8" x14ac:dyDescent="0.25">
      <c r="A9" s="24" t="s">
        <v>848</v>
      </c>
      <c r="B9" s="25"/>
      <c r="C9" s="26"/>
      <c r="D9" s="26"/>
      <c r="E9" s="27"/>
      <c r="F9" s="28"/>
      <c r="G9" s="29"/>
      <c r="H9" s="195"/>
    </row>
    <row r="10" spans="1:8" ht="25.5" x14ac:dyDescent="0.25">
      <c r="A10" s="30" t="s">
        <v>3</v>
      </c>
      <c r="B10" s="31" t="s">
        <v>4</v>
      </c>
      <c r="C10" s="32" t="s">
        <v>5</v>
      </c>
      <c r="D10" s="33" t="s">
        <v>6</v>
      </c>
      <c r="E10" s="34" t="s">
        <v>7</v>
      </c>
      <c r="F10" s="35" t="s">
        <v>8</v>
      </c>
      <c r="G10" s="36" t="s">
        <v>9</v>
      </c>
      <c r="H10" s="195"/>
    </row>
    <row r="11" spans="1:8" ht="25.5" x14ac:dyDescent="0.25">
      <c r="A11" s="31" t="s">
        <v>350</v>
      </c>
      <c r="B11" s="30" t="s">
        <v>107</v>
      </c>
      <c r="C11" s="37"/>
      <c r="D11" s="37"/>
      <c r="E11" s="38"/>
      <c r="F11" s="39"/>
      <c r="G11" s="37"/>
      <c r="H11" s="40"/>
    </row>
    <row r="12" spans="1:8" x14ac:dyDescent="0.25">
      <c r="A12" s="41" t="s">
        <v>351</v>
      </c>
      <c r="B12" s="42" t="s">
        <v>11</v>
      </c>
      <c r="C12" s="37">
        <v>12</v>
      </c>
      <c r="D12" s="37" t="s">
        <v>13</v>
      </c>
      <c r="E12" s="63">
        <f t="shared" ref="E12:E17" si="0">ROUND(H12,2)</f>
        <v>0</v>
      </c>
      <c r="F12" s="63">
        <f t="shared" ref="F12:F17" si="1">C12*E12</f>
        <v>0</v>
      </c>
      <c r="G12" s="37"/>
      <c r="H12" s="43"/>
    </row>
    <row r="13" spans="1:8" x14ac:dyDescent="0.25">
      <c r="A13" s="41" t="s">
        <v>352</v>
      </c>
      <c r="B13" s="42" t="s">
        <v>12</v>
      </c>
      <c r="C13" s="37">
        <v>12</v>
      </c>
      <c r="D13" s="37" t="s">
        <v>13</v>
      </c>
      <c r="E13" s="63">
        <f t="shared" si="0"/>
        <v>0</v>
      </c>
      <c r="F13" s="64">
        <f t="shared" si="1"/>
        <v>0</v>
      </c>
      <c r="G13" s="37"/>
      <c r="H13" s="43"/>
    </row>
    <row r="14" spans="1:8" x14ac:dyDescent="0.25">
      <c r="A14" s="41" t="s">
        <v>353</v>
      </c>
      <c r="B14" s="42" t="s">
        <v>14</v>
      </c>
      <c r="C14" s="37">
        <v>12</v>
      </c>
      <c r="D14" s="37" t="s">
        <v>13</v>
      </c>
      <c r="E14" s="63">
        <f t="shared" si="0"/>
        <v>0</v>
      </c>
      <c r="F14" s="64">
        <f t="shared" si="1"/>
        <v>0</v>
      </c>
      <c r="G14" s="37"/>
      <c r="H14" s="43"/>
    </row>
    <row r="15" spans="1:8" ht="25.5" customHeight="1" x14ac:dyDescent="0.25">
      <c r="A15" s="41" t="s">
        <v>354</v>
      </c>
      <c r="B15" s="42" t="s">
        <v>150</v>
      </c>
      <c r="C15" s="37">
        <v>2</v>
      </c>
      <c r="D15" s="37" t="s">
        <v>18</v>
      </c>
      <c r="E15" s="63">
        <f t="shared" si="0"/>
        <v>0</v>
      </c>
      <c r="F15" s="64">
        <f t="shared" si="1"/>
        <v>0</v>
      </c>
      <c r="G15" s="37"/>
      <c r="H15" s="43"/>
    </row>
    <row r="16" spans="1:8" ht="25.5" x14ac:dyDescent="0.25">
      <c r="A16" s="41" t="s">
        <v>355</v>
      </c>
      <c r="B16" s="50" t="s">
        <v>120</v>
      </c>
      <c r="C16" s="37">
        <v>2</v>
      </c>
      <c r="D16" s="37" t="s">
        <v>18</v>
      </c>
      <c r="E16" s="63">
        <f t="shared" si="0"/>
        <v>0</v>
      </c>
      <c r="F16" s="64">
        <f t="shared" si="1"/>
        <v>0</v>
      </c>
      <c r="G16" s="37"/>
      <c r="H16" s="43"/>
    </row>
    <row r="17" spans="1:8" ht="25.5" customHeight="1" x14ac:dyDescent="0.25">
      <c r="A17" s="41" t="s">
        <v>356</v>
      </c>
      <c r="B17" s="50" t="s">
        <v>151</v>
      </c>
      <c r="C17" s="37">
        <v>1</v>
      </c>
      <c r="D17" s="37" t="s">
        <v>15</v>
      </c>
      <c r="E17" s="63">
        <f t="shared" si="0"/>
        <v>0</v>
      </c>
      <c r="F17" s="64">
        <f t="shared" si="1"/>
        <v>0</v>
      </c>
      <c r="G17" s="37"/>
      <c r="H17" s="43"/>
    </row>
    <row r="18" spans="1:8" x14ac:dyDescent="0.25">
      <c r="A18" s="41"/>
      <c r="B18" s="31" t="s">
        <v>104</v>
      </c>
      <c r="C18" s="37"/>
      <c r="D18" s="37"/>
      <c r="E18" s="38"/>
      <c r="F18" s="88">
        <f>SUM(F12:F17)</f>
        <v>0</v>
      </c>
      <c r="G18" s="37"/>
      <c r="H18" s="40"/>
    </row>
    <row r="19" spans="1:8" x14ac:dyDescent="0.25">
      <c r="A19" s="45"/>
      <c r="B19" s="46"/>
      <c r="C19" s="22"/>
      <c r="D19" s="22"/>
      <c r="E19" s="23"/>
      <c r="F19" s="47"/>
      <c r="G19" s="22"/>
      <c r="H19" s="48"/>
    </row>
    <row r="20" spans="1:8" x14ac:dyDescent="0.25">
      <c r="A20" s="31" t="s">
        <v>357</v>
      </c>
      <c r="B20" s="31" t="s">
        <v>20</v>
      </c>
      <c r="C20" s="37"/>
      <c r="D20" s="37"/>
      <c r="E20" s="38"/>
      <c r="F20" s="39"/>
      <c r="G20" s="37"/>
      <c r="H20" s="40"/>
    </row>
    <row r="21" spans="1:8" x14ac:dyDescent="0.25">
      <c r="A21" s="41" t="s">
        <v>358</v>
      </c>
      <c r="B21" s="42" t="s">
        <v>11</v>
      </c>
      <c r="C21" s="37">
        <v>12</v>
      </c>
      <c r="D21" s="37" t="s">
        <v>13</v>
      </c>
      <c r="E21" s="65">
        <f>ROUND(H21,2)</f>
        <v>0</v>
      </c>
      <c r="F21" s="66">
        <f>C21*E21</f>
        <v>0</v>
      </c>
      <c r="G21" s="37"/>
      <c r="H21" s="43"/>
    </row>
    <row r="22" spans="1:8" x14ac:dyDescent="0.25">
      <c r="A22" s="41" t="s">
        <v>359</v>
      </c>
      <c r="B22" s="42" t="s">
        <v>12</v>
      </c>
      <c r="C22" s="37">
        <v>12</v>
      </c>
      <c r="D22" s="37" t="s">
        <v>13</v>
      </c>
      <c r="E22" s="65">
        <f>ROUND(H22,2)</f>
        <v>0</v>
      </c>
      <c r="F22" s="66">
        <f>C22*E22</f>
        <v>0</v>
      </c>
      <c r="G22" s="37"/>
      <c r="H22" s="43"/>
    </row>
    <row r="23" spans="1:8" x14ac:dyDescent="0.25">
      <c r="A23" s="41" t="s">
        <v>360</v>
      </c>
      <c r="B23" s="42" t="s">
        <v>14</v>
      </c>
      <c r="C23" s="37">
        <v>12</v>
      </c>
      <c r="D23" s="37" t="s">
        <v>13</v>
      </c>
      <c r="E23" s="65">
        <f>ROUND(H23,2)</f>
        <v>0</v>
      </c>
      <c r="F23" s="66">
        <f>C23*E23</f>
        <v>0</v>
      </c>
      <c r="G23" s="37"/>
      <c r="H23" s="43"/>
    </row>
    <row r="24" spans="1:8" ht="25.5" x14ac:dyDescent="0.25">
      <c r="A24" s="41" t="s">
        <v>361</v>
      </c>
      <c r="B24" s="50" t="s">
        <v>143</v>
      </c>
      <c r="C24" s="37">
        <v>12</v>
      </c>
      <c r="D24" s="37" t="s">
        <v>13</v>
      </c>
      <c r="E24" s="65">
        <f>ROUND(H24,2)</f>
        <v>0</v>
      </c>
      <c r="F24" s="66">
        <f>C24*E24</f>
        <v>0</v>
      </c>
      <c r="G24" s="37"/>
      <c r="H24" s="43"/>
    </row>
    <row r="25" spans="1:8" ht="38.25" x14ac:dyDescent="0.25">
      <c r="A25" s="41" t="s">
        <v>362</v>
      </c>
      <c r="B25" s="42" t="s">
        <v>144</v>
      </c>
      <c r="C25" s="37">
        <v>12</v>
      </c>
      <c r="D25" s="37" t="s">
        <v>13</v>
      </c>
      <c r="E25" s="65">
        <f>ROUND(H25,2)</f>
        <v>0</v>
      </c>
      <c r="F25" s="66">
        <f>C25*E25</f>
        <v>0</v>
      </c>
      <c r="G25" s="37"/>
      <c r="H25" s="43"/>
    </row>
    <row r="26" spans="1:8" ht="38.25" x14ac:dyDescent="0.25">
      <c r="A26" s="41" t="s">
        <v>363</v>
      </c>
      <c r="B26" s="52" t="s">
        <v>145</v>
      </c>
      <c r="C26" s="53">
        <v>12</v>
      </c>
      <c r="D26" s="53" t="s">
        <v>13</v>
      </c>
      <c r="E26" s="67">
        <f>H26</f>
        <v>0</v>
      </c>
      <c r="F26" s="68">
        <f>E26*C26</f>
        <v>0</v>
      </c>
      <c r="G26" s="53"/>
      <c r="H26" s="43"/>
    </row>
    <row r="27" spans="1:8" x14ac:dyDescent="0.25">
      <c r="A27" s="41"/>
      <c r="B27" s="31" t="s">
        <v>21</v>
      </c>
      <c r="C27" s="37"/>
      <c r="D27" s="37"/>
      <c r="E27" s="38"/>
      <c r="F27" s="89">
        <f>SUM(F21:F26)</f>
        <v>0</v>
      </c>
      <c r="G27" s="37"/>
      <c r="H27" s="40"/>
    </row>
    <row r="28" spans="1:8" x14ac:dyDescent="0.25">
      <c r="A28" s="45"/>
      <c r="B28" s="51"/>
      <c r="C28" s="22"/>
      <c r="D28" s="22"/>
      <c r="E28" s="23"/>
      <c r="F28" s="47"/>
      <c r="G28" s="22"/>
      <c r="H28" s="48"/>
    </row>
    <row r="29" spans="1:8" x14ac:dyDescent="0.25">
      <c r="A29" s="45"/>
      <c r="B29" s="46"/>
      <c r="C29" s="22"/>
      <c r="D29" s="22"/>
      <c r="E29" s="23"/>
      <c r="F29" s="47"/>
      <c r="G29" s="22"/>
      <c r="H29" s="48"/>
    </row>
    <row r="30" spans="1:8" x14ac:dyDescent="0.25">
      <c r="A30" s="31" t="s">
        <v>364</v>
      </c>
      <c r="B30" s="30" t="s">
        <v>106</v>
      </c>
      <c r="C30" s="37"/>
      <c r="D30" s="37"/>
      <c r="E30" s="38"/>
      <c r="F30" s="39"/>
      <c r="G30" s="37"/>
      <c r="H30" s="40"/>
    </row>
    <row r="31" spans="1:8" x14ac:dyDescent="0.25">
      <c r="A31" s="41" t="s">
        <v>365</v>
      </c>
      <c r="B31" s="42" t="s">
        <v>11</v>
      </c>
      <c r="C31" s="37">
        <v>12</v>
      </c>
      <c r="D31" s="37" t="s">
        <v>13</v>
      </c>
      <c r="E31" s="65">
        <f>ROUND(H31,2)</f>
        <v>0</v>
      </c>
      <c r="F31" s="66">
        <f>C31*E31</f>
        <v>0</v>
      </c>
      <c r="G31" s="37"/>
      <c r="H31" s="43"/>
    </row>
    <row r="32" spans="1:8" x14ac:dyDescent="0.25">
      <c r="A32" s="41" t="s">
        <v>366</v>
      </c>
      <c r="B32" s="42" t="s">
        <v>12</v>
      </c>
      <c r="C32" s="37">
        <v>12</v>
      </c>
      <c r="D32" s="37" t="s">
        <v>13</v>
      </c>
      <c r="E32" s="65">
        <f>ROUND(H32,2)</f>
        <v>0</v>
      </c>
      <c r="F32" s="66">
        <f>C32*E32</f>
        <v>0</v>
      </c>
      <c r="G32" s="37"/>
      <c r="H32" s="43"/>
    </row>
    <row r="33" spans="1:8" x14ac:dyDescent="0.25">
      <c r="A33" s="41" t="s">
        <v>367</v>
      </c>
      <c r="B33" s="42" t="s">
        <v>14</v>
      </c>
      <c r="C33" s="37">
        <v>12</v>
      </c>
      <c r="D33" s="37" t="s">
        <v>13</v>
      </c>
      <c r="E33" s="65">
        <f>ROUND(H33,2)</f>
        <v>0</v>
      </c>
      <c r="F33" s="66">
        <f>C33*E33</f>
        <v>0</v>
      </c>
      <c r="G33" s="37"/>
      <c r="H33" s="43"/>
    </row>
    <row r="34" spans="1:8" ht="38.25" x14ac:dyDescent="0.25">
      <c r="A34" s="41" t="s">
        <v>368</v>
      </c>
      <c r="B34" s="42" t="s">
        <v>142</v>
      </c>
      <c r="C34" s="37">
        <v>12</v>
      </c>
      <c r="D34" s="37" t="s">
        <v>13</v>
      </c>
      <c r="E34" s="65">
        <f>ROUND(H34,2)</f>
        <v>0</v>
      </c>
      <c r="F34" s="66">
        <f>C34*E34</f>
        <v>0</v>
      </c>
      <c r="G34" s="37"/>
      <c r="H34" s="43"/>
    </row>
    <row r="35" spans="1:8" ht="38.25" x14ac:dyDescent="0.25">
      <c r="A35" s="41" t="s">
        <v>369</v>
      </c>
      <c r="B35" s="42" t="s">
        <v>141</v>
      </c>
      <c r="C35" s="37">
        <v>12</v>
      </c>
      <c r="D35" s="37" t="s">
        <v>13</v>
      </c>
      <c r="E35" s="65">
        <f>ROUND(H35,2)</f>
        <v>0</v>
      </c>
      <c r="F35" s="66">
        <f>C35*E35</f>
        <v>0</v>
      </c>
      <c r="G35" s="37"/>
      <c r="H35" s="43"/>
    </row>
    <row r="36" spans="1:8" x14ac:dyDescent="0.25">
      <c r="A36" s="41"/>
      <c r="B36" s="54" t="s">
        <v>24</v>
      </c>
      <c r="C36" s="37"/>
      <c r="D36" s="37"/>
      <c r="E36" s="38"/>
      <c r="F36" s="89">
        <f>SUM(F31:F35)</f>
        <v>0</v>
      </c>
      <c r="G36" s="37"/>
      <c r="H36" s="40"/>
    </row>
    <row r="37" spans="1:8" x14ac:dyDescent="0.25">
      <c r="A37" s="45"/>
      <c r="B37" s="46"/>
      <c r="C37" s="22"/>
      <c r="D37" s="22"/>
      <c r="E37" s="23"/>
      <c r="F37" s="47"/>
      <c r="G37" s="22"/>
      <c r="H37" s="48"/>
    </row>
    <row r="38" spans="1:8" x14ac:dyDescent="0.25">
      <c r="A38" s="31" t="s">
        <v>370</v>
      </c>
      <c r="B38" s="30" t="s">
        <v>108</v>
      </c>
      <c r="C38" s="37"/>
      <c r="D38" s="37"/>
      <c r="E38" s="38"/>
      <c r="F38" s="39"/>
      <c r="G38" s="37"/>
      <c r="H38" s="40"/>
    </row>
    <row r="39" spans="1:8" x14ac:dyDescent="0.25">
      <c r="A39" s="41" t="s">
        <v>371</v>
      </c>
      <c r="B39" s="42" t="s">
        <v>11</v>
      </c>
      <c r="C39" s="37">
        <v>12</v>
      </c>
      <c r="D39" s="37" t="s">
        <v>13</v>
      </c>
      <c r="E39" s="65">
        <f>ROUND(H39,2)</f>
        <v>0</v>
      </c>
      <c r="F39" s="66">
        <f>C39*E39</f>
        <v>0</v>
      </c>
      <c r="G39" s="37"/>
      <c r="H39" s="43"/>
    </row>
    <row r="40" spans="1:8" x14ac:dyDescent="0.25">
      <c r="A40" s="41" t="s">
        <v>372</v>
      </c>
      <c r="B40" s="42" t="s">
        <v>12</v>
      </c>
      <c r="C40" s="37">
        <v>12</v>
      </c>
      <c r="D40" s="37" t="s">
        <v>13</v>
      </c>
      <c r="E40" s="65">
        <f t="shared" ref="E40:E45" si="2">ROUND(H40,2)</f>
        <v>0</v>
      </c>
      <c r="F40" s="66">
        <f t="shared" ref="F40:F45" si="3">C40*E40</f>
        <v>0</v>
      </c>
      <c r="G40" s="37"/>
      <c r="H40" s="43"/>
    </row>
    <row r="41" spans="1:8" x14ac:dyDescent="0.25">
      <c r="A41" s="41" t="s">
        <v>373</v>
      </c>
      <c r="B41" s="50" t="s">
        <v>14</v>
      </c>
      <c r="C41" s="37">
        <v>12</v>
      </c>
      <c r="D41" s="37" t="s">
        <v>13</v>
      </c>
      <c r="E41" s="65">
        <f t="shared" si="2"/>
        <v>0</v>
      </c>
      <c r="F41" s="66">
        <f t="shared" si="3"/>
        <v>0</v>
      </c>
      <c r="G41" s="37"/>
      <c r="H41" s="43"/>
    </row>
    <row r="42" spans="1:8" ht="25.5" x14ac:dyDescent="0.25">
      <c r="A42" s="41" t="s">
        <v>374</v>
      </c>
      <c r="B42" s="50" t="s">
        <v>140</v>
      </c>
      <c r="C42" s="37">
        <v>12</v>
      </c>
      <c r="D42" s="37" t="s">
        <v>13</v>
      </c>
      <c r="E42" s="65">
        <f t="shared" si="2"/>
        <v>0</v>
      </c>
      <c r="F42" s="66">
        <f t="shared" si="3"/>
        <v>0</v>
      </c>
      <c r="G42" s="37"/>
      <c r="H42" s="43"/>
    </row>
    <row r="43" spans="1:8" ht="25.5" x14ac:dyDescent="0.25">
      <c r="A43" s="41" t="s">
        <v>375</v>
      </c>
      <c r="B43" s="50" t="s">
        <v>139</v>
      </c>
      <c r="C43" s="37">
        <v>12</v>
      </c>
      <c r="D43" s="37" t="s">
        <v>13</v>
      </c>
      <c r="E43" s="65">
        <f t="shared" si="2"/>
        <v>0</v>
      </c>
      <c r="F43" s="66">
        <f t="shared" si="3"/>
        <v>0</v>
      </c>
      <c r="G43" s="37"/>
      <c r="H43" s="43"/>
    </row>
    <row r="44" spans="1:8" ht="25.5" x14ac:dyDescent="0.25">
      <c r="A44" s="41" t="s">
        <v>376</v>
      </c>
      <c r="B44" s="50" t="s">
        <v>138</v>
      </c>
      <c r="C44" s="37">
        <v>12</v>
      </c>
      <c r="D44" s="37" t="s">
        <v>13</v>
      </c>
      <c r="E44" s="65">
        <f t="shared" si="2"/>
        <v>0</v>
      </c>
      <c r="F44" s="66">
        <f t="shared" si="3"/>
        <v>0</v>
      </c>
      <c r="G44" s="37"/>
      <c r="H44" s="43"/>
    </row>
    <row r="45" spans="1:8" ht="25.5" x14ac:dyDescent="0.25">
      <c r="A45" s="41" t="s">
        <v>377</v>
      </c>
      <c r="B45" s="50" t="s">
        <v>137</v>
      </c>
      <c r="C45" s="37">
        <v>12</v>
      </c>
      <c r="D45" s="37" t="s">
        <v>13</v>
      </c>
      <c r="E45" s="65">
        <f t="shared" si="2"/>
        <v>0</v>
      </c>
      <c r="F45" s="66">
        <f t="shared" si="3"/>
        <v>0</v>
      </c>
      <c r="G45" s="37"/>
      <c r="H45" s="43"/>
    </row>
    <row r="46" spans="1:8" ht="25.5" x14ac:dyDescent="0.25">
      <c r="A46" s="41" t="s">
        <v>378</v>
      </c>
      <c r="B46" s="50" t="s">
        <v>136</v>
      </c>
      <c r="C46" s="37">
        <v>12</v>
      </c>
      <c r="D46" s="37" t="s">
        <v>13</v>
      </c>
      <c r="E46" s="65">
        <f>ROUND(H46,2)</f>
        <v>0</v>
      </c>
      <c r="F46" s="66">
        <f>C46*E46</f>
        <v>0</v>
      </c>
      <c r="G46" s="37"/>
      <c r="H46" s="43"/>
    </row>
    <row r="47" spans="1:8" ht="25.5" x14ac:dyDescent="0.25">
      <c r="A47" s="41" t="s">
        <v>379</v>
      </c>
      <c r="B47" s="50" t="s">
        <v>135</v>
      </c>
      <c r="C47" s="37">
        <v>12</v>
      </c>
      <c r="D47" s="37" t="s">
        <v>13</v>
      </c>
      <c r="E47" s="65">
        <f>ROUND(H47,2)</f>
        <v>0</v>
      </c>
      <c r="F47" s="66">
        <f>C47*E47</f>
        <v>0</v>
      </c>
      <c r="G47" s="37"/>
      <c r="H47" s="43"/>
    </row>
    <row r="48" spans="1:8" x14ac:dyDescent="0.25">
      <c r="A48" s="41"/>
      <c r="B48" s="31" t="s">
        <v>25</v>
      </c>
      <c r="C48" s="37"/>
      <c r="D48" s="37"/>
      <c r="E48" s="38"/>
      <c r="F48" s="89">
        <f>SUM(F39:F47)</f>
        <v>0</v>
      </c>
      <c r="G48" s="37"/>
      <c r="H48" s="40"/>
    </row>
    <row r="49" spans="1:12" x14ac:dyDescent="0.25">
      <c r="A49" s="45"/>
      <c r="B49" s="46"/>
      <c r="C49" s="22"/>
      <c r="D49" s="22"/>
      <c r="E49" s="23"/>
      <c r="F49" s="47"/>
      <c r="G49" s="22"/>
      <c r="H49" s="48"/>
    </row>
    <row r="50" spans="1:12" x14ac:dyDescent="0.25">
      <c r="A50" s="31" t="s">
        <v>380</v>
      </c>
      <c r="B50" s="49" t="s">
        <v>17</v>
      </c>
      <c r="C50" s="37"/>
      <c r="D50" s="37"/>
      <c r="E50" s="38"/>
      <c r="F50" s="39"/>
      <c r="G50" s="37"/>
      <c r="H50" s="40"/>
    </row>
    <row r="51" spans="1:12" x14ac:dyDescent="0.25">
      <c r="A51" s="41" t="s">
        <v>381</v>
      </c>
      <c r="B51" s="50" t="s">
        <v>11</v>
      </c>
      <c r="C51" s="37">
        <v>12</v>
      </c>
      <c r="D51" s="37" t="s">
        <v>13</v>
      </c>
      <c r="E51" s="65">
        <f>ROUND(H51,2)</f>
        <v>0</v>
      </c>
      <c r="F51" s="66">
        <f>C51*E51</f>
        <v>0</v>
      </c>
      <c r="G51" s="37"/>
      <c r="H51" s="43"/>
    </row>
    <row r="52" spans="1:12" x14ac:dyDescent="0.25">
      <c r="A52" s="41" t="s">
        <v>382</v>
      </c>
      <c r="B52" s="42" t="s">
        <v>12</v>
      </c>
      <c r="C52" s="37">
        <v>12</v>
      </c>
      <c r="D52" s="37" t="s">
        <v>13</v>
      </c>
      <c r="E52" s="65">
        <f>ROUND(H52,2)</f>
        <v>0</v>
      </c>
      <c r="F52" s="66">
        <f>C52*E52</f>
        <v>0</v>
      </c>
      <c r="G52" s="37"/>
      <c r="H52" s="43"/>
    </row>
    <row r="53" spans="1:12" x14ac:dyDescent="0.25">
      <c r="A53" s="41" t="s">
        <v>383</v>
      </c>
      <c r="B53" s="50" t="s">
        <v>14</v>
      </c>
      <c r="C53" s="37">
        <v>12</v>
      </c>
      <c r="D53" s="37" t="s">
        <v>13</v>
      </c>
      <c r="E53" s="65">
        <f>ROUND(H53,2)</f>
        <v>0</v>
      </c>
      <c r="F53" s="66">
        <f>C53*E53</f>
        <v>0</v>
      </c>
      <c r="G53" s="37"/>
      <c r="H53" s="43"/>
    </row>
    <row r="54" spans="1:12" ht="25.5" x14ac:dyDescent="0.25">
      <c r="A54" s="41" t="s">
        <v>384</v>
      </c>
      <c r="B54" s="50" t="s">
        <v>133</v>
      </c>
      <c r="C54" s="37">
        <v>2</v>
      </c>
      <c r="D54" s="37" t="s">
        <v>18</v>
      </c>
      <c r="E54" s="65">
        <f>ROUND(H54,2)</f>
        <v>0</v>
      </c>
      <c r="F54" s="66">
        <f>C54*E54</f>
        <v>0</v>
      </c>
      <c r="G54" s="37"/>
      <c r="H54" s="43"/>
      <c r="L54" s="50"/>
    </row>
    <row r="55" spans="1:12" ht="25.5" x14ac:dyDescent="0.25">
      <c r="A55" s="41" t="s">
        <v>385</v>
      </c>
      <c r="B55" s="50" t="s">
        <v>134</v>
      </c>
      <c r="C55" s="37">
        <v>1</v>
      </c>
      <c r="D55" s="37" t="s">
        <v>15</v>
      </c>
      <c r="E55" s="65">
        <f>ROUND(H55,2)</f>
        <v>0</v>
      </c>
      <c r="F55" s="66">
        <f>C55*E55</f>
        <v>0</v>
      </c>
      <c r="G55" s="37"/>
      <c r="H55" s="43"/>
    </row>
    <row r="56" spans="1:12" x14ac:dyDescent="0.25">
      <c r="A56" s="41"/>
      <c r="B56" s="31" t="s">
        <v>19</v>
      </c>
      <c r="C56" s="37"/>
      <c r="D56" s="37"/>
      <c r="E56" s="38"/>
      <c r="F56" s="89">
        <f>SUM(F51:F55)</f>
        <v>0</v>
      </c>
      <c r="G56" s="37"/>
      <c r="H56" s="40"/>
    </row>
    <row r="57" spans="1:12" x14ac:dyDescent="0.25">
      <c r="A57" s="45"/>
      <c r="B57" s="46"/>
      <c r="C57" s="22"/>
      <c r="D57" s="22"/>
      <c r="E57" s="23"/>
      <c r="F57" s="47"/>
      <c r="G57" s="22"/>
      <c r="H57" s="48"/>
    </row>
    <row r="58" spans="1:12" x14ac:dyDescent="0.25">
      <c r="A58" s="31" t="s">
        <v>386</v>
      </c>
      <c r="B58" s="30" t="s">
        <v>26</v>
      </c>
      <c r="C58" s="37"/>
      <c r="D58" s="37"/>
      <c r="E58" s="38"/>
      <c r="F58" s="39"/>
      <c r="G58" s="37"/>
      <c r="H58" s="40"/>
    </row>
    <row r="59" spans="1:12" x14ac:dyDescent="0.25">
      <c r="A59" s="41" t="s">
        <v>387</v>
      </c>
      <c r="B59" s="42" t="s">
        <v>11</v>
      </c>
      <c r="C59" s="37">
        <v>12</v>
      </c>
      <c r="D59" s="37" t="s">
        <v>13</v>
      </c>
      <c r="E59" s="65">
        <f>ROUND(H59,2)</f>
        <v>0</v>
      </c>
      <c r="F59" s="66">
        <f>C59*E59</f>
        <v>0</v>
      </c>
      <c r="G59" s="37"/>
      <c r="H59" s="43"/>
    </row>
    <row r="60" spans="1:12" x14ac:dyDescent="0.25">
      <c r="A60" s="41" t="s">
        <v>388</v>
      </c>
      <c r="B60" s="55" t="s">
        <v>12</v>
      </c>
      <c r="C60" s="37">
        <v>12</v>
      </c>
      <c r="D60" s="37" t="s">
        <v>13</v>
      </c>
      <c r="E60" s="65">
        <f>ROUND(H60,2)</f>
        <v>0</v>
      </c>
      <c r="F60" s="66">
        <f>C60*E60</f>
        <v>0</v>
      </c>
      <c r="G60" s="37"/>
      <c r="H60" s="43"/>
    </row>
    <row r="61" spans="1:12" x14ac:dyDescent="0.25">
      <c r="A61" s="41" t="s">
        <v>389</v>
      </c>
      <c r="B61" s="42" t="s">
        <v>14</v>
      </c>
      <c r="C61" s="37">
        <v>12</v>
      </c>
      <c r="D61" s="37" t="s">
        <v>13</v>
      </c>
      <c r="E61" s="65">
        <f>ROUND(H61,2)</f>
        <v>0</v>
      </c>
      <c r="F61" s="66">
        <f>C61*E61</f>
        <v>0</v>
      </c>
      <c r="G61" s="37"/>
      <c r="H61" s="43"/>
    </row>
    <row r="62" spans="1:12" ht="25.5" x14ac:dyDescent="0.25">
      <c r="A62" s="41" t="s">
        <v>390</v>
      </c>
      <c r="B62" s="42" t="s">
        <v>126</v>
      </c>
      <c r="C62" s="37">
        <v>3</v>
      </c>
      <c r="D62" s="37" t="s">
        <v>27</v>
      </c>
      <c r="E62" s="65">
        <f>ROUND(H62,2)</f>
        <v>0</v>
      </c>
      <c r="F62" s="66">
        <f>C62*E62</f>
        <v>0</v>
      </c>
      <c r="G62" s="37"/>
      <c r="H62" s="43"/>
    </row>
    <row r="63" spans="1:12" ht="25.5" x14ac:dyDescent="0.25">
      <c r="A63" s="41" t="s">
        <v>391</v>
      </c>
      <c r="B63" s="50" t="s">
        <v>127</v>
      </c>
      <c r="C63" s="37">
        <v>3</v>
      </c>
      <c r="D63" s="37" t="s">
        <v>27</v>
      </c>
      <c r="E63" s="65">
        <f>ROUND(H63,2)</f>
        <v>0</v>
      </c>
      <c r="F63" s="66">
        <f>C63*E63</f>
        <v>0</v>
      </c>
      <c r="G63" s="37"/>
      <c r="H63" s="43"/>
    </row>
    <row r="64" spans="1:12" x14ac:dyDescent="0.25">
      <c r="A64" s="41"/>
      <c r="B64" s="31" t="s">
        <v>28</v>
      </c>
      <c r="C64" s="37"/>
      <c r="D64" s="37"/>
      <c r="E64" s="38"/>
      <c r="F64" s="89">
        <f>SUM(F59:F63)</f>
        <v>0</v>
      </c>
      <c r="G64" s="37"/>
      <c r="H64" s="40"/>
    </row>
    <row r="65" spans="1:8" x14ac:dyDescent="0.25">
      <c r="A65" s="45"/>
      <c r="B65" s="56"/>
      <c r="C65" s="57"/>
      <c r="D65" s="57"/>
      <c r="E65" s="58"/>
      <c r="F65" s="47"/>
      <c r="G65" s="22"/>
      <c r="H65" s="48"/>
    </row>
    <row r="66" spans="1:8" x14ac:dyDescent="0.25">
      <c r="A66" s="31" t="s">
        <v>392</v>
      </c>
      <c r="B66" s="54" t="s">
        <v>29</v>
      </c>
      <c r="C66" s="37"/>
      <c r="D66" s="37"/>
      <c r="E66" s="38"/>
      <c r="F66" s="39"/>
      <c r="G66" s="37"/>
      <c r="H66" s="40"/>
    </row>
    <row r="67" spans="1:8" x14ac:dyDescent="0.25">
      <c r="A67" s="41" t="s">
        <v>393</v>
      </c>
      <c r="B67" s="59" t="s">
        <v>11</v>
      </c>
      <c r="C67" s="37">
        <v>12</v>
      </c>
      <c r="D67" s="37" t="s">
        <v>13</v>
      </c>
      <c r="E67" s="65">
        <f>ROUND(H67,2)</f>
        <v>0</v>
      </c>
      <c r="F67" s="66">
        <f>C67*E67</f>
        <v>0</v>
      </c>
      <c r="G67" s="37"/>
      <c r="H67" s="43"/>
    </row>
    <row r="68" spans="1:8" x14ac:dyDescent="0.25">
      <c r="A68" s="41" t="s">
        <v>394</v>
      </c>
      <c r="B68" s="59" t="s">
        <v>12</v>
      </c>
      <c r="C68" s="37">
        <v>12</v>
      </c>
      <c r="D68" s="37" t="s">
        <v>13</v>
      </c>
      <c r="E68" s="65">
        <f>ROUND(H68,2)</f>
        <v>0</v>
      </c>
      <c r="F68" s="66">
        <f>C68*E68</f>
        <v>0</v>
      </c>
      <c r="G68" s="37"/>
      <c r="H68" s="43"/>
    </row>
    <row r="69" spans="1:8" x14ac:dyDescent="0.25">
      <c r="A69" s="41" t="s">
        <v>395</v>
      </c>
      <c r="B69" s="59" t="s">
        <v>14</v>
      </c>
      <c r="C69" s="37">
        <v>12</v>
      </c>
      <c r="D69" s="37" t="s">
        <v>13</v>
      </c>
      <c r="E69" s="65">
        <f>ROUND(H69,2)</f>
        <v>0</v>
      </c>
      <c r="F69" s="66">
        <f>C69*E69</f>
        <v>0</v>
      </c>
      <c r="G69" s="37"/>
      <c r="H69" s="43"/>
    </row>
    <row r="70" spans="1:8" ht="38.25" x14ac:dyDescent="0.25">
      <c r="A70" s="41" t="s">
        <v>396</v>
      </c>
      <c r="B70" s="42" t="s">
        <v>128</v>
      </c>
      <c r="C70" s="37">
        <v>2</v>
      </c>
      <c r="D70" s="37" t="s">
        <v>18</v>
      </c>
      <c r="E70" s="65">
        <f>ROUND(H70,2)</f>
        <v>0</v>
      </c>
      <c r="F70" s="66">
        <f>C70*E70</f>
        <v>0</v>
      </c>
      <c r="G70" s="37"/>
      <c r="H70" s="43"/>
    </row>
    <row r="71" spans="1:8" ht="38.25" x14ac:dyDescent="0.25">
      <c r="A71" s="41" t="s">
        <v>397</v>
      </c>
      <c r="B71" s="50" t="s">
        <v>129</v>
      </c>
      <c r="C71" s="37">
        <v>2</v>
      </c>
      <c r="D71" s="37" t="s">
        <v>18</v>
      </c>
      <c r="E71" s="65">
        <f>ROUND(H71,2)</f>
        <v>0</v>
      </c>
      <c r="F71" s="66">
        <f>C71*E71</f>
        <v>0</v>
      </c>
      <c r="G71" s="37"/>
      <c r="H71" s="43"/>
    </row>
    <row r="72" spans="1:8" x14ac:dyDescent="0.25">
      <c r="A72" s="41"/>
      <c r="B72" s="49" t="s">
        <v>30</v>
      </c>
      <c r="C72" s="37"/>
      <c r="D72" s="37"/>
      <c r="E72" s="38"/>
      <c r="F72" s="89">
        <f>SUM(F67:F71)</f>
        <v>0</v>
      </c>
      <c r="G72" s="37"/>
      <c r="H72" s="40"/>
    </row>
    <row r="73" spans="1:8" x14ac:dyDescent="0.25">
      <c r="A73" s="45"/>
      <c r="B73" s="61"/>
      <c r="C73" s="22"/>
      <c r="D73" s="22"/>
      <c r="E73" s="23"/>
      <c r="F73" s="62"/>
      <c r="G73" s="22"/>
      <c r="H73" s="48"/>
    </row>
    <row r="74" spans="1:8" x14ac:dyDescent="0.25">
      <c r="A74" s="31" t="s">
        <v>398</v>
      </c>
      <c r="B74" s="31" t="s">
        <v>10</v>
      </c>
      <c r="C74" s="37"/>
      <c r="D74" s="37"/>
      <c r="E74" s="38"/>
      <c r="F74" s="39"/>
      <c r="G74" s="37"/>
      <c r="H74" s="40"/>
    </row>
    <row r="75" spans="1:8" x14ac:dyDescent="0.25">
      <c r="A75" s="41" t="s">
        <v>399</v>
      </c>
      <c r="B75" s="42" t="s">
        <v>11</v>
      </c>
      <c r="C75" s="37">
        <v>12</v>
      </c>
      <c r="D75" s="37" t="s">
        <v>13</v>
      </c>
      <c r="E75" s="65">
        <f t="shared" ref="E75:E80" si="4">ROUND(H75,2)</f>
        <v>0</v>
      </c>
      <c r="F75" s="66">
        <f t="shared" ref="F75:F80" si="5">C75*E75</f>
        <v>0</v>
      </c>
      <c r="G75" s="37"/>
      <c r="H75" s="43"/>
    </row>
    <row r="76" spans="1:8" x14ac:dyDescent="0.25">
      <c r="A76" s="41" t="s">
        <v>400</v>
      </c>
      <c r="B76" s="42" t="s">
        <v>12</v>
      </c>
      <c r="C76" s="37">
        <v>12</v>
      </c>
      <c r="D76" s="37" t="s">
        <v>13</v>
      </c>
      <c r="E76" s="65">
        <f t="shared" si="4"/>
        <v>0</v>
      </c>
      <c r="F76" s="66">
        <f t="shared" si="5"/>
        <v>0</v>
      </c>
      <c r="G76" s="37"/>
      <c r="H76" s="43"/>
    </row>
    <row r="77" spans="1:8" x14ac:dyDescent="0.25">
      <c r="A77" s="41" t="s">
        <v>401</v>
      </c>
      <c r="B77" s="42" t="s">
        <v>14</v>
      </c>
      <c r="C77" s="37">
        <v>12</v>
      </c>
      <c r="D77" s="37" t="s">
        <v>13</v>
      </c>
      <c r="E77" s="65">
        <f t="shared" si="4"/>
        <v>0</v>
      </c>
      <c r="F77" s="66">
        <f t="shared" si="5"/>
        <v>0</v>
      </c>
      <c r="G77" s="37"/>
      <c r="H77" s="43"/>
    </row>
    <row r="78" spans="1:8" ht="25.5" x14ac:dyDescent="0.25">
      <c r="A78" s="41" t="s">
        <v>402</v>
      </c>
      <c r="B78" s="42" t="s">
        <v>130</v>
      </c>
      <c r="C78" s="37">
        <v>4</v>
      </c>
      <c r="D78" s="37" t="s">
        <v>16</v>
      </c>
      <c r="E78" s="65">
        <f t="shared" si="4"/>
        <v>0</v>
      </c>
      <c r="F78" s="66">
        <f t="shared" si="5"/>
        <v>0</v>
      </c>
      <c r="G78" s="37"/>
      <c r="H78" s="43"/>
    </row>
    <row r="79" spans="1:8" ht="25.5" x14ac:dyDescent="0.25">
      <c r="A79" s="41" t="s">
        <v>403</v>
      </c>
      <c r="B79" s="42" t="s">
        <v>131</v>
      </c>
      <c r="C79" s="37">
        <v>1</v>
      </c>
      <c r="D79" s="37" t="s">
        <v>15</v>
      </c>
      <c r="E79" s="65">
        <f t="shared" si="4"/>
        <v>0</v>
      </c>
      <c r="F79" s="66">
        <f t="shared" si="5"/>
        <v>0</v>
      </c>
      <c r="G79" s="37"/>
      <c r="H79" s="43"/>
    </row>
    <row r="80" spans="1:8" ht="25.5" x14ac:dyDescent="0.25">
      <c r="A80" s="41" t="s">
        <v>404</v>
      </c>
      <c r="B80" s="42" t="s">
        <v>132</v>
      </c>
      <c r="C80" s="37">
        <v>1</v>
      </c>
      <c r="D80" s="37" t="s">
        <v>15</v>
      </c>
      <c r="E80" s="65">
        <f t="shared" si="4"/>
        <v>0</v>
      </c>
      <c r="F80" s="66">
        <f t="shared" si="5"/>
        <v>0</v>
      </c>
      <c r="G80" s="37"/>
      <c r="H80" s="43"/>
    </row>
    <row r="81" spans="1:8" x14ac:dyDescent="0.25">
      <c r="A81" s="41"/>
      <c r="B81" s="31" t="s">
        <v>728</v>
      </c>
      <c r="C81" s="37"/>
      <c r="D81" s="37"/>
      <c r="E81" s="38"/>
      <c r="F81" s="89">
        <f>SUM(F75:F80)</f>
        <v>0</v>
      </c>
      <c r="G81" s="37"/>
      <c r="H81" s="40"/>
    </row>
    <row r="82" spans="1:8" x14ac:dyDescent="0.25">
      <c r="A82" s="73"/>
      <c r="B82" s="74"/>
      <c r="C82" s="22"/>
      <c r="D82" s="22"/>
      <c r="E82" s="23"/>
      <c r="F82" s="62"/>
      <c r="G82" s="22"/>
      <c r="H82" s="75"/>
    </row>
    <row r="83" spans="1:8" x14ac:dyDescent="0.25">
      <c r="A83" s="31" t="s">
        <v>405</v>
      </c>
      <c r="B83" s="30" t="s">
        <v>22</v>
      </c>
      <c r="C83" s="37"/>
      <c r="D83" s="37"/>
      <c r="E83" s="38"/>
      <c r="F83" s="39"/>
      <c r="G83" s="37"/>
      <c r="H83" s="40"/>
    </row>
    <row r="84" spans="1:8" x14ac:dyDescent="0.25">
      <c r="A84" s="41" t="s">
        <v>406</v>
      </c>
      <c r="B84" s="42" t="s">
        <v>11</v>
      </c>
      <c r="C84" s="37">
        <v>12</v>
      </c>
      <c r="D84" s="37" t="s">
        <v>13</v>
      </c>
      <c r="E84" s="65">
        <f t="shared" ref="E84:E89" si="6">ROUND(H84,2)</f>
        <v>0</v>
      </c>
      <c r="F84" s="66">
        <f t="shared" ref="F84:F89" si="7">C84*E84</f>
        <v>0</v>
      </c>
      <c r="G84" s="37"/>
      <c r="H84" s="43"/>
    </row>
    <row r="85" spans="1:8" x14ac:dyDescent="0.25">
      <c r="A85" s="41" t="s">
        <v>407</v>
      </c>
      <c r="B85" s="42" t="s">
        <v>12</v>
      </c>
      <c r="C85" s="37">
        <v>12</v>
      </c>
      <c r="D85" s="37" t="s">
        <v>13</v>
      </c>
      <c r="E85" s="65">
        <f t="shared" si="6"/>
        <v>0</v>
      </c>
      <c r="F85" s="66">
        <f t="shared" si="7"/>
        <v>0</v>
      </c>
      <c r="G85" s="37"/>
      <c r="H85" s="43"/>
    </row>
    <row r="86" spans="1:8" x14ac:dyDescent="0.25">
      <c r="A86" s="41" t="s">
        <v>408</v>
      </c>
      <c r="B86" s="42" t="s">
        <v>14</v>
      </c>
      <c r="C86" s="37">
        <v>12</v>
      </c>
      <c r="D86" s="37" t="s">
        <v>13</v>
      </c>
      <c r="E86" s="65">
        <f t="shared" si="6"/>
        <v>0</v>
      </c>
      <c r="F86" s="66">
        <f t="shared" si="7"/>
        <v>0</v>
      </c>
      <c r="G86" s="37"/>
      <c r="H86" s="43"/>
    </row>
    <row r="87" spans="1:8" ht="25.5" x14ac:dyDescent="0.25">
      <c r="A87" s="41" t="s">
        <v>409</v>
      </c>
      <c r="B87" s="50" t="s">
        <v>131</v>
      </c>
      <c r="C87" s="37">
        <v>1</v>
      </c>
      <c r="D87" s="37" t="s">
        <v>15</v>
      </c>
      <c r="E87" s="65">
        <f t="shared" si="6"/>
        <v>0</v>
      </c>
      <c r="F87" s="66">
        <f t="shared" si="7"/>
        <v>0</v>
      </c>
      <c r="G87" s="37"/>
      <c r="H87" s="43"/>
    </row>
    <row r="88" spans="1:8" ht="25.5" x14ac:dyDescent="0.25">
      <c r="A88" s="41" t="s">
        <v>410</v>
      </c>
      <c r="B88" s="42" t="s">
        <v>132</v>
      </c>
      <c r="C88" s="37">
        <v>1</v>
      </c>
      <c r="D88" s="37" t="s">
        <v>15</v>
      </c>
      <c r="E88" s="65">
        <f t="shared" si="6"/>
        <v>0</v>
      </c>
      <c r="F88" s="66">
        <f t="shared" si="7"/>
        <v>0</v>
      </c>
      <c r="G88" s="37"/>
      <c r="H88" s="43"/>
    </row>
    <row r="89" spans="1:8" ht="25.5" x14ac:dyDescent="0.25">
      <c r="A89" s="41" t="s">
        <v>411</v>
      </c>
      <c r="B89" s="42" t="s">
        <v>130</v>
      </c>
      <c r="C89" s="37">
        <v>4</v>
      </c>
      <c r="D89" s="37" t="s">
        <v>16</v>
      </c>
      <c r="E89" s="65">
        <f t="shared" si="6"/>
        <v>0</v>
      </c>
      <c r="F89" s="66">
        <f t="shared" si="7"/>
        <v>0</v>
      </c>
      <c r="G89" s="37"/>
      <c r="H89" s="43"/>
    </row>
    <row r="90" spans="1:8" x14ac:dyDescent="0.25">
      <c r="A90" s="73"/>
      <c r="B90" s="31" t="s">
        <v>23</v>
      </c>
      <c r="C90" s="37"/>
      <c r="D90" s="37"/>
      <c r="E90" s="38"/>
      <c r="F90" s="89">
        <f>SUM(F84:F89)</f>
        <v>0</v>
      </c>
      <c r="G90" s="37"/>
      <c r="H90" s="75"/>
    </row>
    <row r="91" spans="1:8" x14ac:dyDescent="0.25">
      <c r="A91" s="69"/>
      <c r="H91" s="104"/>
    </row>
    <row r="92" spans="1:8" x14ac:dyDescent="0.25">
      <c r="A92" s="31" t="s">
        <v>412</v>
      </c>
      <c r="B92" s="31" t="s">
        <v>31</v>
      </c>
      <c r="C92" s="37"/>
      <c r="D92" s="37"/>
      <c r="E92" s="38"/>
      <c r="F92" s="39"/>
      <c r="G92" s="37"/>
      <c r="H92" s="40"/>
    </row>
    <row r="93" spans="1:8" x14ac:dyDescent="0.25">
      <c r="A93" s="41" t="s">
        <v>413</v>
      </c>
      <c r="B93" s="42" t="s">
        <v>11</v>
      </c>
      <c r="C93" s="37">
        <v>12</v>
      </c>
      <c r="D93" s="37" t="s">
        <v>13</v>
      </c>
      <c r="E93" s="65">
        <f t="shared" ref="E93:E99" si="8">ROUND(H93,2)</f>
        <v>0</v>
      </c>
      <c r="F93" s="66">
        <f t="shared" ref="F93:F99" si="9">C93*E93</f>
        <v>0</v>
      </c>
      <c r="G93" s="37"/>
      <c r="H93" s="43"/>
    </row>
    <row r="94" spans="1:8" x14ac:dyDescent="0.25">
      <c r="A94" s="41" t="s">
        <v>414</v>
      </c>
      <c r="B94" s="42" t="s">
        <v>12</v>
      </c>
      <c r="C94" s="37">
        <v>12</v>
      </c>
      <c r="D94" s="37" t="s">
        <v>13</v>
      </c>
      <c r="E94" s="65">
        <f t="shared" si="8"/>
        <v>0</v>
      </c>
      <c r="F94" s="66">
        <f t="shared" si="9"/>
        <v>0</v>
      </c>
      <c r="G94" s="37"/>
      <c r="H94" s="43"/>
    </row>
    <row r="95" spans="1:8" x14ac:dyDescent="0.25">
      <c r="A95" s="41" t="s">
        <v>415</v>
      </c>
      <c r="B95" s="42" t="s">
        <v>14</v>
      </c>
      <c r="C95" s="37">
        <v>12</v>
      </c>
      <c r="D95" s="37" t="s">
        <v>13</v>
      </c>
      <c r="E95" s="65">
        <f t="shared" si="8"/>
        <v>0</v>
      </c>
      <c r="F95" s="66">
        <f t="shared" si="9"/>
        <v>0</v>
      </c>
      <c r="G95" s="37"/>
      <c r="H95" s="43"/>
    </row>
    <row r="96" spans="1:8" ht="25.5" x14ac:dyDescent="0.25">
      <c r="A96" s="41" t="s">
        <v>416</v>
      </c>
      <c r="B96" s="42" t="s">
        <v>146</v>
      </c>
      <c r="C96" s="37">
        <v>1</v>
      </c>
      <c r="D96" s="37" t="s">
        <v>15</v>
      </c>
      <c r="E96" s="65">
        <f t="shared" si="8"/>
        <v>0</v>
      </c>
      <c r="F96" s="66">
        <f t="shared" si="9"/>
        <v>0</v>
      </c>
      <c r="G96" s="37"/>
      <c r="H96" s="43"/>
    </row>
    <row r="97" spans="1:8" ht="25.5" x14ac:dyDescent="0.25">
      <c r="A97" s="41" t="s">
        <v>417</v>
      </c>
      <c r="B97" s="42" t="s">
        <v>147</v>
      </c>
      <c r="C97" s="37">
        <v>2</v>
      </c>
      <c r="D97" s="37" t="s">
        <v>18</v>
      </c>
      <c r="E97" s="65">
        <f t="shared" si="8"/>
        <v>0</v>
      </c>
      <c r="F97" s="66">
        <f t="shared" si="9"/>
        <v>0</v>
      </c>
      <c r="G97" s="37"/>
      <c r="H97" s="43"/>
    </row>
    <row r="98" spans="1:8" ht="25.5" x14ac:dyDescent="0.25">
      <c r="A98" s="41" t="s">
        <v>418</v>
      </c>
      <c r="B98" s="42" t="s">
        <v>148</v>
      </c>
      <c r="C98" s="37">
        <v>4</v>
      </c>
      <c r="D98" s="37" t="s">
        <v>16</v>
      </c>
      <c r="E98" s="65">
        <f t="shared" si="8"/>
        <v>0</v>
      </c>
      <c r="F98" s="66">
        <f t="shared" si="9"/>
        <v>0</v>
      </c>
      <c r="G98" s="37"/>
      <c r="H98" s="43"/>
    </row>
    <row r="99" spans="1:8" ht="25.5" x14ac:dyDescent="0.25">
      <c r="A99" s="41" t="s">
        <v>419</v>
      </c>
      <c r="B99" s="42" t="s">
        <v>149</v>
      </c>
      <c r="C99" s="37">
        <v>12</v>
      </c>
      <c r="D99" s="37" t="s">
        <v>13</v>
      </c>
      <c r="E99" s="65">
        <f t="shared" si="8"/>
        <v>0</v>
      </c>
      <c r="F99" s="66">
        <f t="shared" si="9"/>
        <v>0</v>
      </c>
      <c r="G99" s="37"/>
      <c r="H99" s="43"/>
    </row>
    <row r="100" spans="1:8" x14ac:dyDescent="0.25">
      <c r="A100" s="41"/>
      <c r="B100" s="31" t="s">
        <v>32</v>
      </c>
      <c r="C100" s="37"/>
      <c r="D100" s="37"/>
      <c r="E100" s="38"/>
      <c r="F100" s="89">
        <f>SUM(F93:F99)</f>
        <v>0</v>
      </c>
      <c r="G100" s="37"/>
      <c r="H100" s="40"/>
    </row>
    <row r="101" spans="1:8" x14ac:dyDescent="0.25">
      <c r="A101" s="69"/>
      <c r="H101" s="104"/>
    </row>
    <row r="102" spans="1:8" x14ac:dyDescent="0.25">
      <c r="A102" s="31" t="s">
        <v>420</v>
      </c>
      <c r="B102" s="31" t="s">
        <v>636</v>
      </c>
      <c r="C102" s="60"/>
      <c r="D102" s="60"/>
      <c r="E102" s="70"/>
      <c r="F102" s="44"/>
      <c r="G102" s="60"/>
      <c r="H102" s="71"/>
    </row>
    <row r="103" spans="1:8" x14ac:dyDescent="0.25">
      <c r="A103" s="41" t="s">
        <v>421</v>
      </c>
      <c r="B103" s="42" t="s">
        <v>11</v>
      </c>
      <c r="C103" s="37">
        <v>12</v>
      </c>
      <c r="D103" s="37" t="s">
        <v>13</v>
      </c>
      <c r="E103" s="72">
        <f>ROUND(H103,2)</f>
        <v>0</v>
      </c>
      <c r="F103" s="66">
        <f>C103*E103</f>
        <v>0</v>
      </c>
      <c r="G103" s="37"/>
      <c r="H103" s="43"/>
    </row>
    <row r="104" spans="1:8" x14ac:dyDescent="0.25">
      <c r="A104" s="41" t="s">
        <v>422</v>
      </c>
      <c r="B104" s="42" t="s">
        <v>12</v>
      </c>
      <c r="C104" s="37">
        <v>12</v>
      </c>
      <c r="D104" s="37" t="s">
        <v>13</v>
      </c>
      <c r="E104" s="72">
        <f>ROUND(H104,2)</f>
        <v>0</v>
      </c>
      <c r="F104" s="66">
        <f>C104*E104</f>
        <v>0</v>
      </c>
      <c r="G104" s="37"/>
      <c r="H104" s="43"/>
    </row>
    <row r="105" spans="1:8" x14ac:dyDescent="0.25">
      <c r="A105" s="41" t="s">
        <v>423</v>
      </c>
      <c r="B105" s="42" t="s">
        <v>14</v>
      </c>
      <c r="C105" s="37">
        <v>12</v>
      </c>
      <c r="D105" s="37" t="s">
        <v>13</v>
      </c>
      <c r="E105" s="72">
        <f>ROUND(H105,2)</f>
        <v>0</v>
      </c>
      <c r="F105" s="66">
        <f>C105*E105</f>
        <v>0</v>
      </c>
      <c r="G105" s="37"/>
      <c r="H105" s="43"/>
    </row>
    <row r="106" spans="1:8" ht="25.5" x14ac:dyDescent="0.25">
      <c r="A106" s="41" t="s">
        <v>424</v>
      </c>
      <c r="B106" s="42" t="s">
        <v>784</v>
      </c>
      <c r="C106" s="37">
        <v>12</v>
      </c>
      <c r="D106" s="37" t="s">
        <v>13</v>
      </c>
      <c r="E106" s="72">
        <f>ROUND(H106,2)</f>
        <v>0</v>
      </c>
      <c r="F106" s="66">
        <f>C106*E106</f>
        <v>0</v>
      </c>
      <c r="G106" s="37"/>
      <c r="H106" s="43"/>
    </row>
    <row r="107" spans="1:8" x14ac:dyDescent="0.25">
      <c r="A107" s="41"/>
      <c r="B107" s="30" t="s">
        <v>637</v>
      </c>
      <c r="C107" s="37"/>
      <c r="D107" s="37"/>
      <c r="E107" s="38"/>
      <c r="F107" s="89">
        <f>SUM(F103:F106)</f>
        <v>0</v>
      </c>
      <c r="G107" s="37"/>
      <c r="H107" s="40"/>
    </row>
    <row r="108" spans="1:8" x14ac:dyDescent="0.25">
      <c r="A108" s="69"/>
      <c r="H108" s="105"/>
    </row>
    <row r="109" spans="1:8" x14ac:dyDescent="0.25">
      <c r="A109" s="31" t="s">
        <v>425</v>
      </c>
      <c r="B109" s="31" t="s">
        <v>643</v>
      </c>
      <c r="C109" s="60"/>
      <c r="D109" s="60"/>
      <c r="E109" s="70"/>
      <c r="F109" s="44"/>
      <c r="G109" s="60"/>
      <c r="H109" s="71"/>
    </row>
    <row r="110" spans="1:8" x14ac:dyDescent="0.25">
      <c r="A110" s="41" t="s">
        <v>426</v>
      </c>
      <c r="B110" s="42" t="s">
        <v>11</v>
      </c>
      <c r="C110" s="37">
        <v>12</v>
      </c>
      <c r="D110" s="37" t="s">
        <v>13</v>
      </c>
      <c r="E110" s="72">
        <f>ROUND(H110,2)</f>
        <v>0</v>
      </c>
      <c r="F110" s="66">
        <f>C110*E110</f>
        <v>0</v>
      </c>
      <c r="G110" s="37"/>
      <c r="H110" s="43"/>
    </row>
    <row r="111" spans="1:8" x14ac:dyDescent="0.25">
      <c r="A111" s="41" t="s">
        <v>427</v>
      </c>
      <c r="B111" s="42" t="s">
        <v>12</v>
      </c>
      <c r="C111" s="37">
        <v>12</v>
      </c>
      <c r="D111" s="37" t="s">
        <v>13</v>
      </c>
      <c r="E111" s="72">
        <f>ROUND(H111,2)</f>
        <v>0</v>
      </c>
      <c r="F111" s="66">
        <f>C111*E111</f>
        <v>0</v>
      </c>
      <c r="G111" s="37"/>
      <c r="H111" s="43"/>
    </row>
    <row r="112" spans="1:8" x14ac:dyDescent="0.25">
      <c r="A112" s="41" t="s">
        <v>428</v>
      </c>
      <c r="B112" s="42" t="s">
        <v>14</v>
      </c>
      <c r="C112" s="37">
        <v>12</v>
      </c>
      <c r="D112" s="37" t="s">
        <v>13</v>
      </c>
      <c r="E112" s="72">
        <f>ROUND(H112,2)</f>
        <v>0</v>
      </c>
      <c r="F112" s="66">
        <f>C112*E112</f>
        <v>0</v>
      </c>
      <c r="G112" s="37"/>
      <c r="H112" s="43"/>
    </row>
    <row r="113" spans="1:8" ht="25.5" x14ac:dyDescent="0.25">
      <c r="A113" s="41" t="s">
        <v>429</v>
      </c>
      <c r="B113" s="42" t="s">
        <v>761</v>
      </c>
      <c r="C113" s="37">
        <v>12</v>
      </c>
      <c r="D113" s="37" t="s">
        <v>13</v>
      </c>
      <c r="E113" s="72">
        <f>ROUND(H113,2)</f>
        <v>0</v>
      </c>
      <c r="F113" s="66">
        <f>C113*E113</f>
        <v>0</v>
      </c>
      <c r="G113" s="37"/>
      <c r="H113" s="43"/>
    </row>
    <row r="114" spans="1:8" x14ac:dyDescent="0.25">
      <c r="A114" s="41"/>
      <c r="B114" s="30" t="s">
        <v>644</v>
      </c>
      <c r="C114" s="37"/>
      <c r="D114" s="37"/>
      <c r="E114" s="38"/>
      <c r="F114" s="89">
        <f>SUM(F110:F113)</f>
        <v>0</v>
      </c>
      <c r="G114" s="37"/>
      <c r="H114" s="40"/>
    </row>
    <row r="115" spans="1:8" x14ac:dyDescent="0.25">
      <c r="A115" s="51"/>
      <c r="H115" s="105"/>
    </row>
    <row r="116" spans="1:8" x14ac:dyDescent="0.25">
      <c r="A116" s="31" t="s">
        <v>697</v>
      </c>
      <c r="B116" s="31" t="s">
        <v>651</v>
      </c>
      <c r="C116" s="60"/>
      <c r="D116" s="60"/>
      <c r="E116" s="70"/>
      <c r="F116" s="44"/>
      <c r="G116" s="60"/>
      <c r="H116" s="71"/>
    </row>
    <row r="117" spans="1:8" x14ac:dyDescent="0.25">
      <c r="A117" s="41" t="s">
        <v>698</v>
      </c>
      <c r="B117" s="42" t="s">
        <v>11</v>
      </c>
      <c r="C117" s="37">
        <v>12</v>
      </c>
      <c r="D117" s="37" t="s">
        <v>13</v>
      </c>
      <c r="E117" s="72">
        <f>ROUND(H117,2)</f>
        <v>0</v>
      </c>
      <c r="F117" s="66">
        <f>C117*E117</f>
        <v>0</v>
      </c>
      <c r="G117" s="37"/>
      <c r="H117" s="43"/>
    </row>
    <row r="118" spans="1:8" x14ac:dyDescent="0.25">
      <c r="A118" s="41" t="s">
        <v>699</v>
      </c>
      <c r="B118" s="42" t="s">
        <v>12</v>
      </c>
      <c r="C118" s="37">
        <v>12</v>
      </c>
      <c r="D118" s="37" t="s">
        <v>13</v>
      </c>
      <c r="E118" s="72">
        <f>ROUND(H118,2)</f>
        <v>0</v>
      </c>
      <c r="F118" s="66">
        <f>C118*E118</f>
        <v>0</v>
      </c>
      <c r="G118" s="37"/>
      <c r="H118" s="43"/>
    </row>
    <row r="119" spans="1:8" x14ac:dyDescent="0.25">
      <c r="A119" s="41" t="s">
        <v>700</v>
      </c>
      <c r="B119" s="42" t="s">
        <v>14</v>
      </c>
      <c r="C119" s="37">
        <v>12</v>
      </c>
      <c r="D119" s="37" t="s">
        <v>13</v>
      </c>
      <c r="E119" s="72">
        <f>ROUND(H119,2)</f>
        <v>0</v>
      </c>
      <c r="F119" s="66">
        <f>C119*E119</f>
        <v>0</v>
      </c>
      <c r="G119" s="37"/>
      <c r="H119" s="43"/>
    </row>
    <row r="120" spans="1:8" ht="25.5" x14ac:dyDescent="0.25">
      <c r="A120" s="41" t="s">
        <v>701</v>
      </c>
      <c r="B120" s="42" t="s">
        <v>762</v>
      </c>
      <c r="C120" s="37">
        <v>12</v>
      </c>
      <c r="D120" s="37" t="s">
        <v>13</v>
      </c>
      <c r="E120" s="72">
        <f>ROUND(H120,2)</f>
        <v>0</v>
      </c>
      <c r="F120" s="66">
        <f>C120*E120</f>
        <v>0</v>
      </c>
      <c r="G120" s="37"/>
      <c r="H120" s="43"/>
    </row>
    <row r="121" spans="1:8" x14ac:dyDescent="0.25">
      <c r="A121" s="41"/>
      <c r="B121" s="30" t="s">
        <v>650</v>
      </c>
      <c r="C121" s="37"/>
      <c r="D121" s="37"/>
      <c r="E121" s="38"/>
      <c r="F121" s="89">
        <f>SUM(F117:F120)</f>
        <v>0</v>
      </c>
      <c r="G121" s="37"/>
      <c r="H121" s="40"/>
    </row>
    <row r="122" spans="1:8" x14ac:dyDescent="0.25">
      <c r="H122" s="105"/>
    </row>
    <row r="123" spans="1:8" x14ac:dyDescent="0.25">
      <c r="A123" s="31" t="s">
        <v>702</v>
      </c>
      <c r="B123" s="31" t="s">
        <v>122</v>
      </c>
      <c r="C123" s="60"/>
      <c r="D123" s="60"/>
      <c r="E123" s="70"/>
      <c r="F123" s="44"/>
      <c r="G123" s="60"/>
      <c r="H123" s="71"/>
    </row>
    <row r="124" spans="1:8" x14ac:dyDescent="0.25">
      <c r="A124" s="41" t="s">
        <v>703</v>
      </c>
      <c r="B124" s="42" t="s">
        <v>11</v>
      </c>
      <c r="C124" s="37">
        <v>12</v>
      </c>
      <c r="D124" s="37" t="s">
        <v>13</v>
      </c>
      <c r="E124" s="72">
        <f>ROUND(H124,2)</f>
        <v>0</v>
      </c>
      <c r="F124" s="66">
        <f>C124*E124</f>
        <v>0</v>
      </c>
      <c r="G124" s="37"/>
      <c r="H124" s="43"/>
    </row>
    <row r="125" spans="1:8" x14ac:dyDescent="0.25">
      <c r="A125" s="41" t="s">
        <v>704</v>
      </c>
      <c r="B125" s="42" t="s">
        <v>12</v>
      </c>
      <c r="C125" s="37">
        <v>12</v>
      </c>
      <c r="D125" s="37" t="s">
        <v>13</v>
      </c>
      <c r="E125" s="72">
        <f>ROUND(H125,2)</f>
        <v>0</v>
      </c>
      <c r="F125" s="66">
        <f>C125*E125</f>
        <v>0</v>
      </c>
      <c r="G125" s="37"/>
      <c r="H125" s="43"/>
    </row>
    <row r="126" spans="1:8" x14ac:dyDescent="0.25">
      <c r="A126" s="41" t="s">
        <v>705</v>
      </c>
      <c r="B126" s="42" t="s">
        <v>14</v>
      </c>
      <c r="C126" s="37">
        <v>12</v>
      </c>
      <c r="D126" s="37" t="s">
        <v>13</v>
      </c>
      <c r="E126" s="72">
        <f>ROUND(H126,2)</f>
        <v>0</v>
      </c>
      <c r="F126" s="66">
        <f>C126*E126</f>
        <v>0</v>
      </c>
      <c r="G126" s="37"/>
      <c r="H126" s="43"/>
    </row>
    <row r="127" spans="1:8" ht="25.5" x14ac:dyDescent="0.25">
      <c r="A127" s="41" t="s">
        <v>706</v>
      </c>
      <c r="B127" s="42" t="s">
        <v>727</v>
      </c>
      <c r="C127" s="37">
        <v>12</v>
      </c>
      <c r="D127" s="37" t="s">
        <v>13</v>
      </c>
      <c r="E127" s="72">
        <f>ROUND(H127,2)</f>
        <v>0</v>
      </c>
      <c r="F127" s="66">
        <f>C127*E127</f>
        <v>0</v>
      </c>
      <c r="G127" s="37"/>
      <c r="H127" s="43"/>
    </row>
    <row r="128" spans="1:8" x14ac:dyDescent="0.25">
      <c r="A128" s="41"/>
      <c r="B128" s="30" t="s">
        <v>123</v>
      </c>
      <c r="C128" s="37"/>
      <c r="D128" s="37"/>
      <c r="E128" s="38"/>
      <c r="F128" s="89">
        <f>SUM(F124:F127)</f>
        <v>0</v>
      </c>
      <c r="G128" s="37"/>
      <c r="H128" s="40"/>
    </row>
    <row r="129" spans="1:8" x14ac:dyDescent="0.25">
      <c r="H129" s="104"/>
    </row>
    <row r="130" spans="1:8" x14ac:dyDescent="0.25">
      <c r="A130" s="31" t="s">
        <v>707</v>
      </c>
      <c r="B130" s="31" t="s">
        <v>121</v>
      </c>
      <c r="C130" s="60"/>
      <c r="D130" s="60"/>
      <c r="E130" s="70"/>
      <c r="F130" s="44"/>
      <c r="G130" s="60"/>
      <c r="H130" s="71"/>
    </row>
    <row r="131" spans="1:8" x14ac:dyDescent="0.25">
      <c r="A131" s="41" t="s">
        <v>708</v>
      </c>
      <c r="B131" s="42" t="s">
        <v>11</v>
      </c>
      <c r="C131" s="37">
        <v>12</v>
      </c>
      <c r="D131" s="37" t="s">
        <v>13</v>
      </c>
      <c r="E131" s="72">
        <f>ROUND(H131,2)</f>
        <v>0</v>
      </c>
      <c r="F131" s="66">
        <f>C131*E131</f>
        <v>0</v>
      </c>
      <c r="G131" s="37"/>
      <c r="H131" s="43"/>
    </row>
    <row r="132" spans="1:8" x14ac:dyDescent="0.25">
      <c r="A132" s="41" t="s">
        <v>709</v>
      </c>
      <c r="B132" s="42" t="s">
        <v>12</v>
      </c>
      <c r="C132" s="37">
        <v>12</v>
      </c>
      <c r="D132" s="37" t="s">
        <v>13</v>
      </c>
      <c r="E132" s="72">
        <f>ROUND(H132,2)</f>
        <v>0</v>
      </c>
      <c r="F132" s="66">
        <f>C132*E132</f>
        <v>0</v>
      </c>
      <c r="G132" s="37"/>
      <c r="H132" s="43"/>
    </row>
    <row r="133" spans="1:8" x14ac:dyDescent="0.25">
      <c r="A133" s="41" t="s">
        <v>710</v>
      </c>
      <c r="B133" s="42" t="s">
        <v>14</v>
      </c>
      <c r="C133" s="37">
        <v>12</v>
      </c>
      <c r="D133" s="37" t="s">
        <v>13</v>
      </c>
      <c r="E133" s="72">
        <f>ROUND(H133,2)</f>
        <v>0</v>
      </c>
      <c r="F133" s="66">
        <f>C133*E133</f>
        <v>0</v>
      </c>
      <c r="G133" s="37"/>
      <c r="H133" s="43"/>
    </row>
    <row r="134" spans="1:8" ht="25.5" x14ac:dyDescent="0.25">
      <c r="A134" s="41" t="s">
        <v>711</v>
      </c>
      <c r="B134" s="42" t="s">
        <v>727</v>
      </c>
      <c r="C134" s="37">
        <v>12</v>
      </c>
      <c r="D134" s="37" t="s">
        <v>13</v>
      </c>
      <c r="E134" s="72">
        <f>ROUND(H134,2)</f>
        <v>0</v>
      </c>
      <c r="F134" s="66">
        <f>C134*E134</f>
        <v>0</v>
      </c>
      <c r="G134" s="37"/>
      <c r="H134" s="43"/>
    </row>
    <row r="135" spans="1:8" x14ac:dyDescent="0.25">
      <c r="A135" s="41"/>
      <c r="B135" s="30" t="s">
        <v>124</v>
      </c>
      <c r="C135" s="37"/>
      <c r="D135" s="37"/>
      <c r="E135" s="38"/>
      <c r="F135" s="89">
        <f>SUM(F131:F134)</f>
        <v>0</v>
      </c>
      <c r="G135" s="37"/>
      <c r="H135" s="40"/>
    </row>
    <row r="136" spans="1:8" x14ac:dyDescent="0.25">
      <c r="A136" s="51"/>
      <c r="B136" s="61"/>
      <c r="C136" s="22"/>
      <c r="D136" s="22"/>
      <c r="E136" s="23"/>
      <c r="F136" s="92"/>
      <c r="G136" s="22"/>
      <c r="H136" s="93"/>
    </row>
    <row r="137" spans="1:8" x14ac:dyDescent="0.25">
      <c r="A137" s="31" t="s">
        <v>750</v>
      </c>
      <c r="B137" s="31" t="s">
        <v>785</v>
      </c>
      <c r="C137" s="60"/>
      <c r="D137" s="60"/>
      <c r="E137" s="70"/>
      <c r="F137" s="44"/>
      <c r="G137" s="60"/>
      <c r="H137" s="71"/>
    </row>
    <row r="138" spans="1:8" x14ac:dyDescent="0.25">
      <c r="A138" s="41" t="s">
        <v>751</v>
      </c>
      <c r="B138" s="42" t="s">
        <v>11</v>
      </c>
      <c r="C138" s="37">
        <v>12</v>
      </c>
      <c r="D138" s="37" t="s">
        <v>13</v>
      </c>
      <c r="E138" s="72">
        <f>ROUND(H138,2)</f>
        <v>0</v>
      </c>
      <c r="F138" s="66">
        <f>C138*E138</f>
        <v>0</v>
      </c>
      <c r="G138" s="37"/>
      <c r="H138" s="43"/>
    </row>
    <row r="139" spans="1:8" x14ac:dyDescent="0.25">
      <c r="A139" s="41" t="s">
        <v>752</v>
      </c>
      <c r="B139" s="42" t="s">
        <v>12</v>
      </c>
      <c r="C139" s="37">
        <v>12</v>
      </c>
      <c r="D139" s="37" t="s">
        <v>13</v>
      </c>
      <c r="E139" s="72">
        <f>ROUND(H139,2)</f>
        <v>0</v>
      </c>
      <c r="F139" s="66">
        <f>C139*E139</f>
        <v>0</v>
      </c>
      <c r="G139" s="37"/>
      <c r="H139" s="43"/>
    </row>
    <row r="140" spans="1:8" x14ac:dyDescent="0.25">
      <c r="A140" s="41" t="s">
        <v>753</v>
      </c>
      <c r="B140" s="42" t="s">
        <v>14</v>
      </c>
      <c r="C140" s="37">
        <v>12</v>
      </c>
      <c r="D140" s="37" t="s">
        <v>13</v>
      </c>
      <c r="E140" s="72">
        <f>ROUND(H140,2)</f>
        <v>0</v>
      </c>
      <c r="F140" s="66">
        <f>C140*E140</f>
        <v>0</v>
      </c>
      <c r="G140" s="37"/>
      <c r="H140" s="43"/>
    </row>
    <row r="141" spans="1:8" ht="25.5" x14ac:dyDescent="0.25">
      <c r="A141" s="41" t="s">
        <v>754</v>
      </c>
      <c r="B141" s="42" t="s">
        <v>734</v>
      </c>
      <c r="C141" s="37">
        <v>12</v>
      </c>
      <c r="D141" s="37" t="s">
        <v>13</v>
      </c>
      <c r="E141" s="72">
        <f>ROUND(H141,2)</f>
        <v>0</v>
      </c>
      <c r="F141" s="66">
        <f>C141*E141</f>
        <v>0</v>
      </c>
      <c r="G141" s="37"/>
      <c r="H141" s="43"/>
    </row>
    <row r="142" spans="1:8" x14ac:dyDescent="0.25">
      <c r="A142" s="41"/>
      <c r="B142" s="30" t="s">
        <v>786</v>
      </c>
      <c r="C142" s="37"/>
      <c r="D142" s="37"/>
      <c r="E142" s="38"/>
      <c r="F142" s="89">
        <f>SUM(F138:F141)</f>
        <v>0</v>
      </c>
      <c r="G142" s="37"/>
      <c r="H142" s="40"/>
    </row>
    <row r="143" spans="1:8" x14ac:dyDescent="0.25">
      <c r="A143" s="51"/>
      <c r="B143" s="61"/>
      <c r="C143" s="22"/>
      <c r="D143" s="22"/>
      <c r="E143" s="23"/>
      <c r="F143" s="92"/>
      <c r="G143" s="22"/>
      <c r="H143" s="93"/>
    </row>
    <row r="144" spans="1:8" x14ac:dyDescent="0.25">
      <c r="B144" s="194" t="s">
        <v>430</v>
      </c>
      <c r="C144" s="194"/>
      <c r="D144" s="194"/>
      <c r="E144" s="194"/>
      <c r="F144" s="90">
        <f>SUM(F18,F27,F36,F48,F56,F64,F72,F81,F90,F100,F107,F114,F121,F128,F135, F142)</f>
        <v>0</v>
      </c>
    </row>
  </sheetData>
  <sheetProtection password="C9A6" sheet="1" selectLockedCells="1"/>
  <mergeCells count="6">
    <mergeCell ref="B144:E144"/>
    <mergeCell ref="H1:H10"/>
    <mergeCell ref="A2:G2"/>
    <mergeCell ref="A3:G3"/>
    <mergeCell ref="A4:G4"/>
    <mergeCell ref="A5:G5"/>
  </mergeCells>
  <pageMargins left="0.25" right="0.25" top="0.75" bottom="0.75" header="0.3" footer="0.3"/>
  <pageSetup scale="91" fitToHeight="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I36"/>
  <sheetViews>
    <sheetView showZeros="0" topLeftCell="A10" zoomScaleNormal="100" workbookViewId="0">
      <selection activeCell="H12" sqref="H12"/>
    </sheetView>
  </sheetViews>
  <sheetFormatPr defaultColWidth="8.5703125" defaultRowHeight="12.75" x14ac:dyDescent="0.2"/>
  <cols>
    <col min="1" max="1" width="8.140625" style="76" customWidth="1"/>
    <col min="2" max="2" width="18.7109375" style="76" customWidth="1"/>
    <col min="3" max="3" width="56.85546875" style="76" customWidth="1"/>
    <col min="4" max="4" width="8.28515625" style="84" customWidth="1"/>
    <col min="5" max="5" width="9" style="76" customWidth="1"/>
    <col min="6" max="6" width="11.7109375" style="76" customWidth="1"/>
    <col min="7" max="7" width="13.85546875" style="85" customWidth="1"/>
    <col min="8" max="8" width="10.42578125" style="85" customWidth="1"/>
    <col min="9" max="9" width="16" style="83" customWidth="1"/>
    <col min="10" max="253" width="8.5703125" style="76"/>
    <col min="254" max="254" width="8.140625" style="76" customWidth="1"/>
    <col min="255" max="255" width="6" style="76" customWidth="1"/>
    <col min="256" max="256" width="9.85546875" style="76" customWidth="1"/>
    <col min="257" max="257" width="12.28515625" style="76" customWidth="1"/>
    <col min="258" max="258" width="29" style="76" customWidth="1"/>
    <col min="259" max="259" width="7.5703125" style="76" customWidth="1"/>
    <col min="260" max="260" width="6.85546875" style="76" customWidth="1"/>
    <col min="261" max="261" width="8.5703125" style="76"/>
    <col min="262" max="262" width="11.85546875" style="76" bestFit="1" customWidth="1"/>
    <col min="263" max="263" width="14.28515625" style="76" customWidth="1"/>
    <col min="264" max="509" width="8.5703125" style="76"/>
    <col min="510" max="510" width="8.140625" style="76" customWidth="1"/>
    <col min="511" max="511" width="6" style="76" customWidth="1"/>
    <col min="512" max="512" width="9.85546875" style="76" customWidth="1"/>
    <col min="513" max="513" width="12.28515625" style="76" customWidth="1"/>
    <col min="514" max="514" width="29" style="76" customWidth="1"/>
    <col min="515" max="515" width="7.5703125" style="76" customWidth="1"/>
    <col min="516" max="516" width="6.85546875" style="76" customWidth="1"/>
    <col min="517" max="517" width="8.5703125" style="76"/>
    <col min="518" max="518" width="11.85546875" style="76" bestFit="1" customWidth="1"/>
    <col min="519" max="519" width="14.28515625" style="76" customWidth="1"/>
    <col min="520" max="765" width="8.5703125" style="76"/>
    <col min="766" max="766" width="8.140625" style="76" customWidth="1"/>
    <col min="767" max="767" width="6" style="76" customWidth="1"/>
    <col min="768" max="768" width="9.85546875" style="76" customWidth="1"/>
    <col min="769" max="769" width="12.28515625" style="76" customWidth="1"/>
    <col min="770" max="770" width="29" style="76" customWidth="1"/>
    <col min="771" max="771" width="7.5703125" style="76" customWidth="1"/>
    <col min="772" max="772" width="6.85546875" style="76" customWidth="1"/>
    <col min="773" max="773" width="8.5703125" style="76"/>
    <col min="774" max="774" width="11.85546875" style="76" bestFit="1" customWidth="1"/>
    <col min="775" max="775" width="14.28515625" style="76" customWidth="1"/>
    <col min="776" max="1021" width="8.5703125" style="76"/>
    <col min="1022" max="1022" width="8.140625" style="76" customWidth="1"/>
    <col min="1023" max="1023" width="6" style="76" customWidth="1"/>
    <col min="1024" max="1024" width="9.85546875" style="76" customWidth="1"/>
    <col min="1025" max="1025" width="12.28515625" style="76" customWidth="1"/>
    <col min="1026" max="1026" width="29" style="76" customWidth="1"/>
    <col min="1027" max="1027" width="7.5703125" style="76" customWidth="1"/>
    <col min="1028" max="1028" width="6.85546875" style="76" customWidth="1"/>
    <col min="1029" max="1029" width="8.5703125" style="76"/>
    <col min="1030" max="1030" width="11.85546875" style="76" bestFit="1" customWidth="1"/>
    <col min="1031" max="1031" width="14.28515625" style="76" customWidth="1"/>
    <col min="1032" max="1277" width="8.5703125" style="76"/>
    <col min="1278" max="1278" width="8.140625" style="76" customWidth="1"/>
    <col min="1279" max="1279" width="6" style="76" customWidth="1"/>
    <col min="1280" max="1280" width="9.85546875" style="76" customWidth="1"/>
    <col min="1281" max="1281" width="12.28515625" style="76" customWidth="1"/>
    <col min="1282" max="1282" width="29" style="76" customWidth="1"/>
    <col min="1283" max="1283" width="7.5703125" style="76" customWidth="1"/>
    <col min="1284" max="1284" width="6.85546875" style="76" customWidth="1"/>
    <col min="1285" max="1285" width="8.5703125" style="76"/>
    <col min="1286" max="1286" width="11.85546875" style="76" bestFit="1" customWidth="1"/>
    <col min="1287" max="1287" width="14.28515625" style="76" customWidth="1"/>
    <col min="1288" max="1533" width="8.5703125" style="76"/>
    <col min="1534" max="1534" width="8.140625" style="76" customWidth="1"/>
    <col min="1535" max="1535" width="6" style="76" customWidth="1"/>
    <col min="1536" max="1536" width="9.85546875" style="76" customWidth="1"/>
    <col min="1537" max="1537" width="12.28515625" style="76" customWidth="1"/>
    <col min="1538" max="1538" width="29" style="76" customWidth="1"/>
    <col min="1539" max="1539" width="7.5703125" style="76" customWidth="1"/>
    <col min="1540" max="1540" width="6.85546875" style="76" customWidth="1"/>
    <col min="1541" max="1541" width="8.5703125" style="76"/>
    <col min="1542" max="1542" width="11.85546875" style="76" bestFit="1" customWidth="1"/>
    <col min="1543" max="1543" width="14.28515625" style="76" customWidth="1"/>
    <col min="1544" max="1789" width="8.5703125" style="76"/>
    <col min="1790" max="1790" width="8.140625" style="76" customWidth="1"/>
    <col min="1791" max="1791" width="6" style="76" customWidth="1"/>
    <col min="1792" max="1792" width="9.85546875" style="76" customWidth="1"/>
    <col min="1793" max="1793" width="12.28515625" style="76" customWidth="1"/>
    <col min="1794" max="1794" width="29" style="76" customWidth="1"/>
    <col min="1795" max="1795" width="7.5703125" style="76" customWidth="1"/>
    <col min="1796" max="1796" width="6.85546875" style="76" customWidth="1"/>
    <col min="1797" max="1797" width="8.5703125" style="76"/>
    <col min="1798" max="1798" width="11.85546875" style="76" bestFit="1" customWidth="1"/>
    <col min="1799" max="1799" width="14.28515625" style="76" customWidth="1"/>
    <col min="1800" max="2045" width="8.5703125" style="76"/>
    <col min="2046" max="2046" width="8.140625" style="76" customWidth="1"/>
    <col min="2047" max="2047" width="6" style="76" customWidth="1"/>
    <col min="2048" max="2048" width="9.85546875" style="76" customWidth="1"/>
    <col min="2049" max="2049" width="12.28515625" style="76" customWidth="1"/>
    <col min="2050" max="2050" width="29" style="76" customWidth="1"/>
    <col min="2051" max="2051" width="7.5703125" style="76" customWidth="1"/>
    <col min="2052" max="2052" width="6.85546875" style="76" customWidth="1"/>
    <col min="2053" max="2053" width="8.5703125" style="76"/>
    <col min="2054" max="2054" width="11.85546875" style="76" bestFit="1" customWidth="1"/>
    <col min="2055" max="2055" width="14.28515625" style="76" customWidth="1"/>
    <col min="2056" max="2301" width="8.5703125" style="76"/>
    <col min="2302" max="2302" width="8.140625" style="76" customWidth="1"/>
    <col min="2303" max="2303" width="6" style="76" customWidth="1"/>
    <col min="2304" max="2304" width="9.85546875" style="76" customWidth="1"/>
    <col min="2305" max="2305" width="12.28515625" style="76" customWidth="1"/>
    <col min="2306" max="2306" width="29" style="76" customWidth="1"/>
    <col min="2307" max="2307" width="7.5703125" style="76" customWidth="1"/>
    <col min="2308" max="2308" width="6.85546875" style="76" customWidth="1"/>
    <col min="2309" max="2309" width="8.5703125" style="76"/>
    <col min="2310" max="2310" width="11.85546875" style="76" bestFit="1" customWidth="1"/>
    <col min="2311" max="2311" width="14.28515625" style="76" customWidth="1"/>
    <col min="2312" max="2557" width="8.5703125" style="76"/>
    <col min="2558" max="2558" width="8.140625" style="76" customWidth="1"/>
    <col min="2559" max="2559" width="6" style="76" customWidth="1"/>
    <col min="2560" max="2560" width="9.85546875" style="76" customWidth="1"/>
    <col min="2561" max="2561" width="12.28515625" style="76" customWidth="1"/>
    <col min="2562" max="2562" width="29" style="76" customWidth="1"/>
    <col min="2563" max="2563" width="7.5703125" style="76" customWidth="1"/>
    <col min="2564" max="2564" width="6.85546875" style="76" customWidth="1"/>
    <col min="2565" max="2565" width="8.5703125" style="76"/>
    <col min="2566" max="2566" width="11.85546875" style="76" bestFit="1" customWidth="1"/>
    <col min="2567" max="2567" width="14.28515625" style="76" customWidth="1"/>
    <col min="2568" max="2813" width="8.5703125" style="76"/>
    <col min="2814" max="2814" width="8.140625" style="76" customWidth="1"/>
    <col min="2815" max="2815" width="6" style="76" customWidth="1"/>
    <col min="2816" max="2816" width="9.85546875" style="76" customWidth="1"/>
    <col min="2817" max="2817" width="12.28515625" style="76" customWidth="1"/>
    <col min="2818" max="2818" width="29" style="76" customWidth="1"/>
    <col min="2819" max="2819" width="7.5703125" style="76" customWidth="1"/>
    <col min="2820" max="2820" width="6.85546875" style="76" customWidth="1"/>
    <col min="2821" max="2821" width="8.5703125" style="76"/>
    <col min="2822" max="2822" width="11.85546875" style="76" bestFit="1" customWidth="1"/>
    <col min="2823" max="2823" width="14.28515625" style="76" customWidth="1"/>
    <col min="2824" max="3069" width="8.5703125" style="76"/>
    <col min="3070" max="3070" width="8.140625" style="76" customWidth="1"/>
    <col min="3071" max="3071" width="6" style="76" customWidth="1"/>
    <col min="3072" max="3072" width="9.85546875" style="76" customWidth="1"/>
    <col min="3073" max="3073" width="12.28515625" style="76" customWidth="1"/>
    <col min="3074" max="3074" width="29" style="76" customWidth="1"/>
    <col min="3075" max="3075" width="7.5703125" style="76" customWidth="1"/>
    <col min="3076" max="3076" width="6.85546875" style="76" customWidth="1"/>
    <col min="3077" max="3077" width="8.5703125" style="76"/>
    <col min="3078" max="3078" width="11.85546875" style="76" bestFit="1" customWidth="1"/>
    <col min="3079" max="3079" width="14.28515625" style="76" customWidth="1"/>
    <col min="3080" max="3325" width="8.5703125" style="76"/>
    <col min="3326" max="3326" width="8.140625" style="76" customWidth="1"/>
    <col min="3327" max="3327" width="6" style="76" customWidth="1"/>
    <col min="3328" max="3328" width="9.85546875" style="76" customWidth="1"/>
    <col min="3329" max="3329" width="12.28515625" style="76" customWidth="1"/>
    <col min="3330" max="3330" width="29" style="76" customWidth="1"/>
    <col min="3331" max="3331" width="7.5703125" style="76" customWidth="1"/>
    <col min="3332" max="3332" width="6.85546875" style="76" customWidth="1"/>
    <col min="3333" max="3333" width="8.5703125" style="76"/>
    <col min="3334" max="3334" width="11.85546875" style="76" bestFit="1" customWidth="1"/>
    <col min="3335" max="3335" width="14.28515625" style="76" customWidth="1"/>
    <col min="3336" max="3581" width="8.5703125" style="76"/>
    <col min="3582" max="3582" width="8.140625" style="76" customWidth="1"/>
    <col min="3583" max="3583" width="6" style="76" customWidth="1"/>
    <col min="3584" max="3584" width="9.85546875" style="76" customWidth="1"/>
    <col min="3585" max="3585" width="12.28515625" style="76" customWidth="1"/>
    <col min="3586" max="3586" width="29" style="76" customWidth="1"/>
    <col min="3587" max="3587" width="7.5703125" style="76" customWidth="1"/>
    <col min="3588" max="3588" width="6.85546875" style="76" customWidth="1"/>
    <col min="3589" max="3589" width="8.5703125" style="76"/>
    <col min="3590" max="3590" width="11.85546875" style="76" bestFit="1" customWidth="1"/>
    <col min="3591" max="3591" width="14.28515625" style="76" customWidth="1"/>
    <col min="3592" max="3837" width="8.5703125" style="76"/>
    <col min="3838" max="3838" width="8.140625" style="76" customWidth="1"/>
    <col min="3839" max="3839" width="6" style="76" customWidth="1"/>
    <col min="3840" max="3840" width="9.85546875" style="76" customWidth="1"/>
    <col min="3841" max="3841" width="12.28515625" style="76" customWidth="1"/>
    <col min="3842" max="3842" width="29" style="76" customWidth="1"/>
    <col min="3843" max="3843" width="7.5703125" style="76" customWidth="1"/>
    <col min="3844" max="3844" width="6.85546875" style="76" customWidth="1"/>
    <col min="3845" max="3845" width="8.5703125" style="76"/>
    <col min="3846" max="3846" width="11.85546875" style="76" bestFit="1" customWidth="1"/>
    <col min="3847" max="3847" width="14.28515625" style="76" customWidth="1"/>
    <col min="3848" max="4093" width="8.5703125" style="76"/>
    <col min="4094" max="4094" width="8.140625" style="76" customWidth="1"/>
    <col min="4095" max="4095" width="6" style="76" customWidth="1"/>
    <col min="4096" max="4096" width="9.85546875" style="76" customWidth="1"/>
    <col min="4097" max="4097" width="12.28515625" style="76" customWidth="1"/>
    <col min="4098" max="4098" width="29" style="76" customWidth="1"/>
    <col min="4099" max="4099" width="7.5703125" style="76" customWidth="1"/>
    <col min="4100" max="4100" width="6.85546875" style="76" customWidth="1"/>
    <col min="4101" max="4101" width="8.5703125" style="76"/>
    <col min="4102" max="4102" width="11.85546875" style="76" bestFit="1" customWidth="1"/>
    <col min="4103" max="4103" width="14.28515625" style="76" customWidth="1"/>
    <col min="4104" max="4349" width="8.5703125" style="76"/>
    <col min="4350" max="4350" width="8.140625" style="76" customWidth="1"/>
    <col min="4351" max="4351" width="6" style="76" customWidth="1"/>
    <col min="4352" max="4352" width="9.85546875" style="76" customWidth="1"/>
    <col min="4353" max="4353" width="12.28515625" style="76" customWidth="1"/>
    <col min="4354" max="4354" width="29" style="76" customWidth="1"/>
    <col min="4355" max="4355" width="7.5703125" style="76" customWidth="1"/>
    <col min="4356" max="4356" width="6.85546875" style="76" customWidth="1"/>
    <col min="4357" max="4357" width="8.5703125" style="76"/>
    <col min="4358" max="4358" width="11.85546875" style="76" bestFit="1" customWidth="1"/>
    <col min="4359" max="4359" width="14.28515625" style="76" customWidth="1"/>
    <col min="4360" max="4605" width="8.5703125" style="76"/>
    <col min="4606" max="4606" width="8.140625" style="76" customWidth="1"/>
    <col min="4607" max="4607" width="6" style="76" customWidth="1"/>
    <col min="4608" max="4608" width="9.85546875" style="76" customWidth="1"/>
    <col min="4609" max="4609" width="12.28515625" style="76" customWidth="1"/>
    <col min="4610" max="4610" width="29" style="76" customWidth="1"/>
    <col min="4611" max="4611" width="7.5703125" style="76" customWidth="1"/>
    <col min="4612" max="4612" width="6.85546875" style="76" customWidth="1"/>
    <col min="4613" max="4613" width="8.5703125" style="76"/>
    <col min="4614" max="4614" width="11.85546875" style="76" bestFit="1" customWidth="1"/>
    <col min="4615" max="4615" width="14.28515625" style="76" customWidth="1"/>
    <col min="4616" max="4861" width="8.5703125" style="76"/>
    <col min="4862" max="4862" width="8.140625" style="76" customWidth="1"/>
    <col min="4863" max="4863" width="6" style="76" customWidth="1"/>
    <col min="4864" max="4864" width="9.85546875" style="76" customWidth="1"/>
    <col min="4865" max="4865" width="12.28515625" style="76" customWidth="1"/>
    <col min="4866" max="4866" width="29" style="76" customWidth="1"/>
    <col min="4867" max="4867" width="7.5703125" style="76" customWidth="1"/>
    <col min="4868" max="4868" width="6.85546875" style="76" customWidth="1"/>
    <col min="4869" max="4869" width="8.5703125" style="76"/>
    <col min="4870" max="4870" width="11.85546875" style="76" bestFit="1" customWidth="1"/>
    <col min="4871" max="4871" width="14.28515625" style="76" customWidth="1"/>
    <col min="4872" max="5117" width="8.5703125" style="76"/>
    <col min="5118" max="5118" width="8.140625" style="76" customWidth="1"/>
    <col min="5119" max="5119" width="6" style="76" customWidth="1"/>
    <col min="5120" max="5120" width="9.85546875" style="76" customWidth="1"/>
    <col min="5121" max="5121" width="12.28515625" style="76" customWidth="1"/>
    <col min="5122" max="5122" width="29" style="76" customWidth="1"/>
    <col min="5123" max="5123" width="7.5703125" style="76" customWidth="1"/>
    <col min="5124" max="5124" width="6.85546875" style="76" customWidth="1"/>
    <col min="5125" max="5125" width="8.5703125" style="76"/>
    <col min="5126" max="5126" width="11.85546875" style="76" bestFit="1" customWidth="1"/>
    <col min="5127" max="5127" width="14.28515625" style="76" customWidth="1"/>
    <col min="5128" max="5373" width="8.5703125" style="76"/>
    <col min="5374" max="5374" width="8.140625" style="76" customWidth="1"/>
    <col min="5375" max="5375" width="6" style="76" customWidth="1"/>
    <col min="5376" max="5376" width="9.85546875" style="76" customWidth="1"/>
    <col min="5377" max="5377" width="12.28515625" style="76" customWidth="1"/>
    <col min="5378" max="5378" width="29" style="76" customWidth="1"/>
    <col min="5379" max="5379" width="7.5703125" style="76" customWidth="1"/>
    <col min="5380" max="5380" width="6.85546875" style="76" customWidth="1"/>
    <col min="5381" max="5381" width="8.5703125" style="76"/>
    <col min="5382" max="5382" width="11.85546875" style="76" bestFit="1" customWidth="1"/>
    <col min="5383" max="5383" width="14.28515625" style="76" customWidth="1"/>
    <col min="5384" max="5629" width="8.5703125" style="76"/>
    <col min="5630" max="5630" width="8.140625" style="76" customWidth="1"/>
    <col min="5631" max="5631" width="6" style="76" customWidth="1"/>
    <col min="5632" max="5632" width="9.85546875" style="76" customWidth="1"/>
    <col min="5633" max="5633" width="12.28515625" style="76" customWidth="1"/>
    <col min="5634" max="5634" width="29" style="76" customWidth="1"/>
    <col min="5635" max="5635" width="7.5703125" style="76" customWidth="1"/>
    <col min="5636" max="5636" width="6.85546875" style="76" customWidth="1"/>
    <col min="5637" max="5637" width="8.5703125" style="76"/>
    <col min="5638" max="5638" width="11.85546875" style="76" bestFit="1" customWidth="1"/>
    <col min="5639" max="5639" width="14.28515625" style="76" customWidth="1"/>
    <col min="5640" max="5885" width="8.5703125" style="76"/>
    <col min="5886" max="5886" width="8.140625" style="76" customWidth="1"/>
    <col min="5887" max="5887" width="6" style="76" customWidth="1"/>
    <col min="5888" max="5888" width="9.85546875" style="76" customWidth="1"/>
    <col min="5889" max="5889" width="12.28515625" style="76" customWidth="1"/>
    <col min="5890" max="5890" width="29" style="76" customWidth="1"/>
    <col min="5891" max="5891" width="7.5703125" style="76" customWidth="1"/>
    <col min="5892" max="5892" width="6.85546875" style="76" customWidth="1"/>
    <col min="5893" max="5893" width="8.5703125" style="76"/>
    <col min="5894" max="5894" width="11.85546875" style="76" bestFit="1" customWidth="1"/>
    <col min="5895" max="5895" width="14.28515625" style="76" customWidth="1"/>
    <col min="5896" max="6141" width="8.5703125" style="76"/>
    <col min="6142" max="6142" width="8.140625" style="76" customWidth="1"/>
    <col min="6143" max="6143" width="6" style="76" customWidth="1"/>
    <col min="6144" max="6144" width="9.85546875" style="76" customWidth="1"/>
    <col min="6145" max="6145" width="12.28515625" style="76" customWidth="1"/>
    <col min="6146" max="6146" width="29" style="76" customWidth="1"/>
    <col min="6147" max="6147" width="7.5703125" style="76" customWidth="1"/>
    <col min="6148" max="6148" width="6.85546875" style="76" customWidth="1"/>
    <col min="6149" max="6149" width="8.5703125" style="76"/>
    <col min="6150" max="6150" width="11.85546875" style="76" bestFit="1" customWidth="1"/>
    <col min="6151" max="6151" width="14.28515625" style="76" customWidth="1"/>
    <col min="6152" max="6397" width="8.5703125" style="76"/>
    <col min="6398" max="6398" width="8.140625" style="76" customWidth="1"/>
    <col min="6399" max="6399" width="6" style="76" customWidth="1"/>
    <col min="6400" max="6400" width="9.85546875" style="76" customWidth="1"/>
    <col min="6401" max="6401" width="12.28515625" style="76" customWidth="1"/>
    <col min="6402" max="6402" width="29" style="76" customWidth="1"/>
    <col min="6403" max="6403" width="7.5703125" style="76" customWidth="1"/>
    <col min="6404" max="6404" width="6.85546875" style="76" customWidth="1"/>
    <col min="6405" max="6405" width="8.5703125" style="76"/>
    <col min="6406" max="6406" width="11.85546875" style="76" bestFit="1" customWidth="1"/>
    <col min="6407" max="6407" width="14.28515625" style="76" customWidth="1"/>
    <col min="6408" max="6653" width="8.5703125" style="76"/>
    <col min="6654" max="6654" width="8.140625" style="76" customWidth="1"/>
    <col min="6655" max="6655" width="6" style="76" customWidth="1"/>
    <col min="6656" max="6656" width="9.85546875" style="76" customWidth="1"/>
    <col min="6657" max="6657" width="12.28515625" style="76" customWidth="1"/>
    <col min="6658" max="6658" width="29" style="76" customWidth="1"/>
    <col min="6659" max="6659" width="7.5703125" style="76" customWidth="1"/>
    <col min="6660" max="6660" width="6.85546875" style="76" customWidth="1"/>
    <col min="6661" max="6661" width="8.5703125" style="76"/>
    <col min="6662" max="6662" width="11.85546875" style="76" bestFit="1" customWidth="1"/>
    <col min="6663" max="6663" width="14.28515625" style="76" customWidth="1"/>
    <col min="6664" max="6909" width="8.5703125" style="76"/>
    <col min="6910" max="6910" width="8.140625" style="76" customWidth="1"/>
    <col min="6911" max="6911" width="6" style="76" customWidth="1"/>
    <col min="6912" max="6912" width="9.85546875" style="76" customWidth="1"/>
    <col min="6913" max="6913" width="12.28515625" style="76" customWidth="1"/>
    <col min="6914" max="6914" width="29" style="76" customWidth="1"/>
    <col min="6915" max="6915" width="7.5703125" style="76" customWidth="1"/>
    <col min="6916" max="6916" width="6.85546875" style="76" customWidth="1"/>
    <col min="6917" max="6917" width="8.5703125" style="76"/>
    <col min="6918" max="6918" width="11.85546875" style="76" bestFit="1" customWidth="1"/>
    <col min="6919" max="6919" width="14.28515625" style="76" customWidth="1"/>
    <col min="6920" max="7165" width="8.5703125" style="76"/>
    <col min="7166" max="7166" width="8.140625" style="76" customWidth="1"/>
    <col min="7167" max="7167" width="6" style="76" customWidth="1"/>
    <col min="7168" max="7168" width="9.85546875" style="76" customWidth="1"/>
    <col min="7169" max="7169" width="12.28515625" style="76" customWidth="1"/>
    <col min="7170" max="7170" width="29" style="76" customWidth="1"/>
    <col min="7171" max="7171" width="7.5703125" style="76" customWidth="1"/>
    <col min="7172" max="7172" width="6.85546875" style="76" customWidth="1"/>
    <col min="7173" max="7173" width="8.5703125" style="76"/>
    <col min="7174" max="7174" width="11.85546875" style="76" bestFit="1" customWidth="1"/>
    <col min="7175" max="7175" width="14.28515625" style="76" customWidth="1"/>
    <col min="7176" max="7421" width="8.5703125" style="76"/>
    <col min="7422" max="7422" width="8.140625" style="76" customWidth="1"/>
    <col min="7423" max="7423" width="6" style="76" customWidth="1"/>
    <col min="7424" max="7424" width="9.85546875" style="76" customWidth="1"/>
    <col min="7425" max="7425" width="12.28515625" style="76" customWidth="1"/>
    <col min="7426" max="7426" width="29" style="76" customWidth="1"/>
    <col min="7427" max="7427" width="7.5703125" style="76" customWidth="1"/>
    <col min="7428" max="7428" width="6.85546875" style="76" customWidth="1"/>
    <col min="7429" max="7429" width="8.5703125" style="76"/>
    <col min="7430" max="7430" width="11.85546875" style="76" bestFit="1" customWidth="1"/>
    <col min="7431" max="7431" width="14.28515625" style="76" customWidth="1"/>
    <col min="7432" max="7677" width="8.5703125" style="76"/>
    <col min="7678" max="7678" width="8.140625" style="76" customWidth="1"/>
    <col min="7679" max="7679" width="6" style="76" customWidth="1"/>
    <col min="7680" max="7680" width="9.85546875" style="76" customWidth="1"/>
    <col min="7681" max="7681" width="12.28515625" style="76" customWidth="1"/>
    <col min="7682" max="7682" width="29" style="76" customWidth="1"/>
    <col min="7683" max="7683" width="7.5703125" style="76" customWidth="1"/>
    <col min="7684" max="7684" width="6.85546875" style="76" customWidth="1"/>
    <col min="7685" max="7685" width="8.5703125" style="76"/>
    <col min="7686" max="7686" width="11.85546875" style="76" bestFit="1" customWidth="1"/>
    <col min="7687" max="7687" width="14.28515625" style="76" customWidth="1"/>
    <col min="7688" max="7933" width="8.5703125" style="76"/>
    <col min="7934" max="7934" width="8.140625" style="76" customWidth="1"/>
    <col min="7935" max="7935" width="6" style="76" customWidth="1"/>
    <col min="7936" max="7936" width="9.85546875" style="76" customWidth="1"/>
    <col min="7937" max="7937" width="12.28515625" style="76" customWidth="1"/>
    <col min="7938" max="7938" width="29" style="76" customWidth="1"/>
    <col min="7939" max="7939" width="7.5703125" style="76" customWidth="1"/>
    <col min="7940" max="7940" width="6.85546875" style="76" customWidth="1"/>
    <col min="7941" max="7941" width="8.5703125" style="76"/>
    <col min="7942" max="7942" width="11.85546875" style="76" bestFit="1" customWidth="1"/>
    <col min="7943" max="7943" width="14.28515625" style="76" customWidth="1"/>
    <col min="7944" max="8189" width="8.5703125" style="76"/>
    <col min="8190" max="8190" width="8.140625" style="76" customWidth="1"/>
    <col min="8191" max="8191" width="6" style="76" customWidth="1"/>
    <col min="8192" max="8192" width="9.85546875" style="76" customWidth="1"/>
    <col min="8193" max="8193" width="12.28515625" style="76" customWidth="1"/>
    <col min="8194" max="8194" width="29" style="76" customWidth="1"/>
    <col min="8195" max="8195" width="7.5703125" style="76" customWidth="1"/>
    <col min="8196" max="8196" width="6.85546875" style="76" customWidth="1"/>
    <col min="8197" max="8197" width="8.5703125" style="76"/>
    <col min="8198" max="8198" width="11.85546875" style="76" bestFit="1" customWidth="1"/>
    <col min="8199" max="8199" width="14.28515625" style="76" customWidth="1"/>
    <col min="8200" max="8445" width="8.5703125" style="76"/>
    <col min="8446" max="8446" width="8.140625" style="76" customWidth="1"/>
    <col min="8447" max="8447" width="6" style="76" customWidth="1"/>
    <col min="8448" max="8448" width="9.85546875" style="76" customWidth="1"/>
    <col min="8449" max="8449" width="12.28515625" style="76" customWidth="1"/>
    <col min="8450" max="8450" width="29" style="76" customWidth="1"/>
    <col min="8451" max="8451" width="7.5703125" style="76" customWidth="1"/>
    <col min="8452" max="8452" width="6.85546875" style="76" customWidth="1"/>
    <col min="8453" max="8453" width="8.5703125" style="76"/>
    <col min="8454" max="8454" width="11.85546875" style="76" bestFit="1" customWidth="1"/>
    <col min="8455" max="8455" width="14.28515625" style="76" customWidth="1"/>
    <col min="8456" max="8701" width="8.5703125" style="76"/>
    <col min="8702" max="8702" width="8.140625" style="76" customWidth="1"/>
    <col min="8703" max="8703" width="6" style="76" customWidth="1"/>
    <col min="8704" max="8704" width="9.85546875" style="76" customWidth="1"/>
    <col min="8705" max="8705" width="12.28515625" style="76" customWidth="1"/>
    <col min="8706" max="8706" width="29" style="76" customWidth="1"/>
    <col min="8707" max="8707" width="7.5703125" style="76" customWidth="1"/>
    <col min="8708" max="8708" width="6.85546875" style="76" customWidth="1"/>
    <col min="8709" max="8709" width="8.5703125" style="76"/>
    <col min="8710" max="8710" width="11.85546875" style="76" bestFit="1" customWidth="1"/>
    <col min="8711" max="8711" width="14.28515625" style="76" customWidth="1"/>
    <col min="8712" max="8957" width="8.5703125" style="76"/>
    <col min="8958" max="8958" width="8.140625" style="76" customWidth="1"/>
    <col min="8959" max="8959" width="6" style="76" customWidth="1"/>
    <col min="8960" max="8960" width="9.85546875" style="76" customWidth="1"/>
    <col min="8961" max="8961" width="12.28515625" style="76" customWidth="1"/>
    <col min="8962" max="8962" width="29" style="76" customWidth="1"/>
    <col min="8963" max="8963" width="7.5703125" style="76" customWidth="1"/>
    <col min="8964" max="8964" width="6.85546875" style="76" customWidth="1"/>
    <col min="8965" max="8965" width="8.5703125" style="76"/>
    <col min="8966" max="8966" width="11.85546875" style="76" bestFit="1" customWidth="1"/>
    <col min="8967" max="8967" width="14.28515625" style="76" customWidth="1"/>
    <col min="8968" max="9213" width="8.5703125" style="76"/>
    <col min="9214" max="9214" width="8.140625" style="76" customWidth="1"/>
    <col min="9215" max="9215" width="6" style="76" customWidth="1"/>
    <col min="9216" max="9216" width="9.85546875" style="76" customWidth="1"/>
    <col min="9217" max="9217" width="12.28515625" style="76" customWidth="1"/>
    <col min="9218" max="9218" width="29" style="76" customWidth="1"/>
    <col min="9219" max="9219" width="7.5703125" style="76" customWidth="1"/>
    <col min="9220" max="9220" width="6.85546875" style="76" customWidth="1"/>
    <col min="9221" max="9221" width="8.5703125" style="76"/>
    <col min="9222" max="9222" width="11.85546875" style="76" bestFit="1" customWidth="1"/>
    <col min="9223" max="9223" width="14.28515625" style="76" customWidth="1"/>
    <col min="9224" max="9469" width="8.5703125" style="76"/>
    <col min="9470" max="9470" width="8.140625" style="76" customWidth="1"/>
    <col min="9471" max="9471" width="6" style="76" customWidth="1"/>
    <col min="9472" max="9472" width="9.85546875" style="76" customWidth="1"/>
    <col min="9473" max="9473" width="12.28515625" style="76" customWidth="1"/>
    <col min="9474" max="9474" width="29" style="76" customWidth="1"/>
    <col min="9475" max="9475" width="7.5703125" style="76" customWidth="1"/>
    <col min="9476" max="9476" width="6.85546875" style="76" customWidth="1"/>
    <col min="9477" max="9477" width="8.5703125" style="76"/>
    <col min="9478" max="9478" width="11.85546875" style="76" bestFit="1" customWidth="1"/>
    <col min="9479" max="9479" width="14.28515625" style="76" customWidth="1"/>
    <col min="9480" max="9725" width="8.5703125" style="76"/>
    <col min="9726" max="9726" width="8.140625" style="76" customWidth="1"/>
    <col min="9727" max="9727" width="6" style="76" customWidth="1"/>
    <col min="9728" max="9728" width="9.85546875" style="76" customWidth="1"/>
    <col min="9729" max="9729" width="12.28515625" style="76" customWidth="1"/>
    <col min="9730" max="9730" width="29" style="76" customWidth="1"/>
    <col min="9731" max="9731" width="7.5703125" style="76" customWidth="1"/>
    <col min="9732" max="9732" width="6.85546875" style="76" customWidth="1"/>
    <col min="9733" max="9733" width="8.5703125" style="76"/>
    <col min="9734" max="9734" width="11.85546875" style="76" bestFit="1" customWidth="1"/>
    <col min="9735" max="9735" width="14.28515625" style="76" customWidth="1"/>
    <col min="9736" max="9981" width="8.5703125" style="76"/>
    <col min="9982" max="9982" width="8.140625" style="76" customWidth="1"/>
    <col min="9983" max="9983" width="6" style="76" customWidth="1"/>
    <col min="9984" max="9984" width="9.85546875" style="76" customWidth="1"/>
    <col min="9985" max="9985" width="12.28515625" style="76" customWidth="1"/>
    <col min="9986" max="9986" width="29" style="76" customWidth="1"/>
    <col min="9987" max="9987" width="7.5703125" style="76" customWidth="1"/>
    <col min="9988" max="9988" width="6.85546875" style="76" customWidth="1"/>
    <col min="9989" max="9989" width="8.5703125" style="76"/>
    <col min="9990" max="9990" width="11.85546875" style="76" bestFit="1" customWidth="1"/>
    <col min="9991" max="9991" width="14.28515625" style="76" customWidth="1"/>
    <col min="9992" max="10237" width="8.5703125" style="76"/>
    <col min="10238" max="10238" width="8.140625" style="76" customWidth="1"/>
    <col min="10239" max="10239" width="6" style="76" customWidth="1"/>
    <col min="10240" max="10240" width="9.85546875" style="76" customWidth="1"/>
    <col min="10241" max="10241" width="12.28515625" style="76" customWidth="1"/>
    <col min="10242" max="10242" width="29" style="76" customWidth="1"/>
    <col min="10243" max="10243" width="7.5703125" style="76" customWidth="1"/>
    <col min="10244" max="10244" width="6.85546875" style="76" customWidth="1"/>
    <col min="10245" max="10245" width="8.5703125" style="76"/>
    <col min="10246" max="10246" width="11.85546875" style="76" bestFit="1" customWidth="1"/>
    <col min="10247" max="10247" width="14.28515625" style="76" customWidth="1"/>
    <col min="10248" max="10493" width="8.5703125" style="76"/>
    <col min="10494" max="10494" width="8.140625" style="76" customWidth="1"/>
    <col min="10495" max="10495" width="6" style="76" customWidth="1"/>
    <col min="10496" max="10496" width="9.85546875" style="76" customWidth="1"/>
    <col min="10497" max="10497" width="12.28515625" style="76" customWidth="1"/>
    <col min="10498" max="10498" width="29" style="76" customWidth="1"/>
    <col min="10499" max="10499" width="7.5703125" style="76" customWidth="1"/>
    <col min="10500" max="10500" width="6.85546875" style="76" customWidth="1"/>
    <col min="10501" max="10501" width="8.5703125" style="76"/>
    <col min="10502" max="10502" width="11.85546875" style="76" bestFit="1" customWidth="1"/>
    <col min="10503" max="10503" width="14.28515625" style="76" customWidth="1"/>
    <col min="10504" max="10749" width="8.5703125" style="76"/>
    <col min="10750" max="10750" width="8.140625" style="76" customWidth="1"/>
    <col min="10751" max="10751" width="6" style="76" customWidth="1"/>
    <col min="10752" max="10752" width="9.85546875" style="76" customWidth="1"/>
    <col min="10753" max="10753" width="12.28515625" style="76" customWidth="1"/>
    <col min="10754" max="10754" width="29" style="76" customWidth="1"/>
    <col min="10755" max="10755" width="7.5703125" style="76" customWidth="1"/>
    <col min="10756" max="10756" width="6.85546875" style="76" customWidth="1"/>
    <col min="10757" max="10757" width="8.5703125" style="76"/>
    <col min="10758" max="10758" width="11.85546875" style="76" bestFit="1" customWidth="1"/>
    <col min="10759" max="10759" width="14.28515625" style="76" customWidth="1"/>
    <col min="10760" max="11005" width="8.5703125" style="76"/>
    <col min="11006" max="11006" width="8.140625" style="76" customWidth="1"/>
    <col min="11007" max="11007" width="6" style="76" customWidth="1"/>
    <col min="11008" max="11008" width="9.85546875" style="76" customWidth="1"/>
    <col min="11009" max="11009" width="12.28515625" style="76" customWidth="1"/>
    <col min="11010" max="11010" width="29" style="76" customWidth="1"/>
    <col min="11011" max="11011" width="7.5703125" style="76" customWidth="1"/>
    <col min="11012" max="11012" width="6.85546875" style="76" customWidth="1"/>
    <col min="11013" max="11013" width="8.5703125" style="76"/>
    <col min="11014" max="11014" width="11.85546875" style="76" bestFit="1" customWidth="1"/>
    <col min="11015" max="11015" width="14.28515625" style="76" customWidth="1"/>
    <col min="11016" max="11261" width="8.5703125" style="76"/>
    <col min="11262" max="11262" width="8.140625" style="76" customWidth="1"/>
    <col min="11263" max="11263" width="6" style="76" customWidth="1"/>
    <col min="11264" max="11264" width="9.85546875" style="76" customWidth="1"/>
    <col min="11265" max="11265" width="12.28515625" style="76" customWidth="1"/>
    <col min="11266" max="11266" width="29" style="76" customWidth="1"/>
    <col min="11267" max="11267" width="7.5703125" style="76" customWidth="1"/>
    <col min="11268" max="11268" width="6.85546875" style="76" customWidth="1"/>
    <col min="11269" max="11269" width="8.5703125" style="76"/>
    <col min="11270" max="11270" width="11.85546875" style="76" bestFit="1" customWidth="1"/>
    <col min="11271" max="11271" width="14.28515625" style="76" customWidth="1"/>
    <col min="11272" max="11517" width="8.5703125" style="76"/>
    <col min="11518" max="11518" width="8.140625" style="76" customWidth="1"/>
    <col min="11519" max="11519" width="6" style="76" customWidth="1"/>
    <col min="11520" max="11520" width="9.85546875" style="76" customWidth="1"/>
    <col min="11521" max="11521" width="12.28515625" style="76" customWidth="1"/>
    <col min="11522" max="11522" width="29" style="76" customWidth="1"/>
    <col min="11523" max="11523" width="7.5703125" style="76" customWidth="1"/>
    <col min="11524" max="11524" width="6.85546875" style="76" customWidth="1"/>
    <col min="11525" max="11525" width="8.5703125" style="76"/>
    <col min="11526" max="11526" width="11.85546875" style="76" bestFit="1" customWidth="1"/>
    <col min="11527" max="11527" width="14.28515625" style="76" customWidth="1"/>
    <col min="11528" max="11773" width="8.5703125" style="76"/>
    <col min="11774" max="11774" width="8.140625" style="76" customWidth="1"/>
    <col min="11775" max="11775" width="6" style="76" customWidth="1"/>
    <col min="11776" max="11776" width="9.85546875" style="76" customWidth="1"/>
    <col min="11777" max="11777" width="12.28515625" style="76" customWidth="1"/>
    <col min="11778" max="11778" width="29" style="76" customWidth="1"/>
    <col min="11779" max="11779" width="7.5703125" style="76" customWidth="1"/>
    <col min="11780" max="11780" width="6.85546875" style="76" customWidth="1"/>
    <col min="11781" max="11781" width="8.5703125" style="76"/>
    <col min="11782" max="11782" width="11.85546875" style="76" bestFit="1" customWidth="1"/>
    <col min="11783" max="11783" width="14.28515625" style="76" customWidth="1"/>
    <col min="11784" max="12029" width="8.5703125" style="76"/>
    <col min="12030" max="12030" width="8.140625" style="76" customWidth="1"/>
    <col min="12031" max="12031" width="6" style="76" customWidth="1"/>
    <col min="12032" max="12032" width="9.85546875" style="76" customWidth="1"/>
    <col min="12033" max="12033" width="12.28515625" style="76" customWidth="1"/>
    <col min="12034" max="12034" width="29" style="76" customWidth="1"/>
    <col min="12035" max="12035" width="7.5703125" style="76" customWidth="1"/>
    <col min="12036" max="12036" width="6.85546875" style="76" customWidth="1"/>
    <col min="12037" max="12037" width="8.5703125" style="76"/>
    <col min="12038" max="12038" width="11.85546875" style="76" bestFit="1" customWidth="1"/>
    <col min="12039" max="12039" width="14.28515625" style="76" customWidth="1"/>
    <col min="12040" max="12285" width="8.5703125" style="76"/>
    <col min="12286" max="12286" width="8.140625" style="76" customWidth="1"/>
    <col min="12287" max="12287" width="6" style="76" customWidth="1"/>
    <col min="12288" max="12288" width="9.85546875" style="76" customWidth="1"/>
    <col min="12289" max="12289" width="12.28515625" style="76" customWidth="1"/>
    <col min="12290" max="12290" width="29" style="76" customWidth="1"/>
    <col min="12291" max="12291" width="7.5703125" style="76" customWidth="1"/>
    <col min="12292" max="12292" width="6.85546875" style="76" customWidth="1"/>
    <col min="12293" max="12293" width="8.5703125" style="76"/>
    <col min="12294" max="12294" width="11.85546875" style="76" bestFit="1" customWidth="1"/>
    <col min="12295" max="12295" width="14.28515625" style="76" customWidth="1"/>
    <col min="12296" max="12541" width="8.5703125" style="76"/>
    <col min="12542" max="12542" width="8.140625" style="76" customWidth="1"/>
    <col min="12543" max="12543" width="6" style="76" customWidth="1"/>
    <col min="12544" max="12544" width="9.85546875" style="76" customWidth="1"/>
    <col min="12545" max="12545" width="12.28515625" style="76" customWidth="1"/>
    <col min="12546" max="12546" width="29" style="76" customWidth="1"/>
    <col min="12547" max="12547" width="7.5703125" style="76" customWidth="1"/>
    <col min="12548" max="12548" width="6.85546875" style="76" customWidth="1"/>
    <col min="12549" max="12549" width="8.5703125" style="76"/>
    <col min="12550" max="12550" width="11.85546875" style="76" bestFit="1" customWidth="1"/>
    <col min="12551" max="12551" width="14.28515625" style="76" customWidth="1"/>
    <col min="12552" max="12797" width="8.5703125" style="76"/>
    <col min="12798" max="12798" width="8.140625" style="76" customWidth="1"/>
    <col min="12799" max="12799" width="6" style="76" customWidth="1"/>
    <col min="12800" max="12800" width="9.85546875" style="76" customWidth="1"/>
    <col min="12801" max="12801" width="12.28515625" style="76" customWidth="1"/>
    <col min="12802" max="12802" width="29" style="76" customWidth="1"/>
    <col min="12803" max="12803" width="7.5703125" style="76" customWidth="1"/>
    <col min="12804" max="12804" width="6.85546875" style="76" customWidth="1"/>
    <col min="12805" max="12805" width="8.5703125" style="76"/>
    <col min="12806" max="12806" width="11.85546875" style="76" bestFit="1" customWidth="1"/>
    <col min="12807" max="12807" width="14.28515625" style="76" customWidth="1"/>
    <col min="12808" max="13053" width="8.5703125" style="76"/>
    <col min="13054" max="13054" width="8.140625" style="76" customWidth="1"/>
    <col min="13055" max="13055" width="6" style="76" customWidth="1"/>
    <col min="13056" max="13056" width="9.85546875" style="76" customWidth="1"/>
    <col min="13057" max="13057" width="12.28515625" style="76" customWidth="1"/>
    <col min="13058" max="13058" width="29" style="76" customWidth="1"/>
    <col min="13059" max="13059" width="7.5703125" style="76" customWidth="1"/>
    <col min="13060" max="13060" width="6.85546875" style="76" customWidth="1"/>
    <col min="13061" max="13061" width="8.5703125" style="76"/>
    <col min="13062" max="13062" width="11.85546875" style="76" bestFit="1" customWidth="1"/>
    <col min="13063" max="13063" width="14.28515625" style="76" customWidth="1"/>
    <col min="13064" max="13309" width="8.5703125" style="76"/>
    <col min="13310" max="13310" width="8.140625" style="76" customWidth="1"/>
    <col min="13311" max="13311" width="6" style="76" customWidth="1"/>
    <col min="13312" max="13312" width="9.85546875" style="76" customWidth="1"/>
    <col min="13313" max="13313" width="12.28515625" style="76" customWidth="1"/>
    <col min="13314" max="13314" width="29" style="76" customWidth="1"/>
    <col min="13315" max="13315" width="7.5703125" style="76" customWidth="1"/>
    <col min="13316" max="13316" width="6.85546875" style="76" customWidth="1"/>
    <col min="13317" max="13317" width="8.5703125" style="76"/>
    <col min="13318" max="13318" width="11.85546875" style="76" bestFit="1" customWidth="1"/>
    <col min="13319" max="13319" width="14.28515625" style="76" customWidth="1"/>
    <col min="13320" max="13565" width="8.5703125" style="76"/>
    <col min="13566" max="13566" width="8.140625" style="76" customWidth="1"/>
    <col min="13567" max="13567" width="6" style="76" customWidth="1"/>
    <col min="13568" max="13568" width="9.85546875" style="76" customWidth="1"/>
    <col min="13569" max="13569" width="12.28515625" style="76" customWidth="1"/>
    <col min="13570" max="13570" width="29" style="76" customWidth="1"/>
    <col min="13571" max="13571" width="7.5703125" style="76" customWidth="1"/>
    <col min="13572" max="13572" width="6.85546875" style="76" customWidth="1"/>
    <col min="13573" max="13573" width="8.5703125" style="76"/>
    <col min="13574" max="13574" width="11.85546875" style="76" bestFit="1" customWidth="1"/>
    <col min="13575" max="13575" width="14.28515625" style="76" customWidth="1"/>
    <col min="13576" max="13821" width="8.5703125" style="76"/>
    <col min="13822" max="13822" width="8.140625" style="76" customWidth="1"/>
    <col min="13823" max="13823" width="6" style="76" customWidth="1"/>
    <col min="13824" max="13824" width="9.85546875" style="76" customWidth="1"/>
    <col min="13825" max="13825" width="12.28515625" style="76" customWidth="1"/>
    <col min="13826" max="13826" width="29" style="76" customWidth="1"/>
    <col min="13827" max="13827" width="7.5703125" style="76" customWidth="1"/>
    <col min="13828" max="13828" width="6.85546875" style="76" customWidth="1"/>
    <col min="13829" max="13829" width="8.5703125" style="76"/>
    <col min="13830" max="13830" width="11.85546875" style="76" bestFit="1" customWidth="1"/>
    <col min="13831" max="13831" width="14.28515625" style="76" customWidth="1"/>
    <col min="13832" max="14077" width="8.5703125" style="76"/>
    <col min="14078" max="14078" width="8.140625" style="76" customWidth="1"/>
    <col min="14079" max="14079" width="6" style="76" customWidth="1"/>
    <col min="14080" max="14080" width="9.85546875" style="76" customWidth="1"/>
    <col min="14081" max="14081" width="12.28515625" style="76" customWidth="1"/>
    <col min="14082" max="14082" width="29" style="76" customWidth="1"/>
    <col min="14083" max="14083" width="7.5703125" style="76" customWidth="1"/>
    <col min="14084" max="14084" width="6.85546875" style="76" customWidth="1"/>
    <col min="14085" max="14085" width="8.5703125" style="76"/>
    <col min="14086" max="14086" width="11.85546875" style="76" bestFit="1" customWidth="1"/>
    <col min="14087" max="14087" width="14.28515625" style="76" customWidth="1"/>
    <col min="14088" max="14333" width="8.5703125" style="76"/>
    <col min="14334" max="14334" width="8.140625" style="76" customWidth="1"/>
    <col min="14335" max="14335" width="6" style="76" customWidth="1"/>
    <col min="14336" max="14336" width="9.85546875" style="76" customWidth="1"/>
    <col min="14337" max="14337" width="12.28515625" style="76" customWidth="1"/>
    <col min="14338" max="14338" width="29" style="76" customWidth="1"/>
    <col min="14339" max="14339" width="7.5703125" style="76" customWidth="1"/>
    <col min="14340" max="14340" width="6.85546875" style="76" customWidth="1"/>
    <col min="14341" max="14341" width="8.5703125" style="76"/>
    <col min="14342" max="14342" width="11.85546875" style="76" bestFit="1" customWidth="1"/>
    <col min="14343" max="14343" width="14.28515625" style="76" customWidth="1"/>
    <col min="14344" max="14589" width="8.5703125" style="76"/>
    <col min="14590" max="14590" width="8.140625" style="76" customWidth="1"/>
    <col min="14591" max="14591" width="6" style="76" customWidth="1"/>
    <col min="14592" max="14592" width="9.85546875" style="76" customWidth="1"/>
    <col min="14593" max="14593" width="12.28515625" style="76" customWidth="1"/>
    <col min="14594" max="14594" width="29" style="76" customWidth="1"/>
    <col min="14595" max="14595" width="7.5703125" style="76" customWidth="1"/>
    <col min="14596" max="14596" width="6.85546875" style="76" customWidth="1"/>
    <col min="14597" max="14597" width="8.5703125" style="76"/>
    <col min="14598" max="14598" width="11.85546875" style="76" bestFit="1" customWidth="1"/>
    <col min="14599" max="14599" width="14.28515625" style="76" customWidth="1"/>
    <col min="14600" max="14845" width="8.5703125" style="76"/>
    <col min="14846" max="14846" width="8.140625" style="76" customWidth="1"/>
    <col min="14847" max="14847" width="6" style="76" customWidth="1"/>
    <col min="14848" max="14848" width="9.85546875" style="76" customWidth="1"/>
    <col min="14849" max="14849" width="12.28515625" style="76" customWidth="1"/>
    <col min="14850" max="14850" width="29" style="76" customWidth="1"/>
    <col min="14851" max="14851" width="7.5703125" style="76" customWidth="1"/>
    <col min="14852" max="14852" width="6.85546875" style="76" customWidth="1"/>
    <col min="14853" max="14853" width="8.5703125" style="76"/>
    <col min="14854" max="14854" width="11.85546875" style="76" bestFit="1" customWidth="1"/>
    <col min="14855" max="14855" width="14.28515625" style="76" customWidth="1"/>
    <col min="14856" max="15101" width="8.5703125" style="76"/>
    <col min="15102" max="15102" width="8.140625" style="76" customWidth="1"/>
    <col min="15103" max="15103" width="6" style="76" customWidth="1"/>
    <col min="15104" max="15104" width="9.85546875" style="76" customWidth="1"/>
    <col min="15105" max="15105" width="12.28515625" style="76" customWidth="1"/>
    <col min="15106" max="15106" width="29" style="76" customWidth="1"/>
    <col min="15107" max="15107" width="7.5703125" style="76" customWidth="1"/>
    <col min="15108" max="15108" width="6.85546875" style="76" customWidth="1"/>
    <col min="15109" max="15109" width="8.5703125" style="76"/>
    <col min="15110" max="15110" width="11.85546875" style="76" bestFit="1" customWidth="1"/>
    <col min="15111" max="15111" width="14.28515625" style="76" customWidth="1"/>
    <col min="15112" max="15357" width="8.5703125" style="76"/>
    <col min="15358" max="15358" width="8.140625" style="76" customWidth="1"/>
    <col min="15359" max="15359" width="6" style="76" customWidth="1"/>
    <col min="15360" max="15360" width="9.85546875" style="76" customWidth="1"/>
    <col min="15361" max="15361" width="12.28515625" style="76" customWidth="1"/>
    <col min="15362" max="15362" width="29" style="76" customWidth="1"/>
    <col min="15363" max="15363" width="7.5703125" style="76" customWidth="1"/>
    <col min="15364" max="15364" width="6.85546875" style="76" customWidth="1"/>
    <col min="15365" max="15365" width="8.5703125" style="76"/>
    <col min="15366" max="15366" width="11.85546875" style="76" bestFit="1" customWidth="1"/>
    <col min="15367" max="15367" width="14.28515625" style="76" customWidth="1"/>
    <col min="15368" max="15613" width="8.5703125" style="76"/>
    <col min="15614" max="15614" width="8.140625" style="76" customWidth="1"/>
    <col min="15615" max="15615" width="6" style="76" customWidth="1"/>
    <col min="15616" max="15616" width="9.85546875" style="76" customWidth="1"/>
    <col min="15617" max="15617" width="12.28515625" style="76" customWidth="1"/>
    <col min="15618" max="15618" width="29" style="76" customWidth="1"/>
    <col min="15619" max="15619" width="7.5703125" style="76" customWidth="1"/>
    <col min="15620" max="15620" width="6.85546875" style="76" customWidth="1"/>
    <col min="15621" max="15621" width="8.5703125" style="76"/>
    <col min="15622" max="15622" width="11.85546875" style="76" bestFit="1" customWidth="1"/>
    <col min="15623" max="15623" width="14.28515625" style="76" customWidth="1"/>
    <col min="15624" max="15869" width="8.5703125" style="76"/>
    <col min="15870" max="15870" width="8.140625" style="76" customWidth="1"/>
    <col min="15871" max="15871" width="6" style="76" customWidth="1"/>
    <col min="15872" max="15872" width="9.85546875" style="76" customWidth="1"/>
    <col min="15873" max="15873" width="12.28515625" style="76" customWidth="1"/>
    <col min="15874" max="15874" width="29" style="76" customWidth="1"/>
    <col min="15875" max="15875" width="7.5703125" style="76" customWidth="1"/>
    <col min="15876" max="15876" width="6.85546875" style="76" customWidth="1"/>
    <col min="15877" max="15877" width="8.5703125" style="76"/>
    <col min="15878" max="15878" width="11.85546875" style="76" bestFit="1" customWidth="1"/>
    <col min="15879" max="15879" width="14.28515625" style="76" customWidth="1"/>
    <col min="15880" max="16125" width="8.5703125" style="76"/>
    <col min="16126" max="16126" width="8.140625" style="76" customWidth="1"/>
    <col min="16127" max="16127" width="6" style="76" customWidth="1"/>
    <col min="16128" max="16128" width="9.85546875" style="76" customWidth="1"/>
    <col min="16129" max="16129" width="12.28515625" style="76" customWidth="1"/>
    <col min="16130" max="16130" width="29" style="76" customWidth="1"/>
    <col min="16131" max="16131" width="7.5703125" style="76" customWidth="1"/>
    <col min="16132" max="16132" width="6.85546875" style="76" customWidth="1"/>
    <col min="16133" max="16133" width="8.5703125" style="76"/>
    <col min="16134" max="16134" width="11.85546875" style="76" bestFit="1" customWidth="1"/>
    <col min="16135" max="16135" width="14.28515625" style="76" customWidth="1"/>
    <col min="16136" max="16384" width="8.5703125" style="76"/>
  </cols>
  <sheetData>
    <row r="1" spans="1:9" x14ac:dyDescent="0.2">
      <c r="A1" s="201" t="s">
        <v>348</v>
      </c>
      <c r="B1" s="202"/>
      <c r="C1" s="202"/>
      <c r="D1" s="202"/>
      <c r="E1" s="202"/>
      <c r="F1" s="202"/>
      <c r="G1" s="202"/>
      <c r="H1" s="203"/>
      <c r="I1" s="204" t="s">
        <v>152</v>
      </c>
    </row>
    <row r="2" spans="1:9" x14ac:dyDescent="0.2">
      <c r="A2" s="206" t="s">
        <v>1</v>
      </c>
      <c r="B2" s="207"/>
      <c r="C2" s="207"/>
      <c r="D2" s="207"/>
      <c r="E2" s="207"/>
      <c r="F2" s="207"/>
      <c r="G2" s="207"/>
      <c r="H2" s="208"/>
      <c r="I2" s="205"/>
    </row>
    <row r="3" spans="1:9" x14ac:dyDescent="0.2">
      <c r="A3" s="206" t="s">
        <v>174</v>
      </c>
      <c r="B3" s="207"/>
      <c r="C3" s="207"/>
      <c r="D3" s="207"/>
      <c r="E3" s="207"/>
      <c r="F3" s="207"/>
      <c r="G3" s="207"/>
      <c r="H3" s="208"/>
      <c r="I3" s="205"/>
    </row>
    <row r="4" spans="1:9" x14ac:dyDescent="0.2">
      <c r="A4" s="206" t="s">
        <v>599</v>
      </c>
      <c r="B4" s="207"/>
      <c r="C4" s="207"/>
      <c r="D4" s="207"/>
      <c r="E4" s="207"/>
      <c r="F4" s="207"/>
      <c r="G4" s="207"/>
      <c r="H4" s="208"/>
      <c r="I4" s="205"/>
    </row>
    <row r="5" spans="1:9" x14ac:dyDescent="0.2">
      <c r="A5" s="106"/>
      <c r="B5" s="107"/>
      <c r="C5" s="108"/>
      <c r="D5" s="109"/>
      <c r="E5" s="108"/>
      <c r="F5" s="110"/>
      <c r="G5" s="111"/>
      <c r="H5" s="112"/>
      <c r="I5" s="205"/>
    </row>
    <row r="6" spans="1:9" x14ac:dyDescent="0.2">
      <c r="A6" s="209" t="s">
        <v>627</v>
      </c>
      <c r="B6" s="210"/>
      <c r="C6" s="210"/>
      <c r="D6" s="210"/>
      <c r="E6" s="210"/>
      <c r="F6" s="210"/>
      <c r="G6" s="210"/>
      <c r="H6" s="113"/>
      <c r="I6" s="205"/>
    </row>
    <row r="7" spans="1:9" x14ac:dyDescent="0.2">
      <c r="A7" s="211" t="s">
        <v>153</v>
      </c>
      <c r="B7" s="212"/>
      <c r="C7" s="212"/>
      <c r="D7" s="212"/>
      <c r="E7" s="212"/>
      <c r="F7" s="212"/>
      <c r="G7" s="212"/>
      <c r="H7" s="114"/>
      <c r="I7" s="205"/>
    </row>
    <row r="8" spans="1:9" x14ac:dyDescent="0.2">
      <c r="A8" s="115" t="s">
        <v>791</v>
      </c>
      <c r="B8" s="116"/>
      <c r="C8" s="116"/>
      <c r="D8" s="117"/>
      <c r="E8" s="116"/>
      <c r="F8" s="116"/>
      <c r="G8" s="118"/>
      <c r="H8" s="119"/>
      <c r="I8" s="205"/>
    </row>
    <row r="9" spans="1:9" ht="38.25" customHeight="1" x14ac:dyDescent="0.2">
      <c r="A9" s="120" t="s">
        <v>154</v>
      </c>
      <c r="B9" s="120" t="s">
        <v>4</v>
      </c>
      <c r="C9" s="121" t="s">
        <v>155</v>
      </c>
      <c r="D9" s="122" t="s">
        <v>156</v>
      </c>
      <c r="E9" s="121" t="s">
        <v>157</v>
      </c>
      <c r="F9" s="77" t="s">
        <v>7</v>
      </c>
      <c r="G9" s="77" t="s">
        <v>158</v>
      </c>
      <c r="H9" s="121" t="s">
        <v>159</v>
      </c>
      <c r="I9" s="205"/>
    </row>
    <row r="10" spans="1:9" ht="159.75" customHeight="1" x14ac:dyDescent="0.2">
      <c r="A10" s="123" t="s">
        <v>612</v>
      </c>
      <c r="B10" s="124" t="s">
        <v>623</v>
      </c>
      <c r="C10" s="125" t="s">
        <v>625</v>
      </c>
      <c r="D10" s="126">
        <v>2500</v>
      </c>
      <c r="E10" s="127" t="s">
        <v>161</v>
      </c>
      <c r="F10" s="78">
        <f>ROUND(I10,2)</f>
        <v>0</v>
      </c>
      <c r="G10" s="79">
        <f>SUM(F10*D10)</f>
        <v>0</v>
      </c>
      <c r="H10" s="128" t="s">
        <v>162</v>
      </c>
      <c r="I10" s="91"/>
    </row>
    <row r="11" spans="1:9" ht="186" customHeight="1" x14ac:dyDescent="0.2">
      <c r="A11" s="123" t="s">
        <v>613</v>
      </c>
      <c r="B11" s="124" t="s">
        <v>624</v>
      </c>
      <c r="C11" s="125" t="s">
        <v>626</v>
      </c>
      <c r="D11" s="126">
        <v>108000</v>
      </c>
      <c r="E11" s="127" t="s">
        <v>165</v>
      </c>
      <c r="F11" s="81">
        <v>1</v>
      </c>
      <c r="G11" s="79">
        <f>SUM(D11*F11)</f>
        <v>108000</v>
      </c>
      <c r="H11" s="128" t="s">
        <v>162</v>
      </c>
      <c r="I11" s="129"/>
    </row>
    <row r="12" spans="1:9" ht="38.25" x14ac:dyDescent="0.2">
      <c r="A12" s="123" t="s">
        <v>614</v>
      </c>
      <c r="B12" s="124" t="s">
        <v>164</v>
      </c>
      <c r="C12" s="130" t="s">
        <v>167</v>
      </c>
      <c r="D12" s="126">
        <v>2</v>
      </c>
      <c r="E12" s="127" t="s">
        <v>168</v>
      </c>
      <c r="F12" s="78">
        <f>ROUND(I12,2)</f>
        <v>0</v>
      </c>
      <c r="G12" s="79">
        <f>SUM(F12*D12)</f>
        <v>0</v>
      </c>
      <c r="H12" s="128" t="s">
        <v>162</v>
      </c>
      <c r="I12" s="80"/>
    </row>
    <row r="13" spans="1:9" ht="64.5" thickBot="1" x14ac:dyDescent="0.25">
      <c r="A13" s="131" t="s">
        <v>615</v>
      </c>
      <c r="B13" s="132" t="s">
        <v>171</v>
      </c>
      <c r="C13" s="133" t="s">
        <v>172</v>
      </c>
      <c r="D13" s="134">
        <v>100</v>
      </c>
      <c r="E13" s="135" t="s">
        <v>168</v>
      </c>
      <c r="F13" s="99">
        <f>ROUND(I13,2)</f>
        <v>0</v>
      </c>
      <c r="G13" s="100">
        <f>SUM(F13*D13)</f>
        <v>0</v>
      </c>
      <c r="H13" s="136" t="s">
        <v>162</v>
      </c>
      <c r="I13" s="101"/>
    </row>
    <row r="14" spans="1:9" ht="25.5" x14ac:dyDescent="0.2">
      <c r="A14" s="137" t="s">
        <v>154</v>
      </c>
      <c r="B14" s="137" t="s">
        <v>4</v>
      </c>
      <c r="C14" s="138" t="s">
        <v>155</v>
      </c>
      <c r="D14" s="139" t="s">
        <v>156</v>
      </c>
      <c r="E14" s="138" t="s">
        <v>157</v>
      </c>
      <c r="F14" s="97" t="s">
        <v>766</v>
      </c>
      <c r="G14" s="98" t="s">
        <v>765</v>
      </c>
      <c r="H14" s="140" t="s">
        <v>159</v>
      </c>
      <c r="I14" s="141"/>
    </row>
    <row r="15" spans="1:9" ht="28.5" x14ac:dyDescent="0.2">
      <c r="A15" s="123" t="s">
        <v>775</v>
      </c>
      <c r="B15" s="124" t="s">
        <v>763</v>
      </c>
      <c r="C15" s="142" t="s">
        <v>764</v>
      </c>
      <c r="D15" s="143">
        <v>10000</v>
      </c>
      <c r="E15" s="144" t="s">
        <v>165</v>
      </c>
      <c r="F15" s="94">
        <f>ROUND(I15,2)</f>
        <v>0</v>
      </c>
      <c r="G15" s="95">
        <f>SUM(D15*F15)</f>
        <v>0</v>
      </c>
      <c r="H15" s="128"/>
      <c r="I15" s="96"/>
    </row>
    <row r="16" spans="1:9" x14ac:dyDescent="0.2">
      <c r="A16" s="145"/>
      <c r="B16" s="146"/>
      <c r="C16" s="147"/>
      <c r="D16" s="148"/>
      <c r="E16" s="149"/>
      <c r="F16" s="87"/>
      <c r="G16" s="86"/>
      <c r="H16" s="146"/>
      <c r="I16" s="150"/>
    </row>
    <row r="17" spans="1:9" x14ac:dyDescent="0.2">
      <c r="A17" s="151"/>
      <c r="B17" s="200" t="s">
        <v>774</v>
      </c>
      <c r="C17" s="200"/>
      <c r="D17" s="200"/>
      <c r="E17" s="200"/>
      <c r="F17" s="200"/>
      <c r="G17" s="152">
        <f>SUM(G10:G13,G15)</f>
        <v>108000</v>
      </c>
      <c r="H17" s="152"/>
      <c r="I17" s="153"/>
    </row>
    <row r="18" spans="1:9" x14ac:dyDescent="0.2">
      <c r="A18" s="151"/>
      <c r="B18" s="200" t="s">
        <v>616</v>
      </c>
      <c r="C18" s="200"/>
      <c r="D18" s="200"/>
      <c r="E18" s="200"/>
      <c r="F18" s="200"/>
      <c r="G18" s="152"/>
      <c r="H18" s="152"/>
      <c r="I18" s="153"/>
    </row>
    <row r="19" spans="1:9" x14ac:dyDescent="0.2">
      <c r="A19" s="151"/>
      <c r="B19" s="151"/>
      <c r="C19" s="151"/>
      <c r="D19" s="154"/>
      <c r="E19" s="151"/>
      <c r="F19" s="151"/>
      <c r="G19" s="155"/>
      <c r="H19" s="155"/>
      <c r="I19" s="153"/>
    </row>
    <row r="20" spans="1:9" x14ac:dyDescent="0.2">
      <c r="A20" s="151"/>
      <c r="B20" s="151"/>
      <c r="C20" s="156"/>
      <c r="D20" s="154"/>
      <c r="E20" s="151"/>
      <c r="F20" s="151"/>
      <c r="G20" s="155"/>
      <c r="H20" s="155"/>
      <c r="I20" s="153"/>
    </row>
    <row r="21" spans="1:9" x14ac:dyDescent="0.2">
      <c r="A21" s="157" t="s">
        <v>778</v>
      </c>
      <c r="B21" s="157"/>
      <c r="C21" s="151"/>
      <c r="D21" s="154"/>
      <c r="E21" s="151"/>
      <c r="F21" s="151"/>
      <c r="G21" s="155"/>
      <c r="H21" s="155"/>
      <c r="I21" s="153"/>
    </row>
    <row r="22" spans="1:9" x14ac:dyDescent="0.2">
      <c r="A22" s="158" t="s">
        <v>776</v>
      </c>
      <c r="B22" s="199" t="s">
        <v>777</v>
      </c>
      <c r="C22" s="199"/>
      <c r="D22" s="199"/>
      <c r="E22" s="151"/>
      <c r="F22" s="151"/>
      <c r="G22" s="155"/>
      <c r="H22" s="155"/>
      <c r="I22" s="153"/>
    </row>
    <row r="23" spans="1:9" x14ac:dyDescent="0.2">
      <c r="A23" s="151"/>
      <c r="B23" s="199"/>
      <c r="C23" s="199"/>
      <c r="D23" s="199"/>
      <c r="E23" s="151"/>
      <c r="F23" s="151"/>
      <c r="G23" s="155"/>
      <c r="H23" s="155"/>
      <c r="I23" s="153"/>
    </row>
    <row r="24" spans="1:9" x14ac:dyDescent="0.2">
      <c r="A24" s="151"/>
      <c r="B24" s="199"/>
      <c r="C24" s="199"/>
      <c r="D24" s="199"/>
      <c r="E24" s="151"/>
      <c r="F24" s="151"/>
      <c r="G24" s="155"/>
      <c r="H24" s="155"/>
      <c r="I24" s="153"/>
    </row>
    <row r="25" spans="1:9" x14ac:dyDescent="0.2">
      <c r="A25" s="151"/>
      <c r="B25" s="199"/>
      <c r="C25" s="199"/>
      <c r="D25" s="199"/>
      <c r="E25" s="151"/>
      <c r="F25" s="151"/>
      <c r="G25" s="155"/>
      <c r="H25" s="155"/>
      <c r="I25" s="153"/>
    </row>
    <row r="26" spans="1:9" x14ac:dyDescent="0.2">
      <c r="A26" s="151"/>
      <c r="B26" s="199"/>
      <c r="C26" s="199"/>
      <c r="D26" s="199"/>
      <c r="E26" s="151"/>
      <c r="F26" s="151"/>
      <c r="G26" s="155"/>
      <c r="H26" s="155"/>
      <c r="I26" s="153"/>
    </row>
    <row r="27" spans="1:9" x14ac:dyDescent="0.2">
      <c r="A27" s="151"/>
      <c r="B27" s="199"/>
      <c r="C27" s="199"/>
      <c r="D27" s="199"/>
      <c r="E27" s="151"/>
      <c r="F27" s="151"/>
      <c r="G27" s="155"/>
      <c r="H27" s="155"/>
      <c r="I27" s="153"/>
    </row>
    <row r="28" spans="1:9" x14ac:dyDescent="0.2">
      <c r="A28" s="151"/>
      <c r="B28" s="199"/>
      <c r="C28" s="199"/>
      <c r="D28" s="199"/>
      <c r="E28" s="151"/>
      <c r="F28" s="151"/>
      <c r="G28" s="155"/>
      <c r="H28" s="155"/>
      <c r="I28" s="153"/>
    </row>
    <row r="29" spans="1:9" x14ac:dyDescent="0.2">
      <c r="A29" s="151"/>
      <c r="B29" s="199"/>
      <c r="C29" s="199"/>
      <c r="D29" s="199"/>
      <c r="E29" s="151"/>
      <c r="F29" s="151"/>
      <c r="G29" s="155"/>
      <c r="H29" s="155"/>
      <c r="I29" s="153"/>
    </row>
    <row r="30" spans="1:9" x14ac:dyDescent="0.2">
      <c r="A30" s="151"/>
      <c r="B30" s="199"/>
      <c r="C30" s="199"/>
      <c r="D30" s="199"/>
      <c r="E30" s="151"/>
      <c r="F30" s="151"/>
      <c r="G30" s="155"/>
      <c r="H30" s="155"/>
      <c r="I30" s="153"/>
    </row>
    <row r="31" spans="1:9" x14ac:dyDescent="0.2">
      <c r="A31" s="151"/>
      <c r="B31" s="151"/>
      <c r="C31" s="151"/>
      <c r="D31" s="154"/>
      <c r="E31" s="151"/>
      <c r="F31" s="151"/>
      <c r="G31" s="155"/>
      <c r="H31" s="155"/>
      <c r="I31" s="153"/>
    </row>
    <row r="32" spans="1:9" x14ac:dyDescent="0.2">
      <c r="A32" s="151"/>
      <c r="B32" s="151"/>
      <c r="C32" s="151"/>
      <c r="D32" s="154"/>
      <c r="E32" s="151"/>
      <c r="F32" s="151"/>
      <c r="G32" s="155"/>
      <c r="H32" s="155"/>
      <c r="I32" s="153"/>
    </row>
    <row r="33" spans="1:9" x14ac:dyDescent="0.2">
      <c r="A33" s="151"/>
      <c r="B33" s="157" t="s">
        <v>779</v>
      </c>
      <c r="C33" s="151"/>
      <c r="D33" s="154"/>
      <c r="E33" s="151"/>
      <c r="F33" s="151"/>
      <c r="G33" s="155"/>
      <c r="H33" s="155"/>
      <c r="I33" s="153"/>
    </row>
    <row r="34" spans="1:9" x14ac:dyDescent="0.2">
      <c r="A34" s="151"/>
      <c r="B34" s="160" t="s">
        <v>165</v>
      </c>
      <c r="C34" s="157" t="s">
        <v>780</v>
      </c>
      <c r="D34" s="154"/>
      <c r="E34" s="151"/>
      <c r="F34" s="151"/>
      <c r="G34" s="155"/>
      <c r="H34" s="155"/>
      <c r="I34" s="153"/>
    </row>
    <row r="35" spans="1:9" x14ac:dyDescent="0.2">
      <c r="A35" s="151"/>
      <c r="B35" s="160" t="s">
        <v>168</v>
      </c>
      <c r="C35" s="157" t="s">
        <v>781</v>
      </c>
      <c r="D35" s="154"/>
      <c r="E35" s="151"/>
      <c r="F35" s="151"/>
      <c r="G35" s="155"/>
      <c r="H35" s="155"/>
      <c r="I35" s="153"/>
    </row>
    <row r="36" spans="1:9" x14ac:dyDescent="0.2">
      <c r="A36" s="151"/>
      <c r="B36" s="160" t="s">
        <v>161</v>
      </c>
      <c r="C36" s="157" t="s">
        <v>782</v>
      </c>
      <c r="D36" s="154"/>
      <c r="E36" s="151"/>
      <c r="F36" s="151"/>
      <c r="G36" s="155"/>
      <c r="H36" s="155"/>
      <c r="I36" s="153"/>
    </row>
  </sheetData>
  <sheetProtection password="C9A6" sheet="1" selectLockedCells="1"/>
  <mergeCells count="10">
    <mergeCell ref="B22:D30"/>
    <mergeCell ref="B17:F17"/>
    <mergeCell ref="B18:F18"/>
    <mergeCell ref="A1:H1"/>
    <mergeCell ref="I1:I9"/>
    <mergeCell ref="A2:H2"/>
    <mergeCell ref="A3:H3"/>
    <mergeCell ref="A4:H4"/>
    <mergeCell ref="A6:G6"/>
    <mergeCell ref="A7:G7"/>
  </mergeCells>
  <pageMargins left="0.25" right="0.25" top="0.75" bottom="0.75" header="0.3" footer="0.3"/>
  <pageSetup scale="87" firstPageNumber="11" fitToHeight="0" orientation="landscape" r:id="rId1"/>
  <headerFooter alignWithMargins="0"/>
  <rowBreaks count="1" manualBreakCount="1">
    <brk id="11"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L144"/>
  <sheetViews>
    <sheetView topLeftCell="A103" zoomScale="90" zoomScaleNormal="90" zoomScalePageLayoutView="90" workbookViewId="0">
      <selection activeCell="H131" sqref="H131"/>
    </sheetView>
  </sheetViews>
  <sheetFormatPr defaultRowHeight="15" x14ac:dyDescent="0.25"/>
  <cols>
    <col min="2" max="2" width="70.140625" customWidth="1"/>
    <col min="5" max="5" width="11.85546875" bestFit="1" customWidth="1"/>
    <col min="6" max="6" width="13.5703125" bestFit="1" customWidth="1"/>
    <col min="7" max="7" width="9.5703125" customWidth="1"/>
    <col min="8" max="8" width="14.7109375" customWidth="1"/>
    <col min="12" max="12" width="65.140625" hidden="1" customWidth="1"/>
  </cols>
  <sheetData>
    <row r="1" spans="1:8" x14ac:dyDescent="0.25">
      <c r="A1" s="1"/>
      <c r="B1" s="2"/>
      <c r="C1" s="3"/>
      <c r="D1" s="3"/>
      <c r="E1" s="4"/>
      <c r="F1" s="5"/>
      <c r="G1" s="6"/>
      <c r="H1" s="195" t="s">
        <v>0</v>
      </c>
    </row>
    <row r="2" spans="1:8" x14ac:dyDescent="0.25">
      <c r="A2" s="196" t="s">
        <v>266</v>
      </c>
      <c r="B2" s="197"/>
      <c r="C2" s="197"/>
      <c r="D2" s="197"/>
      <c r="E2" s="197"/>
      <c r="F2" s="197"/>
      <c r="G2" s="198"/>
      <c r="H2" s="195"/>
    </row>
    <row r="3" spans="1:8" x14ac:dyDescent="0.25">
      <c r="A3" s="196" t="s">
        <v>1</v>
      </c>
      <c r="B3" s="197"/>
      <c r="C3" s="197"/>
      <c r="D3" s="197"/>
      <c r="E3" s="197"/>
      <c r="F3" s="197"/>
      <c r="G3" s="198"/>
      <c r="H3" s="195"/>
    </row>
    <row r="4" spans="1:8" x14ac:dyDescent="0.25">
      <c r="A4" s="196" t="s">
        <v>33</v>
      </c>
      <c r="B4" s="197"/>
      <c r="C4" s="197"/>
      <c r="D4" s="197"/>
      <c r="E4" s="197"/>
      <c r="F4" s="197"/>
      <c r="G4" s="198"/>
      <c r="H4" s="195"/>
    </row>
    <row r="5" spans="1:8" x14ac:dyDescent="0.25">
      <c r="A5" s="196" t="s">
        <v>618</v>
      </c>
      <c r="B5" s="197"/>
      <c r="C5" s="197"/>
      <c r="D5" s="197"/>
      <c r="E5" s="197"/>
      <c r="F5" s="197"/>
      <c r="G5" s="198"/>
      <c r="H5" s="195"/>
    </row>
    <row r="6" spans="1:8" x14ac:dyDescent="0.25">
      <c r="A6" s="7"/>
      <c r="B6" s="8"/>
      <c r="C6" s="9"/>
      <c r="D6" s="10"/>
      <c r="E6" s="11"/>
      <c r="F6" s="12"/>
      <c r="G6" s="13"/>
      <c r="H6" s="195"/>
    </row>
    <row r="7" spans="1:8" x14ac:dyDescent="0.25">
      <c r="A7" s="14" t="s">
        <v>629</v>
      </c>
      <c r="B7" s="15"/>
      <c r="C7" s="16"/>
      <c r="D7" s="16"/>
      <c r="E7" s="17"/>
      <c r="F7" s="18"/>
      <c r="G7" s="19"/>
      <c r="H7" s="195"/>
    </row>
    <row r="8" spans="1:8" x14ac:dyDescent="0.25">
      <c r="A8" s="20" t="s">
        <v>2</v>
      </c>
      <c r="B8" s="21"/>
      <c r="C8" s="22"/>
      <c r="D8" s="22"/>
      <c r="E8" s="23"/>
      <c r="F8" s="12"/>
      <c r="G8" s="13"/>
      <c r="H8" s="195"/>
    </row>
    <row r="9" spans="1:8" x14ac:dyDescent="0.25">
      <c r="A9" s="24" t="s">
        <v>849</v>
      </c>
      <c r="B9" s="25"/>
      <c r="C9" s="26"/>
      <c r="D9" s="26"/>
      <c r="E9" s="27"/>
      <c r="F9" s="28"/>
      <c r="G9" s="29"/>
      <c r="H9" s="195"/>
    </row>
    <row r="10" spans="1:8" ht="25.5" x14ac:dyDescent="0.25">
      <c r="A10" s="30" t="s">
        <v>3</v>
      </c>
      <c r="B10" s="31" t="s">
        <v>4</v>
      </c>
      <c r="C10" s="32" t="s">
        <v>5</v>
      </c>
      <c r="D10" s="33" t="s">
        <v>6</v>
      </c>
      <c r="E10" s="34" t="s">
        <v>7</v>
      </c>
      <c r="F10" s="35" t="s">
        <v>8</v>
      </c>
      <c r="G10" s="36" t="s">
        <v>9</v>
      </c>
      <c r="H10" s="195"/>
    </row>
    <row r="11" spans="1:8" ht="25.5" x14ac:dyDescent="0.25">
      <c r="A11" s="31" t="s">
        <v>267</v>
      </c>
      <c r="B11" s="30" t="s">
        <v>107</v>
      </c>
      <c r="C11" s="37"/>
      <c r="D11" s="37"/>
      <c r="E11" s="38"/>
      <c r="F11" s="39"/>
      <c r="G11" s="37"/>
      <c r="H11" s="40"/>
    </row>
    <row r="12" spans="1:8" x14ac:dyDescent="0.25">
      <c r="A12" s="41" t="s">
        <v>268</v>
      </c>
      <c r="B12" s="42" t="s">
        <v>11</v>
      </c>
      <c r="C12" s="37">
        <v>6</v>
      </c>
      <c r="D12" s="37" t="s">
        <v>13</v>
      </c>
      <c r="E12" s="63">
        <f t="shared" ref="E12:E17" si="0">ROUND(H12,2)</f>
        <v>0</v>
      </c>
      <c r="F12" s="63">
        <f t="shared" ref="F12:F17" si="1">C12*E12</f>
        <v>0</v>
      </c>
      <c r="G12" s="37"/>
      <c r="H12" s="43"/>
    </row>
    <row r="13" spans="1:8" x14ac:dyDescent="0.25">
      <c r="A13" s="41" t="s">
        <v>269</v>
      </c>
      <c r="B13" s="42" t="s">
        <v>12</v>
      </c>
      <c r="C13" s="37">
        <v>6</v>
      </c>
      <c r="D13" s="37" t="s">
        <v>13</v>
      </c>
      <c r="E13" s="63">
        <f t="shared" si="0"/>
        <v>0</v>
      </c>
      <c r="F13" s="64">
        <f t="shared" si="1"/>
        <v>0</v>
      </c>
      <c r="G13" s="37"/>
      <c r="H13" s="43"/>
    </row>
    <row r="14" spans="1:8" x14ac:dyDescent="0.25">
      <c r="A14" s="41" t="s">
        <v>270</v>
      </c>
      <c r="B14" s="42" t="s">
        <v>14</v>
      </c>
      <c r="C14" s="37">
        <v>6</v>
      </c>
      <c r="D14" s="37" t="s">
        <v>13</v>
      </c>
      <c r="E14" s="63">
        <f t="shared" si="0"/>
        <v>0</v>
      </c>
      <c r="F14" s="64">
        <f t="shared" si="1"/>
        <v>0</v>
      </c>
      <c r="G14" s="37"/>
      <c r="H14" s="43"/>
    </row>
    <row r="15" spans="1:8" ht="25.5" customHeight="1" x14ac:dyDescent="0.25">
      <c r="A15" s="41" t="s">
        <v>271</v>
      </c>
      <c r="B15" s="42" t="s">
        <v>150</v>
      </c>
      <c r="C15" s="37">
        <v>1</v>
      </c>
      <c r="D15" s="37" t="s">
        <v>18</v>
      </c>
      <c r="E15" s="63">
        <f t="shared" si="0"/>
        <v>0</v>
      </c>
      <c r="F15" s="64">
        <f t="shared" si="1"/>
        <v>0</v>
      </c>
      <c r="G15" s="37"/>
      <c r="H15" s="43"/>
    </row>
    <row r="16" spans="1:8" ht="25.5" x14ac:dyDescent="0.25">
      <c r="A16" s="41" t="s">
        <v>272</v>
      </c>
      <c r="B16" s="50" t="s">
        <v>120</v>
      </c>
      <c r="C16" s="37">
        <v>1</v>
      </c>
      <c r="D16" s="37" t="s">
        <v>18</v>
      </c>
      <c r="E16" s="63">
        <f t="shared" si="0"/>
        <v>0</v>
      </c>
      <c r="F16" s="64">
        <f t="shared" si="1"/>
        <v>0</v>
      </c>
      <c r="G16" s="37"/>
      <c r="H16" s="43"/>
    </row>
    <row r="17" spans="1:8" ht="25.5" customHeight="1" x14ac:dyDescent="0.25">
      <c r="A17" s="41" t="s">
        <v>273</v>
      </c>
      <c r="B17" s="50" t="s">
        <v>151</v>
      </c>
      <c r="C17" s="37">
        <v>1</v>
      </c>
      <c r="D17" s="37" t="s">
        <v>15</v>
      </c>
      <c r="E17" s="63">
        <f t="shared" si="0"/>
        <v>0</v>
      </c>
      <c r="F17" s="64">
        <f t="shared" si="1"/>
        <v>0</v>
      </c>
      <c r="G17" s="37"/>
      <c r="H17" s="43"/>
    </row>
    <row r="18" spans="1:8" x14ac:dyDescent="0.25">
      <c r="A18" s="41"/>
      <c r="B18" s="31" t="s">
        <v>104</v>
      </c>
      <c r="C18" s="37"/>
      <c r="D18" s="37"/>
      <c r="E18" s="38"/>
      <c r="F18" s="88">
        <f>SUM(F12:F17)</f>
        <v>0</v>
      </c>
      <c r="G18" s="37"/>
      <c r="H18" s="40"/>
    </row>
    <row r="19" spans="1:8" x14ac:dyDescent="0.25">
      <c r="A19" s="45"/>
      <c r="B19" s="46"/>
      <c r="C19" s="22"/>
      <c r="D19" s="22"/>
      <c r="E19" s="23"/>
      <c r="F19" s="47"/>
      <c r="G19" s="22"/>
      <c r="H19" s="48"/>
    </row>
    <row r="20" spans="1:8" x14ac:dyDescent="0.25">
      <c r="A20" s="31" t="s">
        <v>274</v>
      </c>
      <c r="B20" s="31" t="s">
        <v>20</v>
      </c>
      <c r="C20" s="37"/>
      <c r="D20" s="37"/>
      <c r="E20" s="38"/>
      <c r="F20" s="39"/>
      <c r="G20" s="37"/>
      <c r="H20" s="40"/>
    </row>
    <row r="21" spans="1:8" x14ac:dyDescent="0.25">
      <c r="A21" s="41" t="s">
        <v>275</v>
      </c>
      <c r="B21" s="42" t="s">
        <v>11</v>
      </c>
      <c r="C21" s="37">
        <v>6</v>
      </c>
      <c r="D21" s="37" t="s">
        <v>13</v>
      </c>
      <c r="E21" s="65">
        <f>ROUND(H21,2)</f>
        <v>0</v>
      </c>
      <c r="F21" s="66">
        <f>C21*E21</f>
        <v>0</v>
      </c>
      <c r="G21" s="37"/>
      <c r="H21" s="43"/>
    </row>
    <row r="22" spans="1:8" x14ac:dyDescent="0.25">
      <c r="A22" s="41" t="s">
        <v>276</v>
      </c>
      <c r="B22" s="42" t="s">
        <v>12</v>
      </c>
      <c r="C22" s="37">
        <v>6</v>
      </c>
      <c r="D22" s="37" t="s">
        <v>13</v>
      </c>
      <c r="E22" s="65">
        <f>ROUND(H22,2)</f>
        <v>0</v>
      </c>
      <c r="F22" s="66">
        <f>C22*E22</f>
        <v>0</v>
      </c>
      <c r="G22" s="37"/>
      <c r="H22" s="43"/>
    </row>
    <row r="23" spans="1:8" x14ac:dyDescent="0.25">
      <c r="A23" s="41" t="s">
        <v>277</v>
      </c>
      <c r="B23" s="42" t="s">
        <v>14</v>
      </c>
      <c r="C23" s="37">
        <v>6</v>
      </c>
      <c r="D23" s="37" t="s">
        <v>13</v>
      </c>
      <c r="E23" s="65">
        <f>ROUND(H23,2)</f>
        <v>0</v>
      </c>
      <c r="F23" s="66">
        <f>C23*E23</f>
        <v>0</v>
      </c>
      <c r="G23" s="37"/>
      <c r="H23" s="43"/>
    </row>
    <row r="24" spans="1:8" ht="25.5" x14ac:dyDescent="0.25">
      <c r="A24" s="41" t="s">
        <v>278</v>
      </c>
      <c r="B24" s="50" t="s">
        <v>143</v>
      </c>
      <c r="C24" s="37">
        <v>6</v>
      </c>
      <c r="D24" s="37" t="s">
        <v>13</v>
      </c>
      <c r="E24" s="65">
        <f>ROUND(H24,2)</f>
        <v>0</v>
      </c>
      <c r="F24" s="66">
        <f>C24*E24</f>
        <v>0</v>
      </c>
      <c r="G24" s="37"/>
      <c r="H24" s="43"/>
    </row>
    <row r="25" spans="1:8" ht="38.25" x14ac:dyDescent="0.25">
      <c r="A25" s="41" t="s">
        <v>279</v>
      </c>
      <c r="B25" s="42" t="s">
        <v>144</v>
      </c>
      <c r="C25" s="37">
        <v>6</v>
      </c>
      <c r="D25" s="37" t="s">
        <v>13</v>
      </c>
      <c r="E25" s="65">
        <f>ROUND(H25,2)</f>
        <v>0</v>
      </c>
      <c r="F25" s="66">
        <f>C25*E25</f>
        <v>0</v>
      </c>
      <c r="G25" s="37"/>
      <c r="H25" s="43"/>
    </row>
    <row r="26" spans="1:8" ht="38.25" x14ac:dyDescent="0.25">
      <c r="A26" s="41" t="s">
        <v>280</v>
      </c>
      <c r="B26" s="52" t="s">
        <v>145</v>
      </c>
      <c r="C26" s="53">
        <v>6</v>
      </c>
      <c r="D26" s="53" t="s">
        <v>13</v>
      </c>
      <c r="E26" s="67">
        <f>H26</f>
        <v>0</v>
      </c>
      <c r="F26" s="68">
        <f>E26*C26</f>
        <v>0</v>
      </c>
      <c r="G26" s="53"/>
      <c r="H26" s="43"/>
    </row>
    <row r="27" spans="1:8" x14ac:dyDescent="0.25">
      <c r="A27" s="41"/>
      <c r="B27" s="31" t="s">
        <v>21</v>
      </c>
      <c r="C27" s="37"/>
      <c r="D27" s="37"/>
      <c r="E27" s="38"/>
      <c r="F27" s="89">
        <f>SUM(F21:F26)</f>
        <v>0</v>
      </c>
      <c r="G27" s="37"/>
      <c r="H27" s="40"/>
    </row>
    <row r="28" spans="1:8" x14ac:dyDescent="0.25">
      <c r="A28" s="45"/>
      <c r="B28" s="51"/>
      <c r="C28" s="22"/>
      <c r="D28" s="22"/>
      <c r="E28" s="23"/>
      <c r="F28" s="47"/>
      <c r="G28" s="22"/>
      <c r="H28" s="48"/>
    </row>
    <row r="29" spans="1:8" x14ac:dyDescent="0.25">
      <c r="A29" s="45"/>
      <c r="B29" s="46"/>
      <c r="C29" s="22"/>
      <c r="D29" s="22"/>
      <c r="E29" s="23"/>
      <c r="F29" s="47"/>
      <c r="G29" s="22"/>
      <c r="H29" s="48"/>
    </row>
    <row r="30" spans="1:8" x14ac:dyDescent="0.25">
      <c r="A30" s="31" t="s">
        <v>281</v>
      </c>
      <c r="B30" s="30" t="s">
        <v>106</v>
      </c>
      <c r="C30" s="37"/>
      <c r="D30" s="37"/>
      <c r="E30" s="38"/>
      <c r="F30" s="39"/>
      <c r="G30" s="37"/>
      <c r="H30" s="40"/>
    </row>
    <row r="31" spans="1:8" x14ac:dyDescent="0.25">
      <c r="A31" s="41" t="s">
        <v>282</v>
      </c>
      <c r="B31" s="42" t="s">
        <v>11</v>
      </c>
      <c r="C31" s="37">
        <v>6</v>
      </c>
      <c r="D31" s="37" t="s">
        <v>13</v>
      </c>
      <c r="E31" s="65">
        <f>ROUND(H31,2)</f>
        <v>0</v>
      </c>
      <c r="F31" s="66">
        <f>C31*E31</f>
        <v>0</v>
      </c>
      <c r="G31" s="37"/>
      <c r="H31" s="43"/>
    </row>
    <row r="32" spans="1:8" x14ac:dyDescent="0.25">
      <c r="A32" s="41" t="s">
        <v>283</v>
      </c>
      <c r="B32" s="42" t="s">
        <v>12</v>
      </c>
      <c r="C32" s="37">
        <v>6</v>
      </c>
      <c r="D32" s="37" t="s">
        <v>13</v>
      </c>
      <c r="E32" s="65">
        <f>ROUND(H32,2)</f>
        <v>0</v>
      </c>
      <c r="F32" s="66">
        <f>C32*E32</f>
        <v>0</v>
      </c>
      <c r="G32" s="37"/>
      <c r="H32" s="43"/>
    </row>
    <row r="33" spans="1:8" x14ac:dyDescent="0.25">
      <c r="A33" s="41" t="s">
        <v>284</v>
      </c>
      <c r="B33" s="42" t="s">
        <v>14</v>
      </c>
      <c r="C33" s="37">
        <v>6</v>
      </c>
      <c r="D33" s="37" t="s">
        <v>13</v>
      </c>
      <c r="E33" s="65">
        <f>ROUND(H33,2)</f>
        <v>0</v>
      </c>
      <c r="F33" s="66">
        <f>C33*E33</f>
        <v>0</v>
      </c>
      <c r="G33" s="37"/>
      <c r="H33" s="43"/>
    </row>
    <row r="34" spans="1:8" ht="38.25" x14ac:dyDescent="0.25">
      <c r="A34" s="41" t="s">
        <v>285</v>
      </c>
      <c r="B34" s="42" t="s">
        <v>142</v>
      </c>
      <c r="C34" s="37">
        <v>6</v>
      </c>
      <c r="D34" s="37" t="s">
        <v>13</v>
      </c>
      <c r="E34" s="65">
        <f>ROUND(H34,2)</f>
        <v>0</v>
      </c>
      <c r="F34" s="66">
        <f>C34*E34</f>
        <v>0</v>
      </c>
      <c r="G34" s="37"/>
      <c r="H34" s="43"/>
    </row>
    <row r="35" spans="1:8" ht="38.25" x14ac:dyDescent="0.25">
      <c r="A35" s="41" t="s">
        <v>286</v>
      </c>
      <c r="B35" s="42" t="s">
        <v>141</v>
      </c>
      <c r="C35" s="37">
        <v>6</v>
      </c>
      <c r="D35" s="37" t="s">
        <v>13</v>
      </c>
      <c r="E35" s="65">
        <f>ROUND(H35,2)</f>
        <v>0</v>
      </c>
      <c r="F35" s="66">
        <f>C35*E35</f>
        <v>0</v>
      </c>
      <c r="G35" s="37"/>
      <c r="H35" s="43"/>
    </row>
    <row r="36" spans="1:8" x14ac:dyDescent="0.25">
      <c r="A36" s="41"/>
      <c r="B36" s="54" t="s">
        <v>24</v>
      </c>
      <c r="C36" s="37"/>
      <c r="D36" s="37"/>
      <c r="E36" s="38"/>
      <c r="F36" s="89">
        <f>SUM(F31:F35)</f>
        <v>0</v>
      </c>
      <c r="G36" s="37"/>
      <c r="H36" s="40"/>
    </row>
    <row r="37" spans="1:8" x14ac:dyDescent="0.25">
      <c r="A37" s="45"/>
      <c r="B37" s="46"/>
      <c r="C37" s="22"/>
      <c r="D37" s="22"/>
      <c r="E37" s="23"/>
      <c r="F37" s="47"/>
      <c r="G37" s="22"/>
      <c r="H37" s="48"/>
    </row>
    <row r="38" spans="1:8" x14ac:dyDescent="0.25">
      <c r="A38" s="31" t="s">
        <v>287</v>
      </c>
      <c r="B38" s="30" t="s">
        <v>108</v>
      </c>
      <c r="C38" s="37"/>
      <c r="D38" s="37"/>
      <c r="E38" s="38"/>
      <c r="F38" s="39"/>
      <c r="G38" s="37"/>
      <c r="H38" s="40"/>
    </row>
    <row r="39" spans="1:8" x14ac:dyDescent="0.25">
      <c r="A39" s="41" t="s">
        <v>288</v>
      </c>
      <c r="B39" s="42" t="s">
        <v>11</v>
      </c>
      <c r="C39" s="37">
        <v>6</v>
      </c>
      <c r="D39" s="37" t="s">
        <v>13</v>
      </c>
      <c r="E39" s="65">
        <f>ROUND(H39,2)</f>
        <v>0</v>
      </c>
      <c r="F39" s="66">
        <f>C39*E39</f>
        <v>0</v>
      </c>
      <c r="G39" s="37"/>
      <c r="H39" s="43"/>
    </row>
    <row r="40" spans="1:8" x14ac:dyDescent="0.25">
      <c r="A40" s="41" t="s">
        <v>289</v>
      </c>
      <c r="B40" s="42" t="s">
        <v>12</v>
      </c>
      <c r="C40" s="37">
        <v>6</v>
      </c>
      <c r="D40" s="37" t="s">
        <v>13</v>
      </c>
      <c r="E40" s="65">
        <f t="shared" ref="E40:E45" si="2">ROUND(H40,2)</f>
        <v>0</v>
      </c>
      <c r="F40" s="66">
        <f t="shared" ref="F40:F45" si="3">C40*E40</f>
        <v>0</v>
      </c>
      <c r="G40" s="37"/>
      <c r="H40" s="43"/>
    </row>
    <row r="41" spans="1:8" x14ac:dyDescent="0.25">
      <c r="A41" s="41" t="s">
        <v>290</v>
      </c>
      <c r="B41" s="50" t="s">
        <v>14</v>
      </c>
      <c r="C41" s="37">
        <v>6</v>
      </c>
      <c r="D41" s="37" t="s">
        <v>13</v>
      </c>
      <c r="E41" s="65">
        <f t="shared" si="2"/>
        <v>0</v>
      </c>
      <c r="F41" s="66">
        <f t="shared" si="3"/>
        <v>0</v>
      </c>
      <c r="G41" s="37"/>
      <c r="H41" s="43"/>
    </row>
    <row r="42" spans="1:8" ht="25.5" x14ac:dyDescent="0.25">
      <c r="A42" s="41" t="s">
        <v>291</v>
      </c>
      <c r="B42" s="50" t="s">
        <v>140</v>
      </c>
      <c r="C42" s="37">
        <v>6</v>
      </c>
      <c r="D42" s="37" t="s">
        <v>13</v>
      </c>
      <c r="E42" s="65">
        <f t="shared" si="2"/>
        <v>0</v>
      </c>
      <c r="F42" s="66">
        <f t="shared" si="3"/>
        <v>0</v>
      </c>
      <c r="G42" s="37"/>
      <c r="H42" s="43"/>
    </row>
    <row r="43" spans="1:8" ht="25.5" x14ac:dyDescent="0.25">
      <c r="A43" s="41" t="s">
        <v>292</v>
      </c>
      <c r="B43" s="50" t="s">
        <v>139</v>
      </c>
      <c r="C43" s="37">
        <v>6</v>
      </c>
      <c r="D43" s="37" t="s">
        <v>13</v>
      </c>
      <c r="E43" s="65">
        <f t="shared" si="2"/>
        <v>0</v>
      </c>
      <c r="F43" s="66">
        <f t="shared" si="3"/>
        <v>0</v>
      </c>
      <c r="G43" s="37"/>
      <c r="H43" s="43"/>
    </row>
    <row r="44" spans="1:8" ht="25.5" x14ac:dyDescent="0.25">
      <c r="A44" s="41" t="s">
        <v>293</v>
      </c>
      <c r="B44" s="50" t="s">
        <v>138</v>
      </c>
      <c r="C44" s="37">
        <v>6</v>
      </c>
      <c r="D44" s="37" t="s">
        <v>13</v>
      </c>
      <c r="E44" s="65">
        <f t="shared" si="2"/>
        <v>0</v>
      </c>
      <c r="F44" s="66">
        <f t="shared" si="3"/>
        <v>0</v>
      </c>
      <c r="G44" s="37"/>
      <c r="H44" s="43"/>
    </row>
    <row r="45" spans="1:8" ht="25.5" x14ac:dyDescent="0.25">
      <c r="A45" s="41" t="s">
        <v>294</v>
      </c>
      <c r="B45" s="50" t="s">
        <v>137</v>
      </c>
      <c r="C45" s="37">
        <v>6</v>
      </c>
      <c r="D45" s="37" t="s">
        <v>13</v>
      </c>
      <c r="E45" s="65">
        <f t="shared" si="2"/>
        <v>0</v>
      </c>
      <c r="F45" s="66">
        <f t="shared" si="3"/>
        <v>0</v>
      </c>
      <c r="G45" s="37"/>
      <c r="H45" s="43"/>
    </row>
    <row r="46" spans="1:8" ht="25.5" x14ac:dyDescent="0.25">
      <c r="A46" s="41" t="s">
        <v>295</v>
      </c>
      <c r="B46" s="50" t="s">
        <v>136</v>
      </c>
      <c r="C46" s="37">
        <v>6</v>
      </c>
      <c r="D46" s="37" t="s">
        <v>13</v>
      </c>
      <c r="E46" s="65">
        <f>ROUND(H46,2)</f>
        <v>0</v>
      </c>
      <c r="F46" s="66">
        <f>C46*E46</f>
        <v>0</v>
      </c>
      <c r="G46" s="37"/>
      <c r="H46" s="43"/>
    </row>
    <row r="47" spans="1:8" ht="25.5" x14ac:dyDescent="0.25">
      <c r="A47" s="41" t="s">
        <v>296</v>
      </c>
      <c r="B47" s="50" t="s">
        <v>135</v>
      </c>
      <c r="C47" s="37">
        <v>6</v>
      </c>
      <c r="D47" s="37" t="s">
        <v>13</v>
      </c>
      <c r="E47" s="65">
        <f>ROUND(H47,2)</f>
        <v>0</v>
      </c>
      <c r="F47" s="66">
        <f>C47*E47</f>
        <v>0</v>
      </c>
      <c r="G47" s="37"/>
      <c r="H47" s="43"/>
    </row>
    <row r="48" spans="1:8" x14ac:dyDescent="0.25">
      <c r="A48" s="41"/>
      <c r="B48" s="31" t="s">
        <v>25</v>
      </c>
      <c r="C48" s="37"/>
      <c r="D48" s="37"/>
      <c r="E48" s="38"/>
      <c r="F48" s="89">
        <f>SUM(F39:F47)</f>
        <v>0</v>
      </c>
      <c r="G48" s="37"/>
      <c r="H48" s="40"/>
    </row>
    <row r="49" spans="1:12" x14ac:dyDescent="0.25">
      <c r="A49" s="45"/>
      <c r="B49" s="46"/>
      <c r="C49" s="22"/>
      <c r="D49" s="22"/>
      <c r="E49" s="23"/>
      <c r="F49" s="47"/>
      <c r="G49" s="22"/>
      <c r="H49" s="48"/>
    </row>
    <row r="50" spans="1:12" x14ac:dyDescent="0.25">
      <c r="A50" s="31" t="s">
        <v>297</v>
      </c>
      <c r="B50" s="49" t="s">
        <v>17</v>
      </c>
      <c r="C50" s="37"/>
      <c r="D50" s="37"/>
      <c r="E50" s="38"/>
      <c r="F50" s="39"/>
      <c r="G50" s="37"/>
      <c r="H50" s="40"/>
    </row>
    <row r="51" spans="1:12" x14ac:dyDescent="0.25">
      <c r="A51" s="41" t="s">
        <v>298</v>
      </c>
      <c r="B51" s="50" t="s">
        <v>11</v>
      </c>
      <c r="C51" s="37">
        <v>6</v>
      </c>
      <c r="D51" s="37" t="s">
        <v>13</v>
      </c>
      <c r="E51" s="65">
        <f>ROUND(H51,2)</f>
        <v>0</v>
      </c>
      <c r="F51" s="66">
        <f>C51*E51</f>
        <v>0</v>
      </c>
      <c r="G51" s="37"/>
      <c r="H51" s="43"/>
    </row>
    <row r="52" spans="1:12" x14ac:dyDescent="0.25">
      <c r="A52" s="41" t="s">
        <v>299</v>
      </c>
      <c r="B52" s="42" t="s">
        <v>12</v>
      </c>
      <c r="C52" s="37">
        <v>6</v>
      </c>
      <c r="D52" s="37" t="s">
        <v>13</v>
      </c>
      <c r="E52" s="65">
        <f>ROUND(H52,2)</f>
        <v>0</v>
      </c>
      <c r="F52" s="66">
        <f>C52*E52</f>
        <v>0</v>
      </c>
      <c r="G52" s="37"/>
      <c r="H52" s="43"/>
    </row>
    <row r="53" spans="1:12" x14ac:dyDescent="0.25">
      <c r="A53" s="41" t="s">
        <v>300</v>
      </c>
      <c r="B53" s="50" t="s">
        <v>14</v>
      </c>
      <c r="C53" s="37">
        <v>6</v>
      </c>
      <c r="D53" s="37" t="s">
        <v>13</v>
      </c>
      <c r="E53" s="65">
        <f>ROUND(H53,2)</f>
        <v>0</v>
      </c>
      <c r="F53" s="66">
        <f>C53*E53</f>
        <v>0</v>
      </c>
      <c r="G53" s="37"/>
      <c r="H53" s="43"/>
    </row>
    <row r="54" spans="1:12" ht="25.5" x14ac:dyDescent="0.25">
      <c r="A54" s="41" t="s">
        <v>301</v>
      </c>
      <c r="B54" s="50" t="s">
        <v>133</v>
      </c>
      <c r="C54" s="37">
        <v>1</v>
      </c>
      <c r="D54" s="37" t="s">
        <v>18</v>
      </c>
      <c r="E54" s="65">
        <f>ROUND(H54,2)</f>
        <v>0</v>
      </c>
      <c r="F54" s="66">
        <f>C54*E54</f>
        <v>0</v>
      </c>
      <c r="G54" s="37"/>
      <c r="H54" s="43"/>
      <c r="L54" s="50"/>
    </row>
    <row r="55" spans="1:12" ht="25.5" x14ac:dyDescent="0.25">
      <c r="A55" s="41" t="s">
        <v>302</v>
      </c>
      <c r="B55" s="50" t="s">
        <v>134</v>
      </c>
      <c r="C55" s="37">
        <v>1</v>
      </c>
      <c r="D55" s="37" t="s">
        <v>15</v>
      </c>
      <c r="E55" s="65">
        <f>ROUND(H55,2)</f>
        <v>0</v>
      </c>
      <c r="F55" s="66">
        <f>C55*E55</f>
        <v>0</v>
      </c>
      <c r="G55" s="37"/>
      <c r="H55" s="43"/>
    </row>
    <row r="56" spans="1:12" x14ac:dyDescent="0.25">
      <c r="A56" s="41"/>
      <c r="B56" s="31" t="s">
        <v>19</v>
      </c>
      <c r="C56" s="37"/>
      <c r="D56" s="37"/>
      <c r="E56" s="38"/>
      <c r="F56" s="89">
        <f>SUM(F51:F55)</f>
        <v>0</v>
      </c>
      <c r="G56" s="37"/>
      <c r="H56" s="40"/>
    </row>
    <row r="57" spans="1:12" x14ac:dyDescent="0.25">
      <c r="A57" s="45"/>
      <c r="B57" s="46"/>
      <c r="C57" s="22"/>
      <c r="D57" s="22"/>
      <c r="E57" s="23"/>
      <c r="F57" s="47"/>
      <c r="G57" s="22"/>
      <c r="H57" s="48"/>
    </row>
    <row r="58" spans="1:12" x14ac:dyDescent="0.25">
      <c r="A58" s="31" t="s">
        <v>303</v>
      </c>
      <c r="B58" s="30" t="s">
        <v>26</v>
      </c>
      <c r="C58" s="37"/>
      <c r="D58" s="37"/>
      <c r="E58" s="38"/>
      <c r="F58" s="39"/>
      <c r="G58" s="37"/>
      <c r="H58" s="40"/>
    </row>
    <row r="59" spans="1:12" x14ac:dyDescent="0.25">
      <c r="A59" s="41" t="s">
        <v>304</v>
      </c>
      <c r="B59" s="42" t="s">
        <v>11</v>
      </c>
      <c r="C59" s="37">
        <v>6</v>
      </c>
      <c r="D59" s="37" t="s">
        <v>13</v>
      </c>
      <c r="E59" s="65">
        <f>ROUND(H59,2)</f>
        <v>0</v>
      </c>
      <c r="F59" s="66">
        <f>C59*E59</f>
        <v>0</v>
      </c>
      <c r="G59" s="37"/>
      <c r="H59" s="43"/>
    </row>
    <row r="60" spans="1:12" x14ac:dyDescent="0.25">
      <c r="A60" s="41" t="s">
        <v>305</v>
      </c>
      <c r="B60" s="55" t="s">
        <v>12</v>
      </c>
      <c r="C60" s="37">
        <v>6</v>
      </c>
      <c r="D60" s="37" t="s">
        <v>13</v>
      </c>
      <c r="E60" s="65">
        <f>ROUND(H60,2)</f>
        <v>0</v>
      </c>
      <c r="F60" s="66">
        <f>C60*E60</f>
        <v>0</v>
      </c>
      <c r="G60" s="37"/>
      <c r="H60" s="43"/>
    </row>
    <row r="61" spans="1:12" x14ac:dyDescent="0.25">
      <c r="A61" s="41" t="s">
        <v>306</v>
      </c>
      <c r="B61" s="42" t="s">
        <v>14</v>
      </c>
      <c r="C61" s="37">
        <v>6</v>
      </c>
      <c r="D61" s="37" t="s">
        <v>13</v>
      </c>
      <c r="E61" s="65">
        <f>ROUND(H61,2)</f>
        <v>0</v>
      </c>
      <c r="F61" s="66">
        <f>C61*E61</f>
        <v>0</v>
      </c>
      <c r="G61" s="37"/>
      <c r="H61" s="43"/>
    </row>
    <row r="62" spans="1:12" ht="25.5" x14ac:dyDescent="0.25">
      <c r="A62" s="41" t="s">
        <v>307</v>
      </c>
      <c r="B62" s="42" t="s">
        <v>126</v>
      </c>
      <c r="C62" s="37">
        <v>1</v>
      </c>
      <c r="D62" s="37" t="s">
        <v>27</v>
      </c>
      <c r="E62" s="65">
        <f>ROUND(H62,2)</f>
        <v>0</v>
      </c>
      <c r="F62" s="66">
        <f>C62*E62</f>
        <v>0</v>
      </c>
      <c r="G62" s="37"/>
      <c r="H62" s="43"/>
    </row>
    <row r="63" spans="1:12" ht="25.5" x14ac:dyDescent="0.25">
      <c r="A63" s="41" t="s">
        <v>308</v>
      </c>
      <c r="B63" s="50" t="s">
        <v>127</v>
      </c>
      <c r="C63" s="37">
        <v>1</v>
      </c>
      <c r="D63" s="37" t="s">
        <v>27</v>
      </c>
      <c r="E63" s="65">
        <f>ROUND(H63,2)</f>
        <v>0</v>
      </c>
      <c r="F63" s="66">
        <f>C63*E63</f>
        <v>0</v>
      </c>
      <c r="G63" s="37"/>
      <c r="H63" s="43"/>
    </row>
    <row r="64" spans="1:12" x14ac:dyDescent="0.25">
      <c r="A64" s="41"/>
      <c r="B64" s="31" t="s">
        <v>28</v>
      </c>
      <c r="C64" s="37"/>
      <c r="D64" s="37"/>
      <c r="E64" s="38"/>
      <c r="F64" s="89">
        <f>SUM(F59:F63)</f>
        <v>0</v>
      </c>
      <c r="G64" s="37"/>
      <c r="H64" s="40"/>
    </row>
    <row r="65" spans="1:8" x14ac:dyDescent="0.25">
      <c r="A65" s="45"/>
      <c r="B65" s="56"/>
      <c r="C65" s="57"/>
      <c r="D65" s="57"/>
      <c r="E65" s="58"/>
      <c r="F65" s="47"/>
      <c r="G65" s="22"/>
      <c r="H65" s="48"/>
    </row>
    <row r="66" spans="1:8" x14ac:dyDescent="0.25">
      <c r="A66" s="31" t="s">
        <v>309</v>
      </c>
      <c r="B66" s="54" t="s">
        <v>29</v>
      </c>
      <c r="C66" s="37"/>
      <c r="D66" s="37"/>
      <c r="E66" s="38"/>
      <c r="F66" s="39"/>
      <c r="G66" s="37"/>
      <c r="H66" s="40"/>
    </row>
    <row r="67" spans="1:8" x14ac:dyDescent="0.25">
      <c r="A67" s="41" t="s">
        <v>310</v>
      </c>
      <c r="B67" s="59" t="s">
        <v>11</v>
      </c>
      <c r="C67" s="37">
        <v>6</v>
      </c>
      <c r="D67" s="37" t="s">
        <v>13</v>
      </c>
      <c r="E67" s="65">
        <f>ROUND(H67,2)</f>
        <v>0</v>
      </c>
      <c r="F67" s="66">
        <f>C67*E67</f>
        <v>0</v>
      </c>
      <c r="G67" s="37"/>
      <c r="H67" s="43"/>
    </row>
    <row r="68" spans="1:8" x14ac:dyDescent="0.25">
      <c r="A68" s="41" t="s">
        <v>311</v>
      </c>
      <c r="B68" s="59" t="s">
        <v>12</v>
      </c>
      <c r="C68" s="37">
        <v>6</v>
      </c>
      <c r="D68" s="37" t="s">
        <v>13</v>
      </c>
      <c r="E68" s="65">
        <f>ROUND(H68,2)</f>
        <v>0</v>
      </c>
      <c r="F68" s="66">
        <f>C68*E68</f>
        <v>0</v>
      </c>
      <c r="G68" s="37"/>
      <c r="H68" s="43"/>
    </row>
    <row r="69" spans="1:8" x14ac:dyDescent="0.25">
      <c r="A69" s="41" t="s">
        <v>312</v>
      </c>
      <c r="B69" s="59" t="s">
        <v>14</v>
      </c>
      <c r="C69" s="37">
        <v>6</v>
      </c>
      <c r="D69" s="37" t="s">
        <v>13</v>
      </c>
      <c r="E69" s="65">
        <f>ROUND(H69,2)</f>
        <v>0</v>
      </c>
      <c r="F69" s="66">
        <f>C69*E69</f>
        <v>0</v>
      </c>
      <c r="G69" s="37"/>
      <c r="H69" s="43"/>
    </row>
    <row r="70" spans="1:8" ht="38.25" x14ac:dyDescent="0.25">
      <c r="A70" s="41" t="s">
        <v>313</v>
      </c>
      <c r="B70" s="42" t="s">
        <v>128</v>
      </c>
      <c r="C70" s="37">
        <v>1</v>
      </c>
      <c r="D70" s="37" t="s">
        <v>18</v>
      </c>
      <c r="E70" s="65">
        <f>ROUND(H70,2)</f>
        <v>0</v>
      </c>
      <c r="F70" s="66">
        <f>C70*E70</f>
        <v>0</v>
      </c>
      <c r="G70" s="37"/>
      <c r="H70" s="43"/>
    </row>
    <row r="71" spans="1:8" ht="38.25" x14ac:dyDescent="0.25">
      <c r="A71" s="41" t="s">
        <v>314</v>
      </c>
      <c r="B71" s="50" t="s">
        <v>129</v>
      </c>
      <c r="C71" s="37">
        <v>1</v>
      </c>
      <c r="D71" s="37" t="s">
        <v>18</v>
      </c>
      <c r="E71" s="65">
        <f>ROUND(H71,2)</f>
        <v>0</v>
      </c>
      <c r="F71" s="66">
        <f>C71*E71</f>
        <v>0</v>
      </c>
      <c r="G71" s="37"/>
      <c r="H71" s="43"/>
    </row>
    <row r="72" spans="1:8" x14ac:dyDescent="0.25">
      <c r="A72" s="41"/>
      <c r="B72" s="49" t="s">
        <v>30</v>
      </c>
      <c r="C72" s="37"/>
      <c r="D72" s="37"/>
      <c r="E72" s="38"/>
      <c r="F72" s="89">
        <f>SUM(F67:F71)</f>
        <v>0</v>
      </c>
      <c r="G72" s="37"/>
      <c r="H72" s="40"/>
    </row>
    <row r="73" spans="1:8" x14ac:dyDescent="0.25">
      <c r="A73" s="45"/>
      <c r="B73" s="61"/>
      <c r="C73" s="22"/>
      <c r="D73" s="22"/>
      <c r="E73" s="23"/>
      <c r="F73" s="62"/>
      <c r="G73" s="22"/>
      <c r="H73" s="48"/>
    </row>
    <row r="74" spans="1:8" x14ac:dyDescent="0.25">
      <c r="A74" s="31" t="s">
        <v>315</v>
      </c>
      <c r="B74" s="31" t="s">
        <v>10</v>
      </c>
      <c r="C74" s="37"/>
      <c r="D74" s="37"/>
      <c r="E74" s="38"/>
      <c r="F74" s="39"/>
      <c r="G74" s="37"/>
      <c r="H74" s="40"/>
    </row>
    <row r="75" spans="1:8" x14ac:dyDescent="0.25">
      <c r="A75" s="41" t="s">
        <v>316</v>
      </c>
      <c r="B75" s="42" t="s">
        <v>11</v>
      </c>
      <c r="C75" s="37">
        <v>6</v>
      </c>
      <c r="D75" s="37" t="s">
        <v>13</v>
      </c>
      <c r="E75" s="65">
        <f t="shared" ref="E75:E80" si="4">ROUND(H75,2)</f>
        <v>0</v>
      </c>
      <c r="F75" s="66">
        <f t="shared" ref="F75:F80" si="5">C75*E75</f>
        <v>0</v>
      </c>
      <c r="G75" s="37"/>
      <c r="H75" s="43"/>
    </row>
    <row r="76" spans="1:8" x14ac:dyDescent="0.25">
      <c r="A76" s="41" t="s">
        <v>317</v>
      </c>
      <c r="B76" s="42" t="s">
        <v>12</v>
      </c>
      <c r="C76" s="37">
        <v>6</v>
      </c>
      <c r="D76" s="37" t="s">
        <v>13</v>
      </c>
      <c r="E76" s="65">
        <f t="shared" si="4"/>
        <v>0</v>
      </c>
      <c r="F76" s="66">
        <f t="shared" si="5"/>
        <v>0</v>
      </c>
      <c r="G76" s="37"/>
      <c r="H76" s="43"/>
    </row>
    <row r="77" spans="1:8" x14ac:dyDescent="0.25">
      <c r="A77" s="41" t="s">
        <v>318</v>
      </c>
      <c r="B77" s="42" t="s">
        <v>14</v>
      </c>
      <c r="C77" s="37">
        <v>6</v>
      </c>
      <c r="D77" s="37" t="s">
        <v>13</v>
      </c>
      <c r="E77" s="65">
        <f t="shared" si="4"/>
        <v>0</v>
      </c>
      <c r="F77" s="66">
        <f t="shared" si="5"/>
        <v>0</v>
      </c>
      <c r="G77" s="37"/>
      <c r="H77" s="43"/>
    </row>
    <row r="78" spans="1:8" ht="25.5" x14ac:dyDescent="0.25">
      <c r="A78" s="41" t="s">
        <v>319</v>
      </c>
      <c r="B78" s="42" t="s">
        <v>130</v>
      </c>
      <c r="C78" s="37">
        <v>2</v>
      </c>
      <c r="D78" s="37" t="s">
        <v>16</v>
      </c>
      <c r="E78" s="65">
        <f t="shared" si="4"/>
        <v>0</v>
      </c>
      <c r="F78" s="66">
        <f t="shared" si="5"/>
        <v>0</v>
      </c>
      <c r="G78" s="37"/>
      <c r="H78" s="43"/>
    </row>
    <row r="79" spans="1:8" ht="25.5" x14ac:dyDescent="0.25">
      <c r="A79" s="41" t="s">
        <v>320</v>
      </c>
      <c r="B79" s="42" t="s">
        <v>131</v>
      </c>
      <c r="C79" s="37">
        <v>1</v>
      </c>
      <c r="D79" s="37" t="s">
        <v>15</v>
      </c>
      <c r="E79" s="65">
        <f t="shared" si="4"/>
        <v>0</v>
      </c>
      <c r="F79" s="66">
        <f t="shared" si="5"/>
        <v>0</v>
      </c>
      <c r="G79" s="37"/>
      <c r="H79" s="43"/>
    </row>
    <row r="80" spans="1:8" ht="25.5" x14ac:dyDescent="0.25">
      <c r="A80" s="41" t="s">
        <v>321</v>
      </c>
      <c r="B80" s="42" t="s">
        <v>132</v>
      </c>
      <c r="C80" s="37">
        <v>1</v>
      </c>
      <c r="D80" s="37" t="s">
        <v>15</v>
      </c>
      <c r="E80" s="65">
        <f t="shared" si="4"/>
        <v>0</v>
      </c>
      <c r="F80" s="66">
        <f t="shared" si="5"/>
        <v>0</v>
      </c>
      <c r="G80" s="37"/>
      <c r="H80" s="43"/>
    </row>
    <row r="81" spans="1:8" x14ac:dyDescent="0.25">
      <c r="A81" s="41"/>
      <c r="B81" s="31" t="s">
        <v>728</v>
      </c>
      <c r="C81" s="37"/>
      <c r="D81" s="37"/>
      <c r="E81" s="38"/>
      <c r="F81" s="89">
        <f>SUM(F75:F80)</f>
        <v>0</v>
      </c>
      <c r="G81" s="37"/>
      <c r="H81" s="40"/>
    </row>
    <row r="82" spans="1:8" x14ac:dyDescent="0.25">
      <c r="A82" s="73"/>
      <c r="B82" s="74"/>
      <c r="C82" s="22"/>
      <c r="D82" s="22"/>
      <c r="E82" s="23"/>
      <c r="F82" s="62"/>
      <c r="G82" s="22"/>
      <c r="H82" s="75"/>
    </row>
    <row r="83" spans="1:8" x14ac:dyDescent="0.25">
      <c r="A83" s="31" t="s">
        <v>322</v>
      </c>
      <c r="B83" s="30" t="s">
        <v>22</v>
      </c>
      <c r="C83" s="37"/>
      <c r="D83" s="37"/>
      <c r="E83" s="38"/>
      <c r="F83" s="39"/>
      <c r="G83" s="37"/>
      <c r="H83" s="40"/>
    </row>
    <row r="84" spans="1:8" x14ac:dyDescent="0.25">
      <c r="A84" s="41" t="s">
        <v>323</v>
      </c>
      <c r="B84" s="42" t="s">
        <v>11</v>
      </c>
      <c r="C84" s="37">
        <v>6</v>
      </c>
      <c r="D84" s="37" t="s">
        <v>13</v>
      </c>
      <c r="E84" s="65">
        <f t="shared" ref="E84:E89" si="6">ROUND(H84,2)</f>
        <v>0</v>
      </c>
      <c r="F84" s="66">
        <f t="shared" ref="F84:F89" si="7">C84*E84</f>
        <v>0</v>
      </c>
      <c r="G84" s="37"/>
      <c r="H84" s="43"/>
    </row>
    <row r="85" spans="1:8" x14ac:dyDescent="0.25">
      <c r="A85" s="41" t="s">
        <v>324</v>
      </c>
      <c r="B85" s="42" t="s">
        <v>12</v>
      </c>
      <c r="C85" s="37">
        <v>6</v>
      </c>
      <c r="D85" s="37" t="s">
        <v>13</v>
      </c>
      <c r="E85" s="65">
        <f t="shared" si="6"/>
        <v>0</v>
      </c>
      <c r="F85" s="66">
        <f t="shared" si="7"/>
        <v>0</v>
      </c>
      <c r="G85" s="37"/>
      <c r="H85" s="43"/>
    </row>
    <row r="86" spans="1:8" x14ac:dyDescent="0.25">
      <c r="A86" s="41" t="s">
        <v>325</v>
      </c>
      <c r="B86" s="42" t="s">
        <v>14</v>
      </c>
      <c r="C86" s="37">
        <v>6</v>
      </c>
      <c r="D86" s="37" t="s">
        <v>13</v>
      </c>
      <c r="E86" s="65">
        <f t="shared" si="6"/>
        <v>0</v>
      </c>
      <c r="F86" s="66">
        <f t="shared" si="7"/>
        <v>0</v>
      </c>
      <c r="G86" s="37"/>
      <c r="H86" s="43"/>
    </row>
    <row r="87" spans="1:8" ht="25.5" x14ac:dyDescent="0.25">
      <c r="A87" s="41" t="s">
        <v>326</v>
      </c>
      <c r="B87" s="50" t="s">
        <v>131</v>
      </c>
      <c r="C87" s="37">
        <v>1</v>
      </c>
      <c r="D87" s="37" t="s">
        <v>15</v>
      </c>
      <c r="E87" s="65">
        <f t="shared" si="6"/>
        <v>0</v>
      </c>
      <c r="F87" s="66">
        <f t="shared" si="7"/>
        <v>0</v>
      </c>
      <c r="G87" s="37"/>
      <c r="H87" s="43"/>
    </row>
    <row r="88" spans="1:8" ht="25.5" x14ac:dyDescent="0.25">
      <c r="A88" s="41" t="s">
        <v>327</v>
      </c>
      <c r="B88" s="42" t="s">
        <v>132</v>
      </c>
      <c r="C88" s="37">
        <v>1</v>
      </c>
      <c r="D88" s="37" t="s">
        <v>15</v>
      </c>
      <c r="E88" s="65">
        <f t="shared" si="6"/>
        <v>0</v>
      </c>
      <c r="F88" s="66">
        <f t="shared" si="7"/>
        <v>0</v>
      </c>
      <c r="G88" s="37"/>
      <c r="H88" s="43"/>
    </row>
    <row r="89" spans="1:8" ht="25.5" x14ac:dyDescent="0.25">
      <c r="A89" s="41" t="s">
        <v>328</v>
      </c>
      <c r="B89" s="42" t="s">
        <v>130</v>
      </c>
      <c r="C89" s="37">
        <v>2</v>
      </c>
      <c r="D89" s="37" t="s">
        <v>16</v>
      </c>
      <c r="E89" s="65">
        <f t="shared" si="6"/>
        <v>0</v>
      </c>
      <c r="F89" s="66">
        <f t="shared" si="7"/>
        <v>0</v>
      </c>
      <c r="G89" s="37"/>
      <c r="H89" s="43"/>
    </row>
    <row r="90" spans="1:8" x14ac:dyDescent="0.25">
      <c r="A90" s="73"/>
      <c r="B90" s="31" t="s">
        <v>23</v>
      </c>
      <c r="C90" s="37"/>
      <c r="D90" s="37"/>
      <c r="E90" s="38"/>
      <c r="F90" s="89">
        <f>SUM(F84:F89)</f>
        <v>0</v>
      </c>
      <c r="G90" s="37"/>
      <c r="H90" s="75"/>
    </row>
    <row r="91" spans="1:8" x14ac:dyDescent="0.25">
      <c r="A91" s="69"/>
      <c r="H91" s="104"/>
    </row>
    <row r="92" spans="1:8" x14ac:dyDescent="0.25">
      <c r="A92" s="31" t="s">
        <v>329</v>
      </c>
      <c r="B92" s="31" t="s">
        <v>31</v>
      </c>
      <c r="C92" s="37"/>
      <c r="D92" s="37"/>
      <c r="E92" s="38"/>
      <c r="F92" s="39"/>
      <c r="G92" s="37"/>
      <c r="H92" s="40"/>
    </row>
    <row r="93" spans="1:8" x14ac:dyDescent="0.25">
      <c r="A93" s="41" t="s">
        <v>330</v>
      </c>
      <c r="B93" s="42" t="s">
        <v>11</v>
      </c>
      <c r="C93" s="37">
        <v>6</v>
      </c>
      <c r="D93" s="37" t="s">
        <v>13</v>
      </c>
      <c r="E93" s="63">
        <f t="shared" ref="E93:E99" si="8">ROUND(H93,2)</f>
        <v>0</v>
      </c>
      <c r="F93" s="66">
        <f t="shared" ref="F93:F99" si="9">C93*E93</f>
        <v>0</v>
      </c>
      <c r="G93" s="37"/>
      <c r="H93" s="43"/>
    </row>
    <row r="94" spans="1:8" x14ac:dyDescent="0.25">
      <c r="A94" s="41" t="s">
        <v>331</v>
      </c>
      <c r="B94" s="42" t="s">
        <v>12</v>
      </c>
      <c r="C94" s="37">
        <v>6</v>
      </c>
      <c r="D94" s="37" t="s">
        <v>13</v>
      </c>
      <c r="E94" s="63">
        <f t="shared" si="8"/>
        <v>0</v>
      </c>
      <c r="F94" s="66">
        <f t="shared" si="9"/>
        <v>0</v>
      </c>
      <c r="G94" s="37"/>
      <c r="H94" s="43"/>
    </row>
    <row r="95" spans="1:8" x14ac:dyDescent="0.25">
      <c r="A95" s="41" t="s">
        <v>332</v>
      </c>
      <c r="B95" s="42" t="s">
        <v>14</v>
      </c>
      <c r="C95" s="37">
        <v>6</v>
      </c>
      <c r="D95" s="37" t="s">
        <v>13</v>
      </c>
      <c r="E95" s="63">
        <f t="shared" si="8"/>
        <v>0</v>
      </c>
      <c r="F95" s="66">
        <f t="shared" si="9"/>
        <v>0</v>
      </c>
      <c r="G95" s="37"/>
      <c r="H95" s="43"/>
    </row>
    <row r="96" spans="1:8" ht="25.5" x14ac:dyDescent="0.25">
      <c r="A96" s="41" t="s">
        <v>333</v>
      </c>
      <c r="B96" s="42" t="s">
        <v>146</v>
      </c>
      <c r="C96" s="37">
        <v>1</v>
      </c>
      <c r="D96" s="37" t="s">
        <v>15</v>
      </c>
      <c r="E96" s="63">
        <f t="shared" si="8"/>
        <v>0</v>
      </c>
      <c r="F96" s="66">
        <f t="shared" si="9"/>
        <v>0</v>
      </c>
      <c r="G96" s="37"/>
      <c r="H96" s="43"/>
    </row>
    <row r="97" spans="1:8" ht="25.5" x14ac:dyDescent="0.25">
      <c r="A97" s="41" t="s">
        <v>334</v>
      </c>
      <c r="B97" s="42" t="s">
        <v>147</v>
      </c>
      <c r="C97" s="37">
        <v>1</v>
      </c>
      <c r="D97" s="37" t="s">
        <v>18</v>
      </c>
      <c r="E97" s="63">
        <f t="shared" si="8"/>
        <v>0</v>
      </c>
      <c r="F97" s="66">
        <f t="shared" si="9"/>
        <v>0</v>
      </c>
      <c r="G97" s="37"/>
      <c r="H97" s="43"/>
    </row>
    <row r="98" spans="1:8" ht="25.5" x14ac:dyDescent="0.25">
      <c r="A98" s="41" t="s">
        <v>335</v>
      </c>
      <c r="B98" s="42" t="s">
        <v>148</v>
      </c>
      <c r="C98" s="37">
        <v>2</v>
      </c>
      <c r="D98" s="37" t="s">
        <v>16</v>
      </c>
      <c r="E98" s="63">
        <f t="shared" si="8"/>
        <v>0</v>
      </c>
      <c r="F98" s="66">
        <f t="shared" si="9"/>
        <v>0</v>
      </c>
      <c r="G98" s="37"/>
      <c r="H98" s="43"/>
    </row>
    <row r="99" spans="1:8" ht="25.5" x14ac:dyDescent="0.25">
      <c r="A99" s="41" t="s">
        <v>336</v>
      </c>
      <c r="B99" s="42" t="s">
        <v>149</v>
      </c>
      <c r="C99" s="37">
        <v>6</v>
      </c>
      <c r="D99" s="37" t="s">
        <v>13</v>
      </c>
      <c r="E99" s="63">
        <f t="shared" si="8"/>
        <v>0</v>
      </c>
      <c r="F99" s="66">
        <f t="shared" si="9"/>
        <v>0</v>
      </c>
      <c r="G99" s="37"/>
      <c r="H99" s="43"/>
    </row>
    <row r="100" spans="1:8" x14ac:dyDescent="0.25">
      <c r="A100" s="41"/>
      <c r="B100" s="31" t="s">
        <v>32</v>
      </c>
      <c r="C100" s="37"/>
      <c r="D100" s="37"/>
      <c r="E100" s="38"/>
      <c r="F100" s="89">
        <f>SUM(F93:F99)</f>
        <v>0</v>
      </c>
      <c r="G100" s="37"/>
      <c r="H100" s="40"/>
    </row>
    <row r="101" spans="1:8" x14ac:dyDescent="0.25">
      <c r="A101" s="69"/>
      <c r="H101" s="104"/>
    </row>
    <row r="102" spans="1:8" x14ac:dyDescent="0.25">
      <c r="A102" s="31" t="s">
        <v>337</v>
      </c>
      <c r="B102" s="31" t="s">
        <v>636</v>
      </c>
      <c r="C102" s="60"/>
      <c r="D102" s="60"/>
      <c r="E102" s="70"/>
      <c r="F102" s="44"/>
      <c r="G102" s="60"/>
      <c r="H102" s="71"/>
    </row>
    <row r="103" spans="1:8" x14ac:dyDescent="0.25">
      <c r="A103" s="41" t="s">
        <v>338</v>
      </c>
      <c r="B103" s="42" t="s">
        <v>11</v>
      </c>
      <c r="C103" s="37">
        <v>6</v>
      </c>
      <c r="D103" s="37" t="s">
        <v>13</v>
      </c>
      <c r="E103" s="72">
        <f>ROUND(H103,2)</f>
        <v>0</v>
      </c>
      <c r="F103" s="66">
        <f>C103*E103</f>
        <v>0</v>
      </c>
      <c r="G103" s="37"/>
      <c r="H103" s="43"/>
    </row>
    <row r="104" spans="1:8" x14ac:dyDescent="0.25">
      <c r="A104" s="41" t="s">
        <v>339</v>
      </c>
      <c r="B104" s="42" t="s">
        <v>12</v>
      </c>
      <c r="C104" s="37">
        <v>6</v>
      </c>
      <c r="D104" s="37" t="s">
        <v>13</v>
      </c>
      <c r="E104" s="72">
        <f>ROUND(H104,2)</f>
        <v>0</v>
      </c>
      <c r="F104" s="66">
        <f>C104*E104</f>
        <v>0</v>
      </c>
      <c r="G104" s="37"/>
      <c r="H104" s="43"/>
    </row>
    <row r="105" spans="1:8" x14ac:dyDescent="0.25">
      <c r="A105" s="41" t="s">
        <v>340</v>
      </c>
      <c r="B105" s="42" t="s">
        <v>14</v>
      </c>
      <c r="C105" s="37">
        <v>6</v>
      </c>
      <c r="D105" s="37" t="s">
        <v>13</v>
      </c>
      <c r="E105" s="72">
        <f>ROUND(H105,2)</f>
        <v>0</v>
      </c>
      <c r="F105" s="66">
        <f>C105*E105</f>
        <v>0</v>
      </c>
      <c r="G105" s="37"/>
      <c r="H105" s="43"/>
    </row>
    <row r="106" spans="1:8" ht="25.5" x14ac:dyDescent="0.25">
      <c r="A106" s="41" t="s">
        <v>341</v>
      </c>
      <c r="B106" s="42" t="s">
        <v>784</v>
      </c>
      <c r="C106" s="37">
        <v>6</v>
      </c>
      <c r="D106" s="37" t="s">
        <v>13</v>
      </c>
      <c r="E106" s="72">
        <f>ROUND(H106,2)</f>
        <v>0</v>
      </c>
      <c r="F106" s="66">
        <f>C106*E106</f>
        <v>0</v>
      </c>
      <c r="G106" s="37"/>
      <c r="H106" s="43"/>
    </row>
    <row r="107" spans="1:8" x14ac:dyDescent="0.25">
      <c r="A107" s="41"/>
      <c r="B107" s="30" t="s">
        <v>637</v>
      </c>
      <c r="C107" s="37"/>
      <c r="D107" s="37"/>
      <c r="E107" s="38"/>
      <c r="F107" s="89">
        <f>SUM(F103:F106)</f>
        <v>0</v>
      </c>
      <c r="G107" s="37"/>
      <c r="H107" s="40"/>
    </row>
    <row r="108" spans="1:8" x14ac:dyDescent="0.25">
      <c r="A108" s="69"/>
      <c r="H108" s="105"/>
    </row>
    <row r="109" spans="1:8" x14ac:dyDescent="0.25">
      <c r="A109" s="31" t="s">
        <v>342</v>
      </c>
      <c r="B109" s="31" t="s">
        <v>643</v>
      </c>
      <c r="C109" s="60"/>
      <c r="D109" s="60"/>
      <c r="E109" s="70"/>
      <c r="F109" s="44"/>
      <c r="G109" s="60"/>
      <c r="H109" s="71"/>
    </row>
    <row r="110" spans="1:8" x14ac:dyDescent="0.25">
      <c r="A110" s="41" t="s">
        <v>343</v>
      </c>
      <c r="B110" s="42" t="s">
        <v>11</v>
      </c>
      <c r="C110" s="37">
        <v>6</v>
      </c>
      <c r="D110" s="37" t="s">
        <v>13</v>
      </c>
      <c r="E110" s="72">
        <f>ROUND(H110,2)</f>
        <v>0</v>
      </c>
      <c r="F110" s="66">
        <f>C110*E110</f>
        <v>0</v>
      </c>
      <c r="G110" s="37"/>
      <c r="H110" s="43"/>
    </row>
    <row r="111" spans="1:8" x14ac:dyDescent="0.25">
      <c r="A111" s="41" t="s">
        <v>344</v>
      </c>
      <c r="B111" s="42" t="s">
        <v>12</v>
      </c>
      <c r="C111" s="37">
        <v>6</v>
      </c>
      <c r="D111" s="37" t="s">
        <v>13</v>
      </c>
      <c r="E111" s="72">
        <f>ROUND(H111,2)</f>
        <v>0</v>
      </c>
      <c r="F111" s="66">
        <f>C111*E111</f>
        <v>0</v>
      </c>
      <c r="G111" s="37"/>
      <c r="H111" s="43"/>
    </row>
    <row r="112" spans="1:8" x14ac:dyDescent="0.25">
      <c r="A112" s="41" t="s">
        <v>345</v>
      </c>
      <c r="B112" s="42" t="s">
        <v>14</v>
      </c>
      <c r="C112" s="37">
        <v>6</v>
      </c>
      <c r="D112" s="37" t="s">
        <v>13</v>
      </c>
      <c r="E112" s="72">
        <f>ROUND(H112,2)</f>
        <v>0</v>
      </c>
      <c r="F112" s="66">
        <f>C112*E112</f>
        <v>0</v>
      </c>
      <c r="G112" s="37"/>
      <c r="H112" s="43"/>
    </row>
    <row r="113" spans="1:8" ht="25.5" x14ac:dyDescent="0.25">
      <c r="A113" s="41" t="s">
        <v>346</v>
      </c>
      <c r="B113" s="42" t="s">
        <v>761</v>
      </c>
      <c r="C113" s="37">
        <v>6</v>
      </c>
      <c r="D113" s="37" t="s">
        <v>13</v>
      </c>
      <c r="E113" s="72">
        <f>ROUND(H113,2)</f>
        <v>0</v>
      </c>
      <c r="F113" s="66">
        <f>C113*E113</f>
        <v>0</v>
      </c>
      <c r="G113" s="37"/>
      <c r="H113" s="43"/>
    </row>
    <row r="114" spans="1:8" x14ac:dyDescent="0.25">
      <c r="A114" s="41"/>
      <c r="B114" s="30" t="s">
        <v>644</v>
      </c>
      <c r="C114" s="37"/>
      <c r="D114" s="37"/>
      <c r="E114" s="38"/>
      <c r="F114" s="89">
        <f>SUM(F110:F113)</f>
        <v>0</v>
      </c>
      <c r="G114" s="37"/>
      <c r="H114" s="40"/>
    </row>
    <row r="115" spans="1:8" x14ac:dyDescent="0.25">
      <c r="A115" s="51"/>
      <c r="H115" s="105"/>
    </row>
    <row r="116" spans="1:8" x14ac:dyDescent="0.25">
      <c r="A116" s="31" t="s">
        <v>712</v>
      </c>
      <c r="B116" s="31" t="s">
        <v>651</v>
      </c>
      <c r="C116" s="60"/>
      <c r="D116" s="60"/>
      <c r="E116" s="70"/>
      <c r="F116" s="44"/>
      <c r="G116" s="60"/>
      <c r="H116" s="71"/>
    </row>
    <row r="117" spans="1:8" x14ac:dyDescent="0.25">
      <c r="A117" s="41" t="s">
        <v>713</v>
      </c>
      <c r="B117" s="42" t="s">
        <v>11</v>
      </c>
      <c r="C117" s="37">
        <v>6</v>
      </c>
      <c r="D117" s="37" t="s">
        <v>13</v>
      </c>
      <c r="E117" s="72">
        <f>ROUND(H117,2)</f>
        <v>0</v>
      </c>
      <c r="F117" s="66">
        <f>C117*E117</f>
        <v>0</v>
      </c>
      <c r="G117" s="37"/>
      <c r="H117" s="43"/>
    </row>
    <row r="118" spans="1:8" x14ac:dyDescent="0.25">
      <c r="A118" s="41" t="s">
        <v>714</v>
      </c>
      <c r="B118" s="42" t="s">
        <v>12</v>
      </c>
      <c r="C118" s="37">
        <v>6</v>
      </c>
      <c r="D118" s="37" t="s">
        <v>13</v>
      </c>
      <c r="E118" s="72">
        <f>ROUND(H118,2)</f>
        <v>0</v>
      </c>
      <c r="F118" s="66">
        <f>C118*E118</f>
        <v>0</v>
      </c>
      <c r="G118" s="37"/>
      <c r="H118" s="43"/>
    </row>
    <row r="119" spans="1:8" x14ac:dyDescent="0.25">
      <c r="A119" s="41" t="s">
        <v>715</v>
      </c>
      <c r="B119" s="42" t="s">
        <v>14</v>
      </c>
      <c r="C119" s="37">
        <v>6</v>
      </c>
      <c r="D119" s="37" t="s">
        <v>13</v>
      </c>
      <c r="E119" s="72">
        <f>ROUND(H119,2)</f>
        <v>0</v>
      </c>
      <c r="F119" s="66">
        <f>C119*E119</f>
        <v>0</v>
      </c>
      <c r="G119" s="37"/>
      <c r="H119" s="43"/>
    </row>
    <row r="120" spans="1:8" ht="25.5" x14ac:dyDescent="0.25">
      <c r="A120" s="41" t="s">
        <v>716</v>
      </c>
      <c r="B120" s="42" t="s">
        <v>762</v>
      </c>
      <c r="C120" s="37">
        <v>6</v>
      </c>
      <c r="D120" s="37" t="s">
        <v>13</v>
      </c>
      <c r="E120" s="72">
        <f>ROUND(H120,2)</f>
        <v>0</v>
      </c>
      <c r="F120" s="66">
        <f>C120*E120</f>
        <v>0</v>
      </c>
      <c r="G120" s="37"/>
      <c r="H120" s="43"/>
    </row>
    <row r="121" spans="1:8" x14ac:dyDescent="0.25">
      <c r="A121" s="41"/>
      <c r="B121" s="30" t="s">
        <v>650</v>
      </c>
      <c r="C121" s="37"/>
      <c r="D121" s="37"/>
      <c r="E121" s="38"/>
      <c r="F121" s="89">
        <f>SUM(F117:F120)</f>
        <v>0</v>
      </c>
      <c r="G121" s="37"/>
      <c r="H121" s="40"/>
    </row>
    <row r="122" spans="1:8" x14ac:dyDescent="0.25">
      <c r="H122" s="105"/>
    </row>
    <row r="123" spans="1:8" x14ac:dyDescent="0.25">
      <c r="A123" s="31" t="s">
        <v>717</v>
      </c>
      <c r="B123" s="31" t="s">
        <v>122</v>
      </c>
      <c r="C123" s="60"/>
      <c r="D123" s="60"/>
      <c r="E123" s="70"/>
      <c r="F123" s="44"/>
      <c r="G123" s="60"/>
      <c r="H123" s="71"/>
    </row>
    <row r="124" spans="1:8" x14ac:dyDescent="0.25">
      <c r="A124" s="41" t="s">
        <v>718</v>
      </c>
      <c r="B124" s="42" t="s">
        <v>11</v>
      </c>
      <c r="C124" s="37">
        <v>6</v>
      </c>
      <c r="D124" s="37" t="s">
        <v>13</v>
      </c>
      <c r="E124" s="72">
        <f>ROUND(H124,2)</f>
        <v>0</v>
      </c>
      <c r="F124" s="66">
        <f>C124*E124</f>
        <v>0</v>
      </c>
      <c r="G124" s="37"/>
      <c r="H124" s="43"/>
    </row>
    <row r="125" spans="1:8" x14ac:dyDescent="0.25">
      <c r="A125" s="41" t="s">
        <v>719</v>
      </c>
      <c r="B125" s="42" t="s">
        <v>12</v>
      </c>
      <c r="C125" s="37">
        <v>6</v>
      </c>
      <c r="D125" s="37" t="s">
        <v>13</v>
      </c>
      <c r="E125" s="72">
        <f>ROUND(H125,2)</f>
        <v>0</v>
      </c>
      <c r="F125" s="66">
        <f>C125*E125</f>
        <v>0</v>
      </c>
      <c r="G125" s="37"/>
      <c r="H125" s="43"/>
    </row>
    <row r="126" spans="1:8" x14ac:dyDescent="0.25">
      <c r="A126" s="41" t="s">
        <v>720</v>
      </c>
      <c r="B126" s="42" t="s">
        <v>14</v>
      </c>
      <c r="C126" s="37">
        <v>6</v>
      </c>
      <c r="D126" s="37" t="s">
        <v>13</v>
      </c>
      <c r="E126" s="72">
        <f>ROUND(H126,2)</f>
        <v>0</v>
      </c>
      <c r="F126" s="66">
        <f>C126*E126</f>
        <v>0</v>
      </c>
      <c r="G126" s="37"/>
      <c r="H126" s="43"/>
    </row>
    <row r="127" spans="1:8" ht="25.5" x14ac:dyDescent="0.25">
      <c r="A127" s="41" t="s">
        <v>721</v>
      </c>
      <c r="B127" s="42" t="s">
        <v>727</v>
      </c>
      <c r="C127" s="37">
        <v>6</v>
      </c>
      <c r="D127" s="37" t="s">
        <v>13</v>
      </c>
      <c r="E127" s="72">
        <f>ROUND(H127,2)</f>
        <v>0</v>
      </c>
      <c r="F127" s="66">
        <f>C127*E127</f>
        <v>0</v>
      </c>
      <c r="G127" s="37"/>
      <c r="H127" s="43"/>
    </row>
    <row r="128" spans="1:8" x14ac:dyDescent="0.25">
      <c r="A128" s="41"/>
      <c r="B128" s="30" t="s">
        <v>123</v>
      </c>
      <c r="C128" s="37"/>
      <c r="D128" s="37"/>
      <c r="E128" s="38"/>
      <c r="F128" s="89">
        <f>SUM(F124:F127)</f>
        <v>0</v>
      </c>
      <c r="G128" s="37"/>
      <c r="H128" s="40"/>
    </row>
    <row r="129" spans="1:8" x14ac:dyDescent="0.25">
      <c r="H129" s="104"/>
    </row>
    <row r="130" spans="1:8" x14ac:dyDescent="0.25">
      <c r="A130" s="31" t="s">
        <v>722</v>
      </c>
      <c r="B130" s="31" t="s">
        <v>121</v>
      </c>
      <c r="C130" s="60"/>
      <c r="D130" s="60"/>
      <c r="E130" s="70"/>
      <c r="F130" s="44"/>
      <c r="G130" s="60"/>
      <c r="H130" s="71"/>
    </row>
    <row r="131" spans="1:8" x14ac:dyDescent="0.25">
      <c r="A131" s="41" t="s">
        <v>723</v>
      </c>
      <c r="B131" s="42" t="s">
        <v>11</v>
      </c>
      <c r="C131" s="37">
        <v>6</v>
      </c>
      <c r="D131" s="37" t="s">
        <v>13</v>
      </c>
      <c r="E131" s="72">
        <f>ROUND(H131,2)</f>
        <v>0</v>
      </c>
      <c r="F131" s="66">
        <f>C131*E131</f>
        <v>0</v>
      </c>
      <c r="G131" s="37"/>
      <c r="H131" s="43"/>
    </row>
    <row r="132" spans="1:8" x14ac:dyDescent="0.25">
      <c r="A132" s="41" t="s">
        <v>724</v>
      </c>
      <c r="B132" s="42" t="s">
        <v>12</v>
      </c>
      <c r="C132" s="37">
        <v>6</v>
      </c>
      <c r="D132" s="37" t="s">
        <v>13</v>
      </c>
      <c r="E132" s="72">
        <f>ROUND(H132,2)</f>
        <v>0</v>
      </c>
      <c r="F132" s="66">
        <f>C132*E132</f>
        <v>0</v>
      </c>
      <c r="G132" s="37"/>
      <c r="H132" s="43"/>
    </row>
    <row r="133" spans="1:8" x14ac:dyDescent="0.25">
      <c r="A133" s="41" t="s">
        <v>725</v>
      </c>
      <c r="B133" s="42" t="s">
        <v>14</v>
      </c>
      <c r="C133" s="37">
        <v>6</v>
      </c>
      <c r="D133" s="37" t="s">
        <v>13</v>
      </c>
      <c r="E133" s="72">
        <f>ROUND(H133,2)</f>
        <v>0</v>
      </c>
      <c r="F133" s="66">
        <f>C133*E133</f>
        <v>0</v>
      </c>
      <c r="G133" s="37"/>
      <c r="H133" s="43"/>
    </row>
    <row r="134" spans="1:8" ht="25.5" x14ac:dyDescent="0.25">
      <c r="A134" s="41" t="s">
        <v>726</v>
      </c>
      <c r="B134" s="42" t="s">
        <v>727</v>
      </c>
      <c r="C134" s="37">
        <v>6</v>
      </c>
      <c r="D134" s="37" t="s">
        <v>13</v>
      </c>
      <c r="E134" s="72">
        <f>ROUND(H134,2)</f>
        <v>0</v>
      </c>
      <c r="F134" s="66">
        <f>C134*E134</f>
        <v>0</v>
      </c>
      <c r="G134" s="37"/>
      <c r="H134" s="43"/>
    </row>
    <row r="135" spans="1:8" x14ac:dyDescent="0.25">
      <c r="A135" s="41"/>
      <c r="B135" s="30" t="s">
        <v>124</v>
      </c>
      <c r="C135" s="37"/>
      <c r="D135" s="37"/>
      <c r="E135" s="38"/>
      <c r="F135" s="89">
        <f>SUM(F131:F134)</f>
        <v>0</v>
      </c>
      <c r="G135" s="37"/>
      <c r="H135" s="40"/>
    </row>
    <row r="136" spans="1:8" x14ac:dyDescent="0.25">
      <c r="A136" s="51"/>
      <c r="B136" s="61"/>
      <c r="C136" s="22"/>
      <c r="D136" s="22"/>
      <c r="E136" s="23"/>
      <c r="F136" s="92"/>
      <c r="G136" s="22"/>
      <c r="H136" s="93"/>
    </row>
    <row r="137" spans="1:8" x14ac:dyDescent="0.25">
      <c r="A137" s="31" t="s">
        <v>755</v>
      </c>
      <c r="B137" s="31" t="s">
        <v>785</v>
      </c>
      <c r="C137" s="60"/>
      <c r="D137" s="60"/>
      <c r="E137" s="70"/>
      <c r="F137" s="44"/>
      <c r="G137" s="60"/>
      <c r="H137" s="71"/>
    </row>
    <row r="138" spans="1:8" x14ac:dyDescent="0.25">
      <c r="A138" s="41" t="s">
        <v>756</v>
      </c>
      <c r="B138" s="42" t="s">
        <v>11</v>
      </c>
      <c r="C138" s="37">
        <v>6</v>
      </c>
      <c r="D138" s="37" t="s">
        <v>13</v>
      </c>
      <c r="E138" s="72">
        <f>ROUND(H138,2)</f>
        <v>0</v>
      </c>
      <c r="F138" s="66">
        <f>C138*E138</f>
        <v>0</v>
      </c>
      <c r="G138" s="37"/>
      <c r="H138" s="43"/>
    </row>
    <row r="139" spans="1:8" x14ac:dyDescent="0.25">
      <c r="A139" s="41" t="s">
        <v>757</v>
      </c>
      <c r="B139" s="42" t="s">
        <v>12</v>
      </c>
      <c r="C139" s="37">
        <v>6</v>
      </c>
      <c r="D139" s="37" t="s">
        <v>13</v>
      </c>
      <c r="E139" s="72">
        <f>ROUND(H139,2)</f>
        <v>0</v>
      </c>
      <c r="F139" s="66">
        <f>C139*E139</f>
        <v>0</v>
      </c>
      <c r="G139" s="37"/>
      <c r="H139" s="43"/>
    </row>
    <row r="140" spans="1:8" x14ac:dyDescent="0.25">
      <c r="A140" s="41" t="s">
        <v>758</v>
      </c>
      <c r="B140" s="42" t="s">
        <v>14</v>
      </c>
      <c r="C140" s="37">
        <v>6</v>
      </c>
      <c r="D140" s="37" t="s">
        <v>13</v>
      </c>
      <c r="E140" s="72">
        <f>ROUND(H140,2)</f>
        <v>0</v>
      </c>
      <c r="F140" s="66">
        <f>C140*E140</f>
        <v>0</v>
      </c>
      <c r="G140" s="37"/>
      <c r="H140" s="43"/>
    </row>
    <row r="141" spans="1:8" ht="25.5" x14ac:dyDescent="0.25">
      <c r="A141" s="41" t="s">
        <v>759</v>
      </c>
      <c r="B141" s="42" t="s">
        <v>734</v>
      </c>
      <c r="C141" s="37">
        <v>6</v>
      </c>
      <c r="D141" s="37" t="s">
        <v>13</v>
      </c>
      <c r="E141" s="72">
        <f>ROUND(H141,2)</f>
        <v>0</v>
      </c>
      <c r="F141" s="66">
        <f>C141*E141</f>
        <v>0</v>
      </c>
      <c r="G141" s="37"/>
      <c r="H141" s="43"/>
    </row>
    <row r="142" spans="1:8" x14ac:dyDescent="0.25">
      <c r="A142" s="41"/>
      <c r="B142" s="30" t="s">
        <v>786</v>
      </c>
      <c r="C142" s="37"/>
      <c r="D142" s="37"/>
      <c r="E142" s="38"/>
      <c r="F142" s="89">
        <f>SUM(F138:F141)</f>
        <v>0</v>
      </c>
      <c r="G142" s="37"/>
      <c r="H142" s="40"/>
    </row>
    <row r="143" spans="1:8" x14ac:dyDescent="0.25">
      <c r="A143" s="51"/>
      <c r="B143" s="61"/>
      <c r="C143" s="22"/>
      <c r="D143" s="22"/>
      <c r="E143" s="23"/>
      <c r="F143" s="92"/>
      <c r="G143" s="22"/>
      <c r="H143" s="93"/>
    </row>
    <row r="144" spans="1:8" x14ac:dyDescent="0.25">
      <c r="B144" s="194" t="s">
        <v>347</v>
      </c>
      <c r="C144" s="194"/>
      <c r="D144" s="194"/>
      <c r="E144" s="194"/>
      <c r="F144" s="90">
        <f>SUM(F18,F27,F36,F48,F56,F64,F72,F81,F90,F100,F107,F114,F121,F128,F135,F142)</f>
        <v>0</v>
      </c>
    </row>
  </sheetData>
  <sheetProtection password="C9A6" sheet="1" selectLockedCells="1"/>
  <mergeCells count="6">
    <mergeCell ref="B144:E144"/>
    <mergeCell ref="H1:H10"/>
    <mergeCell ref="A2:G2"/>
    <mergeCell ref="A3:G3"/>
    <mergeCell ref="A4:G4"/>
    <mergeCell ref="A5:G5"/>
  </mergeCells>
  <pageMargins left="0.25" right="0.25" top="0.75" bottom="0.75" header="0.3" footer="0.3"/>
  <pageSetup scale="91" fitToHeight="0"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I99"/>
  <sheetViews>
    <sheetView showZeros="0" zoomScaleNormal="100" workbookViewId="0">
      <selection activeCell="H131" sqref="H131"/>
    </sheetView>
  </sheetViews>
  <sheetFormatPr defaultColWidth="8.5703125" defaultRowHeight="12.75" x14ac:dyDescent="0.2"/>
  <cols>
    <col min="1" max="1" width="8.140625" style="76" customWidth="1"/>
    <col min="2" max="2" width="18.7109375" style="76" customWidth="1"/>
    <col min="3" max="3" width="56.85546875" style="76" customWidth="1"/>
    <col min="4" max="4" width="8.28515625" style="84" customWidth="1"/>
    <col min="5" max="5" width="9" style="76" customWidth="1"/>
    <col min="6" max="6" width="11.7109375" style="76" customWidth="1"/>
    <col min="7" max="7" width="13.85546875" style="85" customWidth="1"/>
    <col min="8" max="8" width="10.42578125" style="85" customWidth="1"/>
    <col min="9" max="9" width="16" style="83" customWidth="1"/>
    <col min="10" max="253" width="8.5703125" style="76"/>
    <col min="254" max="254" width="8.140625" style="76" customWidth="1"/>
    <col min="255" max="255" width="6" style="76" customWidth="1"/>
    <col min="256" max="256" width="9.85546875" style="76" customWidth="1"/>
    <col min="257" max="257" width="12.28515625" style="76" customWidth="1"/>
    <col min="258" max="258" width="29" style="76" customWidth="1"/>
    <col min="259" max="259" width="7.5703125" style="76" customWidth="1"/>
    <col min="260" max="260" width="6.85546875" style="76" customWidth="1"/>
    <col min="261" max="261" width="8.5703125" style="76"/>
    <col min="262" max="262" width="11.85546875" style="76" bestFit="1" customWidth="1"/>
    <col min="263" max="263" width="14.28515625" style="76" customWidth="1"/>
    <col min="264" max="509" width="8.5703125" style="76"/>
    <col min="510" max="510" width="8.140625" style="76" customWidth="1"/>
    <col min="511" max="511" width="6" style="76" customWidth="1"/>
    <col min="512" max="512" width="9.85546875" style="76" customWidth="1"/>
    <col min="513" max="513" width="12.28515625" style="76" customWidth="1"/>
    <col min="514" max="514" width="29" style="76" customWidth="1"/>
    <col min="515" max="515" width="7.5703125" style="76" customWidth="1"/>
    <col min="516" max="516" width="6.85546875" style="76" customWidth="1"/>
    <col min="517" max="517" width="8.5703125" style="76"/>
    <col min="518" max="518" width="11.85546875" style="76" bestFit="1" customWidth="1"/>
    <col min="519" max="519" width="14.28515625" style="76" customWidth="1"/>
    <col min="520" max="765" width="8.5703125" style="76"/>
    <col min="766" max="766" width="8.140625" style="76" customWidth="1"/>
    <col min="767" max="767" width="6" style="76" customWidth="1"/>
    <col min="768" max="768" width="9.85546875" style="76" customWidth="1"/>
    <col min="769" max="769" width="12.28515625" style="76" customWidth="1"/>
    <col min="770" max="770" width="29" style="76" customWidth="1"/>
    <col min="771" max="771" width="7.5703125" style="76" customWidth="1"/>
    <col min="772" max="772" width="6.85546875" style="76" customWidth="1"/>
    <col min="773" max="773" width="8.5703125" style="76"/>
    <col min="774" max="774" width="11.85546875" style="76" bestFit="1" customWidth="1"/>
    <col min="775" max="775" width="14.28515625" style="76" customWidth="1"/>
    <col min="776" max="1021" width="8.5703125" style="76"/>
    <col min="1022" max="1022" width="8.140625" style="76" customWidth="1"/>
    <col min="1023" max="1023" width="6" style="76" customWidth="1"/>
    <col min="1024" max="1024" width="9.85546875" style="76" customWidth="1"/>
    <col min="1025" max="1025" width="12.28515625" style="76" customWidth="1"/>
    <col min="1026" max="1026" width="29" style="76" customWidth="1"/>
    <col min="1027" max="1027" width="7.5703125" style="76" customWidth="1"/>
    <col min="1028" max="1028" width="6.85546875" style="76" customWidth="1"/>
    <col min="1029" max="1029" width="8.5703125" style="76"/>
    <col min="1030" max="1030" width="11.85546875" style="76" bestFit="1" customWidth="1"/>
    <col min="1031" max="1031" width="14.28515625" style="76" customWidth="1"/>
    <col min="1032" max="1277" width="8.5703125" style="76"/>
    <col min="1278" max="1278" width="8.140625" style="76" customWidth="1"/>
    <col min="1279" max="1279" width="6" style="76" customWidth="1"/>
    <col min="1280" max="1280" width="9.85546875" style="76" customWidth="1"/>
    <col min="1281" max="1281" width="12.28515625" style="76" customWidth="1"/>
    <col min="1282" max="1282" width="29" style="76" customWidth="1"/>
    <col min="1283" max="1283" width="7.5703125" style="76" customWidth="1"/>
    <col min="1284" max="1284" width="6.85546875" style="76" customWidth="1"/>
    <col min="1285" max="1285" width="8.5703125" style="76"/>
    <col min="1286" max="1286" width="11.85546875" style="76" bestFit="1" customWidth="1"/>
    <col min="1287" max="1287" width="14.28515625" style="76" customWidth="1"/>
    <col min="1288" max="1533" width="8.5703125" style="76"/>
    <col min="1534" max="1534" width="8.140625" style="76" customWidth="1"/>
    <col min="1535" max="1535" width="6" style="76" customWidth="1"/>
    <col min="1536" max="1536" width="9.85546875" style="76" customWidth="1"/>
    <col min="1537" max="1537" width="12.28515625" style="76" customWidth="1"/>
    <col min="1538" max="1538" width="29" style="76" customWidth="1"/>
    <col min="1539" max="1539" width="7.5703125" style="76" customWidth="1"/>
    <col min="1540" max="1540" width="6.85546875" style="76" customWidth="1"/>
    <col min="1541" max="1541" width="8.5703125" style="76"/>
    <col min="1542" max="1542" width="11.85546875" style="76" bestFit="1" customWidth="1"/>
    <col min="1543" max="1543" width="14.28515625" style="76" customWidth="1"/>
    <col min="1544" max="1789" width="8.5703125" style="76"/>
    <col min="1790" max="1790" width="8.140625" style="76" customWidth="1"/>
    <col min="1791" max="1791" width="6" style="76" customWidth="1"/>
    <col min="1792" max="1792" width="9.85546875" style="76" customWidth="1"/>
    <col min="1793" max="1793" width="12.28515625" style="76" customWidth="1"/>
    <col min="1794" max="1794" width="29" style="76" customWidth="1"/>
    <col min="1795" max="1795" width="7.5703125" style="76" customWidth="1"/>
    <col min="1796" max="1796" width="6.85546875" style="76" customWidth="1"/>
    <col min="1797" max="1797" width="8.5703125" style="76"/>
    <col min="1798" max="1798" width="11.85546875" style="76" bestFit="1" customWidth="1"/>
    <col min="1799" max="1799" width="14.28515625" style="76" customWidth="1"/>
    <col min="1800" max="2045" width="8.5703125" style="76"/>
    <col min="2046" max="2046" width="8.140625" style="76" customWidth="1"/>
    <col min="2047" max="2047" width="6" style="76" customWidth="1"/>
    <col min="2048" max="2048" width="9.85546875" style="76" customWidth="1"/>
    <col min="2049" max="2049" width="12.28515625" style="76" customWidth="1"/>
    <col min="2050" max="2050" width="29" style="76" customWidth="1"/>
    <col min="2051" max="2051" width="7.5703125" style="76" customWidth="1"/>
    <col min="2052" max="2052" width="6.85546875" style="76" customWidth="1"/>
    <col min="2053" max="2053" width="8.5703125" style="76"/>
    <col min="2054" max="2054" width="11.85546875" style="76" bestFit="1" customWidth="1"/>
    <col min="2055" max="2055" width="14.28515625" style="76" customWidth="1"/>
    <col min="2056" max="2301" width="8.5703125" style="76"/>
    <col min="2302" max="2302" width="8.140625" style="76" customWidth="1"/>
    <col min="2303" max="2303" width="6" style="76" customWidth="1"/>
    <col min="2304" max="2304" width="9.85546875" style="76" customWidth="1"/>
    <col min="2305" max="2305" width="12.28515625" style="76" customWidth="1"/>
    <col min="2306" max="2306" width="29" style="76" customWidth="1"/>
    <col min="2307" max="2307" width="7.5703125" style="76" customWidth="1"/>
    <col min="2308" max="2308" width="6.85546875" style="76" customWidth="1"/>
    <col min="2309" max="2309" width="8.5703125" style="76"/>
    <col min="2310" max="2310" width="11.85546875" style="76" bestFit="1" customWidth="1"/>
    <col min="2311" max="2311" width="14.28515625" style="76" customWidth="1"/>
    <col min="2312" max="2557" width="8.5703125" style="76"/>
    <col min="2558" max="2558" width="8.140625" style="76" customWidth="1"/>
    <col min="2559" max="2559" width="6" style="76" customWidth="1"/>
    <col min="2560" max="2560" width="9.85546875" style="76" customWidth="1"/>
    <col min="2561" max="2561" width="12.28515625" style="76" customWidth="1"/>
    <col min="2562" max="2562" width="29" style="76" customWidth="1"/>
    <col min="2563" max="2563" width="7.5703125" style="76" customWidth="1"/>
    <col min="2564" max="2564" width="6.85546875" style="76" customWidth="1"/>
    <col min="2565" max="2565" width="8.5703125" style="76"/>
    <col min="2566" max="2566" width="11.85546875" style="76" bestFit="1" customWidth="1"/>
    <col min="2567" max="2567" width="14.28515625" style="76" customWidth="1"/>
    <col min="2568" max="2813" width="8.5703125" style="76"/>
    <col min="2814" max="2814" width="8.140625" style="76" customWidth="1"/>
    <col min="2815" max="2815" width="6" style="76" customWidth="1"/>
    <col min="2816" max="2816" width="9.85546875" style="76" customWidth="1"/>
    <col min="2817" max="2817" width="12.28515625" style="76" customWidth="1"/>
    <col min="2818" max="2818" width="29" style="76" customWidth="1"/>
    <col min="2819" max="2819" width="7.5703125" style="76" customWidth="1"/>
    <col min="2820" max="2820" width="6.85546875" style="76" customWidth="1"/>
    <col min="2821" max="2821" width="8.5703125" style="76"/>
    <col min="2822" max="2822" width="11.85546875" style="76" bestFit="1" customWidth="1"/>
    <col min="2823" max="2823" width="14.28515625" style="76" customWidth="1"/>
    <col min="2824" max="3069" width="8.5703125" style="76"/>
    <col min="3070" max="3070" width="8.140625" style="76" customWidth="1"/>
    <col min="3071" max="3071" width="6" style="76" customWidth="1"/>
    <col min="3072" max="3072" width="9.85546875" style="76" customWidth="1"/>
    <col min="3073" max="3073" width="12.28515625" style="76" customWidth="1"/>
    <col min="3074" max="3074" width="29" style="76" customWidth="1"/>
    <col min="3075" max="3075" width="7.5703125" style="76" customWidth="1"/>
    <col min="3076" max="3076" width="6.85546875" style="76" customWidth="1"/>
    <col min="3077" max="3077" width="8.5703125" style="76"/>
    <col min="3078" max="3078" width="11.85546875" style="76" bestFit="1" customWidth="1"/>
    <col min="3079" max="3079" width="14.28515625" style="76" customWidth="1"/>
    <col min="3080" max="3325" width="8.5703125" style="76"/>
    <col min="3326" max="3326" width="8.140625" style="76" customWidth="1"/>
    <col min="3327" max="3327" width="6" style="76" customWidth="1"/>
    <col min="3328" max="3328" width="9.85546875" style="76" customWidth="1"/>
    <col min="3329" max="3329" width="12.28515625" style="76" customWidth="1"/>
    <col min="3330" max="3330" width="29" style="76" customWidth="1"/>
    <col min="3331" max="3331" width="7.5703125" style="76" customWidth="1"/>
    <col min="3332" max="3332" width="6.85546875" style="76" customWidth="1"/>
    <col min="3333" max="3333" width="8.5703125" style="76"/>
    <col min="3334" max="3334" width="11.85546875" style="76" bestFit="1" customWidth="1"/>
    <col min="3335" max="3335" width="14.28515625" style="76" customWidth="1"/>
    <col min="3336" max="3581" width="8.5703125" style="76"/>
    <col min="3582" max="3582" width="8.140625" style="76" customWidth="1"/>
    <col min="3583" max="3583" width="6" style="76" customWidth="1"/>
    <col min="3584" max="3584" width="9.85546875" style="76" customWidth="1"/>
    <col min="3585" max="3585" width="12.28515625" style="76" customWidth="1"/>
    <col min="3586" max="3586" width="29" style="76" customWidth="1"/>
    <col min="3587" max="3587" width="7.5703125" style="76" customWidth="1"/>
    <col min="3588" max="3588" width="6.85546875" style="76" customWidth="1"/>
    <col min="3589" max="3589" width="8.5703125" style="76"/>
    <col min="3590" max="3590" width="11.85546875" style="76" bestFit="1" customWidth="1"/>
    <col min="3591" max="3591" width="14.28515625" style="76" customWidth="1"/>
    <col min="3592" max="3837" width="8.5703125" style="76"/>
    <col min="3838" max="3838" width="8.140625" style="76" customWidth="1"/>
    <col min="3839" max="3839" width="6" style="76" customWidth="1"/>
    <col min="3840" max="3840" width="9.85546875" style="76" customWidth="1"/>
    <col min="3841" max="3841" width="12.28515625" style="76" customWidth="1"/>
    <col min="3842" max="3842" width="29" style="76" customWidth="1"/>
    <col min="3843" max="3843" width="7.5703125" style="76" customWidth="1"/>
    <col min="3844" max="3844" width="6.85546875" style="76" customWidth="1"/>
    <col min="3845" max="3845" width="8.5703125" style="76"/>
    <col min="3846" max="3846" width="11.85546875" style="76" bestFit="1" customWidth="1"/>
    <col min="3847" max="3847" width="14.28515625" style="76" customWidth="1"/>
    <col min="3848" max="4093" width="8.5703125" style="76"/>
    <col min="4094" max="4094" width="8.140625" style="76" customWidth="1"/>
    <col min="4095" max="4095" width="6" style="76" customWidth="1"/>
    <col min="4096" max="4096" width="9.85546875" style="76" customWidth="1"/>
    <col min="4097" max="4097" width="12.28515625" style="76" customWidth="1"/>
    <col min="4098" max="4098" width="29" style="76" customWidth="1"/>
    <col min="4099" max="4099" width="7.5703125" style="76" customWidth="1"/>
    <col min="4100" max="4100" width="6.85546875" style="76" customWidth="1"/>
    <col min="4101" max="4101" width="8.5703125" style="76"/>
    <col min="4102" max="4102" width="11.85546875" style="76" bestFit="1" customWidth="1"/>
    <col min="4103" max="4103" width="14.28515625" style="76" customWidth="1"/>
    <col min="4104" max="4349" width="8.5703125" style="76"/>
    <col min="4350" max="4350" width="8.140625" style="76" customWidth="1"/>
    <col min="4351" max="4351" width="6" style="76" customWidth="1"/>
    <col min="4352" max="4352" width="9.85546875" style="76" customWidth="1"/>
    <col min="4353" max="4353" width="12.28515625" style="76" customWidth="1"/>
    <col min="4354" max="4354" width="29" style="76" customWidth="1"/>
    <col min="4355" max="4355" width="7.5703125" style="76" customWidth="1"/>
    <col min="4356" max="4356" width="6.85546875" style="76" customWidth="1"/>
    <col min="4357" max="4357" width="8.5703125" style="76"/>
    <col min="4358" max="4358" width="11.85546875" style="76" bestFit="1" customWidth="1"/>
    <col min="4359" max="4359" width="14.28515625" style="76" customWidth="1"/>
    <col min="4360" max="4605" width="8.5703125" style="76"/>
    <col min="4606" max="4606" width="8.140625" style="76" customWidth="1"/>
    <col min="4607" max="4607" width="6" style="76" customWidth="1"/>
    <col min="4608" max="4608" width="9.85546875" style="76" customWidth="1"/>
    <col min="4609" max="4609" width="12.28515625" style="76" customWidth="1"/>
    <col min="4610" max="4610" width="29" style="76" customWidth="1"/>
    <col min="4611" max="4611" width="7.5703125" style="76" customWidth="1"/>
    <col min="4612" max="4612" width="6.85546875" style="76" customWidth="1"/>
    <col min="4613" max="4613" width="8.5703125" style="76"/>
    <col min="4614" max="4614" width="11.85546875" style="76" bestFit="1" customWidth="1"/>
    <col min="4615" max="4615" width="14.28515625" style="76" customWidth="1"/>
    <col min="4616" max="4861" width="8.5703125" style="76"/>
    <col min="4862" max="4862" width="8.140625" style="76" customWidth="1"/>
    <col min="4863" max="4863" width="6" style="76" customWidth="1"/>
    <col min="4864" max="4864" width="9.85546875" style="76" customWidth="1"/>
    <col min="4865" max="4865" width="12.28515625" style="76" customWidth="1"/>
    <col min="4866" max="4866" width="29" style="76" customWidth="1"/>
    <col min="4867" max="4867" width="7.5703125" style="76" customWidth="1"/>
    <col min="4868" max="4868" width="6.85546875" style="76" customWidth="1"/>
    <col min="4869" max="4869" width="8.5703125" style="76"/>
    <col min="4870" max="4870" width="11.85546875" style="76" bestFit="1" customWidth="1"/>
    <col min="4871" max="4871" width="14.28515625" style="76" customWidth="1"/>
    <col min="4872" max="5117" width="8.5703125" style="76"/>
    <col min="5118" max="5118" width="8.140625" style="76" customWidth="1"/>
    <col min="5119" max="5119" width="6" style="76" customWidth="1"/>
    <col min="5120" max="5120" width="9.85546875" style="76" customWidth="1"/>
    <col min="5121" max="5121" width="12.28515625" style="76" customWidth="1"/>
    <col min="5122" max="5122" width="29" style="76" customWidth="1"/>
    <col min="5123" max="5123" width="7.5703125" style="76" customWidth="1"/>
    <col min="5124" max="5124" width="6.85546875" style="76" customWidth="1"/>
    <col min="5125" max="5125" width="8.5703125" style="76"/>
    <col min="5126" max="5126" width="11.85546875" style="76" bestFit="1" customWidth="1"/>
    <col min="5127" max="5127" width="14.28515625" style="76" customWidth="1"/>
    <col min="5128" max="5373" width="8.5703125" style="76"/>
    <col min="5374" max="5374" width="8.140625" style="76" customWidth="1"/>
    <col min="5375" max="5375" width="6" style="76" customWidth="1"/>
    <col min="5376" max="5376" width="9.85546875" style="76" customWidth="1"/>
    <col min="5377" max="5377" width="12.28515625" style="76" customWidth="1"/>
    <col min="5378" max="5378" width="29" style="76" customWidth="1"/>
    <col min="5379" max="5379" width="7.5703125" style="76" customWidth="1"/>
    <col min="5380" max="5380" width="6.85546875" style="76" customWidth="1"/>
    <col min="5381" max="5381" width="8.5703125" style="76"/>
    <col min="5382" max="5382" width="11.85546875" style="76" bestFit="1" customWidth="1"/>
    <col min="5383" max="5383" width="14.28515625" style="76" customWidth="1"/>
    <col min="5384" max="5629" width="8.5703125" style="76"/>
    <col min="5630" max="5630" width="8.140625" style="76" customWidth="1"/>
    <col min="5631" max="5631" width="6" style="76" customWidth="1"/>
    <col min="5632" max="5632" width="9.85546875" style="76" customWidth="1"/>
    <col min="5633" max="5633" width="12.28515625" style="76" customWidth="1"/>
    <col min="5634" max="5634" width="29" style="76" customWidth="1"/>
    <col min="5635" max="5635" width="7.5703125" style="76" customWidth="1"/>
    <col min="5636" max="5636" width="6.85546875" style="76" customWidth="1"/>
    <col min="5637" max="5637" width="8.5703125" style="76"/>
    <col min="5638" max="5638" width="11.85546875" style="76" bestFit="1" customWidth="1"/>
    <col min="5639" max="5639" width="14.28515625" style="76" customWidth="1"/>
    <col min="5640" max="5885" width="8.5703125" style="76"/>
    <col min="5886" max="5886" width="8.140625" style="76" customWidth="1"/>
    <col min="5887" max="5887" width="6" style="76" customWidth="1"/>
    <col min="5888" max="5888" width="9.85546875" style="76" customWidth="1"/>
    <col min="5889" max="5889" width="12.28515625" style="76" customWidth="1"/>
    <col min="5890" max="5890" width="29" style="76" customWidth="1"/>
    <col min="5891" max="5891" width="7.5703125" style="76" customWidth="1"/>
    <col min="5892" max="5892" width="6.85546875" style="76" customWidth="1"/>
    <col min="5893" max="5893" width="8.5703125" style="76"/>
    <col min="5894" max="5894" width="11.85546875" style="76" bestFit="1" customWidth="1"/>
    <col min="5895" max="5895" width="14.28515625" style="76" customWidth="1"/>
    <col min="5896" max="6141" width="8.5703125" style="76"/>
    <col min="6142" max="6142" width="8.140625" style="76" customWidth="1"/>
    <col min="6143" max="6143" width="6" style="76" customWidth="1"/>
    <col min="6144" max="6144" width="9.85546875" style="76" customWidth="1"/>
    <col min="6145" max="6145" width="12.28515625" style="76" customWidth="1"/>
    <col min="6146" max="6146" width="29" style="76" customWidth="1"/>
    <col min="6147" max="6147" width="7.5703125" style="76" customWidth="1"/>
    <col min="6148" max="6148" width="6.85546875" style="76" customWidth="1"/>
    <col min="6149" max="6149" width="8.5703125" style="76"/>
    <col min="6150" max="6150" width="11.85546875" style="76" bestFit="1" customWidth="1"/>
    <col min="6151" max="6151" width="14.28515625" style="76" customWidth="1"/>
    <col min="6152" max="6397" width="8.5703125" style="76"/>
    <col min="6398" max="6398" width="8.140625" style="76" customWidth="1"/>
    <col min="6399" max="6399" width="6" style="76" customWidth="1"/>
    <col min="6400" max="6400" width="9.85546875" style="76" customWidth="1"/>
    <col min="6401" max="6401" width="12.28515625" style="76" customWidth="1"/>
    <col min="6402" max="6402" width="29" style="76" customWidth="1"/>
    <col min="6403" max="6403" width="7.5703125" style="76" customWidth="1"/>
    <col min="6404" max="6404" width="6.85546875" style="76" customWidth="1"/>
    <col min="6405" max="6405" width="8.5703125" style="76"/>
    <col min="6406" max="6406" width="11.85546875" style="76" bestFit="1" customWidth="1"/>
    <col min="6407" max="6407" width="14.28515625" style="76" customWidth="1"/>
    <col min="6408" max="6653" width="8.5703125" style="76"/>
    <col min="6654" max="6654" width="8.140625" style="76" customWidth="1"/>
    <col min="6655" max="6655" width="6" style="76" customWidth="1"/>
    <col min="6656" max="6656" width="9.85546875" style="76" customWidth="1"/>
    <col min="6657" max="6657" width="12.28515625" style="76" customWidth="1"/>
    <col min="6658" max="6658" width="29" style="76" customWidth="1"/>
    <col min="6659" max="6659" width="7.5703125" style="76" customWidth="1"/>
    <col min="6660" max="6660" width="6.85546875" style="76" customWidth="1"/>
    <col min="6661" max="6661" width="8.5703125" style="76"/>
    <col min="6662" max="6662" width="11.85546875" style="76" bestFit="1" customWidth="1"/>
    <col min="6663" max="6663" width="14.28515625" style="76" customWidth="1"/>
    <col min="6664" max="6909" width="8.5703125" style="76"/>
    <col min="6910" max="6910" width="8.140625" style="76" customWidth="1"/>
    <col min="6911" max="6911" width="6" style="76" customWidth="1"/>
    <col min="6912" max="6912" width="9.85546875" style="76" customWidth="1"/>
    <col min="6913" max="6913" width="12.28515625" style="76" customWidth="1"/>
    <col min="6914" max="6914" width="29" style="76" customWidth="1"/>
    <col min="6915" max="6915" width="7.5703125" style="76" customWidth="1"/>
    <col min="6916" max="6916" width="6.85546875" style="76" customWidth="1"/>
    <col min="6917" max="6917" width="8.5703125" style="76"/>
    <col min="6918" max="6918" width="11.85546875" style="76" bestFit="1" customWidth="1"/>
    <col min="6919" max="6919" width="14.28515625" style="76" customWidth="1"/>
    <col min="6920" max="7165" width="8.5703125" style="76"/>
    <col min="7166" max="7166" width="8.140625" style="76" customWidth="1"/>
    <col min="7167" max="7167" width="6" style="76" customWidth="1"/>
    <col min="7168" max="7168" width="9.85546875" style="76" customWidth="1"/>
    <col min="7169" max="7169" width="12.28515625" style="76" customWidth="1"/>
    <col min="7170" max="7170" width="29" style="76" customWidth="1"/>
    <col min="7171" max="7171" width="7.5703125" style="76" customWidth="1"/>
    <col min="7172" max="7172" width="6.85546875" style="76" customWidth="1"/>
    <col min="7173" max="7173" width="8.5703125" style="76"/>
    <col min="7174" max="7174" width="11.85546875" style="76" bestFit="1" customWidth="1"/>
    <col min="7175" max="7175" width="14.28515625" style="76" customWidth="1"/>
    <col min="7176" max="7421" width="8.5703125" style="76"/>
    <col min="7422" max="7422" width="8.140625" style="76" customWidth="1"/>
    <col min="7423" max="7423" width="6" style="76" customWidth="1"/>
    <col min="7424" max="7424" width="9.85546875" style="76" customWidth="1"/>
    <col min="7425" max="7425" width="12.28515625" style="76" customWidth="1"/>
    <col min="7426" max="7426" width="29" style="76" customWidth="1"/>
    <col min="7427" max="7427" width="7.5703125" style="76" customWidth="1"/>
    <col min="7428" max="7428" width="6.85546875" style="76" customWidth="1"/>
    <col min="7429" max="7429" width="8.5703125" style="76"/>
    <col min="7430" max="7430" width="11.85546875" style="76" bestFit="1" customWidth="1"/>
    <col min="7431" max="7431" width="14.28515625" style="76" customWidth="1"/>
    <col min="7432" max="7677" width="8.5703125" style="76"/>
    <col min="7678" max="7678" width="8.140625" style="76" customWidth="1"/>
    <col min="7679" max="7679" width="6" style="76" customWidth="1"/>
    <col min="7680" max="7680" width="9.85546875" style="76" customWidth="1"/>
    <col min="7681" max="7681" width="12.28515625" style="76" customWidth="1"/>
    <col min="7682" max="7682" width="29" style="76" customWidth="1"/>
    <col min="7683" max="7683" width="7.5703125" style="76" customWidth="1"/>
    <col min="7684" max="7684" width="6.85546875" style="76" customWidth="1"/>
    <col min="7685" max="7685" width="8.5703125" style="76"/>
    <col min="7686" max="7686" width="11.85546875" style="76" bestFit="1" customWidth="1"/>
    <col min="7687" max="7687" width="14.28515625" style="76" customWidth="1"/>
    <col min="7688" max="7933" width="8.5703125" style="76"/>
    <col min="7934" max="7934" width="8.140625" style="76" customWidth="1"/>
    <col min="7935" max="7935" width="6" style="76" customWidth="1"/>
    <col min="7936" max="7936" width="9.85546875" style="76" customWidth="1"/>
    <col min="7937" max="7937" width="12.28515625" style="76" customWidth="1"/>
    <col min="7938" max="7938" width="29" style="76" customWidth="1"/>
    <col min="7939" max="7939" width="7.5703125" style="76" customWidth="1"/>
    <col min="7940" max="7940" width="6.85546875" style="76" customWidth="1"/>
    <col min="7941" max="7941" width="8.5703125" style="76"/>
    <col min="7942" max="7942" width="11.85546875" style="76" bestFit="1" customWidth="1"/>
    <col min="7943" max="7943" width="14.28515625" style="76" customWidth="1"/>
    <col min="7944" max="8189" width="8.5703125" style="76"/>
    <col min="8190" max="8190" width="8.140625" style="76" customWidth="1"/>
    <col min="8191" max="8191" width="6" style="76" customWidth="1"/>
    <col min="8192" max="8192" width="9.85546875" style="76" customWidth="1"/>
    <col min="8193" max="8193" width="12.28515625" style="76" customWidth="1"/>
    <col min="8194" max="8194" width="29" style="76" customWidth="1"/>
    <col min="8195" max="8195" width="7.5703125" style="76" customWidth="1"/>
    <col min="8196" max="8196" width="6.85546875" style="76" customWidth="1"/>
    <col min="8197" max="8197" width="8.5703125" style="76"/>
    <col min="8198" max="8198" width="11.85546875" style="76" bestFit="1" customWidth="1"/>
    <col min="8199" max="8199" width="14.28515625" style="76" customWidth="1"/>
    <col min="8200" max="8445" width="8.5703125" style="76"/>
    <col min="8446" max="8446" width="8.140625" style="76" customWidth="1"/>
    <col min="8447" max="8447" width="6" style="76" customWidth="1"/>
    <col min="8448" max="8448" width="9.85546875" style="76" customWidth="1"/>
    <col min="8449" max="8449" width="12.28515625" style="76" customWidth="1"/>
    <col min="8450" max="8450" width="29" style="76" customWidth="1"/>
    <col min="8451" max="8451" width="7.5703125" style="76" customWidth="1"/>
    <col min="8452" max="8452" width="6.85546875" style="76" customWidth="1"/>
    <col min="8453" max="8453" width="8.5703125" style="76"/>
    <col min="8454" max="8454" width="11.85546875" style="76" bestFit="1" customWidth="1"/>
    <col min="8455" max="8455" width="14.28515625" style="76" customWidth="1"/>
    <col min="8456" max="8701" width="8.5703125" style="76"/>
    <col min="8702" max="8702" width="8.140625" style="76" customWidth="1"/>
    <col min="8703" max="8703" width="6" style="76" customWidth="1"/>
    <col min="8704" max="8704" width="9.85546875" style="76" customWidth="1"/>
    <col min="8705" max="8705" width="12.28515625" style="76" customWidth="1"/>
    <col min="8706" max="8706" width="29" style="76" customWidth="1"/>
    <col min="8707" max="8707" width="7.5703125" style="76" customWidth="1"/>
    <col min="8708" max="8708" width="6.85546875" style="76" customWidth="1"/>
    <col min="8709" max="8709" width="8.5703125" style="76"/>
    <col min="8710" max="8710" width="11.85546875" style="76" bestFit="1" customWidth="1"/>
    <col min="8711" max="8711" width="14.28515625" style="76" customWidth="1"/>
    <col min="8712" max="8957" width="8.5703125" style="76"/>
    <col min="8958" max="8958" width="8.140625" style="76" customWidth="1"/>
    <col min="8959" max="8959" width="6" style="76" customWidth="1"/>
    <col min="8960" max="8960" width="9.85546875" style="76" customWidth="1"/>
    <col min="8961" max="8961" width="12.28515625" style="76" customWidth="1"/>
    <col min="8962" max="8962" width="29" style="76" customWidth="1"/>
    <col min="8963" max="8963" width="7.5703125" style="76" customWidth="1"/>
    <col min="8964" max="8964" width="6.85546875" style="76" customWidth="1"/>
    <col min="8965" max="8965" width="8.5703125" style="76"/>
    <col min="8966" max="8966" width="11.85546875" style="76" bestFit="1" customWidth="1"/>
    <col min="8967" max="8967" width="14.28515625" style="76" customWidth="1"/>
    <col min="8968" max="9213" width="8.5703125" style="76"/>
    <col min="9214" max="9214" width="8.140625" style="76" customWidth="1"/>
    <col min="9215" max="9215" width="6" style="76" customWidth="1"/>
    <col min="9216" max="9216" width="9.85546875" style="76" customWidth="1"/>
    <col min="9217" max="9217" width="12.28515625" style="76" customWidth="1"/>
    <col min="9218" max="9218" width="29" style="76" customWidth="1"/>
    <col min="9219" max="9219" width="7.5703125" style="76" customWidth="1"/>
    <col min="9220" max="9220" width="6.85546875" style="76" customWidth="1"/>
    <col min="9221" max="9221" width="8.5703125" style="76"/>
    <col min="9222" max="9222" width="11.85546875" style="76" bestFit="1" customWidth="1"/>
    <col min="9223" max="9223" width="14.28515625" style="76" customWidth="1"/>
    <col min="9224" max="9469" width="8.5703125" style="76"/>
    <col min="9470" max="9470" width="8.140625" style="76" customWidth="1"/>
    <col min="9471" max="9471" width="6" style="76" customWidth="1"/>
    <col min="9472" max="9472" width="9.85546875" style="76" customWidth="1"/>
    <col min="9473" max="9473" width="12.28515625" style="76" customWidth="1"/>
    <col min="9474" max="9474" width="29" style="76" customWidth="1"/>
    <col min="9475" max="9475" width="7.5703125" style="76" customWidth="1"/>
    <col min="9476" max="9476" width="6.85546875" style="76" customWidth="1"/>
    <col min="9477" max="9477" width="8.5703125" style="76"/>
    <col min="9478" max="9478" width="11.85546875" style="76" bestFit="1" customWidth="1"/>
    <col min="9479" max="9479" width="14.28515625" style="76" customWidth="1"/>
    <col min="9480" max="9725" width="8.5703125" style="76"/>
    <col min="9726" max="9726" width="8.140625" style="76" customWidth="1"/>
    <col min="9727" max="9727" width="6" style="76" customWidth="1"/>
    <col min="9728" max="9728" width="9.85546875" style="76" customWidth="1"/>
    <col min="9729" max="9729" width="12.28515625" style="76" customWidth="1"/>
    <col min="9730" max="9730" width="29" style="76" customWidth="1"/>
    <col min="9731" max="9731" width="7.5703125" style="76" customWidth="1"/>
    <col min="9732" max="9732" width="6.85546875" style="76" customWidth="1"/>
    <col min="9733" max="9733" width="8.5703125" style="76"/>
    <col min="9734" max="9734" width="11.85546875" style="76" bestFit="1" customWidth="1"/>
    <col min="9735" max="9735" width="14.28515625" style="76" customWidth="1"/>
    <col min="9736" max="9981" width="8.5703125" style="76"/>
    <col min="9982" max="9982" width="8.140625" style="76" customWidth="1"/>
    <col min="9983" max="9983" width="6" style="76" customWidth="1"/>
    <col min="9984" max="9984" width="9.85546875" style="76" customWidth="1"/>
    <col min="9985" max="9985" width="12.28515625" style="76" customWidth="1"/>
    <col min="9986" max="9986" width="29" style="76" customWidth="1"/>
    <col min="9987" max="9987" width="7.5703125" style="76" customWidth="1"/>
    <col min="9988" max="9988" width="6.85546875" style="76" customWidth="1"/>
    <col min="9989" max="9989" width="8.5703125" style="76"/>
    <col min="9990" max="9990" width="11.85546875" style="76" bestFit="1" customWidth="1"/>
    <col min="9991" max="9991" width="14.28515625" style="76" customWidth="1"/>
    <col min="9992" max="10237" width="8.5703125" style="76"/>
    <col min="10238" max="10238" width="8.140625" style="76" customWidth="1"/>
    <col min="10239" max="10239" width="6" style="76" customWidth="1"/>
    <col min="10240" max="10240" width="9.85546875" style="76" customWidth="1"/>
    <col min="10241" max="10241" width="12.28515625" style="76" customWidth="1"/>
    <col min="10242" max="10242" width="29" style="76" customWidth="1"/>
    <col min="10243" max="10243" width="7.5703125" style="76" customWidth="1"/>
    <col min="10244" max="10244" width="6.85546875" style="76" customWidth="1"/>
    <col min="10245" max="10245" width="8.5703125" style="76"/>
    <col min="10246" max="10246" width="11.85546875" style="76" bestFit="1" customWidth="1"/>
    <col min="10247" max="10247" width="14.28515625" style="76" customWidth="1"/>
    <col min="10248" max="10493" width="8.5703125" style="76"/>
    <col min="10494" max="10494" width="8.140625" style="76" customWidth="1"/>
    <col min="10495" max="10495" width="6" style="76" customWidth="1"/>
    <col min="10496" max="10496" width="9.85546875" style="76" customWidth="1"/>
    <col min="10497" max="10497" width="12.28515625" style="76" customWidth="1"/>
    <col min="10498" max="10498" width="29" style="76" customWidth="1"/>
    <col min="10499" max="10499" width="7.5703125" style="76" customWidth="1"/>
    <col min="10500" max="10500" width="6.85546875" style="76" customWidth="1"/>
    <col min="10501" max="10501" width="8.5703125" style="76"/>
    <col min="10502" max="10502" width="11.85546875" style="76" bestFit="1" customWidth="1"/>
    <col min="10503" max="10503" width="14.28515625" style="76" customWidth="1"/>
    <col min="10504" max="10749" width="8.5703125" style="76"/>
    <col min="10750" max="10750" width="8.140625" style="76" customWidth="1"/>
    <col min="10751" max="10751" width="6" style="76" customWidth="1"/>
    <col min="10752" max="10752" width="9.85546875" style="76" customWidth="1"/>
    <col min="10753" max="10753" width="12.28515625" style="76" customWidth="1"/>
    <col min="10754" max="10754" width="29" style="76" customWidth="1"/>
    <col min="10755" max="10755" width="7.5703125" style="76" customWidth="1"/>
    <col min="10756" max="10756" width="6.85546875" style="76" customWidth="1"/>
    <col min="10757" max="10757" width="8.5703125" style="76"/>
    <col min="10758" max="10758" width="11.85546875" style="76" bestFit="1" customWidth="1"/>
    <col min="10759" max="10759" width="14.28515625" style="76" customWidth="1"/>
    <col min="10760" max="11005" width="8.5703125" style="76"/>
    <col min="11006" max="11006" width="8.140625" style="76" customWidth="1"/>
    <col min="11007" max="11007" width="6" style="76" customWidth="1"/>
    <col min="11008" max="11008" width="9.85546875" style="76" customWidth="1"/>
    <col min="11009" max="11009" width="12.28515625" style="76" customWidth="1"/>
    <col min="11010" max="11010" width="29" style="76" customWidth="1"/>
    <col min="11011" max="11011" width="7.5703125" style="76" customWidth="1"/>
    <col min="11012" max="11012" width="6.85546875" style="76" customWidth="1"/>
    <col min="11013" max="11013" width="8.5703125" style="76"/>
    <col min="11014" max="11014" width="11.85546875" style="76" bestFit="1" customWidth="1"/>
    <col min="11015" max="11015" width="14.28515625" style="76" customWidth="1"/>
    <col min="11016" max="11261" width="8.5703125" style="76"/>
    <col min="11262" max="11262" width="8.140625" style="76" customWidth="1"/>
    <col min="11263" max="11263" width="6" style="76" customWidth="1"/>
    <col min="11264" max="11264" width="9.85546875" style="76" customWidth="1"/>
    <col min="11265" max="11265" width="12.28515625" style="76" customWidth="1"/>
    <col min="11266" max="11266" width="29" style="76" customWidth="1"/>
    <col min="11267" max="11267" width="7.5703125" style="76" customWidth="1"/>
    <col min="11268" max="11268" width="6.85546875" style="76" customWidth="1"/>
    <col min="11269" max="11269" width="8.5703125" style="76"/>
    <col min="11270" max="11270" width="11.85546875" style="76" bestFit="1" customWidth="1"/>
    <col min="11271" max="11271" width="14.28515625" style="76" customWidth="1"/>
    <col min="11272" max="11517" width="8.5703125" style="76"/>
    <col min="11518" max="11518" width="8.140625" style="76" customWidth="1"/>
    <col min="11519" max="11519" width="6" style="76" customWidth="1"/>
    <col min="11520" max="11520" width="9.85546875" style="76" customWidth="1"/>
    <col min="11521" max="11521" width="12.28515625" style="76" customWidth="1"/>
    <col min="11522" max="11522" width="29" style="76" customWidth="1"/>
    <col min="11523" max="11523" width="7.5703125" style="76" customWidth="1"/>
    <col min="11524" max="11524" width="6.85546875" style="76" customWidth="1"/>
    <col min="11525" max="11525" width="8.5703125" style="76"/>
    <col min="11526" max="11526" width="11.85546875" style="76" bestFit="1" customWidth="1"/>
    <col min="11527" max="11527" width="14.28515625" style="76" customWidth="1"/>
    <col min="11528" max="11773" width="8.5703125" style="76"/>
    <col min="11774" max="11774" width="8.140625" style="76" customWidth="1"/>
    <col min="11775" max="11775" width="6" style="76" customWidth="1"/>
    <col min="11776" max="11776" width="9.85546875" style="76" customWidth="1"/>
    <col min="11777" max="11777" width="12.28515625" style="76" customWidth="1"/>
    <col min="11778" max="11778" width="29" style="76" customWidth="1"/>
    <col min="11779" max="11779" width="7.5703125" style="76" customWidth="1"/>
    <col min="11780" max="11780" width="6.85546875" style="76" customWidth="1"/>
    <col min="11781" max="11781" width="8.5703125" style="76"/>
    <col min="11782" max="11782" width="11.85546875" style="76" bestFit="1" customWidth="1"/>
    <col min="11783" max="11783" width="14.28515625" style="76" customWidth="1"/>
    <col min="11784" max="12029" width="8.5703125" style="76"/>
    <col min="12030" max="12030" width="8.140625" style="76" customWidth="1"/>
    <col min="12031" max="12031" width="6" style="76" customWidth="1"/>
    <col min="12032" max="12032" width="9.85546875" style="76" customWidth="1"/>
    <col min="12033" max="12033" width="12.28515625" style="76" customWidth="1"/>
    <col min="12034" max="12034" width="29" style="76" customWidth="1"/>
    <col min="12035" max="12035" width="7.5703125" style="76" customWidth="1"/>
    <col min="12036" max="12036" width="6.85546875" style="76" customWidth="1"/>
    <col min="12037" max="12037" width="8.5703125" style="76"/>
    <col min="12038" max="12038" width="11.85546875" style="76" bestFit="1" customWidth="1"/>
    <col min="12039" max="12039" width="14.28515625" style="76" customWidth="1"/>
    <col min="12040" max="12285" width="8.5703125" style="76"/>
    <col min="12286" max="12286" width="8.140625" style="76" customWidth="1"/>
    <col min="12287" max="12287" width="6" style="76" customWidth="1"/>
    <col min="12288" max="12288" width="9.85546875" style="76" customWidth="1"/>
    <col min="12289" max="12289" width="12.28515625" style="76" customWidth="1"/>
    <col min="12290" max="12290" width="29" style="76" customWidth="1"/>
    <col min="12291" max="12291" width="7.5703125" style="76" customWidth="1"/>
    <col min="12292" max="12292" width="6.85546875" style="76" customWidth="1"/>
    <col min="12293" max="12293" width="8.5703125" style="76"/>
    <col min="12294" max="12294" width="11.85546875" style="76" bestFit="1" customWidth="1"/>
    <col min="12295" max="12295" width="14.28515625" style="76" customWidth="1"/>
    <col min="12296" max="12541" width="8.5703125" style="76"/>
    <col min="12542" max="12542" width="8.140625" style="76" customWidth="1"/>
    <col min="12543" max="12543" width="6" style="76" customWidth="1"/>
    <col min="12544" max="12544" width="9.85546875" style="76" customWidth="1"/>
    <col min="12545" max="12545" width="12.28515625" style="76" customWidth="1"/>
    <col min="12546" max="12546" width="29" style="76" customWidth="1"/>
    <col min="12547" max="12547" width="7.5703125" style="76" customWidth="1"/>
    <col min="12548" max="12548" width="6.85546875" style="76" customWidth="1"/>
    <col min="12549" max="12549" width="8.5703125" style="76"/>
    <col min="12550" max="12550" width="11.85546875" style="76" bestFit="1" customWidth="1"/>
    <col min="12551" max="12551" width="14.28515625" style="76" customWidth="1"/>
    <col min="12552" max="12797" width="8.5703125" style="76"/>
    <col min="12798" max="12798" width="8.140625" style="76" customWidth="1"/>
    <col min="12799" max="12799" width="6" style="76" customWidth="1"/>
    <col min="12800" max="12800" width="9.85546875" style="76" customWidth="1"/>
    <col min="12801" max="12801" width="12.28515625" style="76" customWidth="1"/>
    <col min="12802" max="12802" width="29" style="76" customWidth="1"/>
    <col min="12803" max="12803" width="7.5703125" style="76" customWidth="1"/>
    <col min="12804" max="12804" width="6.85546875" style="76" customWidth="1"/>
    <col min="12805" max="12805" width="8.5703125" style="76"/>
    <col min="12806" max="12806" width="11.85546875" style="76" bestFit="1" customWidth="1"/>
    <col min="12807" max="12807" width="14.28515625" style="76" customWidth="1"/>
    <col min="12808" max="13053" width="8.5703125" style="76"/>
    <col min="13054" max="13054" width="8.140625" style="76" customWidth="1"/>
    <col min="13055" max="13055" width="6" style="76" customWidth="1"/>
    <col min="13056" max="13056" width="9.85546875" style="76" customWidth="1"/>
    <col min="13057" max="13057" width="12.28515625" style="76" customWidth="1"/>
    <col min="13058" max="13058" width="29" style="76" customWidth="1"/>
    <col min="13059" max="13059" width="7.5703125" style="76" customWidth="1"/>
    <col min="13060" max="13060" width="6.85546875" style="76" customWidth="1"/>
    <col min="13061" max="13061" width="8.5703125" style="76"/>
    <col min="13062" max="13062" width="11.85546875" style="76" bestFit="1" customWidth="1"/>
    <col min="13063" max="13063" width="14.28515625" style="76" customWidth="1"/>
    <col min="13064" max="13309" width="8.5703125" style="76"/>
    <col min="13310" max="13310" width="8.140625" style="76" customWidth="1"/>
    <col min="13311" max="13311" width="6" style="76" customWidth="1"/>
    <col min="13312" max="13312" width="9.85546875" style="76" customWidth="1"/>
    <col min="13313" max="13313" width="12.28515625" style="76" customWidth="1"/>
    <col min="13314" max="13314" width="29" style="76" customWidth="1"/>
    <col min="13315" max="13315" width="7.5703125" style="76" customWidth="1"/>
    <col min="13316" max="13316" width="6.85546875" style="76" customWidth="1"/>
    <col min="13317" max="13317" width="8.5703125" style="76"/>
    <col min="13318" max="13318" width="11.85546875" style="76" bestFit="1" customWidth="1"/>
    <col min="13319" max="13319" width="14.28515625" style="76" customWidth="1"/>
    <col min="13320" max="13565" width="8.5703125" style="76"/>
    <col min="13566" max="13566" width="8.140625" style="76" customWidth="1"/>
    <col min="13567" max="13567" width="6" style="76" customWidth="1"/>
    <col min="13568" max="13568" width="9.85546875" style="76" customWidth="1"/>
    <col min="13569" max="13569" width="12.28515625" style="76" customWidth="1"/>
    <col min="13570" max="13570" width="29" style="76" customWidth="1"/>
    <col min="13571" max="13571" width="7.5703125" style="76" customWidth="1"/>
    <col min="13572" max="13572" width="6.85546875" style="76" customWidth="1"/>
    <col min="13573" max="13573" width="8.5703125" style="76"/>
    <col min="13574" max="13574" width="11.85546875" style="76" bestFit="1" customWidth="1"/>
    <col min="13575" max="13575" width="14.28515625" style="76" customWidth="1"/>
    <col min="13576" max="13821" width="8.5703125" style="76"/>
    <col min="13822" max="13822" width="8.140625" style="76" customWidth="1"/>
    <col min="13823" max="13823" width="6" style="76" customWidth="1"/>
    <col min="13824" max="13824" width="9.85546875" style="76" customWidth="1"/>
    <col min="13825" max="13825" width="12.28515625" style="76" customWidth="1"/>
    <col min="13826" max="13826" width="29" style="76" customWidth="1"/>
    <col min="13827" max="13827" width="7.5703125" style="76" customWidth="1"/>
    <col min="13828" max="13828" width="6.85546875" style="76" customWidth="1"/>
    <col min="13829" max="13829" width="8.5703125" style="76"/>
    <col min="13830" max="13830" width="11.85546875" style="76" bestFit="1" customWidth="1"/>
    <col min="13831" max="13831" width="14.28515625" style="76" customWidth="1"/>
    <col min="13832" max="14077" width="8.5703125" style="76"/>
    <col min="14078" max="14078" width="8.140625" style="76" customWidth="1"/>
    <col min="14079" max="14079" width="6" style="76" customWidth="1"/>
    <col min="14080" max="14080" width="9.85546875" style="76" customWidth="1"/>
    <col min="14081" max="14081" width="12.28515625" style="76" customWidth="1"/>
    <col min="14082" max="14082" width="29" style="76" customWidth="1"/>
    <col min="14083" max="14083" width="7.5703125" style="76" customWidth="1"/>
    <col min="14084" max="14084" width="6.85546875" style="76" customWidth="1"/>
    <col min="14085" max="14085" width="8.5703125" style="76"/>
    <col min="14086" max="14086" width="11.85546875" style="76" bestFit="1" customWidth="1"/>
    <col min="14087" max="14087" width="14.28515625" style="76" customWidth="1"/>
    <col min="14088" max="14333" width="8.5703125" style="76"/>
    <col min="14334" max="14334" width="8.140625" style="76" customWidth="1"/>
    <col min="14335" max="14335" width="6" style="76" customWidth="1"/>
    <col min="14336" max="14336" width="9.85546875" style="76" customWidth="1"/>
    <col min="14337" max="14337" width="12.28515625" style="76" customWidth="1"/>
    <col min="14338" max="14338" width="29" style="76" customWidth="1"/>
    <col min="14339" max="14339" width="7.5703125" style="76" customWidth="1"/>
    <col min="14340" max="14340" width="6.85546875" style="76" customWidth="1"/>
    <col min="14341" max="14341" width="8.5703125" style="76"/>
    <col min="14342" max="14342" width="11.85546875" style="76" bestFit="1" customWidth="1"/>
    <col min="14343" max="14343" width="14.28515625" style="76" customWidth="1"/>
    <col min="14344" max="14589" width="8.5703125" style="76"/>
    <col min="14590" max="14590" width="8.140625" style="76" customWidth="1"/>
    <col min="14591" max="14591" width="6" style="76" customWidth="1"/>
    <col min="14592" max="14592" width="9.85546875" style="76" customWidth="1"/>
    <col min="14593" max="14593" width="12.28515625" style="76" customWidth="1"/>
    <col min="14594" max="14594" width="29" style="76" customWidth="1"/>
    <col min="14595" max="14595" width="7.5703125" style="76" customWidth="1"/>
    <col min="14596" max="14596" width="6.85546875" style="76" customWidth="1"/>
    <col min="14597" max="14597" width="8.5703125" style="76"/>
    <col min="14598" max="14598" width="11.85546875" style="76" bestFit="1" customWidth="1"/>
    <col min="14599" max="14599" width="14.28515625" style="76" customWidth="1"/>
    <col min="14600" max="14845" width="8.5703125" style="76"/>
    <col min="14846" max="14846" width="8.140625" style="76" customWidth="1"/>
    <col min="14847" max="14847" width="6" style="76" customWidth="1"/>
    <col min="14848" max="14848" width="9.85546875" style="76" customWidth="1"/>
    <col min="14849" max="14849" width="12.28515625" style="76" customWidth="1"/>
    <col min="14850" max="14850" width="29" style="76" customWidth="1"/>
    <col min="14851" max="14851" width="7.5703125" style="76" customWidth="1"/>
    <col min="14852" max="14852" width="6.85546875" style="76" customWidth="1"/>
    <col min="14853" max="14853" width="8.5703125" style="76"/>
    <col min="14854" max="14854" width="11.85546875" style="76" bestFit="1" customWidth="1"/>
    <col min="14855" max="14855" width="14.28515625" style="76" customWidth="1"/>
    <col min="14856" max="15101" width="8.5703125" style="76"/>
    <col min="15102" max="15102" width="8.140625" style="76" customWidth="1"/>
    <col min="15103" max="15103" width="6" style="76" customWidth="1"/>
    <col min="15104" max="15104" width="9.85546875" style="76" customWidth="1"/>
    <col min="15105" max="15105" width="12.28515625" style="76" customWidth="1"/>
    <col min="15106" max="15106" width="29" style="76" customWidth="1"/>
    <col min="15107" max="15107" width="7.5703125" style="76" customWidth="1"/>
    <col min="15108" max="15108" width="6.85546875" style="76" customWidth="1"/>
    <col min="15109" max="15109" width="8.5703125" style="76"/>
    <col min="15110" max="15110" width="11.85546875" style="76" bestFit="1" customWidth="1"/>
    <col min="15111" max="15111" width="14.28515625" style="76" customWidth="1"/>
    <col min="15112" max="15357" width="8.5703125" style="76"/>
    <col min="15358" max="15358" width="8.140625" style="76" customWidth="1"/>
    <col min="15359" max="15359" width="6" style="76" customWidth="1"/>
    <col min="15360" max="15360" width="9.85546875" style="76" customWidth="1"/>
    <col min="15361" max="15361" width="12.28515625" style="76" customWidth="1"/>
    <col min="15362" max="15362" width="29" style="76" customWidth="1"/>
    <col min="15363" max="15363" width="7.5703125" style="76" customWidth="1"/>
    <col min="15364" max="15364" width="6.85546875" style="76" customWidth="1"/>
    <col min="15365" max="15365" width="8.5703125" style="76"/>
    <col min="15366" max="15366" width="11.85546875" style="76" bestFit="1" customWidth="1"/>
    <col min="15367" max="15367" width="14.28515625" style="76" customWidth="1"/>
    <col min="15368" max="15613" width="8.5703125" style="76"/>
    <col min="15614" max="15614" width="8.140625" style="76" customWidth="1"/>
    <col min="15615" max="15615" width="6" style="76" customWidth="1"/>
    <col min="15616" max="15616" width="9.85546875" style="76" customWidth="1"/>
    <col min="15617" max="15617" width="12.28515625" style="76" customWidth="1"/>
    <col min="15618" max="15618" width="29" style="76" customWidth="1"/>
    <col min="15619" max="15619" width="7.5703125" style="76" customWidth="1"/>
    <col min="15620" max="15620" width="6.85546875" style="76" customWidth="1"/>
    <col min="15621" max="15621" width="8.5703125" style="76"/>
    <col min="15622" max="15622" width="11.85546875" style="76" bestFit="1" customWidth="1"/>
    <col min="15623" max="15623" width="14.28515625" style="76" customWidth="1"/>
    <col min="15624" max="15869" width="8.5703125" style="76"/>
    <col min="15870" max="15870" width="8.140625" style="76" customWidth="1"/>
    <col min="15871" max="15871" width="6" style="76" customWidth="1"/>
    <col min="15872" max="15872" width="9.85546875" style="76" customWidth="1"/>
    <col min="15873" max="15873" width="12.28515625" style="76" customWidth="1"/>
    <col min="15874" max="15874" width="29" style="76" customWidth="1"/>
    <col min="15875" max="15875" width="7.5703125" style="76" customWidth="1"/>
    <col min="15876" max="15876" width="6.85546875" style="76" customWidth="1"/>
    <col min="15877" max="15877" width="8.5703125" style="76"/>
    <col min="15878" max="15878" width="11.85546875" style="76" bestFit="1" customWidth="1"/>
    <col min="15879" max="15879" width="14.28515625" style="76" customWidth="1"/>
    <col min="15880" max="16125" width="8.5703125" style="76"/>
    <col min="16126" max="16126" width="8.140625" style="76" customWidth="1"/>
    <col min="16127" max="16127" width="6" style="76" customWidth="1"/>
    <col min="16128" max="16128" width="9.85546875" style="76" customWidth="1"/>
    <col min="16129" max="16129" width="12.28515625" style="76" customWidth="1"/>
    <col min="16130" max="16130" width="29" style="76" customWidth="1"/>
    <col min="16131" max="16131" width="7.5703125" style="76" customWidth="1"/>
    <col min="16132" max="16132" width="6.85546875" style="76" customWidth="1"/>
    <col min="16133" max="16133" width="8.5703125" style="76"/>
    <col min="16134" max="16134" width="11.85546875" style="76" bestFit="1" customWidth="1"/>
    <col min="16135" max="16135" width="14.28515625" style="76" customWidth="1"/>
    <col min="16136" max="16384" width="8.5703125" style="76"/>
  </cols>
  <sheetData>
    <row r="1" spans="1:9" x14ac:dyDescent="0.2">
      <c r="A1" s="201" t="s">
        <v>266</v>
      </c>
      <c r="B1" s="202"/>
      <c r="C1" s="202"/>
      <c r="D1" s="202"/>
      <c r="E1" s="202"/>
      <c r="F1" s="202"/>
      <c r="G1" s="202"/>
      <c r="H1" s="203"/>
      <c r="I1" s="204" t="s">
        <v>152</v>
      </c>
    </row>
    <row r="2" spans="1:9" x14ac:dyDescent="0.2">
      <c r="A2" s="206" t="s">
        <v>1</v>
      </c>
      <c r="B2" s="207"/>
      <c r="C2" s="207"/>
      <c r="D2" s="207"/>
      <c r="E2" s="207"/>
      <c r="F2" s="207"/>
      <c r="G2" s="207"/>
      <c r="H2" s="208"/>
      <c r="I2" s="205"/>
    </row>
    <row r="3" spans="1:9" x14ac:dyDescent="0.2">
      <c r="A3" s="206" t="s">
        <v>174</v>
      </c>
      <c r="B3" s="207"/>
      <c r="C3" s="207"/>
      <c r="D3" s="207"/>
      <c r="E3" s="207"/>
      <c r="F3" s="207"/>
      <c r="G3" s="207"/>
      <c r="H3" s="208"/>
      <c r="I3" s="205"/>
    </row>
    <row r="4" spans="1:9" x14ac:dyDescent="0.2">
      <c r="A4" s="206" t="s">
        <v>618</v>
      </c>
      <c r="B4" s="207"/>
      <c r="C4" s="207"/>
      <c r="D4" s="207"/>
      <c r="E4" s="207"/>
      <c r="F4" s="207"/>
      <c r="G4" s="207"/>
      <c r="H4" s="208"/>
      <c r="I4" s="205"/>
    </row>
    <row r="5" spans="1:9" x14ac:dyDescent="0.2">
      <c r="A5" s="106"/>
      <c r="B5" s="107"/>
      <c r="C5" s="108"/>
      <c r="D5" s="109"/>
      <c r="E5" s="108"/>
      <c r="F5" s="110"/>
      <c r="G5" s="111"/>
      <c r="H5" s="112"/>
      <c r="I5" s="205"/>
    </row>
    <row r="6" spans="1:9" x14ac:dyDescent="0.2">
      <c r="A6" s="209" t="s">
        <v>628</v>
      </c>
      <c r="B6" s="210"/>
      <c r="C6" s="210"/>
      <c r="D6" s="210"/>
      <c r="E6" s="210"/>
      <c r="F6" s="210"/>
      <c r="G6" s="210"/>
      <c r="H6" s="113"/>
      <c r="I6" s="205"/>
    </row>
    <row r="7" spans="1:9" x14ac:dyDescent="0.2">
      <c r="A7" s="211" t="s">
        <v>153</v>
      </c>
      <c r="B7" s="212"/>
      <c r="C7" s="212"/>
      <c r="D7" s="212"/>
      <c r="E7" s="212"/>
      <c r="F7" s="212"/>
      <c r="G7" s="212"/>
      <c r="H7" s="114"/>
      <c r="I7" s="205"/>
    </row>
    <row r="8" spans="1:9" x14ac:dyDescent="0.2">
      <c r="A8" s="115" t="s">
        <v>792</v>
      </c>
      <c r="B8" s="116"/>
      <c r="C8" s="116"/>
      <c r="D8" s="117"/>
      <c r="E8" s="116"/>
      <c r="F8" s="116"/>
      <c r="G8" s="118"/>
      <c r="H8" s="119"/>
      <c r="I8" s="205"/>
    </row>
    <row r="9" spans="1:9" ht="38.25" customHeight="1" x14ac:dyDescent="0.2">
      <c r="A9" s="120" t="s">
        <v>154</v>
      </c>
      <c r="B9" s="120" t="s">
        <v>4</v>
      </c>
      <c r="C9" s="121" t="s">
        <v>155</v>
      </c>
      <c r="D9" s="122" t="s">
        <v>156</v>
      </c>
      <c r="E9" s="121" t="s">
        <v>157</v>
      </c>
      <c r="F9" s="77" t="s">
        <v>7</v>
      </c>
      <c r="G9" s="77" t="s">
        <v>158</v>
      </c>
      <c r="H9" s="121" t="s">
        <v>159</v>
      </c>
      <c r="I9" s="205"/>
    </row>
    <row r="10" spans="1:9" ht="160.5" customHeight="1" x14ac:dyDescent="0.2">
      <c r="A10" s="123" t="s">
        <v>619</v>
      </c>
      <c r="B10" s="124" t="s">
        <v>623</v>
      </c>
      <c r="C10" s="125" t="s">
        <v>625</v>
      </c>
      <c r="D10" s="126">
        <v>1250</v>
      </c>
      <c r="E10" s="127" t="s">
        <v>161</v>
      </c>
      <c r="F10" s="78">
        <f>ROUND(I10,2)</f>
        <v>0</v>
      </c>
      <c r="G10" s="79">
        <f>SUM(F10*D10)</f>
        <v>0</v>
      </c>
      <c r="H10" s="128" t="s">
        <v>162</v>
      </c>
      <c r="I10" s="91"/>
    </row>
    <row r="11" spans="1:9" ht="186" customHeight="1" x14ac:dyDescent="0.2">
      <c r="A11" s="123" t="s">
        <v>620</v>
      </c>
      <c r="B11" s="124" t="s">
        <v>624</v>
      </c>
      <c r="C11" s="125" t="s">
        <v>626</v>
      </c>
      <c r="D11" s="126">
        <v>54000</v>
      </c>
      <c r="E11" s="127" t="s">
        <v>165</v>
      </c>
      <c r="F11" s="81">
        <v>1</v>
      </c>
      <c r="G11" s="79">
        <f>SUM(D11*F11)</f>
        <v>54000</v>
      </c>
      <c r="H11" s="128" t="s">
        <v>162</v>
      </c>
      <c r="I11" s="129"/>
    </row>
    <row r="12" spans="1:9" ht="38.25" x14ac:dyDescent="0.2">
      <c r="A12" s="123" t="s">
        <v>621</v>
      </c>
      <c r="B12" s="124" t="s">
        <v>164</v>
      </c>
      <c r="C12" s="130" t="s">
        <v>167</v>
      </c>
      <c r="D12" s="126">
        <v>1</v>
      </c>
      <c r="E12" s="127" t="s">
        <v>168</v>
      </c>
      <c r="F12" s="78">
        <f>ROUND(I12,2)</f>
        <v>0</v>
      </c>
      <c r="G12" s="79">
        <f>SUM(F12*D12)</f>
        <v>0</v>
      </c>
      <c r="H12" s="128" t="s">
        <v>162</v>
      </c>
      <c r="I12" s="80"/>
    </row>
    <row r="13" spans="1:9" ht="63.75" x14ac:dyDescent="0.2">
      <c r="A13" s="123" t="s">
        <v>622</v>
      </c>
      <c r="B13" s="124" t="s">
        <v>171</v>
      </c>
      <c r="C13" s="142" t="s">
        <v>172</v>
      </c>
      <c r="D13" s="143">
        <v>50</v>
      </c>
      <c r="E13" s="144" t="s">
        <v>168</v>
      </c>
      <c r="F13" s="78">
        <f>ROUND(I13,2)</f>
        <v>0</v>
      </c>
      <c r="G13" s="79">
        <f>SUM(F13*D13)</f>
        <v>0</v>
      </c>
      <c r="H13" s="128" t="s">
        <v>162</v>
      </c>
      <c r="I13" s="82"/>
    </row>
    <row r="14" spans="1:9" ht="25.5" x14ac:dyDescent="0.2">
      <c r="A14" s="137" t="s">
        <v>154</v>
      </c>
      <c r="B14" s="137" t="s">
        <v>4</v>
      </c>
      <c r="C14" s="138" t="s">
        <v>155</v>
      </c>
      <c r="D14" s="139" t="s">
        <v>156</v>
      </c>
      <c r="E14" s="138" t="s">
        <v>157</v>
      </c>
      <c r="F14" s="97" t="s">
        <v>766</v>
      </c>
      <c r="G14" s="98" t="s">
        <v>765</v>
      </c>
      <c r="H14" s="140" t="s">
        <v>159</v>
      </c>
      <c r="I14" s="141"/>
    </row>
    <row r="15" spans="1:9" ht="28.5" x14ac:dyDescent="0.2">
      <c r="A15" s="123" t="s">
        <v>775</v>
      </c>
      <c r="B15" s="124" t="s">
        <v>763</v>
      </c>
      <c r="C15" s="142" t="s">
        <v>764</v>
      </c>
      <c r="D15" s="143">
        <v>10000</v>
      </c>
      <c r="E15" s="144" t="s">
        <v>165</v>
      </c>
      <c r="F15" s="94">
        <f>ROUND(I15,2)</f>
        <v>0</v>
      </c>
      <c r="G15" s="95">
        <f>SUM(D15*F15)</f>
        <v>0</v>
      </c>
      <c r="H15" s="128"/>
      <c r="I15" s="96"/>
    </row>
    <row r="16" spans="1:9" x14ac:dyDescent="0.2">
      <c r="A16" s="145"/>
      <c r="B16" s="146"/>
      <c r="C16" s="147"/>
      <c r="D16" s="148"/>
      <c r="E16" s="149"/>
      <c r="F16" s="87"/>
      <c r="G16" s="86"/>
      <c r="H16" s="146"/>
      <c r="I16" s="150"/>
    </row>
    <row r="17" spans="1:9" x14ac:dyDescent="0.2">
      <c r="A17" s="151"/>
      <c r="B17" s="200" t="s">
        <v>783</v>
      </c>
      <c r="C17" s="200"/>
      <c r="D17" s="200"/>
      <c r="E17" s="200"/>
      <c r="F17" s="200"/>
      <c r="G17" s="152">
        <f>SUM(G10:G13,G15)</f>
        <v>54000</v>
      </c>
      <c r="H17" s="152"/>
      <c r="I17" s="153"/>
    </row>
    <row r="18" spans="1:9" x14ac:dyDescent="0.2">
      <c r="A18" s="151"/>
      <c r="B18" s="200" t="s">
        <v>617</v>
      </c>
      <c r="C18" s="200"/>
      <c r="D18" s="200"/>
      <c r="E18" s="200"/>
      <c r="F18" s="200"/>
      <c r="G18" s="152"/>
      <c r="H18" s="152"/>
      <c r="I18" s="153"/>
    </row>
    <row r="19" spans="1:9" x14ac:dyDescent="0.2">
      <c r="A19" s="151"/>
      <c r="B19" s="151"/>
      <c r="C19" s="151"/>
      <c r="D19" s="154"/>
      <c r="E19" s="151"/>
      <c r="F19" s="151"/>
      <c r="G19" s="155"/>
      <c r="H19" s="155"/>
      <c r="I19" s="153"/>
    </row>
    <row r="20" spans="1:9" x14ac:dyDescent="0.2">
      <c r="A20" s="151"/>
      <c r="B20" s="151"/>
      <c r="C20" s="156"/>
      <c r="D20" s="154"/>
      <c r="E20" s="151"/>
      <c r="F20" s="151"/>
      <c r="G20" s="155"/>
      <c r="H20" s="155"/>
      <c r="I20" s="153"/>
    </row>
    <row r="21" spans="1:9" x14ac:dyDescent="0.2">
      <c r="A21" s="157" t="s">
        <v>778</v>
      </c>
      <c r="B21" s="157"/>
      <c r="C21" s="151"/>
      <c r="D21" s="154"/>
      <c r="E21" s="151"/>
      <c r="F21" s="151"/>
      <c r="G21" s="155"/>
      <c r="H21" s="155"/>
      <c r="I21" s="153"/>
    </row>
    <row r="22" spans="1:9" x14ac:dyDescent="0.2">
      <c r="A22" s="158" t="s">
        <v>776</v>
      </c>
      <c r="B22" s="199" t="s">
        <v>777</v>
      </c>
      <c r="C22" s="199"/>
      <c r="D22" s="199"/>
      <c r="E22" s="151"/>
      <c r="F22" s="151"/>
      <c r="G22" s="155"/>
      <c r="H22" s="155"/>
      <c r="I22" s="153"/>
    </row>
    <row r="23" spans="1:9" x14ac:dyDescent="0.2">
      <c r="A23" s="151"/>
      <c r="B23" s="199"/>
      <c r="C23" s="199"/>
      <c r="D23" s="199"/>
      <c r="E23" s="151"/>
      <c r="F23" s="151"/>
      <c r="G23" s="155"/>
      <c r="H23" s="155"/>
      <c r="I23" s="153"/>
    </row>
    <row r="24" spans="1:9" x14ac:dyDescent="0.2">
      <c r="A24" s="151"/>
      <c r="B24" s="199"/>
      <c r="C24" s="199"/>
      <c r="D24" s="199"/>
      <c r="E24" s="151"/>
      <c r="F24" s="151"/>
      <c r="G24" s="155"/>
      <c r="H24" s="155"/>
      <c r="I24" s="153"/>
    </row>
    <row r="25" spans="1:9" x14ac:dyDescent="0.2">
      <c r="A25" s="151"/>
      <c r="B25" s="199"/>
      <c r="C25" s="199"/>
      <c r="D25" s="199"/>
      <c r="E25" s="151"/>
      <c r="F25" s="151"/>
      <c r="G25" s="155"/>
      <c r="H25" s="155"/>
      <c r="I25" s="153"/>
    </row>
    <row r="26" spans="1:9" x14ac:dyDescent="0.2">
      <c r="A26" s="151"/>
      <c r="B26" s="199"/>
      <c r="C26" s="199"/>
      <c r="D26" s="199"/>
      <c r="E26" s="151"/>
      <c r="F26" s="151"/>
      <c r="G26" s="155"/>
      <c r="H26" s="155"/>
      <c r="I26" s="153"/>
    </row>
    <row r="27" spans="1:9" x14ac:dyDescent="0.2">
      <c r="A27" s="151"/>
      <c r="B27" s="199"/>
      <c r="C27" s="199"/>
      <c r="D27" s="199"/>
      <c r="E27" s="151"/>
      <c r="F27" s="151"/>
      <c r="G27" s="155"/>
      <c r="H27" s="155"/>
      <c r="I27" s="153"/>
    </row>
    <row r="28" spans="1:9" x14ac:dyDescent="0.2">
      <c r="A28" s="151"/>
      <c r="B28" s="199"/>
      <c r="C28" s="199"/>
      <c r="D28" s="199"/>
      <c r="E28" s="151"/>
      <c r="F28" s="151"/>
      <c r="G28" s="155"/>
      <c r="H28" s="155"/>
      <c r="I28" s="153"/>
    </row>
    <row r="29" spans="1:9" x14ac:dyDescent="0.2">
      <c r="A29" s="151"/>
      <c r="B29" s="199"/>
      <c r="C29" s="199"/>
      <c r="D29" s="199"/>
      <c r="E29" s="151"/>
      <c r="F29" s="151"/>
      <c r="G29" s="155"/>
      <c r="H29" s="155"/>
      <c r="I29" s="153"/>
    </row>
    <row r="30" spans="1:9" x14ac:dyDescent="0.2">
      <c r="A30" s="151"/>
      <c r="B30" s="199"/>
      <c r="C30" s="199"/>
      <c r="D30" s="199"/>
      <c r="E30" s="151"/>
      <c r="F30" s="151"/>
      <c r="G30" s="155"/>
      <c r="H30" s="155"/>
      <c r="I30" s="153"/>
    </row>
    <row r="31" spans="1:9" x14ac:dyDescent="0.2">
      <c r="A31" s="151"/>
      <c r="B31" s="151"/>
      <c r="C31" s="151"/>
      <c r="D31" s="154"/>
      <c r="E31" s="151"/>
      <c r="F31" s="151"/>
      <c r="G31" s="155"/>
      <c r="H31" s="155"/>
      <c r="I31" s="153"/>
    </row>
    <row r="32" spans="1:9" x14ac:dyDescent="0.2">
      <c r="A32" s="151"/>
      <c r="B32" s="151"/>
      <c r="C32" s="151"/>
      <c r="D32" s="154"/>
      <c r="E32" s="151"/>
      <c r="F32" s="151"/>
      <c r="G32" s="155"/>
      <c r="H32" s="155"/>
      <c r="I32" s="153"/>
    </row>
    <row r="33" spans="1:9" x14ac:dyDescent="0.2">
      <c r="A33" s="151"/>
      <c r="B33" s="157" t="s">
        <v>779</v>
      </c>
      <c r="C33" s="151"/>
      <c r="D33" s="154"/>
      <c r="E33" s="151"/>
      <c r="F33" s="151"/>
      <c r="G33" s="155"/>
      <c r="H33" s="155"/>
      <c r="I33" s="153"/>
    </row>
    <row r="34" spans="1:9" x14ac:dyDescent="0.2">
      <c r="A34" s="151"/>
      <c r="B34" s="160" t="s">
        <v>165</v>
      </c>
      <c r="C34" s="157" t="s">
        <v>780</v>
      </c>
      <c r="D34" s="154"/>
      <c r="E34" s="151"/>
      <c r="F34" s="151"/>
      <c r="G34" s="155"/>
      <c r="H34" s="155"/>
      <c r="I34" s="153"/>
    </row>
    <row r="35" spans="1:9" x14ac:dyDescent="0.2">
      <c r="A35" s="151"/>
      <c r="B35" s="160" t="s">
        <v>168</v>
      </c>
      <c r="C35" s="157" t="s">
        <v>781</v>
      </c>
      <c r="D35" s="154"/>
      <c r="E35" s="151"/>
      <c r="F35" s="151"/>
      <c r="G35" s="155"/>
      <c r="H35" s="155"/>
      <c r="I35" s="153"/>
    </row>
    <row r="36" spans="1:9" x14ac:dyDescent="0.2">
      <c r="A36" s="151"/>
      <c r="B36" s="160" t="s">
        <v>161</v>
      </c>
      <c r="C36" s="157" t="s">
        <v>782</v>
      </c>
      <c r="D36" s="154"/>
      <c r="E36" s="151"/>
      <c r="F36" s="151"/>
      <c r="G36" s="155"/>
      <c r="H36" s="155"/>
      <c r="I36" s="153"/>
    </row>
    <row r="51" spans="5:5" x14ac:dyDescent="0.2">
      <c r="E51" s="103"/>
    </row>
    <row r="52" spans="5:5" x14ac:dyDescent="0.2">
      <c r="E52" s="103"/>
    </row>
    <row r="53" spans="5:5" x14ac:dyDescent="0.2">
      <c r="E53" s="103"/>
    </row>
    <row r="54" spans="5:5" x14ac:dyDescent="0.2">
      <c r="E54" s="103"/>
    </row>
    <row r="55" spans="5:5" x14ac:dyDescent="0.2">
      <c r="E55" s="103"/>
    </row>
    <row r="84" spans="5:5" x14ac:dyDescent="0.2">
      <c r="E84" s="103"/>
    </row>
    <row r="85" spans="5:5" x14ac:dyDescent="0.2">
      <c r="E85" s="103"/>
    </row>
    <row r="86" spans="5:5" x14ac:dyDescent="0.2">
      <c r="E86" s="103"/>
    </row>
    <row r="87" spans="5:5" x14ac:dyDescent="0.2">
      <c r="E87" s="103"/>
    </row>
    <row r="88" spans="5:5" x14ac:dyDescent="0.2">
      <c r="E88" s="103"/>
    </row>
    <row r="89" spans="5:5" x14ac:dyDescent="0.2">
      <c r="E89" s="103"/>
    </row>
    <row r="93" spans="5:5" x14ac:dyDescent="0.2">
      <c r="E93" s="102"/>
    </row>
    <row r="94" spans="5:5" x14ac:dyDescent="0.2">
      <c r="E94" s="102"/>
    </row>
    <row r="95" spans="5:5" x14ac:dyDescent="0.2">
      <c r="E95" s="102"/>
    </row>
    <row r="96" spans="5:5" x14ac:dyDescent="0.2">
      <c r="E96" s="102"/>
    </row>
    <row r="97" spans="5:5" x14ac:dyDescent="0.2">
      <c r="E97" s="102"/>
    </row>
    <row r="98" spans="5:5" x14ac:dyDescent="0.2">
      <c r="E98" s="102"/>
    </row>
    <row r="99" spans="5:5" x14ac:dyDescent="0.2">
      <c r="E99" s="102"/>
    </row>
  </sheetData>
  <sheetProtection password="C9A6" sheet="1" selectLockedCells="1"/>
  <mergeCells count="10">
    <mergeCell ref="B22:D30"/>
    <mergeCell ref="B17:F17"/>
    <mergeCell ref="B18:F18"/>
    <mergeCell ref="A1:H1"/>
    <mergeCell ref="I1:I9"/>
    <mergeCell ref="A2:H2"/>
    <mergeCell ref="A3:H3"/>
    <mergeCell ref="A4:H4"/>
    <mergeCell ref="A6:G6"/>
    <mergeCell ref="A7:G7"/>
  </mergeCells>
  <pageMargins left="0.25" right="0.25" top="0.75" bottom="0.75" header="0.3" footer="0.3"/>
  <pageSetup scale="87" firstPageNumber="11" fitToHeight="0" orientation="landscape" r:id="rId1"/>
  <headerFooter alignWithMargins="0"/>
  <rowBreaks count="1" manualBreakCount="1">
    <brk id="11"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823DECFA74F34D8F0001B5656EBB04" ma:contentTypeVersion="11" ma:contentTypeDescription="Create a new document." ma:contentTypeScope="" ma:versionID="d7e9f406efb86a0beb9d498ea1b148c3">
  <xsd:schema xmlns:xsd="http://www.w3.org/2001/XMLSchema" xmlns:xs="http://www.w3.org/2001/XMLSchema" xmlns:p="http://schemas.microsoft.com/office/2006/metadata/properties" xmlns:ns2="839662b1-cb09-478b-bef4-55ae2346baaf" xmlns:ns3="5498497c-1f4e-4684-8e09-712e5b0873a6" targetNamespace="http://schemas.microsoft.com/office/2006/metadata/properties" ma:root="true" ma:fieldsID="2192a13ea7365a2e651878f3e73a6ccf" ns2:_="" ns3:_="">
    <xsd:import namespace="839662b1-cb09-478b-bef4-55ae2346baaf"/>
    <xsd:import namespace="5498497c-1f4e-4684-8e09-712e5b0873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9662b1-cb09-478b-bef4-55ae2346ba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98497c-1f4e-4684-8e09-712e5b0873a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5a821f-aa9b-4e95-8465-cdf238120a05}" ma:internalName="TaxCatchAll" ma:showField="CatchAllData" ma:web="5498497c-1f4e-4684-8e09-712e5b0873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498497c-1f4e-4684-8e09-712e5b0873a6" xsi:nil="true"/>
    <lcf76f155ced4ddcb4097134ff3c332f xmlns="839662b1-cb09-478b-bef4-55ae2346baa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FEC6175-2F27-481A-8B00-EC19A149222B}"/>
</file>

<file path=customXml/itemProps2.xml><?xml version="1.0" encoding="utf-8"?>
<ds:datastoreItem xmlns:ds="http://schemas.openxmlformats.org/officeDocument/2006/customXml" ds:itemID="{2077EF3E-53B9-4C56-A687-13EDEBFC666B}">
  <ds:schemaRefs>
    <ds:schemaRef ds:uri="http://schemas.microsoft.com/sharepoint/v3/contenttype/forms"/>
  </ds:schemaRefs>
</ds:datastoreItem>
</file>

<file path=customXml/itemProps3.xml><?xml version="1.0" encoding="utf-8"?>
<ds:datastoreItem xmlns:ds="http://schemas.openxmlformats.org/officeDocument/2006/customXml" ds:itemID="{3BA5189E-04BA-4874-8058-A5C241CD4DC5}">
  <ds:schemaRefs>
    <ds:schemaRef ds:uri="http://purl.org/dc/elements/1.1/"/>
    <ds:schemaRef ds:uri="http://schemas.microsoft.com/office/2006/metadata/properties"/>
    <ds:schemaRef ds:uri="http://purl.org/dc/terms/"/>
    <ds:schemaRef ds:uri="http://schemas.openxmlformats.org/package/2006/metadata/core-properties"/>
    <ds:schemaRef ds:uri="d30e31c2-57cb-4765-86ff-3f8a7b07a217"/>
    <ds:schemaRef ds:uri="http://schemas.microsoft.com/office/2006/documentManagement/types"/>
    <ds:schemaRef ds:uri="http://schemas.microsoft.com/office/infopath/2007/PartnerControls"/>
    <ds:schemaRef ds:uri="6eae365f-db69-4394-ac9f-8c93c8472542"/>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Schedule</vt:lpstr>
      <vt:lpstr>Base Recurring</vt:lpstr>
      <vt:lpstr>Base Non-Recurring </vt:lpstr>
      <vt:lpstr>OY 1 Recurring</vt:lpstr>
      <vt:lpstr>OY 1 Non-Recurring</vt:lpstr>
      <vt:lpstr>OY 2 Recurring</vt:lpstr>
      <vt:lpstr>OY 2 Non-Recurring</vt:lpstr>
      <vt:lpstr>OY 3 Recurring</vt:lpstr>
      <vt:lpstr>OY 3 Non-Recurring</vt:lpstr>
      <vt:lpstr>OY 4 Recurring</vt:lpstr>
      <vt:lpstr>OY 4 Non-Recurring</vt:lpstr>
      <vt:lpstr>Opt to Extend Recurring</vt:lpstr>
      <vt:lpstr>Opt Extend Non-Recurring </vt:lpstr>
      <vt:lpstr>'Base Recurring'!Print_Area</vt:lpstr>
      <vt:lpstr>'Opt to Extend Recurring'!Print_Area</vt:lpstr>
      <vt:lpstr>'OY 1 Recurring'!Print_Area</vt:lpstr>
      <vt:lpstr>'OY 2 Recurring'!Print_Area</vt:lpstr>
      <vt:lpstr>'OY 3 Recurring'!Print_Area</vt:lpstr>
      <vt:lpstr>'OY 4 Recurring'!Print_Area</vt:lpstr>
      <vt:lpstr>'Base Non-Recurring '!Print_Titles</vt:lpstr>
      <vt:lpstr>'Base Recurring'!Print_Titles</vt:lpstr>
      <vt:lpstr>'Opt Extend Non-Recurring '!Print_Titles</vt:lpstr>
      <vt:lpstr>'Opt to Extend Recurring'!Print_Titles</vt:lpstr>
      <vt:lpstr>'OY 1 Non-Recurring'!Print_Titles</vt:lpstr>
      <vt:lpstr>'OY 1 Recurring'!Print_Titles</vt:lpstr>
      <vt:lpstr>'OY 2 Non-Recurring'!Print_Titles</vt:lpstr>
      <vt:lpstr>'OY 2 Recurring'!Print_Titles</vt:lpstr>
      <vt:lpstr>'OY 3 Non-Recurring'!Print_Titles</vt:lpstr>
      <vt:lpstr>'OY 3 Recurring'!Print_Titles</vt:lpstr>
      <vt:lpstr>'OY 4 Non-Recurring'!Print_Titles</vt:lpstr>
      <vt:lpstr>'OY 4 Recurring'!Print_Titles</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royale.agsalud</dc:creator>
  <cp:lastModifiedBy>royale.agsalud</cp:lastModifiedBy>
  <cp:lastPrinted>2026-02-11T18:44:07Z</cp:lastPrinted>
  <dcterms:created xsi:type="dcterms:W3CDTF">2025-03-31T22:46:33Z</dcterms:created>
  <dcterms:modified xsi:type="dcterms:W3CDTF">2026-02-11T18:47:28Z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0x010100AD823DECFA74F34D8F0001B5656EBB04</vt:lpwstr>
  </property>
  <property fmtid="{D5CDD505-2E9C-101B-9397-08002B2CF9AE}" pid="3" name="MediaServiceImageTags">
    <vt:lpwstr/>
  </property>
</Properties>
</file>