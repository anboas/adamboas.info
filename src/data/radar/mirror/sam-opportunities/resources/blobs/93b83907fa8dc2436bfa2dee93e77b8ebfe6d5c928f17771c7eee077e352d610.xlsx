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73887431128/WOPIServiceId_TP_BOX_2/WOPIUserId_-/"/>
    </mc:Choice>
  </mc:AlternateContent>
  <xr:revisionPtr revIDLastSave="537" documentId="8_{6DD01FE9-892B-48A9-AC0C-48D9E0BE70BE}" xr6:coauthVersionLast="47" xr6:coauthVersionMax="47" xr10:uidLastSave="{551B7B9D-4C46-40B7-9ADC-A3DE225E65F5}"/>
  <bookViews>
    <workbookView xWindow="28680" yWindow="-900" windowWidth="29040" windowHeight="17520" xr2:uid="{56F2F28E-72D0-4FEF-92EC-B61A499C49F6}"/>
  </bookViews>
  <sheets>
    <sheet name="Overview - Pricing" sheetId="17" r:id="rId1"/>
    <sheet name="Pivot - Quantities per Org" sheetId="16" r:id="rId2"/>
    <sheet name="Consolidated Data" sheetId="15" r:id="rId3"/>
    <sheet name="BIA" sheetId="3" r:id="rId4"/>
    <sheet name="BIE" sheetId="4" r:id="rId5"/>
    <sheet name="BLM" sheetId="5" r:id="rId6"/>
    <sheet name="BOR" sheetId="6" r:id="rId7"/>
    <sheet name="BSEE" sheetId="7" r:id="rId8"/>
    <sheet name="FWS" sheetId="8" r:id="rId9"/>
    <sheet name="OIG" sheetId="10" r:id="rId10"/>
    <sheet name="USGS" sheetId="11" r:id="rId11"/>
    <sheet name="NPS" sheetId="14" r:id="rId12"/>
    <sheet name="DOI IBC" sheetId="13" r:id="rId13"/>
    <sheet name="DOI OCIO" sheetId="12" r:id="rId14"/>
  </sheets>
  <definedNames>
    <definedName name="_xlnm._FilterDatabase" localSheetId="3" hidden="1">BIA!$A$1:$H$23</definedName>
    <definedName name="_xlnm._FilterDatabase" localSheetId="4" hidden="1">BIE!$A$1:$H$1</definedName>
    <definedName name="_xlnm._FilterDatabase" localSheetId="5" hidden="1">BLM!$A$1:$H$1</definedName>
    <definedName name="_xlnm._FilterDatabase" localSheetId="6" hidden="1">BOR!$A$1:$H$24</definedName>
    <definedName name="_xlnm._FilterDatabase" localSheetId="7" hidden="1">BSEE!$A$1:$H$28</definedName>
    <definedName name="_xlnm._FilterDatabase" localSheetId="2" hidden="1">'Consolidated Data'!$A$1:$K$1</definedName>
    <definedName name="_xlnm._FilterDatabase" localSheetId="12" hidden="1">'DOI IBC'!$A$1:$H$10</definedName>
    <definedName name="_xlnm._FilterDatabase" localSheetId="8" hidden="1">FWS!$A$1:$H$36</definedName>
    <definedName name="_xlnm._FilterDatabase" localSheetId="11" hidden="1">NPS!$A$1:$H$42</definedName>
    <definedName name="_xlnm._FilterDatabase" localSheetId="9" hidden="1">OIG!$A$1:$H$41</definedName>
  </definedNames>
  <calcPr calcId="191029"/>
  <pivotCaches>
    <pivotCache cacheId="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3" l="1"/>
  <c r="J3" i="13"/>
  <c r="J4" i="13"/>
  <c r="J5" i="13"/>
  <c r="J6" i="13"/>
  <c r="K723" i="15" s="1"/>
  <c r="J7" i="13"/>
  <c r="J58" i="13" s="1"/>
  <c r="B12" i="17" s="1"/>
  <c r="J8" i="13"/>
  <c r="J9" i="13"/>
  <c r="J10" i="13"/>
  <c r="J11" i="13"/>
  <c r="K728" i="15" s="1"/>
  <c r="J12" i="13"/>
  <c r="K729" i="15" s="1"/>
  <c r="J13" i="13"/>
  <c r="K730" i="15" s="1"/>
  <c r="J14" i="13"/>
  <c r="J15" i="13"/>
  <c r="J16" i="13"/>
  <c r="J17" i="13"/>
  <c r="J776" i="15"/>
  <c r="K776" i="15"/>
  <c r="J777" i="15"/>
  <c r="K777" i="15"/>
  <c r="J778" i="15"/>
  <c r="K778" i="15"/>
  <c r="J779" i="15"/>
  <c r="K779" i="15"/>
  <c r="J780" i="15"/>
  <c r="K780" i="15"/>
  <c r="J781" i="15"/>
  <c r="K781" i="15"/>
  <c r="J782" i="15"/>
  <c r="K782" i="15"/>
  <c r="K775" i="15"/>
  <c r="J775" i="15"/>
  <c r="J720" i="15"/>
  <c r="K720" i="15"/>
  <c r="J721" i="15"/>
  <c r="K721" i="15"/>
  <c r="J722" i="15"/>
  <c r="K722" i="15"/>
  <c r="J723" i="15"/>
  <c r="J724" i="15"/>
  <c r="J725" i="15"/>
  <c r="K725" i="15"/>
  <c r="J726" i="15"/>
  <c r="K726" i="15"/>
  <c r="J727" i="15"/>
  <c r="K727" i="15"/>
  <c r="J728" i="15"/>
  <c r="J729" i="15"/>
  <c r="J730" i="15"/>
  <c r="J731" i="15"/>
  <c r="K731" i="15"/>
  <c r="J732" i="15"/>
  <c r="K732" i="15"/>
  <c r="J733" i="15"/>
  <c r="K733" i="15"/>
  <c r="J734" i="15"/>
  <c r="K734" i="15"/>
  <c r="J735" i="15"/>
  <c r="K735" i="15"/>
  <c r="J736" i="15"/>
  <c r="K736" i="15"/>
  <c r="J737" i="15"/>
  <c r="K737" i="15"/>
  <c r="J738" i="15"/>
  <c r="K738" i="15"/>
  <c r="J739" i="15"/>
  <c r="K739" i="15"/>
  <c r="J740" i="15"/>
  <c r="K740" i="15"/>
  <c r="J741" i="15"/>
  <c r="K741" i="15"/>
  <c r="J742" i="15"/>
  <c r="K742" i="15"/>
  <c r="J743" i="15"/>
  <c r="K743" i="15"/>
  <c r="J744" i="15"/>
  <c r="K744" i="15"/>
  <c r="J745" i="15"/>
  <c r="K745" i="15"/>
  <c r="J746" i="15"/>
  <c r="K746" i="15"/>
  <c r="J747" i="15"/>
  <c r="K747" i="15"/>
  <c r="J748" i="15"/>
  <c r="K748" i="15"/>
  <c r="J749" i="15"/>
  <c r="K749" i="15"/>
  <c r="J750" i="15"/>
  <c r="K750" i="15"/>
  <c r="J751" i="15"/>
  <c r="K751" i="15"/>
  <c r="J752" i="15"/>
  <c r="K752" i="15"/>
  <c r="J753" i="15"/>
  <c r="K753" i="15"/>
  <c r="J754" i="15"/>
  <c r="K754" i="15"/>
  <c r="J755" i="15"/>
  <c r="K755" i="15"/>
  <c r="J756" i="15"/>
  <c r="K756" i="15"/>
  <c r="J757" i="15"/>
  <c r="K757" i="15"/>
  <c r="J758" i="15"/>
  <c r="K758" i="15"/>
  <c r="J759" i="15"/>
  <c r="K759" i="15"/>
  <c r="J760" i="15"/>
  <c r="K760" i="15"/>
  <c r="J761" i="15"/>
  <c r="K761" i="15"/>
  <c r="J762" i="15"/>
  <c r="K762" i="15"/>
  <c r="J763" i="15"/>
  <c r="K763" i="15"/>
  <c r="J764" i="15"/>
  <c r="K764" i="15"/>
  <c r="J765" i="15"/>
  <c r="K765" i="15"/>
  <c r="J766" i="15"/>
  <c r="K766" i="15"/>
  <c r="J767" i="15"/>
  <c r="K767" i="15"/>
  <c r="J768" i="15"/>
  <c r="K768" i="15"/>
  <c r="J769" i="15"/>
  <c r="K769" i="15"/>
  <c r="J770" i="15"/>
  <c r="K770" i="15"/>
  <c r="J771" i="15"/>
  <c r="K771" i="15"/>
  <c r="J772" i="15"/>
  <c r="K772" i="15"/>
  <c r="J773" i="15"/>
  <c r="K773" i="15"/>
  <c r="J774" i="15"/>
  <c r="K774" i="15"/>
  <c r="K719" i="15"/>
  <c r="J719" i="15"/>
  <c r="J69" i="14"/>
  <c r="J2" i="14"/>
  <c r="J3" i="14"/>
  <c r="J4" i="14"/>
  <c r="J5" i="14"/>
  <c r="B11" i="17" s="1"/>
  <c r="J6" i="14"/>
  <c r="J7" i="14"/>
  <c r="K657" i="15" s="1"/>
  <c r="J8" i="14"/>
  <c r="K658" i="15" s="1"/>
  <c r="J9" i="14"/>
  <c r="J10" i="14"/>
  <c r="K660" i="15" s="1"/>
  <c r="J11" i="14"/>
  <c r="K661" i="15" s="1"/>
  <c r="J12" i="14"/>
  <c r="K662" i="15" s="1"/>
  <c r="J13" i="14"/>
  <c r="K663" i="15" s="1"/>
  <c r="J14" i="14"/>
  <c r="K664" i="15" s="1"/>
  <c r="J15" i="14"/>
  <c r="J16" i="14"/>
  <c r="J17" i="14"/>
  <c r="J18" i="14"/>
  <c r="J19" i="14"/>
  <c r="K669" i="15" s="1"/>
  <c r="J20" i="14"/>
  <c r="K670" i="15" s="1"/>
  <c r="J21" i="14"/>
  <c r="J22" i="14"/>
  <c r="K672" i="15" s="1"/>
  <c r="J23" i="14"/>
  <c r="K673" i="15" s="1"/>
  <c r="J24" i="14"/>
  <c r="K674" i="15" s="1"/>
  <c r="J25" i="14"/>
  <c r="K675" i="15" s="1"/>
  <c r="J26" i="14"/>
  <c r="K676" i="15" s="1"/>
  <c r="J27" i="14"/>
  <c r="J28" i="14"/>
  <c r="J653" i="15"/>
  <c r="K653" i="15"/>
  <c r="J654" i="15"/>
  <c r="K654" i="15"/>
  <c r="J655" i="15"/>
  <c r="K655" i="15"/>
  <c r="J656" i="15"/>
  <c r="K656" i="15"/>
  <c r="J657" i="15"/>
  <c r="J658" i="15"/>
  <c r="J659" i="15"/>
  <c r="K659" i="15"/>
  <c r="J660" i="15"/>
  <c r="J661" i="15"/>
  <c r="J662" i="15"/>
  <c r="J663" i="15"/>
  <c r="J664" i="15"/>
  <c r="J665" i="15"/>
  <c r="K665" i="15"/>
  <c r="J666" i="15"/>
  <c r="K666" i="15"/>
  <c r="J667" i="15"/>
  <c r="K667" i="15"/>
  <c r="J668" i="15"/>
  <c r="K668" i="15"/>
  <c r="J669" i="15"/>
  <c r="J670" i="15"/>
  <c r="J671" i="15"/>
  <c r="K671" i="15"/>
  <c r="J672" i="15"/>
  <c r="J673" i="15"/>
  <c r="J674" i="15"/>
  <c r="J675" i="15"/>
  <c r="J676" i="15"/>
  <c r="J677" i="15"/>
  <c r="K677" i="15"/>
  <c r="J678" i="15"/>
  <c r="K678" i="15"/>
  <c r="J679" i="15"/>
  <c r="K679" i="15"/>
  <c r="J680" i="15"/>
  <c r="K680" i="15"/>
  <c r="J681" i="15"/>
  <c r="K681" i="15"/>
  <c r="J682" i="15"/>
  <c r="K682" i="15"/>
  <c r="J683" i="15"/>
  <c r="K683" i="15"/>
  <c r="J684" i="15"/>
  <c r="K684" i="15"/>
  <c r="J685" i="15"/>
  <c r="K685" i="15"/>
  <c r="J686" i="15"/>
  <c r="K686" i="15"/>
  <c r="J687" i="15"/>
  <c r="K687" i="15"/>
  <c r="J688" i="15"/>
  <c r="K688" i="15"/>
  <c r="J689" i="15"/>
  <c r="K689" i="15"/>
  <c r="J690" i="15"/>
  <c r="K690" i="15"/>
  <c r="J691" i="15"/>
  <c r="K691" i="15"/>
  <c r="J692" i="15"/>
  <c r="K692" i="15"/>
  <c r="J693" i="15"/>
  <c r="K693" i="15"/>
  <c r="J694" i="15"/>
  <c r="K694" i="15"/>
  <c r="J695" i="15"/>
  <c r="K695" i="15"/>
  <c r="J696" i="15"/>
  <c r="K696" i="15"/>
  <c r="J697" i="15"/>
  <c r="K697" i="15"/>
  <c r="J698" i="15"/>
  <c r="K698" i="15"/>
  <c r="J699" i="15"/>
  <c r="K699" i="15"/>
  <c r="J700" i="15"/>
  <c r="K700" i="15"/>
  <c r="J701" i="15"/>
  <c r="K701" i="15"/>
  <c r="J702" i="15"/>
  <c r="K702" i="15"/>
  <c r="J703" i="15"/>
  <c r="K703" i="15"/>
  <c r="J704" i="15"/>
  <c r="K704" i="15"/>
  <c r="J705" i="15"/>
  <c r="K705" i="15"/>
  <c r="J706" i="15"/>
  <c r="K706" i="15"/>
  <c r="J707" i="15"/>
  <c r="K707" i="15"/>
  <c r="J708" i="15"/>
  <c r="K708" i="15"/>
  <c r="J709" i="15"/>
  <c r="K709" i="15"/>
  <c r="J710" i="15"/>
  <c r="K710" i="15"/>
  <c r="J711" i="15"/>
  <c r="K711" i="15"/>
  <c r="J712" i="15"/>
  <c r="K712" i="15"/>
  <c r="J713" i="15"/>
  <c r="K713" i="15"/>
  <c r="J714" i="15"/>
  <c r="K714" i="15"/>
  <c r="J715" i="15"/>
  <c r="K715" i="15"/>
  <c r="J716" i="15"/>
  <c r="K716" i="15"/>
  <c r="J717" i="15"/>
  <c r="K717" i="15"/>
  <c r="J718" i="15"/>
  <c r="K718" i="15"/>
  <c r="K652" i="15"/>
  <c r="J652" i="15"/>
  <c r="J619" i="15"/>
  <c r="K619" i="15"/>
  <c r="J620" i="15"/>
  <c r="K620" i="15"/>
  <c r="J621" i="15"/>
  <c r="K621" i="15"/>
  <c r="J622" i="15"/>
  <c r="K622" i="15"/>
  <c r="J623" i="15"/>
  <c r="K623" i="15"/>
  <c r="J624" i="15"/>
  <c r="K624" i="15"/>
  <c r="J625" i="15"/>
  <c r="K625" i="15"/>
  <c r="J626" i="15"/>
  <c r="K626" i="15"/>
  <c r="J627" i="15"/>
  <c r="K627" i="15"/>
  <c r="J628" i="15"/>
  <c r="K628" i="15"/>
  <c r="J629" i="15"/>
  <c r="K629" i="15"/>
  <c r="J630" i="15"/>
  <c r="K630" i="15"/>
  <c r="J631" i="15"/>
  <c r="K631" i="15"/>
  <c r="J632" i="15"/>
  <c r="K632" i="15"/>
  <c r="J633" i="15"/>
  <c r="K633" i="15"/>
  <c r="J634" i="15"/>
  <c r="K634" i="15"/>
  <c r="J635" i="15"/>
  <c r="K635" i="15"/>
  <c r="J636" i="15"/>
  <c r="K636" i="15"/>
  <c r="J637" i="15"/>
  <c r="K637" i="15"/>
  <c r="J638" i="15"/>
  <c r="K638" i="15"/>
  <c r="J639" i="15"/>
  <c r="K639" i="15"/>
  <c r="J640" i="15"/>
  <c r="K640" i="15"/>
  <c r="J641" i="15"/>
  <c r="K641" i="15"/>
  <c r="J642" i="15"/>
  <c r="K642" i="15"/>
  <c r="J643" i="15"/>
  <c r="K643" i="15"/>
  <c r="J644" i="15"/>
  <c r="K644" i="15"/>
  <c r="J645" i="15"/>
  <c r="K645" i="15"/>
  <c r="J646" i="15"/>
  <c r="K646" i="15"/>
  <c r="J647" i="15"/>
  <c r="K647" i="15"/>
  <c r="J648" i="15"/>
  <c r="K648" i="15"/>
  <c r="J649" i="15"/>
  <c r="K649" i="15"/>
  <c r="J650" i="15"/>
  <c r="K650" i="15"/>
  <c r="J651" i="15"/>
  <c r="K651" i="15"/>
  <c r="K618" i="15"/>
  <c r="J618" i="15"/>
  <c r="J579" i="15"/>
  <c r="K579" i="15"/>
  <c r="J580" i="15"/>
  <c r="K580" i="15"/>
  <c r="J581" i="15"/>
  <c r="K581" i="15"/>
  <c r="J582" i="15"/>
  <c r="K582" i="15"/>
  <c r="J583" i="15"/>
  <c r="K583" i="15"/>
  <c r="J584" i="15"/>
  <c r="K584" i="15"/>
  <c r="J585" i="15"/>
  <c r="K585" i="15"/>
  <c r="J586" i="15"/>
  <c r="K586" i="15"/>
  <c r="J587" i="15"/>
  <c r="K587" i="15"/>
  <c r="J588" i="15"/>
  <c r="K588" i="15"/>
  <c r="J589" i="15"/>
  <c r="K589" i="15"/>
  <c r="J590" i="15"/>
  <c r="K590" i="15"/>
  <c r="J591" i="15"/>
  <c r="K591" i="15"/>
  <c r="J592" i="15"/>
  <c r="K592" i="15"/>
  <c r="J593" i="15"/>
  <c r="K593" i="15"/>
  <c r="J594" i="15"/>
  <c r="K594" i="15"/>
  <c r="J595" i="15"/>
  <c r="K595" i="15"/>
  <c r="J596" i="15"/>
  <c r="K596" i="15"/>
  <c r="J597" i="15"/>
  <c r="K597" i="15"/>
  <c r="J598" i="15"/>
  <c r="K598" i="15"/>
  <c r="J599" i="15"/>
  <c r="K599" i="15"/>
  <c r="J600" i="15"/>
  <c r="K600" i="15"/>
  <c r="J601" i="15"/>
  <c r="K601" i="15"/>
  <c r="J602" i="15"/>
  <c r="K602" i="15"/>
  <c r="J603" i="15"/>
  <c r="K603" i="15"/>
  <c r="J604" i="15"/>
  <c r="K604" i="15"/>
  <c r="J605" i="15"/>
  <c r="K605" i="15"/>
  <c r="J606" i="15"/>
  <c r="K606" i="15"/>
  <c r="J607" i="15"/>
  <c r="K607" i="15"/>
  <c r="J608" i="15"/>
  <c r="K608" i="15"/>
  <c r="J609" i="15"/>
  <c r="K609" i="15"/>
  <c r="J610" i="15"/>
  <c r="K610" i="15"/>
  <c r="J611" i="15"/>
  <c r="K611" i="15"/>
  <c r="J612" i="15"/>
  <c r="K612" i="15"/>
  <c r="J613" i="15"/>
  <c r="K613" i="15"/>
  <c r="J614" i="15"/>
  <c r="K614" i="15"/>
  <c r="J615" i="15"/>
  <c r="K615" i="15"/>
  <c r="J616" i="15"/>
  <c r="K616" i="15"/>
  <c r="J617" i="15"/>
  <c r="K617" i="15"/>
  <c r="K578" i="15"/>
  <c r="J578" i="15"/>
  <c r="J544" i="15"/>
  <c r="K544" i="15"/>
  <c r="J545" i="15"/>
  <c r="K545" i="15"/>
  <c r="J546" i="15"/>
  <c r="K546" i="15"/>
  <c r="J547" i="15"/>
  <c r="K547" i="15"/>
  <c r="J548" i="15"/>
  <c r="K548" i="15"/>
  <c r="J549" i="15"/>
  <c r="K549" i="15"/>
  <c r="J550" i="15"/>
  <c r="K550" i="15"/>
  <c r="J551" i="15"/>
  <c r="K551" i="15"/>
  <c r="J552" i="15"/>
  <c r="K552" i="15"/>
  <c r="J553" i="15"/>
  <c r="K553" i="15"/>
  <c r="J554" i="15"/>
  <c r="K554" i="15"/>
  <c r="J555" i="15"/>
  <c r="K555" i="15"/>
  <c r="J556" i="15"/>
  <c r="K556" i="15"/>
  <c r="J557" i="15"/>
  <c r="K557" i="15"/>
  <c r="J558" i="15"/>
  <c r="K558" i="15"/>
  <c r="J559" i="15"/>
  <c r="K559" i="15"/>
  <c r="J560" i="15"/>
  <c r="K560" i="15"/>
  <c r="J561" i="15"/>
  <c r="K561" i="15"/>
  <c r="J562" i="15"/>
  <c r="K562" i="15"/>
  <c r="J563" i="15"/>
  <c r="K563" i="15"/>
  <c r="J564" i="15"/>
  <c r="K564" i="15"/>
  <c r="J565" i="15"/>
  <c r="K565" i="15"/>
  <c r="J566" i="15"/>
  <c r="K566" i="15"/>
  <c r="J567" i="15"/>
  <c r="K567" i="15"/>
  <c r="J568" i="15"/>
  <c r="K568" i="15"/>
  <c r="J569" i="15"/>
  <c r="K569" i="15"/>
  <c r="J570" i="15"/>
  <c r="K570" i="15"/>
  <c r="J571" i="15"/>
  <c r="K571" i="15"/>
  <c r="J572" i="15"/>
  <c r="K572" i="15"/>
  <c r="J573" i="15"/>
  <c r="K573" i="15"/>
  <c r="J574" i="15"/>
  <c r="K574" i="15"/>
  <c r="J575" i="15"/>
  <c r="K575" i="15"/>
  <c r="J576" i="15"/>
  <c r="K576" i="15"/>
  <c r="J577" i="15"/>
  <c r="K577" i="15"/>
  <c r="K543" i="15"/>
  <c r="J543" i="15"/>
  <c r="J2" i="8"/>
  <c r="J517" i="15"/>
  <c r="K517" i="15"/>
  <c r="J518" i="15"/>
  <c r="K518" i="15"/>
  <c r="J519" i="15"/>
  <c r="K519" i="15"/>
  <c r="J520" i="15"/>
  <c r="K520" i="15"/>
  <c r="J521" i="15"/>
  <c r="K521" i="15"/>
  <c r="J522" i="15"/>
  <c r="K522" i="15"/>
  <c r="J523" i="15"/>
  <c r="K523" i="15"/>
  <c r="J524" i="15"/>
  <c r="K524" i="15"/>
  <c r="J525" i="15"/>
  <c r="K525" i="15"/>
  <c r="J526" i="15"/>
  <c r="K526" i="15"/>
  <c r="J527" i="15"/>
  <c r="K527" i="15"/>
  <c r="J528" i="15"/>
  <c r="K528" i="15"/>
  <c r="J529" i="15"/>
  <c r="K529" i="15"/>
  <c r="J530" i="15"/>
  <c r="K530" i="15"/>
  <c r="J531" i="15"/>
  <c r="K531" i="15"/>
  <c r="J532" i="15"/>
  <c r="K532" i="15"/>
  <c r="J533" i="15"/>
  <c r="K533" i="15"/>
  <c r="J534" i="15"/>
  <c r="K534" i="15"/>
  <c r="J535" i="15"/>
  <c r="K535" i="15"/>
  <c r="J536" i="15"/>
  <c r="K536" i="15"/>
  <c r="J537" i="15"/>
  <c r="K537" i="15"/>
  <c r="J538" i="15"/>
  <c r="K538" i="15"/>
  <c r="J539" i="15"/>
  <c r="K539" i="15"/>
  <c r="J540" i="15"/>
  <c r="K540" i="15"/>
  <c r="J541" i="15"/>
  <c r="K541" i="15"/>
  <c r="J542" i="15"/>
  <c r="K542" i="15"/>
  <c r="K516" i="15"/>
  <c r="J516" i="15"/>
  <c r="J152" i="15"/>
  <c r="K152" i="15"/>
  <c r="J153" i="15"/>
  <c r="K153" i="15"/>
  <c r="J154" i="15"/>
  <c r="K154" i="15"/>
  <c r="J155" i="15"/>
  <c r="K155" i="15"/>
  <c r="J156" i="15"/>
  <c r="K156" i="15"/>
  <c r="J157" i="15"/>
  <c r="K157" i="15"/>
  <c r="J158" i="15"/>
  <c r="K158" i="15"/>
  <c r="J159" i="15"/>
  <c r="K159" i="15"/>
  <c r="J160" i="15"/>
  <c r="K160" i="15"/>
  <c r="J161" i="15"/>
  <c r="K161" i="15"/>
  <c r="J162" i="15"/>
  <c r="K162" i="15"/>
  <c r="J163" i="15"/>
  <c r="K163" i="15"/>
  <c r="J164" i="15"/>
  <c r="K164" i="15"/>
  <c r="J165" i="15"/>
  <c r="K165" i="15"/>
  <c r="J166" i="15"/>
  <c r="K166" i="15"/>
  <c r="J167" i="15"/>
  <c r="K167" i="15"/>
  <c r="J168" i="15"/>
  <c r="K168" i="15"/>
  <c r="J169" i="15"/>
  <c r="K169" i="15"/>
  <c r="J170" i="15"/>
  <c r="K170" i="15"/>
  <c r="J171" i="15"/>
  <c r="K171" i="15"/>
  <c r="J172" i="15"/>
  <c r="K172" i="15"/>
  <c r="J173" i="15"/>
  <c r="K173" i="15"/>
  <c r="J174" i="15"/>
  <c r="K174" i="15"/>
  <c r="J175" i="15"/>
  <c r="K175" i="15"/>
  <c r="J176" i="15"/>
  <c r="K176" i="15"/>
  <c r="J177" i="15"/>
  <c r="K177" i="15"/>
  <c r="J178" i="15"/>
  <c r="K178" i="15"/>
  <c r="J179" i="15"/>
  <c r="K179" i="15"/>
  <c r="J180" i="15"/>
  <c r="K180" i="15"/>
  <c r="J181" i="15"/>
  <c r="K181" i="15"/>
  <c r="J182" i="15"/>
  <c r="K182" i="15"/>
  <c r="J183" i="15"/>
  <c r="K183" i="15"/>
  <c r="J184" i="15"/>
  <c r="K184" i="15"/>
  <c r="J185" i="15"/>
  <c r="K185" i="15"/>
  <c r="J186" i="15"/>
  <c r="K186" i="15"/>
  <c r="J187" i="15"/>
  <c r="K187" i="15"/>
  <c r="J188" i="15"/>
  <c r="K188" i="15"/>
  <c r="J189" i="15"/>
  <c r="K189" i="15"/>
  <c r="J190" i="15"/>
  <c r="K190" i="15"/>
  <c r="J191" i="15"/>
  <c r="K191" i="15"/>
  <c r="J192" i="15"/>
  <c r="K192" i="15"/>
  <c r="J193" i="15"/>
  <c r="K193" i="15"/>
  <c r="J194" i="15"/>
  <c r="K194" i="15"/>
  <c r="J195" i="15"/>
  <c r="K195" i="15"/>
  <c r="J196" i="15"/>
  <c r="K196" i="15"/>
  <c r="J197" i="15"/>
  <c r="K197" i="15"/>
  <c r="J198" i="15"/>
  <c r="K198" i="15"/>
  <c r="J199" i="15"/>
  <c r="K199" i="15"/>
  <c r="J200" i="15"/>
  <c r="K200" i="15"/>
  <c r="J201" i="15"/>
  <c r="K201" i="15"/>
  <c r="J202" i="15"/>
  <c r="K202" i="15"/>
  <c r="J203" i="15"/>
  <c r="K203" i="15"/>
  <c r="J204" i="15"/>
  <c r="K204" i="15"/>
  <c r="J205" i="15"/>
  <c r="K205" i="15"/>
  <c r="J206" i="15"/>
  <c r="K206" i="15"/>
  <c r="J207" i="15"/>
  <c r="K207" i="15"/>
  <c r="J208" i="15"/>
  <c r="K208" i="15"/>
  <c r="J209" i="15"/>
  <c r="K209" i="15"/>
  <c r="J210" i="15"/>
  <c r="K210" i="15"/>
  <c r="J211" i="15"/>
  <c r="K211" i="15"/>
  <c r="J212" i="15"/>
  <c r="K212" i="15"/>
  <c r="J213" i="15"/>
  <c r="K213" i="15"/>
  <c r="J214" i="15"/>
  <c r="K214" i="15"/>
  <c r="J215" i="15"/>
  <c r="K215" i="15"/>
  <c r="J216" i="15"/>
  <c r="K216" i="15"/>
  <c r="J217" i="15"/>
  <c r="K217" i="15"/>
  <c r="J218" i="15"/>
  <c r="K218" i="15"/>
  <c r="J219" i="15"/>
  <c r="K219" i="15"/>
  <c r="J220" i="15"/>
  <c r="K220" i="15"/>
  <c r="J221" i="15"/>
  <c r="K221" i="15"/>
  <c r="J222" i="15"/>
  <c r="K222" i="15"/>
  <c r="J223" i="15"/>
  <c r="K223" i="15"/>
  <c r="J224" i="15"/>
  <c r="K224" i="15"/>
  <c r="J225" i="15"/>
  <c r="K225" i="15"/>
  <c r="J226" i="15"/>
  <c r="K226" i="15"/>
  <c r="J227" i="15"/>
  <c r="K227" i="15"/>
  <c r="J228" i="15"/>
  <c r="K228" i="15"/>
  <c r="J229" i="15"/>
  <c r="K229" i="15"/>
  <c r="J230" i="15"/>
  <c r="K230" i="15"/>
  <c r="J231" i="15"/>
  <c r="K231" i="15"/>
  <c r="J232" i="15"/>
  <c r="K232" i="15"/>
  <c r="J233" i="15"/>
  <c r="K233" i="15"/>
  <c r="J234" i="15"/>
  <c r="K234" i="15"/>
  <c r="J235" i="15"/>
  <c r="K235" i="15"/>
  <c r="J236" i="15"/>
  <c r="K236" i="15"/>
  <c r="J237" i="15"/>
  <c r="K237" i="15"/>
  <c r="J238" i="15"/>
  <c r="K238" i="15"/>
  <c r="J239" i="15"/>
  <c r="K239" i="15"/>
  <c r="J240" i="15"/>
  <c r="K240" i="15"/>
  <c r="J241" i="15"/>
  <c r="K241" i="15"/>
  <c r="J242" i="15"/>
  <c r="K242" i="15"/>
  <c r="J243" i="15"/>
  <c r="K243" i="15"/>
  <c r="J244" i="15"/>
  <c r="K244" i="15"/>
  <c r="J245" i="15"/>
  <c r="K245" i="15"/>
  <c r="J246" i="15"/>
  <c r="K246" i="15"/>
  <c r="J247" i="15"/>
  <c r="K247" i="15"/>
  <c r="J248" i="15"/>
  <c r="K248" i="15"/>
  <c r="J249" i="15"/>
  <c r="K249" i="15"/>
  <c r="J250" i="15"/>
  <c r="K250" i="15"/>
  <c r="J251" i="15"/>
  <c r="K251" i="15"/>
  <c r="J252" i="15"/>
  <c r="K252" i="15"/>
  <c r="J253" i="15"/>
  <c r="K253" i="15"/>
  <c r="J254" i="15"/>
  <c r="K254" i="15"/>
  <c r="J255" i="15"/>
  <c r="K255" i="15"/>
  <c r="J256" i="15"/>
  <c r="K256" i="15"/>
  <c r="J257" i="15"/>
  <c r="K257" i="15"/>
  <c r="J258" i="15"/>
  <c r="K258" i="15"/>
  <c r="J259" i="15"/>
  <c r="K259" i="15"/>
  <c r="J260" i="15"/>
  <c r="K260" i="15"/>
  <c r="J261" i="15"/>
  <c r="K261" i="15"/>
  <c r="J262" i="15"/>
  <c r="K262" i="15"/>
  <c r="J263" i="15"/>
  <c r="K263" i="15"/>
  <c r="J264" i="15"/>
  <c r="K264" i="15"/>
  <c r="J265" i="15"/>
  <c r="K265" i="15"/>
  <c r="J266" i="15"/>
  <c r="K266" i="15"/>
  <c r="J267" i="15"/>
  <c r="K267" i="15"/>
  <c r="J268" i="15"/>
  <c r="K268" i="15"/>
  <c r="J269" i="15"/>
  <c r="K269" i="15"/>
  <c r="J270" i="15"/>
  <c r="K270" i="15"/>
  <c r="J271" i="15"/>
  <c r="K271" i="15"/>
  <c r="J272" i="15"/>
  <c r="K272" i="15"/>
  <c r="J273" i="15"/>
  <c r="K273" i="15"/>
  <c r="J274" i="15"/>
  <c r="K274" i="15"/>
  <c r="J275" i="15"/>
  <c r="K275" i="15"/>
  <c r="J276" i="15"/>
  <c r="K276" i="15"/>
  <c r="J277" i="15"/>
  <c r="K277" i="15"/>
  <c r="J278" i="15"/>
  <c r="K278" i="15"/>
  <c r="J279" i="15"/>
  <c r="K279" i="15"/>
  <c r="J280" i="15"/>
  <c r="K280" i="15"/>
  <c r="J281" i="15"/>
  <c r="K281" i="15"/>
  <c r="J282" i="15"/>
  <c r="K282" i="15"/>
  <c r="J283" i="15"/>
  <c r="K283" i="15"/>
  <c r="J284" i="15"/>
  <c r="K284" i="15"/>
  <c r="J285" i="15"/>
  <c r="K285" i="15"/>
  <c r="J286" i="15"/>
  <c r="K286" i="15"/>
  <c r="J287" i="15"/>
  <c r="K287" i="15"/>
  <c r="J288" i="15"/>
  <c r="K288" i="15"/>
  <c r="J289" i="15"/>
  <c r="K289" i="15"/>
  <c r="J290" i="15"/>
  <c r="K290" i="15"/>
  <c r="J291" i="15"/>
  <c r="K291" i="15"/>
  <c r="J292" i="15"/>
  <c r="K292" i="15"/>
  <c r="J293" i="15"/>
  <c r="K293" i="15"/>
  <c r="J294" i="15"/>
  <c r="K294" i="15"/>
  <c r="J295" i="15"/>
  <c r="K295" i="15"/>
  <c r="J296" i="15"/>
  <c r="K296" i="15"/>
  <c r="J297" i="15"/>
  <c r="K297" i="15"/>
  <c r="J298" i="15"/>
  <c r="K298" i="15"/>
  <c r="J299" i="15"/>
  <c r="K299" i="15"/>
  <c r="J300" i="15"/>
  <c r="K300" i="15"/>
  <c r="J301" i="15"/>
  <c r="K301" i="15"/>
  <c r="J302" i="15"/>
  <c r="K302" i="15"/>
  <c r="J303" i="15"/>
  <c r="K303" i="15"/>
  <c r="J304" i="15"/>
  <c r="K304" i="15"/>
  <c r="J305" i="15"/>
  <c r="K305" i="15"/>
  <c r="J306" i="15"/>
  <c r="K306" i="15"/>
  <c r="J307" i="15"/>
  <c r="K307" i="15"/>
  <c r="J308" i="15"/>
  <c r="K308" i="15"/>
  <c r="J309" i="15"/>
  <c r="K309" i="15"/>
  <c r="J310" i="15"/>
  <c r="K310" i="15"/>
  <c r="J311" i="15"/>
  <c r="K311" i="15"/>
  <c r="J312" i="15"/>
  <c r="K312" i="15"/>
  <c r="J313" i="15"/>
  <c r="K313" i="15"/>
  <c r="J314" i="15"/>
  <c r="K314" i="15"/>
  <c r="J315" i="15"/>
  <c r="K315" i="15"/>
  <c r="J316" i="15"/>
  <c r="K316" i="15"/>
  <c r="J317" i="15"/>
  <c r="K317" i="15"/>
  <c r="J318" i="15"/>
  <c r="K318" i="15"/>
  <c r="J319" i="15"/>
  <c r="K319" i="15"/>
  <c r="J320" i="15"/>
  <c r="K320" i="15"/>
  <c r="J321" i="15"/>
  <c r="K321" i="15"/>
  <c r="J322" i="15"/>
  <c r="K322" i="15"/>
  <c r="J323" i="15"/>
  <c r="K323" i="15"/>
  <c r="J324" i="15"/>
  <c r="K324" i="15"/>
  <c r="J325" i="15"/>
  <c r="K325" i="15"/>
  <c r="J326" i="15"/>
  <c r="K326" i="15"/>
  <c r="J327" i="15"/>
  <c r="K327" i="15"/>
  <c r="J328" i="15"/>
  <c r="K328" i="15"/>
  <c r="J329" i="15"/>
  <c r="K329" i="15"/>
  <c r="J330" i="15"/>
  <c r="K330" i="15"/>
  <c r="J331" i="15"/>
  <c r="K331" i="15"/>
  <c r="J332" i="15"/>
  <c r="K332" i="15"/>
  <c r="J333" i="15"/>
  <c r="K333" i="15"/>
  <c r="J334" i="15"/>
  <c r="K334" i="15"/>
  <c r="J335" i="15"/>
  <c r="K335" i="15"/>
  <c r="J336" i="15"/>
  <c r="K336" i="15"/>
  <c r="J337" i="15"/>
  <c r="K337" i="15"/>
  <c r="J338" i="15"/>
  <c r="K338" i="15"/>
  <c r="J339" i="15"/>
  <c r="K339" i="15"/>
  <c r="J340" i="15"/>
  <c r="K340" i="15"/>
  <c r="J341" i="15"/>
  <c r="K341" i="15"/>
  <c r="J342" i="15"/>
  <c r="K342" i="15"/>
  <c r="J343" i="15"/>
  <c r="K343" i="15"/>
  <c r="J344" i="15"/>
  <c r="K344" i="15"/>
  <c r="J345" i="15"/>
  <c r="K345" i="15"/>
  <c r="J346" i="15"/>
  <c r="K346" i="15"/>
  <c r="J347" i="15"/>
  <c r="K347" i="15"/>
  <c r="J348" i="15"/>
  <c r="K348" i="15"/>
  <c r="J349" i="15"/>
  <c r="K349" i="15"/>
  <c r="J350" i="15"/>
  <c r="K350" i="15"/>
  <c r="J351" i="15"/>
  <c r="K351" i="15"/>
  <c r="J352" i="15"/>
  <c r="K352" i="15"/>
  <c r="J353" i="15"/>
  <c r="K353" i="15"/>
  <c r="J354" i="15"/>
  <c r="K354" i="15"/>
  <c r="J355" i="15"/>
  <c r="K355" i="15"/>
  <c r="J356" i="15"/>
  <c r="K356" i="15"/>
  <c r="J357" i="15"/>
  <c r="K357" i="15"/>
  <c r="J358" i="15"/>
  <c r="K358" i="15"/>
  <c r="J359" i="15"/>
  <c r="K359" i="15"/>
  <c r="J360" i="15"/>
  <c r="K360" i="15"/>
  <c r="J361" i="15"/>
  <c r="K361" i="15"/>
  <c r="J362" i="15"/>
  <c r="K362" i="15"/>
  <c r="J363" i="15"/>
  <c r="K363" i="15"/>
  <c r="J364" i="15"/>
  <c r="K364" i="15"/>
  <c r="J365" i="15"/>
  <c r="K365" i="15"/>
  <c r="J366" i="15"/>
  <c r="K366" i="15"/>
  <c r="J367" i="15"/>
  <c r="K367" i="15"/>
  <c r="J368" i="15"/>
  <c r="K368" i="15"/>
  <c r="J369" i="15"/>
  <c r="K369" i="15"/>
  <c r="J370" i="15"/>
  <c r="K370" i="15"/>
  <c r="J371" i="15"/>
  <c r="K371" i="15"/>
  <c r="J372" i="15"/>
  <c r="K372" i="15"/>
  <c r="J373" i="15"/>
  <c r="K373" i="15"/>
  <c r="J374" i="15"/>
  <c r="K374" i="15"/>
  <c r="J375" i="15"/>
  <c r="K375" i="15"/>
  <c r="J376" i="15"/>
  <c r="K376" i="15"/>
  <c r="J377" i="15"/>
  <c r="K377" i="15"/>
  <c r="J378" i="15"/>
  <c r="K378" i="15"/>
  <c r="J379" i="15"/>
  <c r="K379" i="15"/>
  <c r="J380" i="15"/>
  <c r="K380" i="15"/>
  <c r="J381" i="15"/>
  <c r="K381" i="15"/>
  <c r="J382" i="15"/>
  <c r="K382" i="15"/>
  <c r="J383" i="15"/>
  <c r="K383" i="15"/>
  <c r="J384" i="15"/>
  <c r="K384" i="15"/>
  <c r="J385" i="15"/>
  <c r="K385" i="15"/>
  <c r="J386" i="15"/>
  <c r="K386" i="15"/>
  <c r="J387" i="15"/>
  <c r="K387" i="15"/>
  <c r="J388" i="15"/>
  <c r="K388" i="15"/>
  <c r="J389" i="15"/>
  <c r="K389" i="15"/>
  <c r="J390" i="15"/>
  <c r="K390" i="15"/>
  <c r="J391" i="15"/>
  <c r="K391" i="15"/>
  <c r="J392" i="15"/>
  <c r="K392" i="15"/>
  <c r="J393" i="15"/>
  <c r="K393" i="15"/>
  <c r="J394" i="15"/>
  <c r="K394" i="15"/>
  <c r="J395" i="15"/>
  <c r="K395" i="15"/>
  <c r="J396" i="15"/>
  <c r="K396" i="15"/>
  <c r="J397" i="15"/>
  <c r="K397" i="15"/>
  <c r="J398" i="15"/>
  <c r="K398" i="15"/>
  <c r="J399" i="15"/>
  <c r="K399" i="15"/>
  <c r="J400" i="15"/>
  <c r="K400" i="15"/>
  <c r="J401" i="15"/>
  <c r="K401" i="15"/>
  <c r="J402" i="15"/>
  <c r="K402" i="15"/>
  <c r="J403" i="15"/>
  <c r="K403" i="15"/>
  <c r="J404" i="15"/>
  <c r="K404" i="15"/>
  <c r="J405" i="15"/>
  <c r="K405" i="15"/>
  <c r="J406" i="15"/>
  <c r="K406" i="15"/>
  <c r="J407" i="15"/>
  <c r="K407" i="15"/>
  <c r="J408" i="15"/>
  <c r="K408" i="15"/>
  <c r="J409" i="15"/>
  <c r="K409" i="15"/>
  <c r="J410" i="15"/>
  <c r="K410" i="15"/>
  <c r="J411" i="15"/>
  <c r="K411" i="15"/>
  <c r="J412" i="15"/>
  <c r="K412" i="15"/>
  <c r="J413" i="15"/>
  <c r="K413" i="15"/>
  <c r="J414" i="15"/>
  <c r="K414" i="15"/>
  <c r="J415" i="15"/>
  <c r="K415" i="15"/>
  <c r="J416" i="15"/>
  <c r="K416" i="15"/>
  <c r="J417" i="15"/>
  <c r="K417" i="15"/>
  <c r="J418" i="15"/>
  <c r="K418" i="15"/>
  <c r="J419" i="15"/>
  <c r="K419" i="15"/>
  <c r="J420" i="15"/>
  <c r="K420" i="15"/>
  <c r="J421" i="15"/>
  <c r="K421" i="15"/>
  <c r="J422" i="15"/>
  <c r="K422" i="15"/>
  <c r="J423" i="15"/>
  <c r="K423" i="15"/>
  <c r="J424" i="15"/>
  <c r="K424" i="15"/>
  <c r="J425" i="15"/>
  <c r="K425" i="15"/>
  <c r="J426" i="15"/>
  <c r="K426" i="15"/>
  <c r="J427" i="15"/>
  <c r="K427" i="15"/>
  <c r="J428" i="15"/>
  <c r="K428" i="15"/>
  <c r="J429" i="15"/>
  <c r="K429" i="15"/>
  <c r="J430" i="15"/>
  <c r="K430" i="15"/>
  <c r="J431" i="15"/>
  <c r="K431" i="15"/>
  <c r="J432" i="15"/>
  <c r="K432" i="15"/>
  <c r="J433" i="15"/>
  <c r="K433" i="15"/>
  <c r="J434" i="15"/>
  <c r="K434" i="15"/>
  <c r="J435" i="15"/>
  <c r="K435" i="15"/>
  <c r="J436" i="15"/>
  <c r="K436" i="15"/>
  <c r="J437" i="15"/>
  <c r="K437" i="15"/>
  <c r="J438" i="15"/>
  <c r="K438" i="15"/>
  <c r="J439" i="15"/>
  <c r="K439" i="15"/>
  <c r="J440" i="15"/>
  <c r="K440" i="15"/>
  <c r="J441" i="15"/>
  <c r="K441" i="15"/>
  <c r="J442" i="15"/>
  <c r="K442" i="15"/>
  <c r="J443" i="15"/>
  <c r="K443" i="15"/>
  <c r="J444" i="15"/>
  <c r="K444" i="15"/>
  <c r="J445" i="15"/>
  <c r="K445" i="15"/>
  <c r="J446" i="15"/>
  <c r="K446" i="15"/>
  <c r="J447" i="15"/>
  <c r="K447" i="15"/>
  <c r="J448" i="15"/>
  <c r="K448" i="15"/>
  <c r="J449" i="15"/>
  <c r="K449" i="15"/>
  <c r="J450" i="15"/>
  <c r="K450" i="15"/>
  <c r="J451" i="15"/>
  <c r="K451" i="15"/>
  <c r="J452" i="15"/>
  <c r="K452" i="15"/>
  <c r="J453" i="15"/>
  <c r="K453" i="15"/>
  <c r="J454" i="15"/>
  <c r="K454" i="15"/>
  <c r="J455" i="15"/>
  <c r="K455" i="15"/>
  <c r="J456" i="15"/>
  <c r="K456" i="15"/>
  <c r="J457" i="15"/>
  <c r="K457" i="15"/>
  <c r="J458" i="15"/>
  <c r="K458" i="15"/>
  <c r="J459" i="15"/>
  <c r="K459" i="15"/>
  <c r="J460" i="15"/>
  <c r="K460" i="15"/>
  <c r="J461" i="15"/>
  <c r="K461" i="15"/>
  <c r="J462" i="15"/>
  <c r="K462" i="15"/>
  <c r="J463" i="15"/>
  <c r="K463" i="15"/>
  <c r="J464" i="15"/>
  <c r="K464" i="15"/>
  <c r="J465" i="15"/>
  <c r="K465" i="15"/>
  <c r="J466" i="15"/>
  <c r="K466" i="15"/>
  <c r="J467" i="15"/>
  <c r="K467" i="15"/>
  <c r="J468" i="15"/>
  <c r="K468" i="15"/>
  <c r="J469" i="15"/>
  <c r="K469" i="15"/>
  <c r="J470" i="15"/>
  <c r="K470" i="15"/>
  <c r="J471" i="15"/>
  <c r="K471" i="15"/>
  <c r="J472" i="15"/>
  <c r="K472" i="15"/>
  <c r="J473" i="15"/>
  <c r="K473" i="15"/>
  <c r="J474" i="15"/>
  <c r="K474" i="15"/>
  <c r="J475" i="15"/>
  <c r="K475" i="15"/>
  <c r="J476" i="15"/>
  <c r="K476" i="15"/>
  <c r="J477" i="15"/>
  <c r="K477" i="15"/>
  <c r="J478" i="15"/>
  <c r="K478" i="15"/>
  <c r="J479" i="15"/>
  <c r="K479" i="15"/>
  <c r="J480" i="15"/>
  <c r="K480" i="15"/>
  <c r="J481" i="15"/>
  <c r="K481" i="15"/>
  <c r="J482" i="15"/>
  <c r="K482" i="15"/>
  <c r="J483" i="15"/>
  <c r="K483" i="15"/>
  <c r="J484" i="15"/>
  <c r="K484" i="15"/>
  <c r="J485" i="15"/>
  <c r="K485" i="15"/>
  <c r="J486" i="15"/>
  <c r="K486" i="15"/>
  <c r="J487" i="15"/>
  <c r="K487" i="15"/>
  <c r="J488" i="15"/>
  <c r="K488" i="15"/>
  <c r="J489" i="15"/>
  <c r="K489" i="15"/>
  <c r="J490" i="15"/>
  <c r="K490" i="15"/>
  <c r="J491" i="15"/>
  <c r="K491" i="15"/>
  <c r="J492" i="15"/>
  <c r="K492" i="15"/>
  <c r="J493" i="15"/>
  <c r="K493" i="15"/>
  <c r="J494" i="15"/>
  <c r="K494" i="15"/>
  <c r="J495" i="15"/>
  <c r="K495" i="15"/>
  <c r="J496" i="15"/>
  <c r="K496" i="15"/>
  <c r="J497" i="15"/>
  <c r="K497" i="15"/>
  <c r="J498" i="15"/>
  <c r="K498" i="15"/>
  <c r="J499" i="15"/>
  <c r="K499" i="15"/>
  <c r="J500" i="15"/>
  <c r="K500" i="15"/>
  <c r="J501" i="15"/>
  <c r="K501" i="15"/>
  <c r="J502" i="15"/>
  <c r="K502" i="15"/>
  <c r="J503" i="15"/>
  <c r="K503" i="15"/>
  <c r="J504" i="15"/>
  <c r="K504" i="15"/>
  <c r="J505" i="15"/>
  <c r="K505" i="15"/>
  <c r="J506" i="15"/>
  <c r="K506" i="15"/>
  <c r="J507" i="15"/>
  <c r="K507" i="15"/>
  <c r="J508" i="15"/>
  <c r="K508" i="15"/>
  <c r="J509" i="15"/>
  <c r="K509" i="15"/>
  <c r="J510" i="15"/>
  <c r="K510" i="15"/>
  <c r="J511" i="15"/>
  <c r="K511" i="15"/>
  <c r="J512" i="15"/>
  <c r="K512" i="15"/>
  <c r="J513" i="15"/>
  <c r="K513" i="15"/>
  <c r="J514" i="15"/>
  <c r="K514" i="15"/>
  <c r="J515" i="15"/>
  <c r="K515" i="15"/>
  <c r="K151" i="15"/>
  <c r="J151" i="15"/>
  <c r="J92" i="15"/>
  <c r="K92" i="15"/>
  <c r="J93" i="15"/>
  <c r="K93" i="15"/>
  <c r="J94" i="15"/>
  <c r="K94" i="15"/>
  <c r="J95" i="15"/>
  <c r="K95" i="15"/>
  <c r="J96" i="15"/>
  <c r="K96" i="15"/>
  <c r="J97" i="15"/>
  <c r="K97" i="15"/>
  <c r="J98" i="15"/>
  <c r="K98" i="15"/>
  <c r="J99" i="15"/>
  <c r="K99" i="15"/>
  <c r="J100" i="15"/>
  <c r="K100" i="15"/>
  <c r="J101" i="15"/>
  <c r="K101" i="15"/>
  <c r="J102" i="15"/>
  <c r="K102" i="15"/>
  <c r="J103" i="15"/>
  <c r="K103" i="15"/>
  <c r="J104" i="15"/>
  <c r="K104" i="15"/>
  <c r="J105" i="15"/>
  <c r="K105" i="15"/>
  <c r="J106" i="15"/>
  <c r="K106" i="15"/>
  <c r="J107" i="15"/>
  <c r="K107" i="15"/>
  <c r="J108" i="15"/>
  <c r="K108" i="15"/>
  <c r="J109" i="15"/>
  <c r="K109" i="15"/>
  <c r="J110" i="15"/>
  <c r="K110" i="15"/>
  <c r="J111" i="15"/>
  <c r="K111" i="15"/>
  <c r="J112" i="15"/>
  <c r="K112" i="15"/>
  <c r="J113" i="15"/>
  <c r="K113" i="15"/>
  <c r="J114" i="15"/>
  <c r="K114" i="15"/>
  <c r="J115" i="15"/>
  <c r="K115" i="15"/>
  <c r="J116" i="15"/>
  <c r="K116" i="15"/>
  <c r="J117" i="15"/>
  <c r="K117" i="15"/>
  <c r="J118" i="15"/>
  <c r="K118" i="15"/>
  <c r="J119" i="15"/>
  <c r="K119" i="15"/>
  <c r="J120" i="15"/>
  <c r="K120" i="15"/>
  <c r="J121" i="15"/>
  <c r="K121" i="15"/>
  <c r="J122" i="15"/>
  <c r="K122" i="15"/>
  <c r="J123" i="15"/>
  <c r="K123" i="15"/>
  <c r="J124" i="15"/>
  <c r="K124" i="15"/>
  <c r="J125" i="15"/>
  <c r="K125" i="15"/>
  <c r="J126" i="15"/>
  <c r="K126" i="15"/>
  <c r="J127" i="15"/>
  <c r="K127" i="15"/>
  <c r="J128" i="15"/>
  <c r="K128" i="15"/>
  <c r="J129" i="15"/>
  <c r="K129" i="15"/>
  <c r="J130" i="15"/>
  <c r="K130" i="15"/>
  <c r="J131" i="15"/>
  <c r="K131" i="15"/>
  <c r="J132" i="15"/>
  <c r="K132" i="15"/>
  <c r="J133" i="15"/>
  <c r="K133" i="15"/>
  <c r="J134" i="15"/>
  <c r="K134" i="15"/>
  <c r="J135" i="15"/>
  <c r="K135" i="15"/>
  <c r="J136" i="15"/>
  <c r="K136" i="15"/>
  <c r="J137" i="15"/>
  <c r="K137" i="15"/>
  <c r="J138" i="15"/>
  <c r="K138" i="15"/>
  <c r="J139" i="15"/>
  <c r="K139" i="15"/>
  <c r="J140" i="15"/>
  <c r="K140" i="15"/>
  <c r="J141" i="15"/>
  <c r="K141" i="15"/>
  <c r="J142" i="15"/>
  <c r="K142" i="15"/>
  <c r="J143" i="15"/>
  <c r="K143" i="15"/>
  <c r="J144" i="15"/>
  <c r="K144" i="15"/>
  <c r="J145" i="15"/>
  <c r="K145" i="15"/>
  <c r="J146" i="15"/>
  <c r="K146" i="15"/>
  <c r="J147" i="15"/>
  <c r="K147" i="15"/>
  <c r="J148" i="15"/>
  <c r="K148" i="15"/>
  <c r="J149" i="15"/>
  <c r="K149" i="15"/>
  <c r="J150" i="15"/>
  <c r="K150" i="15"/>
  <c r="K91" i="15"/>
  <c r="J91" i="15"/>
  <c r="J60" i="15"/>
  <c r="K60" i="15"/>
  <c r="J61" i="15"/>
  <c r="K61" i="15"/>
  <c r="J62" i="15"/>
  <c r="K62" i="15"/>
  <c r="J63" i="15"/>
  <c r="K63" i="15"/>
  <c r="J64" i="15"/>
  <c r="K64" i="15"/>
  <c r="J65" i="15"/>
  <c r="K65" i="15"/>
  <c r="J66" i="15"/>
  <c r="K66" i="15"/>
  <c r="J67" i="15"/>
  <c r="K67" i="15"/>
  <c r="J68" i="15"/>
  <c r="K68" i="15"/>
  <c r="J69" i="15"/>
  <c r="K69" i="15"/>
  <c r="J70" i="15"/>
  <c r="K70" i="15"/>
  <c r="J71" i="15"/>
  <c r="K71" i="15"/>
  <c r="J72" i="15"/>
  <c r="K72" i="15"/>
  <c r="J73" i="15"/>
  <c r="K73" i="15"/>
  <c r="J74" i="15"/>
  <c r="K74" i="15"/>
  <c r="J75" i="15"/>
  <c r="K75" i="15"/>
  <c r="J76" i="15"/>
  <c r="K76" i="15"/>
  <c r="J77" i="15"/>
  <c r="K77" i="15"/>
  <c r="J78" i="15"/>
  <c r="K78" i="15"/>
  <c r="J79" i="15"/>
  <c r="K79" i="15"/>
  <c r="J80" i="15"/>
  <c r="K80" i="15"/>
  <c r="J81" i="15"/>
  <c r="K81" i="15"/>
  <c r="J82" i="15"/>
  <c r="K82" i="15"/>
  <c r="J83" i="15"/>
  <c r="K83" i="15"/>
  <c r="J84" i="15"/>
  <c r="K84" i="15"/>
  <c r="J85" i="15"/>
  <c r="K85" i="15"/>
  <c r="J86" i="15"/>
  <c r="K86" i="15"/>
  <c r="J87" i="15"/>
  <c r="K87" i="15"/>
  <c r="J88" i="15"/>
  <c r="K88" i="15"/>
  <c r="J89" i="15"/>
  <c r="K89" i="15"/>
  <c r="J90" i="15"/>
  <c r="K90" i="15"/>
  <c r="K59" i="15"/>
  <c r="J59" i="15"/>
  <c r="J3" i="15"/>
  <c r="K3" i="15"/>
  <c r="J4" i="15"/>
  <c r="K4" i="15"/>
  <c r="J5" i="15"/>
  <c r="K5" i="15"/>
  <c r="J6" i="15"/>
  <c r="K6" i="15"/>
  <c r="J7" i="15"/>
  <c r="K7" i="15"/>
  <c r="J8" i="15"/>
  <c r="K8" i="15"/>
  <c r="J9" i="15"/>
  <c r="K9" i="15"/>
  <c r="J10" i="15"/>
  <c r="K10" i="15"/>
  <c r="J11" i="15"/>
  <c r="K11" i="15"/>
  <c r="J12" i="15"/>
  <c r="K12" i="15"/>
  <c r="J13" i="15"/>
  <c r="K13" i="15"/>
  <c r="J14" i="15"/>
  <c r="K14" i="15"/>
  <c r="J15" i="15"/>
  <c r="K15" i="15"/>
  <c r="J16" i="15"/>
  <c r="K16" i="15"/>
  <c r="J17" i="15"/>
  <c r="K17" i="15"/>
  <c r="J18" i="15"/>
  <c r="K18" i="15"/>
  <c r="J19" i="15"/>
  <c r="K19" i="15"/>
  <c r="J20" i="15"/>
  <c r="K20" i="15"/>
  <c r="J21" i="15"/>
  <c r="K21" i="15"/>
  <c r="J22" i="15"/>
  <c r="K22" i="15"/>
  <c r="J23" i="15"/>
  <c r="K23" i="15"/>
  <c r="J24" i="15"/>
  <c r="K24" i="15"/>
  <c r="J25" i="15"/>
  <c r="K25" i="15"/>
  <c r="J26" i="15"/>
  <c r="K26" i="15"/>
  <c r="J27" i="15"/>
  <c r="K27" i="15"/>
  <c r="J28" i="15"/>
  <c r="K28" i="15"/>
  <c r="J29" i="15"/>
  <c r="K29" i="15"/>
  <c r="J30" i="15"/>
  <c r="K30" i="15"/>
  <c r="J31" i="15"/>
  <c r="K31" i="15"/>
  <c r="J32" i="15"/>
  <c r="K32" i="15"/>
  <c r="J33" i="15"/>
  <c r="K33" i="15"/>
  <c r="J34" i="15"/>
  <c r="K34" i="15"/>
  <c r="J35" i="15"/>
  <c r="K35" i="15"/>
  <c r="J36" i="15"/>
  <c r="K36" i="15"/>
  <c r="J37" i="15"/>
  <c r="K37" i="15"/>
  <c r="J38" i="15"/>
  <c r="K38" i="15"/>
  <c r="J39" i="15"/>
  <c r="K39" i="15"/>
  <c r="J40" i="15"/>
  <c r="K40" i="15"/>
  <c r="J41" i="15"/>
  <c r="K41" i="15"/>
  <c r="J42" i="15"/>
  <c r="K42" i="15"/>
  <c r="J43" i="15"/>
  <c r="K43" i="15"/>
  <c r="J44" i="15"/>
  <c r="K44" i="15"/>
  <c r="J45" i="15"/>
  <c r="K45" i="15"/>
  <c r="J46" i="15"/>
  <c r="K46" i="15"/>
  <c r="J47" i="15"/>
  <c r="K47" i="15"/>
  <c r="J48" i="15"/>
  <c r="K48" i="15"/>
  <c r="J49" i="15"/>
  <c r="K49" i="15"/>
  <c r="J50" i="15"/>
  <c r="K50" i="15"/>
  <c r="J51" i="15"/>
  <c r="K51" i="15"/>
  <c r="J52" i="15"/>
  <c r="K52" i="15"/>
  <c r="J53" i="15"/>
  <c r="K53" i="15"/>
  <c r="J54" i="15"/>
  <c r="K54" i="15"/>
  <c r="J55" i="15"/>
  <c r="K55" i="15"/>
  <c r="J56" i="15"/>
  <c r="K56" i="15"/>
  <c r="J57" i="15"/>
  <c r="K57" i="15"/>
  <c r="J58" i="15"/>
  <c r="K58" i="15"/>
  <c r="K2" i="15"/>
  <c r="J2" i="15"/>
  <c r="B13" i="17"/>
  <c r="B10" i="17"/>
  <c r="B9" i="17"/>
  <c r="B8" i="17"/>
  <c r="B7" i="17"/>
  <c r="B6" i="17"/>
  <c r="B5" i="17"/>
  <c r="B4" i="17"/>
  <c r="B3" i="17"/>
  <c r="J10" i="12"/>
  <c r="J3" i="12"/>
  <c r="J4" i="12"/>
  <c r="J5" i="12"/>
  <c r="J6" i="12"/>
  <c r="J7" i="12"/>
  <c r="J8" i="12"/>
  <c r="J9" i="12"/>
  <c r="J2" i="12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18" i="13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29" i="14"/>
  <c r="J36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2" i="11"/>
  <c r="J4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2" i="10"/>
  <c r="J37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4" i="8"/>
  <c r="J3" i="8"/>
  <c r="J29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" i="7"/>
  <c r="J3" i="6"/>
  <c r="J4" i="6"/>
  <c r="J5" i="6"/>
  <c r="J6" i="6"/>
  <c r="J7" i="6"/>
  <c r="J8" i="6"/>
  <c r="J9" i="6"/>
  <c r="J367" i="6" s="1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2" i="6"/>
  <c r="J3" i="5"/>
  <c r="J4" i="5"/>
  <c r="J5" i="5"/>
  <c r="J6" i="5"/>
  <c r="J7" i="5"/>
  <c r="J8" i="5"/>
  <c r="J9" i="5"/>
  <c r="J10" i="5"/>
  <c r="J11" i="5"/>
  <c r="J12" i="5"/>
  <c r="J62" i="5" s="1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2" i="5"/>
  <c r="J34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2" i="4"/>
  <c r="J59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2" i="3"/>
  <c r="K724" i="15" l="1"/>
  <c r="B14" i="17"/>
  <c r="K783" i="15"/>
</calcChain>
</file>

<file path=xl/sharedStrings.xml><?xml version="1.0" encoding="utf-8"?>
<sst xmlns="http://schemas.openxmlformats.org/spreadsheetml/2006/main" count="8994" uniqueCount="612">
  <si>
    <t>BIA</t>
  </si>
  <si>
    <t>BIE</t>
  </si>
  <si>
    <t>BLM</t>
  </si>
  <si>
    <t>BOR</t>
  </si>
  <si>
    <t>BSEE</t>
  </si>
  <si>
    <t>FWS</t>
  </si>
  <si>
    <t>OIG</t>
  </si>
  <si>
    <t>USGS</t>
  </si>
  <si>
    <t>DOI IBC</t>
  </si>
  <si>
    <t>DOI Org</t>
  </si>
  <si>
    <t>Suite</t>
  </si>
  <si>
    <t>Cisco Networking</t>
  </si>
  <si>
    <t>Meraki FedRamp Moderate - Network Infrastructure</t>
  </si>
  <si>
    <t>Cisco Networking FedRamp Moderate - Switching</t>
  </si>
  <si>
    <t>Cisco Networking FedRamp Moderate - Wireless</t>
  </si>
  <si>
    <t>Cloud Networking</t>
  </si>
  <si>
    <t>Nexus Switching</t>
  </si>
  <si>
    <t>Cisco DNA Software</t>
  </si>
  <si>
    <t>Cisco DNA Switching</t>
  </si>
  <si>
    <t>Cisco DNA Wireless</t>
  </si>
  <si>
    <t>Part Number</t>
  </si>
  <si>
    <t>Description</t>
  </si>
  <si>
    <t>License Tiers</t>
  </si>
  <si>
    <t>Quantity Desired</t>
  </si>
  <si>
    <t>E3N-FED-MR-E</t>
  </si>
  <si>
    <t>Meraki FedRamp MR Essentials Subscription EA 3 LIC</t>
  </si>
  <si>
    <t>NA</t>
  </si>
  <si>
    <t>E3N-FED-CS-AC1-L-A</t>
  </si>
  <si>
    <t>Cisco Switching FedRamp EA 3.0 LIC Access Tier 1 Large</t>
  </si>
  <si>
    <t>Advantage</t>
  </si>
  <si>
    <t>E3N-FED-CS-AC1-M-A</t>
  </si>
  <si>
    <t>Cisco Switching FedRamp EA 3.0 LIC Access Tier 1 Medium</t>
  </si>
  <si>
    <t>E3N-FED-CS-CO-MO-A</t>
  </si>
  <si>
    <t>Cisco Switching Advantage FedRamp EA 3.0 LIC Core Modular</t>
  </si>
  <si>
    <t>SVS-E3S-CS-GMEAEMB</t>
  </si>
  <si>
    <t>Cisco Support Standard for Cisco Network Subscription</t>
  </si>
  <si>
    <t>E3N-FED-CW-A</t>
  </si>
  <si>
    <t>Cisco Wireless FedRamp EA 3.0 LIC</t>
  </si>
  <si>
    <t>SVS-E3S-CW-GMEAEMB</t>
  </si>
  <si>
    <t>E3N-N9300-XF-A</t>
  </si>
  <si>
    <t>Nexus 9300 XF 10G or higher (up to 3.6T)</t>
  </si>
  <si>
    <t>E3N-DCN-S</t>
  </si>
  <si>
    <t>Support for Cisco Data Center EA for Data Center Networking</t>
  </si>
  <si>
    <t>E3N-N9500-M816-A</t>
  </si>
  <si>
    <t>Nexus 9500 8 or 16 Slot</t>
  </si>
  <si>
    <t>E3N-C93001-A</t>
  </si>
  <si>
    <t>C9300 24-Port DNA EA</t>
  </si>
  <si>
    <t>E3N-C9400-A</t>
  </si>
  <si>
    <t>C9400 DNA EA</t>
  </si>
  <si>
    <t>E3N-C9300X2-A</t>
  </si>
  <si>
    <t>C9300X 24-Port DNA EA</t>
  </si>
  <si>
    <t>C9300L 24-Port DNA EA</t>
  </si>
  <si>
    <t>E3N-C93002-A</t>
  </si>
  <si>
    <t>C9300/C9300X 48-Port DNA EA</t>
  </si>
  <si>
    <t>C9300L 48-Port DNA EA</t>
  </si>
  <si>
    <t>C9200L 48-Port DNA EA</t>
  </si>
  <si>
    <t>E3N-C95002-A</t>
  </si>
  <si>
    <t>C9500 Low Port (12Q/16X) DNA EA</t>
  </si>
  <si>
    <t>E3N-AS-S</t>
  </si>
  <si>
    <t>Cisco Support Standard for EA DNA Switching</t>
  </si>
  <si>
    <t>E3N-C95006-A</t>
  </si>
  <si>
    <t>C9500 24Y4C DNA EA</t>
  </si>
  <si>
    <t>E3N-AIRWLAN-A</t>
  </si>
  <si>
    <t>E3N-AIR-S</t>
  </si>
  <si>
    <t>Cisco Support Standard for EA DNA Wireless</t>
  </si>
  <si>
    <t>Zero Trust</t>
  </si>
  <si>
    <t>Duo</t>
  </si>
  <si>
    <t>SVS-E3-DUOF-B</t>
  </si>
  <si>
    <t>Cisco Support Standard for Duo Fed</t>
  </si>
  <si>
    <t>E3S-DUO-F-ES</t>
  </si>
  <si>
    <t>Security EA3.0 - Duo Fed Essentials</t>
  </si>
  <si>
    <t>Identity Services Engine (ISE)</t>
  </si>
  <si>
    <t>E3S-ISE-PRM</t>
  </si>
  <si>
    <t>ISE Premier</t>
  </si>
  <si>
    <t>SVS-E3S-ISE-B</t>
  </si>
  <si>
    <t>Cisco Support Standard for ISE</t>
  </si>
  <si>
    <t>E3S-ISE-ESS</t>
  </si>
  <si>
    <t>ISE Essentials</t>
  </si>
  <si>
    <t>Cloud and Network Security</t>
  </si>
  <si>
    <t>Secure Firewall</t>
  </si>
  <si>
    <t>SVS-E3S-SFW-B</t>
  </si>
  <si>
    <t>Cisco Support Standard for Cisco Secure Firewall</t>
  </si>
  <si>
    <t>E3S-SFW-FPR2110T</t>
  </si>
  <si>
    <t>FPR2110T Threat Defense Threat, Malware,URL</t>
  </si>
  <si>
    <t>E3S-SFW-FPR4125T</t>
  </si>
  <si>
    <t>FPR4125 Threat Defense Threat, Malware,URL</t>
  </si>
  <si>
    <t>E3N-C92001-E</t>
  </si>
  <si>
    <t>C9200 24-Port DNA EA</t>
  </si>
  <si>
    <t>Essential</t>
  </si>
  <si>
    <t>E3N-FED-MX-S-E</t>
  </si>
  <si>
    <t>Meraki FedRamp MX Small Essentials Subscription EA 3 LIC</t>
  </si>
  <si>
    <t>E3N-FED-MX-M-E</t>
  </si>
  <si>
    <t>Meraki FedRamp MX Medium Essentials Subscription EA 3 LIC</t>
  </si>
  <si>
    <t>E3N-N9500-M4-A</t>
  </si>
  <si>
    <t>Nexus 9500 4 Slot</t>
  </si>
  <si>
    <t>E3N-C9200CX2-A</t>
  </si>
  <si>
    <t>C9200CX 12-Port DNA EA</t>
  </si>
  <si>
    <t>E3N-C9300X1-A</t>
  </si>
  <si>
    <t>C9300X 12-Port DNA EA</t>
  </si>
  <si>
    <t>E3-CXST-AIR-T1SWP</t>
  </si>
  <si>
    <t>Full Stack Observability</t>
  </si>
  <si>
    <t>Thousand Eyes</t>
  </si>
  <si>
    <t>E3A-TE-UNITS</t>
  </si>
  <si>
    <t>ThousandEyes - Cloud and Enterprise Agents (per unit)</t>
  </si>
  <si>
    <t>E3A-TE-S</t>
  </si>
  <si>
    <t>Cisco Support Standard for EA Thousand Eyes</t>
  </si>
  <si>
    <t>E3A-TE-USERS</t>
  </si>
  <si>
    <t>Cisco ThousandEyes - End User Monitoring Advantage</t>
  </si>
  <si>
    <t>E3S-ISE-ADV</t>
  </si>
  <si>
    <t>ISE Advantage</t>
  </si>
  <si>
    <t>E3S-SFW-FPR1120-TM</t>
  </si>
  <si>
    <t>FPR1120 ThreatDefense Threat and Malware Lic</t>
  </si>
  <si>
    <t>E3S-SFW-FPR2130-TM</t>
  </si>
  <si>
    <t>FPR2130 ThreatDefense Threat and Malware Lic</t>
  </si>
  <si>
    <t>E3N-C95001-A</t>
  </si>
  <si>
    <t>C9500 High Port (24Q/40X) DNA EA</t>
  </si>
  <si>
    <t>Cisco DNA SD-WAN &amp; Routing</t>
  </si>
  <si>
    <t>E3N-OP-ENTWAN-S</t>
  </si>
  <si>
    <t>Cisco Support Standard for EA SD-WAN &amp; Routing</t>
  </si>
  <si>
    <t>E3N-ENTWAN-P-T0-A</t>
  </si>
  <si>
    <t>Cisco DNA On-Prem on Tier 0(up to 25M)</t>
  </si>
  <si>
    <t>E3N-ENTWAN-P-T1-A</t>
  </si>
  <si>
    <t>Cisco DNA On-Prem on Tier 1(up to 200M)</t>
  </si>
  <si>
    <t>E3N-FED-MX-M-A</t>
  </si>
  <si>
    <t>Meraki FedRamp MX Medium Advantage Subscription EA 3 LIC</t>
  </si>
  <si>
    <t>E3N-FED-MX-S-A</t>
  </si>
  <si>
    <t>Meraki FedRamp MX Small Advantage Subscription EA 3 LIC</t>
  </si>
  <si>
    <t>E3N-C9200CX2-E</t>
  </si>
  <si>
    <t>E3S-SFW-FPR1010T</t>
  </si>
  <si>
    <t>FPR1010T Threat Defense Threat, Malware,URL</t>
  </si>
  <si>
    <t>E3S-SFW-FPR1120T</t>
  </si>
  <si>
    <t>FPR1120T Threat Defense Threat, Malware,URL</t>
  </si>
  <si>
    <t>E3S-SFW-FPR2130T</t>
  </si>
  <si>
    <t>FPR2130T Threat Defense Threat, Malware,URL</t>
  </si>
  <si>
    <t>E3S-SFW-FPR2140T</t>
  </si>
  <si>
    <t>FPR2140 Threat Defense Threat, Malware,URL</t>
  </si>
  <si>
    <t>E3N-C93001-E</t>
  </si>
  <si>
    <t>E3N-C9300L1-E</t>
  </si>
  <si>
    <t>E3N-C93002-E</t>
  </si>
  <si>
    <t>E3N-C96001-A</t>
  </si>
  <si>
    <t>C9600 DNA EA</t>
  </si>
  <si>
    <t>E3N-C9300L2-E</t>
  </si>
  <si>
    <t>E3N-C9200L1-E</t>
  </si>
  <si>
    <t>C9200L 24-Port DNA EA</t>
  </si>
  <si>
    <t>E3N-C9200L2-E</t>
  </si>
  <si>
    <t>E3N-C9200CX1-E</t>
  </si>
  <si>
    <t>C9200CX 8-Port DNA EA</t>
  </si>
  <si>
    <t>E3N-AIRWLAN-E</t>
  </si>
  <si>
    <t>Add-on Products</t>
  </si>
  <si>
    <t>Security Add-ons</t>
  </si>
  <si>
    <t>E3S-AC-APEX</t>
  </si>
  <si>
    <t>Secure Client Premier</t>
  </si>
  <si>
    <t>SVS-E3S-ADDONS-B</t>
  </si>
  <si>
    <t>Cisco Support Standard for Security Add-Ons</t>
  </si>
  <si>
    <t>E3N-N9300-XF-E</t>
  </si>
  <si>
    <t>E3N-ENTWAN-P-T2-E</t>
  </si>
  <si>
    <t>Cisco DNA On-Prem on Tier 2(up to 1G)</t>
  </si>
  <si>
    <t>A-FLEX-3-CC</t>
  </si>
  <si>
    <t>Flex 3.0 for Contact Center</t>
  </si>
  <si>
    <t>A-FLEX-CCX-P-AGT</t>
  </si>
  <si>
    <t>On-Premises UCCX Premium Agent License Smart Licensing</t>
  </si>
  <si>
    <t>A-FLEX-05-15-K9</t>
  </si>
  <si>
    <t>On-Premises UCCX Standard &amp; Premium Media Kit v15</t>
  </si>
  <si>
    <t>A-FLEX-CCX-P-C</t>
  </si>
  <si>
    <t>On-Premises UCCX Premium Concurrent Agent</t>
  </si>
  <si>
    <t>SVS-CSS-SUPT-SSPT</t>
  </si>
  <si>
    <t>Solution Support for Collaboration</t>
  </si>
  <si>
    <t>A-FLEX-CCX-S-AGT</t>
  </si>
  <si>
    <t>On-Premises UCCX Standard Agent License Smart Licensing</t>
  </si>
  <si>
    <t>A-FLEX-CCX-S-C</t>
  </si>
  <si>
    <t>On-Premises UCCX Standard Concurrent Agent</t>
  </si>
  <si>
    <t>A-FLEX-CCX-SVR</t>
  </si>
  <si>
    <t>On-Premises UCCX Standard &amp; Premium Server Smart Licensing</t>
  </si>
  <si>
    <t>E3N-FED-CS-AC1-L-E</t>
  </si>
  <si>
    <t>E3N-FED-CS-AC1-M-E</t>
  </si>
  <si>
    <t>E3N-FED-CW-E</t>
  </si>
  <si>
    <t>E3N-N9500-M816-E</t>
  </si>
  <si>
    <t>E3N-C9300X2-E</t>
  </si>
  <si>
    <t>E3N-C9400-E</t>
  </si>
  <si>
    <t>E3N-C95006-E</t>
  </si>
  <si>
    <t>E3N-C95002-E</t>
  </si>
  <si>
    <t>Service Tier</t>
  </si>
  <si>
    <t>Networking Support &amp; Lifecycle Services</t>
  </si>
  <si>
    <t>Services: Cisco DNA SD-WAN &amp; Routing</t>
  </si>
  <si>
    <t>E3-CX-ENWAN-L1PERP</t>
  </si>
  <si>
    <t>Cisco Support Enhanced Perpetual for ENTWAN</t>
  </si>
  <si>
    <t>Support Enhanced</t>
  </si>
  <si>
    <t>E3-CX-ENTWAN-T1NBD</t>
  </si>
  <si>
    <t>Cisco Support Enhanced 8x5xNBD for ENTWAN</t>
  </si>
  <si>
    <t>Services: Nexus Switching</t>
  </si>
  <si>
    <t>E3-CX-DCN-L1SWPERP</t>
  </si>
  <si>
    <t>Cisco Support Enhanced Perpetual for Nexus Switching</t>
  </si>
  <si>
    <t>-</t>
  </si>
  <si>
    <t>E3-CX-DCN-T1NBD</t>
  </si>
  <si>
    <t>Cisco Support Enhanced  8x5xNBD for Nexus Switching</t>
  </si>
  <si>
    <t>Services: SAN Switching</t>
  </si>
  <si>
    <t>E3-CX-MDS-T1NBD</t>
  </si>
  <si>
    <t>Cisco Support Enhanced 8x5xNBD for SAN Switching</t>
  </si>
  <si>
    <t>Services: Cisco DNA Wireless</t>
  </si>
  <si>
    <t>E3-CX-AIR-T1NBD</t>
  </si>
  <si>
    <t>Cisco Support Enhanced  8x5xNBD for Wireless</t>
  </si>
  <si>
    <t>Cisco Support Enhanced SW for Wireless</t>
  </si>
  <si>
    <t>E3-CX-EAMSC</t>
  </si>
  <si>
    <t>SVCS Portfolio EA Management Service Cisco</t>
  </si>
  <si>
    <t>Services: Cisco DNA Switching</t>
  </si>
  <si>
    <t>E3-CX-ST-T14HR</t>
  </si>
  <si>
    <t>Cisco Support Enhanced 24x7x4 for Switching</t>
  </si>
  <si>
    <t>E3-CX-ST-T1NBD</t>
  </si>
  <si>
    <t>Cisco Support Enhanced 8x5xNBD for Switching</t>
  </si>
  <si>
    <t>E3-CX-ST-T1SWT</t>
  </si>
  <si>
    <t>Cisco Support Enhanced SW for Switching</t>
  </si>
  <si>
    <t>Cloud and Network Security Services</t>
  </si>
  <si>
    <t>Services: Secure Firewall</t>
  </si>
  <si>
    <t>E3-CX-SFW-T1TCS</t>
  </si>
  <si>
    <t>SVCS Portfolio T1 Secure Firewall Solution Support - OP</t>
  </si>
  <si>
    <t>Services Tier 1</t>
  </si>
  <si>
    <t>E3-CX-SFW-SWPERP-1</t>
  </si>
  <si>
    <t>SVCS Portfolio Solution Support Perpetual Secure Firewall</t>
  </si>
  <si>
    <t>E3-CX-SFW-T1NT</t>
  </si>
  <si>
    <t>SVCS Portfolio T1 8x5xNBD Secure Firewall Support</t>
  </si>
  <si>
    <t>Zero Trust Services</t>
  </si>
  <si>
    <t>Services: Identity Services Engine (ISE)</t>
  </si>
  <si>
    <t>E3-CX-ISE-T3SWP</t>
  </si>
  <si>
    <t>SVCS Portfolio T3 ISE SWSS Premium SW Support – OnPrem</t>
  </si>
  <si>
    <t>Services Tier 3</t>
  </si>
  <si>
    <t>Services: Duo Fed Essentials</t>
  </si>
  <si>
    <t>E3-CX-FEE-T3SC2</t>
  </si>
  <si>
    <t>Cisco Support Sig for Duo Fed Essential SW</t>
  </si>
  <si>
    <t>Support Signature</t>
  </si>
  <si>
    <t>E3-CX-ENTWAN-T1NCD</t>
  </si>
  <si>
    <t>Cisco Support Enhanced 8x7xNCD for ENTWAN</t>
  </si>
  <si>
    <t>E3-CX-DCN-T1NCD</t>
  </si>
  <si>
    <t>Cisco Support Enhanced 8x7xNCD for Nexus Switching</t>
  </si>
  <si>
    <t>E3-CX-SFW-T1NC</t>
  </si>
  <si>
    <t>SVCS Portfolio T1 8x7xNCD Secure Firewall Support</t>
  </si>
  <si>
    <t>E3-CX-ISE-T1TCS</t>
  </si>
  <si>
    <t>SVCS Portfolio T1 ISE Solution Support - OnPrem</t>
  </si>
  <si>
    <t>E3-CX-ISE-T1NT</t>
  </si>
  <si>
    <t>SVCS Portfolio T1 8x5xNBD ISE Support</t>
  </si>
  <si>
    <t>E3-CX-ENTWAN-T14OS</t>
  </si>
  <si>
    <t>Cisco Support Enhanced 24x7x4 OS for ENTWAN</t>
  </si>
  <si>
    <t>E3-CX-AIR-L1SWPERP</t>
  </si>
  <si>
    <t>Cisco Support Enhanced Perpetual for Wireless</t>
  </si>
  <si>
    <t>E3-CX-ST-T14OS</t>
  </si>
  <si>
    <t>Cisco Support Enhanced 24x7x4 OS for Switching</t>
  </si>
  <si>
    <t>E3-CX-ST-T1NCD</t>
  </si>
  <si>
    <t>Cisco Support Enhanced 8x7xNCD for Switching</t>
  </si>
  <si>
    <t>Add-ons Services</t>
  </si>
  <si>
    <t>Services: Security Add-ons</t>
  </si>
  <si>
    <t>E3-CX-ADD-T2SWE</t>
  </si>
  <si>
    <t>SVCS Portfolio T2 Secure AddOns SWSSENHCD SW Support - OP</t>
  </si>
  <si>
    <t>E3N-C95001-E</t>
  </si>
  <si>
    <t>E3-CXST-T1SWP</t>
  </si>
  <si>
    <t>Cisco Support Enhanced SW On-Prem for ENTWAN</t>
  </si>
  <si>
    <t>E3-CX-ENTWAN-T14HR</t>
  </si>
  <si>
    <t>Cisco Support Enhanced 24x7x4 for ENTWAN</t>
  </si>
  <si>
    <t>E3-CX-ISE-ESWP</t>
  </si>
  <si>
    <t>Cisco Support Enhanced SW Support OP for ISE</t>
  </si>
  <si>
    <t>Consolidated DOI Contact Center</t>
  </si>
  <si>
    <t>ISE-SEC-SUB</t>
  </si>
  <si>
    <t>Cisco Identity Service Engine Subscription</t>
  </si>
  <si>
    <t>CISE</t>
  </si>
  <si>
    <t>SVS-ISE-SUP-B</t>
  </si>
  <si>
    <t>SERVICE</t>
  </si>
  <si>
    <t>ISE-E-LIC</t>
  </si>
  <si>
    <t>Cisco Identity Service Engine Essentials Subscription</t>
  </si>
  <si>
    <t>DUO-FED-SUB</t>
  </si>
  <si>
    <t>Cisco Duo Federal subscription</t>
  </si>
  <si>
    <t>DUOPROD</t>
  </si>
  <si>
    <t>DUO-MFA-FED</t>
  </si>
  <si>
    <t>Cisco Duo MFA edition for Federal customers</t>
  </si>
  <si>
    <t>SVS-DUO-FED-SUP-P</t>
  </si>
  <si>
    <t>Cisco Support Signature for Duo for Government</t>
  </si>
  <si>
    <t>SVS-ISE-SUP-E</t>
  </si>
  <si>
    <t>Cisco Support Enhanced for ISE</t>
  </si>
  <si>
    <t>APIC-CLUSTER-M3</t>
  </si>
  <si>
    <t>^APIC Cluster - Medium Configurations (Up to 1200 Edge Ports)</t>
  </si>
  <si>
    <t>ASA5516-FPWR-K9</t>
  </si>
  <si>
    <t>^ASA 5516-X with FirePOWER services, 8GE, AC, 3DES/AES</t>
  </si>
  <si>
    <t>ASR1001-X</t>
  </si>
  <si>
    <t>^Cisco ASR1001-X Chassis, 6 built-in GE, Dual P/S, 8GB DRAM</t>
  </si>
  <si>
    <t>BE6M-M5-K9</t>
  </si>
  <si>
    <t>^Cisco Business Edition 6000M (M5) Appliance, Export Restr SW</t>
  </si>
  <si>
    <t>C8200-1N-4T</t>
  </si>
  <si>
    <t>Cisco Catalyst C8200-1N-4T Router</t>
  </si>
  <si>
    <t>C8300-1N1S-4T2X</t>
  </si>
  <si>
    <t>Cisco Catalyst C8300-1N1S-4T2X Router</t>
  </si>
  <si>
    <t>C8500L-8S4X</t>
  </si>
  <si>
    <t>Cisco Catalyst 8500 Series 4x SFP+ and 8x SFP, 4x10GE, 8x1GE</t>
  </si>
  <si>
    <t>C9200-24T-A</t>
  </si>
  <si>
    <t>Catalyst 9200 24-port data only, Network Advantage</t>
  </si>
  <si>
    <t>C9200-48P-1E</t>
  </si>
  <si>
    <t>C9200 48-port PoE+, Network Essentials, 1yr offering</t>
  </si>
  <si>
    <t>C9200-48P-E</t>
  </si>
  <si>
    <t>Catalyst 9200 48-port PoE+, Network Essentials</t>
  </si>
  <si>
    <t>C9200L-24T-4X-E</t>
  </si>
  <si>
    <t>Catalyst 9200L 24-port data only,4 x 10G,Network Essentials</t>
  </si>
  <si>
    <t>C9200L-48T-4X-E</t>
  </si>
  <si>
    <t>Catalyst 9200L 48-port data only,4 x 10G,Network Essentials</t>
  </si>
  <si>
    <t>C9200L-48T-4X-E++</t>
  </si>
  <si>
    <t>TAA C9200L 48p data only, 4 x 10G ,Network Essentials</t>
  </si>
  <si>
    <t>C9200L-DNA-E-48</t>
  </si>
  <si>
    <t>C9200L Cisco DNA Essentials, 48-port Term license</t>
  </si>
  <si>
    <t>C9300-24S-E</t>
  </si>
  <si>
    <t>Catalyst 9300  24 GE SFP Ports, modular uplink Switch</t>
  </si>
  <si>
    <t>C9300L-24T-4X-E</t>
  </si>
  <si>
    <t>Catalyst 9300L 24p data, Network Essentials ,4x10G Uplink</t>
  </si>
  <si>
    <t>C9300L-DNA-E-24</t>
  </si>
  <si>
    <t>C9300L Cisco DNA Essentials, 24-port license</t>
  </si>
  <si>
    <t>C9300X-24Y-E</t>
  </si>
  <si>
    <t>Catalyst 9300X  24x25G Fiber Ports, modular uplink Switch</t>
  </si>
  <si>
    <t>C9300X-DNA-24Y-E</t>
  </si>
  <si>
    <t>C9300 DNA Essentials, Term License</t>
  </si>
  <si>
    <t>C9407R-1A</t>
  </si>
  <si>
    <t>Fed Only, Cisco Catalyst 9400 Series 7 slot chassis 1 Year</t>
  </si>
  <si>
    <t>C9500-16X-A</t>
  </si>
  <si>
    <t>Catalyst 9500 16-port 10Gig switch, Advantage</t>
  </si>
  <si>
    <t>C9500-48Y4C-1A</t>
  </si>
  <si>
    <t>Cat. 9500 48-port x 1/10/25G + 4-port 40/100G, 1Y Advantage</t>
  </si>
  <si>
    <t>C9500-48Y4C-A</t>
  </si>
  <si>
    <t>Catalyst 9500 48-port x 1/10/25G + 4-port 40/100G, Advantage</t>
  </si>
  <si>
    <t>C9500-DNA-48Y4C-A</t>
  </si>
  <si>
    <t>C9500 DNA Advantage, Term License</t>
  </si>
  <si>
    <t>FPR1150-ASA-K9</t>
  </si>
  <si>
    <t>Cisco Firepower 1150 ASA Appliance, 1U</t>
  </si>
  <si>
    <t>FPR2130-ASA-K9</t>
  </si>
  <si>
    <t>Cisco Firepower 2130 ASA Appliance, 1U, 1 x NetMod Bay</t>
  </si>
  <si>
    <t>FPR2130-NGFW-K9</t>
  </si>
  <si>
    <t>Cisco Firepower 2130 NGFW Appliance, 1U, 1 x NetMod Bay</t>
  </si>
  <si>
    <t>FPR3105-ASA-K9</t>
  </si>
  <si>
    <t>Cisco Secure Firewall 3105 ASA Appliance, 1U</t>
  </si>
  <si>
    <t>ISR4331-SEC/K9</t>
  </si>
  <si>
    <t>Cisco ISR 4331 Sec bundle w/SEC license</t>
  </si>
  <si>
    <t>ISR4351-SEC/K9</t>
  </si>
  <si>
    <t>Cisco ISR 4351 Sec bundle w/SEC license</t>
  </si>
  <si>
    <t>ISR4451-X-V/K9</t>
  </si>
  <si>
    <t>Cisco ISR 4451 UC Bundle, PVDM4-64, UC Lic</t>
  </si>
  <si>
    <t>N9K-C9332C</t>
  </si>
  <si>
    <t>^Nexus 9K ACI &amp; NX-OS Spine, 32p 40/100G &amp; 2p 10G</t>
  </si>
  <si>
    <t>N9K-C9508-B2</t>
  </si>
  <si>
    <t>Nexus 9508 Chassis Bundle with 1 Sup, 3 PS, 2 SC, 6 FM, 3 FT</t>
  </si>
  <si>
    <t>SLASR1-AIS</t>
  </si>
  <si>
    <t>Cisco ASR 1000 Advanced IP Services License</t>
  </si>
  <si>
    <t>SNS-3615-K9</t>
  </si>
  <si>
    <t>^Small Secure Network Server for ISE Applications</t>
  </si>
  <si>
    <t>SNS-3715-K9</t>
  </si>
  <si>
    <t>Small Secure Network Server for ISE Applications</t>
  </si>
  <si>
    <t>WS-C2960+24TC-L</t>
  </si>
  <si>
    <t>^Catalyst 2960 Plus 24 10/100 + 2T/SFP LAN Base</t>
  </si>
  <si>
    <t>WS-C2960X-24PD-L</t>
  </si>
  <si>
    <t>^Catalyst 2960-X 24 GigE PoE 370W, 2 x 10G SFP+, LAN Base</t>
  </si>
  <si>
    <t>WS-C2960X-24TD-L</t>
  </si>
  <si>
    <t>^Catalyst 2960-X 24 GigE, 2 x 10G SFP+, LAN Base</t>
  </si>
  <si>
    <t>WS-C2960X-24TS-L</t>
  </si>
  <si>
    <t>^Catalyst 2960-X 24 GigE, 4 x 1G SFP, LAN Base</t>
  </si>
  <si>
    <t>WS-C2960X-48FPD-L</t>
  </si>
  <si>
    <t>^Catalyst 2960-X 48 GigE PoE 740W, 2 x 10G SFP+, LAN Base</t>
  </si>
  <si>
    <t>WS-C2960X-48FPS-L</t>
  </si>
  <si>
    <t>^Catalyst 2960-X 48 GigE PoE 740W, 4 x 1G SFP, LAN Base</t>
  </si>
  <si>
    <t>WS-C2960X-48TD-L</t>
  </si>
  <si>
    <t>^Catalyst 2960-X 48 GigE, 2 x 10G SFP+, LAN Base</t>
  </si>
  <si>
    <t>WS-C2960X-48TS-L</t>
  </si>
  <si>
    <t>^Catalyst 2960-X 48 GigE, 4 x 1G SFP, LAN Base</t>
  </si>
  <si>
    <t>WS-C2960X-48TS-L++</t>
  </si>
  <si>
    <t>WS-C3650-24PD-S</t>
  </si>
  <si>
    <t>^^Cisco Catalyst 3650 24 Port PoE 2x10G Uplink IP Base</t>
  </si>
  <si>
    <t>E3-CX-MDS-T1NCD</t>
  </si>
  <si>
    <t>Cisco Support Enhanced 8x7xNCD for SAN Switching</t>
  </si>
  <si>
    <t>E3-CX-MDS-L1SWPERP</t>
  </si>
  <si>
    <t>Cisco Support Enhanced Perpetual for SAN Switching</t>
  </si>
  <si>
    <t>E3-CX-AIR-T1NCD</t>
  </si>
  <si>
    <t>Cisco Support Enhanced 8x7xNCD for Wireless</t>
  </si>
  <si>
    <t>E3-CX-SFW-EPER</t>
  </si>
  <si>
    <t>Cisco Support Enhanced  Perpetual for SFW</t>
  </si>
  <si>
    <t>E3-CX-SFW-ENCD</t>
  </si>
  <si>
    <t>Cisco Support Enhanced  8x7xNCD for SFW</t>
  </si>
  <si>
    <t>E3-CX-SFW-ENBD</t>
  </si>
  <si>
    <t>Cisco Support Enhanced 8x5xNBD for SFW</t>
  </si>
  <si>
    <t>E3-CX-SFW-ESWP</t>
  </si>
  <si>
    <t>Cisco Support Enhanced  SW Support OP for SFW</t>
  </si>
  <si>
    <t>E3-CX-ISE-EPER</t>
  </si>
  <si>
    <t>Cisco Support Enhanced Perpetual for ISE</t>
  </si>
  <si>
    <t>E3-CX-ISE-ENBD</t>
  </si>
  <si>
    <t>Cisco Support Enhanced 8x5xNBD for ISE</t>
  </si>
  <si>
    <t>E3-CX-CSWAN-T1SWP</t>
  </si>
  <si>
    <t>Cisco Support Enhanced Combined Svs SW On-Prem for ENTWAN</t>
  </si>
  <si>
    <t>Combined Services Support Enhanced</t>
  </si>
  <si>
    <t>E3-CX-CSWAN-T14OS</t>
  </si>
  <si>
    <t>Cisco Support Enhanced Combined Svs 24x7x4 OS for ENTWAN</t>
  </si>
  <si>
    <t>E3-CX-CSWAN-T1NBD</t>
  </si>
  <si>
    <t>Cisco Support Enhanced Combined Svs 8x5xNBD for ENTWAN</t>
  </si>
  <si>
    <t>E3-CX-CSWAN-T1NCD</t>
  </si>
  <si>
    <t>Cisco Support Enhanced Combined Svs 8x7xNCD for ENTWAN</t>
  </si>
  <si>
    <t>E3-CX-CSWAN-L1PERP</t>
  </si>
  <si>
    <t>Cisco Support Enhanced Combined Svs Perpetual for ENTWAN</t>
  </si>
  <si>
    <t>E3-CX-CSDCN-L1PERP</t>
  </si>
  <si>
    <t>Cisco Support Enhanced Combined Svss Perpetual for DCN</t>
  </si>
  <si>
    <t>E3-CX-CSDCN-T1NBD</t>
  </si>
  <si>
    <t>Cisco Support Enhanced Combined Svs 8x5xNBD for DCN</t>
  </si>
  <si>
    <t>E3-CX-CSDCN-T14HR</t>
  </si>
  <si>
    <t>Cisco Support Enhanced Combined Svs 24x7x4 for DCN</t>
  </si>
  <si>
    <t>E3-CX-CSAIR-T1SWP</t>
  </si>
  <si>
    <t>Cisco Support Enhanced Combined Svs Wireless SW for Wireless</t>
  </si>
  <si>
    <t>E3-CX-CSAIR-L1PERP</t>
  </si>
  <si>
    <t>Cisco Support Enhanced Combined Svss Perpetual for Wireless</t>
  </si>
  <si>
    <t>E3-CX-CSAIR-T1NCD</t>
  </si>
  <si>
    <t>Cisco Support Enhanced Combined Svs 8x7xNCD for Wireless</t>
  </si>
  <si>
    <t>E3-CX-CSAIR-T1NBD</t>
  </si>
  <si>
    <t>Cisco Support Enhanced Combined Svs 8x5xNBD for Wireless</t>
  </si>
  <si>
    <t>E3-CX-CSST-T1NCD</t>
  </si>
  <si>
    <t>Cisco Support Enhanced Combined Svs 8x7xNCD for Switching</t>
  </si>
  <si>
    <t>E3-CX-CSST-T14HR</t>
  </si>
  <si>
    <t>Cisco Support Enhanced Combined Svs 24x7x4 for Switching</t>
  </si>
  <si>
    <t>E3-CX-CSST-T1NBD</t>
  </si>
  <si>
    <t>Cisco Support Enhanced Combined Svs 8x5xNBD for Switching</t>
  </si>
  <si>
    <t>E3-CX-CSST-T1SWT</t>
  </si>
  <si>
    <t>Cisco Support Enhanced Combined Svs ST SW for Switching</t>
  </si>
  <si>
    <t>E3-CX-SFW-SWPERP-2</t>
  </si>
  <si>
    <t>Services Tier 2</t>
  </si>
  <si>
    <t>E3-CX-SFW-T2NT</t>
  </si>
  <si>
    <t>SVCS Portfolio T2 8x5xNBD Secure Firewall Support</t>
  </si>
  <si>
    <t>E3-CX-ISE-SWPERP-2</t>
  </si>
  <si>
    <t>SVCS Portfolio Solution Support Perpetual ISE</t>
  </si>
  <si>
    <t>E3-CX-ISE-T2NT</t>
  </si>
  <si>
    <t>SVCS Portfolio T2 8x5xNBD ISE Support</t>
  </si>
  <si>
    <t>E3-CX-ISE-T2SWE</t>
  </si>
  <si>
    <t>SVCS Portfolio T2 ISE SWSS Enhanced SW Support - OnPrem</t>
  </si>
  <si>
    <t>E3-CX-ISE-SWPERP-1</t>
  </si>
  <si>
    <t>NPS</t>
  </si>
  <si>
    <t>TOTAL</t>
  </si>
  <si>
    <t>E3N-C95005-A</t>
  </si>
  <si>
    <t>C9500 48Y4C DNA EA</t>
  </si>
  <si>
    <t>E3N-C92001-A</t>
  </si>
  <si>
    <t>E3N-IE4010H-A</t>
  </si>
  <si>
    <t>IE 4010 Cisco DNA EA</t>
  </si>
  <si>
    <t>E3N-C9300L1-A</t>
  </si>
  <si>
    <t>E3N-C9200L1-A</t>
  </si>
  <si>
    <t>E3N-C9300S1-E</t>
  </si>
  <si>
    <t>C9300 24-Port Fiber DNA EA</t>
  </si>
  <si>
    <t>E3N-C9300X1-E</t>
  </si>
  <si>
    <t>E3N-CMICR-A</t>
  </si>
  <si>
    <t>CMICR 4-Port DNA EA</t>
  </si>
  <si>
    <t>E3N-IE3300-A</t>
  </si>
  <si>
    <t>IE 3300 Series Cisco DNA EA</t>
  </si>
  <si>
    <t>E3N-C9200L2-A</t>
  </si>
  <si>
    <t>E3N-C92002-E</t>
  </si>
  <si>
    <t>C9200 48-Port DNA EA</t>
  </si>
  <si>
    <t>E3N-C92002-A</t>
  </si>
  <si>
    <t>CON-ECMUS-CUBETRDE</t>
  </si>
  <si>
    <t>CON-SSSNT-BE7MM5K9</t>
  </si>
  <si>
    <t>CON-L1NBD-VG45XK14</t>
  </si>
  <si>
    <t>CON-SSSNT-BE79M5KH</t>
  </si>
  <si>
    <t>CUBE-T-RED</t>
  </si>
  <si>
    <t>^CUBE - 1 Redundant Trunk Session License</t>
  </si>
  <si>
    <t>BE7M-M5-K9</t>
  </si>
  <si>
    <t>^Cisco Business Edition 7000M (M5) Appliance, Export Restr SW</t>
  </si>
  <si>
    <t>VG450-144FXS/K9</t>
  </si>
  <si>
    <t>Cisco VG450 144 FXS Bundle</t>
  </si>
  <si>
    <t>BE7H-M5-K9</t>
  </si>
  <si>
    <t>^Cisco Business Edition 7000H (M5) Appliance, Export Restr SW</t>
  </si>
  <si>
    <t>CON-SSSNT-LCTUPG</t>
  </si>
  <si>
    <t>CON-SSSNT-ONS155I1</t>
  </si>
  <si>
    <t>CON-ECMUS-LCT25A</t>
  </si>
  <si>
    <t>CON-SSSNT-SI2GL1</t>
  </si>
  <si>
    <t>CON-SSSNT-SIGESX</t>
  </si>
  <si>
    <t>CON-L1SW-LCT255A</t>
  </si>
  <si>
    <t>CON-ECMUS-LCT25UP</t>
  </si>
  <si>
    <t>CON-ECMUS-LCT255A</t>
  </si>
  <si>
    <t>CON-ECMUS-LICCT55A</t>
  </si>
  <si>
    <t>CON-SSSNT-ONS622L2</t>
  </si>
  <si>
    <t>CON-SSSNT-ONSFX</t>
  </si>
  <si>
    <t>CON-SSSNT-SIGELX</t>
  </si>
  <si>
    <t>CON-SSSNT-2G-I1</t>
  </si>
  <si>
    <t>CON-SSSNT-NSSEZEEL</t>
  </si>
  <si>
    <t>CON-L1NBD-CT2CG2SM</t>
  </si>
  <si>
    <t>CON-L1NBD-BE6MM5K9</t>
  </si>
  <si>
    <t>CON-ECMUS-LPPIF100</t>
  </si>
  <si>
    <t>CON-ECMUS-LMGMBASE</t>
  </si>
  <si>
    <t>CON-ECMUS-LCMECEUE</t>
  </si>
  <si>
    <t>CON-ECMUS-CMEULCTG</t>
  </si>
  <si>
    <t>CON-L1NBD-G2029NA1</t>
  </si>
  <si>
    <t>CON-ECMUS-LICGT552</t>
  </si>
  <si>
    <t>CON-ECMUS-LICT5520</t>
  </si>
  <si>
    <t>CON-L1NBD-P7PK94P1</t>
  </si>
  <si>
    <t>CON-SSSNT-SI2GL2</t>
  </si>
  <si>
    <t>CON-L1NBD-C9200CXM</t>
  </si>
  <si>
    <t>CON-L1NBD-TAVK99V9</t>
  </si>
  <si>
    <t>L-LIC-CT5508-UPG</t>
  </si>
  <si>
    <t>Primary SKU for CT5508 upgrade licenses (Delivery via Email)</t>
  </si>
  <si>
    <t>L-LIC-CT5508-25A</t>
  </si>
  <si>
    <t>25 AP Adder License for the 5508 Controller (eDelivery)</t>
  </si>
  <si>
    <t>ONS-SI-155-I1=</t>
  </si>
  <si>
    <t>SFP - OC3/STM1 IR1/S-1.1 1310 SFP, ITEMP</t>
  </si>
  <si>
    <t>LIC-CT5508-25A</t>
  </si>
  <si>
    <t>25 AP Adder License for the 5508 Controller</t>
  </si>
  <si>
    <t>LIC-CT5508-UPG</t>
  </si>
  <si>
    <t>Primary SKU for all upgrade options on the Cisco 5508 WC</t>
  </si>
  <si>
    <t>ONS-SI-155-I1</t>
  </si>
  <si>
    <t>ONS-SI-2G-L1</t>
  </si>
  <si>
    <t>SFP - OC48/STM16, LR1, L-16.1, 1310nm,SM, LC, ITEMP</t>
  </si>
  <si>
    <t>ONS-SI-GE-SX</t>
  </si>
  <si>
    <t>SFP - 1000BASE-SX Gigabit Ethernet, 850nm, MM, I-TEMP</t>
  </si>
  <si>
    <t>L-LIC-CT2504-5A</t>
  </si>
  <si>
    <t>5 AP Adder Licenses for 2504 WLAN Controller (e-Delivery)</t>
  </si>
  <si>
    <t>L-LIC-CT2504-UPG</t>
  </si>
  <si>
    <t>Upgrade Options for 2504 WLAN Controller (e-Delivery)</t>
  </si>
  <si>
    <t>L-LIC-CT5508-5A</t>
  </si>
  <si>
    <t>5 AP Adder License for the 5508 Controller(eDelivery)</t>
  </si>
  <si>
    <t>ONS-SI-622-L2=</t>
  </si>
  <si>
    <t>^SFP -OC12/STM4 LR, L-4.2, 1550 nm, SM, LC, ITEMP</t>
  </si>
  <si>
    <t>ONS-SI-100-FX=</t>
  </si>
  <si>
    <t>SFP - 100Mbps Short Reach - 1310nm - MM - LC, ITEMP</t>
  </si>
  <si>
    <t>ONS-SI-GE-LX=</t>
  </si>
  <si>
    <t>SFP - 1000BASE-LX Gigabit Ethernet, 1310, SM, I-TEMP.</t>
  </si>
  <si>
    <t>ONS-SI-2G-I1=</t>
  </si>
  <si>
    <t>SFP - OC48/STM16, IR1, S-16.1,1310nm, SM, LC,  ITEMP</t>
  </si>
  <si>
    <t>ONS-SE-ZE-EL=</t>
  </si>
  <si>
    <t>SFP - 10/100/1000 Ethernet BaseT Multi-rate  Copper RJ45</t>
  </si>
  <si>
    <t>CTS-MIC-CLNG-G2=</t>
  </si>
  <si>
    <t>Cisco Ceiling Microphone Gen 2 stand alone kit</t>
  </si>
  <si>
    <t>CTS-MIC-CLNG-WRK-</t>
  </si>
  <si>
    <t>Ceiling Microphone parts - Ceiling mounting wire kit</t>
  </si>
  <si>
    <t>CTS-MIC-CLNG-PLT-</t>
  </si>
  <si>
    <t>Ceiling Microphone parts - Top and Back plates</t>
  </si>
  <si>
    <t>CTS-MIC-CLNG-DNG-</t>
  </si>
  <si>
    <t>Ceiling Mic. dongles, RJ45-Euroblock and RJ45-MiniJack</t>
  </si>
  <si>
    <t>CTS-MIC-CLNG2</t>
  </si>
  <si>
    <t>Cisco Ceiling Microphone unit BOM</t>
  </si>
  <si>
    <t>CTS-MIC-CLNG-ELM-</t>
  </si>
  <si>
    <t>Microphone element for Ceiling Microphone</t>
  </si>
  <si>
    <t>BE6K-PSU</t>
  </si>
  <si>
    <t>^Cisco UCS 770W AC Power Supply for Rack Server</t>
  </si>
  <si>
    <t>R2XX-RAID5</t>
  </si>
  <si>
    <t>Enable RAID 5 Setting</t>
  </si>
  <si>
    <t>BE6K-RAM</t>
  </si>
  <si>
    <t>^16GB DDR4-2666-MHz RDIMM/PC4-21300/single rank/x4/1.2v</t>
  </si>
  <si>
    <t>BE6K-CPU</t>
  </si>
  <si>
    <t>^2.2 GHz 4114/85W 10C/13.75MB Cache/DDR4 2400MHz</t>
  </si>
  <si>
    <t>CAB-9K12A-NA</t>
  </si>
  <si>
    <t>Power Cord, 125VAC 13A NEMA 5-15 Plug, North America</t>
  </si>
  <si>
    <t>BE6K-RAIDCTRLR</t>
  </si>
  <si>
    <t>^Cisco 12G Modular RAID controller with 2GB cache</t>
  </si>
  <si>
    <t>BE6K-DISK</t>
  </si>
  <si>
    <t>^300GB 12G SAS 10K RPM SFF HDD</t>
  </si>
  <si>
    <t>L-P-PI3X-LF-100-U</t>
  </si>
  <si>
    <t>Prime Infra 1.x / 2.x LF to PI 3.0 LF Upg 100 Dev</t>
  </si>
  <si>
    <t>L-MGMT3X-PI-BASE</t>
  </si>
  <si>
    <t>Cisco Ent MGMT: PI 3.x Platform Base Lic</t>
  </si>
  <si>
    <t>L-CME-CUE</t>
  </si>
  <si>
    <t>^Communication Manager Express (CME) - E-Delivery-Top Level</t>
  </si>
  <si>
    <t>CME-UL</t>
  </si>
  <si>
    <t>Cisco Communication Manager Express (CME) - 1 User License</t>
  </si>
  <si>
    <t>BE7K-CPU</t>
  </si>
  <si>
    <t>^2.6 GHz 6132/140W 14C/19.25MB Cache/DDR4 2666MHz</t>
  </si>
  <si>
    <t>BE7K-DISK</t>
  </si>
  <si>
    <t>R2XX-DMYMPWRCORD</t>
  </si>
  <si>
    <t>No power cord option</t>
  </si>
  <si>
    <t>BE7K-RAM</t>
  </si>
  <si>
    <t>BE7K-RAIDCTRLR</t>
  </si>
  <si>
    <t>^Cisco 12G Modular RAID controller with 4GB cache</t>
  </si>
  <si>
    <t>BE7K-PSU</t>
  </si>
  <si>
    <t>Cisco UCS 1050W AC Power Supply for Rack Server</t>
  </si>
  <si>
    <t>BE7K-NIC1</t>
  </si>
  <si>
    <t>^Intel i350 Quad Port 1Gb Adapter</t>
  </si>
  <si>
    <t>BE7K-PCIERISER</t>
  </si>
  <si>
    <t>^Riser 1B incl 3 PCIe slots (x8, x8, x8); all slots from CPU1</t>
  </si>
  <si>
    <t>SG220-26-K9-NA</t>
  </si>
  <si>
    <t>^SG220-26 26-Port Gigabit Smart Switch</t>
  </si>
  <si>
    <t>LIC-CT5520-UPG</t>
  </si>
  <si>
    <t>Top Level SKU for 5520 AP Adder Licenses</t>
  </si>
  <si>
    <t>LIC-CT5520-1A</t>
  </si>
  <si>
    <t>Cisco 5520 Wireless Controller 1 AP Adder License</t>
  </si>
  <si>
    <t>CP-7841-K9=</t>
  </si>
  <si>
    <t>Cisco IP Phone 7841</t>
  </si>
  <si>
    <t>BE7K-RAM-M5-NEW</t>
  </si>
  <si>
    <t>^16GB DDR4-2933-MHz RDIMM/1Rx4/1.2v</t>
  </si>
  <si>
    <t>ONS-SE-ZE-EL</t>
  </si>
  <si>
    <t>ONS-SI-2G-I1</t>
  </si>
  <si>
    <t>ONS-SI-2G-L2</t>
  </si>
  <si>
    <t>^SFP - OC48/STM16, LR2, L-16.2, 1550nm, SM, LC, ITEMP</t>
  </si>
  <si>
    <t>C9200CX-12P-2X2G-A</t>
  </si>
  <si>
    <t>Catalyst 9000 Compact Switch 12 port PoE+, 240W, Adv</t>
  </si>
  <si>
    <t>NETWORK-PNP-LIC</t>
  </si>
  <si>
    <t>Network Plug-n-Play Connect for zero-touch device deployment</t>
  </si>
  <si>
    <t>C9200CX-NW-A-12</t>
  </si>
  <si>
    <t>C9200CX Network Advantage, 12-port license</t>
  </si>
  <si>
    <t>CAB-TA-NA</t>
  </si>
  <si>
    <t>North America AC Type A Power Cable</t>
  </si>
  <si>
    <t>SCAT9200CXUK9-179</t>
  </si>
  <si>
    <t>Cisco Catalyst 9200CX XE 17.9 UNIVERSAL</t>
  </si>
  <si>
    <t>ATA191-K9</t>
  </si>
  <si>
    <t>2-Port Analog Telephone Adapter</t>
  </si>
  <si>
    <t>ATA191-CLIP-NA</t>
  </si>
  <si>
    <t>Power Clip for ATA191 and ATA192, North America</t>
  </si>
  <si>
    <t>CON-L1NBD-CSPC2205</t>
  </si>
  <si>
    <t>CAAPL-CSPC-L-V3-K9</t>
  </si>
  <si>
    <t>^BCS-CSPC-Type 2-Large-V3-Collector</t>
  </si>
  <si>
    <t>Type</t>
  </si>
  <si>
    <t>Software</t>
  </si>
  <si>
    <t>Services</t>
  </si>
  <si>
    <t>Solution Area</t>
  </si>
  <si>
    <t>UCCX</t>
  </si>
  <si>
    <t>Bureau</t>
  </si>
  <si>
    <t>IBC</t>
  </si>
  <si>
    <t>OCIO</t>
  </si>
  <si>
    <t>Row Labels</t>
  </si>
  <si>
    <t>(blank)</t>
  </si>
  <si>
    <t>Grand Total</t>
  </si>
  <si>
    <t>Sum of Quantity Desired</t>
  </si>
  <si>
    <t>Unit Price</t>
  </si>
  <si>
    <t>Total Price</t>
  </si>
  <si>
    <t>Total Annual Price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</si>
</sst>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sz val="9"/>
      <name val="Helvetica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8CCE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2" fillId="2" borderId="0" xfId="0" applyFont="1" applyFill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 wrapText="1"/>
    </xf>
    <xf numFmtId="4" fontId="3" fillId="0" borderId="0" xfId="0" applyNumberFormat="1" applyFont="1" applyAlignment="1">
      <alignment horizontal="right" vertical="center" wrapText="1"/>
    </xf>
    <xf numFmtId="4" fontId="0" fillId="0" borderId="0" xfId="0" applyNumberFormat="1"/>
    <xf numFmtId="44" fontId="0" fillId="0" borderId="1" xfId="0" applyNumberFormat="1" applyBorder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4" fontId="0" fillId="0" borderId="0" xfId="1" applyFont="1"/>
    <xf numFmtId="44" fontId="4" fillId="0" borderId="0" xfId="1" applyFont="1"/>
    <xf numFmtId="44" fontId="0" fillId="0" borderId="0" xfId="0" applyNumberFormat="1"/>
    <xf numFmtId="0" fontId="5" fillId="0" borderId="1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selbracht, Brian T" refreshedDate="46101.390109143518" createdVersion="8" refreshedVersion="8" minRefreshableVersion="3" recordCount="782" xr:uid="{3AB04621-5445-4923-B7E2-35BA9F5E3082}">
  <cacheSource type="worksheet">
    <worksheetSource ref="A1:I1048576" sheet="Consolidated Data"/>
  </cacheSource>
  <cacheFields count="9">
    <cacheField name="Solution Area" numFmtId="0">
      <sharedItems containsBlank="1"/>
    </cacheField>
    <cacheField name="Type" numFmtId="0">
      <sharedItems containsBlank="1"/>
    </cacheField>
    <cacheField name="Suite" numFmtId="0">
      <sharedItems containsBlank="1" count="26">
        <s v="Meraki FedRamp Moderate - Network Infrastructure"/>
        <s v="Cisco Networking FedRamp Moderate - Switching"/>
        <s v="Cisco Networking FedRamp Moderate - Wireless"/>
        <s v="Nexus Switching"/>
        <s v="Cisco DNA Switching"/>
        <s v="Cisco DNA Wireless"/>
        <s v="Duo"/>
        <s v="Identity Services Engine (ISE)"/>
        <s v="Secure Firewall"/>
        <s v="Services: Cisco DNA SD-WAN &amp; Routing"/>
        <s v="Services: Nexus Switching"/>
        <s v="Services: SAN Switching"/>
        <s v="Services: Cisco DNA Wireless"/>
        <s v="Services: Cisco DNA Switching"/>
        <s v="Services: Secure Firewall"/>
        <s v="Services: Identity Services Engine (ISE)"/>
        <s v="Services: Duo Fed Essentials"/>
        <m/>
        <s v="Thousand Eyes"/>
        <s v="Cisco DNA SD-WAN &amp; Routing"/>
        <s v="Security Add-ons"/>
        <s v="Services: Security Add-ons"/>
        <s v="CISE"/>
        <s v="SERVICE"/>
        <s v="DUOPROD"/>
        <s v="UCCX"/>
      </sharedItems>
    </cacheField>
    <cacheField name="Part Number" numFmtId="0">
      <sharedItems containsBlank="1" count="267">
        <s v="E3N-FED-MR-E"/>
        <s v="E3N-FED-CS-AC1-L-E"/>
        <s v="E3N-FED-CS-AC1-M-E"/>
        <s v="E3N-FED-CS-CO-MO-A"/>
        <s v="SVS-E3S-CS-GMEAEMB"/>
        <s v="SVS-E3S-CW-GMEAEMB"/>
        <s v="E3N-FED-CW-E"/>
        <s v="E3N-DCN-S"/>
        <s v="E3N-N9300-XF-E"/>
        <s v="E3N-N9500-M816-E"/>
        <s v="E3N-C9300X2-E"/>
        <s v="E3N-C93001-E"/>
        <s v="E3N-C9400-E"/>
        <s v="E3N-C9300L1-E"/>
        <s v="E3N-C93002-E"/>
        <s v="E3N-C9300L2-E"/>
        <s v="E3N-C9200L2-E"/>
        <s v="E3N-AS-S"/>
        <s v="E3N-C95006-E"/>
        <s v="E3N-C95002-E"/>
        <s v="E3N-AIRWLAN-E"/>
        <s v="E3N-AIR-S"/>
        <s v="SVS-E3-DUOF-B"/>
        <s v="E3S-DUO-F-ES"/>
        <s v="E3S-ISE-PRM"/>
        <s v="SVS-E3S-ISE-B"/>
        <s v="E3S-ISE-ESS"/>
        <s v="SVS-E3S-SFW-B"/>
        <s v="E3S-SFW-FPR2110T"/>
        <s v="E3S-SFW-FPR4125T"/>
        <s v="E3-CX-ENWAN-L1PERP"/>
        <s v="E3-CX-ENTWAN-T1NBD"/>
        <s v="E3-CX-DCN-L1SWPERP"/>
        <s v="E3-CX-DCN-T1NBD"/>
        <s v="E3-CX-MDS-T1NBD"/>
        <s v="E3-CX-AIR-T1NBD"/>
        <s v="E3-CXST-AIR-T1SWP"/>
        <s v="E3-CX-EAMSC"/>
        <s v="E3-CX-ST-T14HR"/>
        <s v="E3-CX-ST-T1NBD"/>
        <s v="E3-CX-ST-T1SWT"/>
        <s v="E3-CX-SFW-T1TCS"/>
        <s v="E3-CX-SFW-SWPERP-1"/>
        <s v="E3-CX-SFW-T1NT"/>
        <s v="E3-CX-ISE-T3SWP"/>
        <s v="E3-CX-FEE-T3SC2"/>
        <s v="CUBE-T-RED"/>
        <s v="BE7M-M5-K9"/>
        <s v="VG450-144FXS/K9"/>
        <s v="BE7H-M5-K9"/>
        <s v="E3N-C92001-E"/>
        <s v="E3-CX-SFW-T1NC"/>
        <s v="E3-CX-ISE-T1TCS"/>
        <s v="E3-CX-ISE-T1NT"/>
        <s v="E3-CX-ENTWAN-T1NCD"/>
        <s v="E3-CX-DCN-T1NCD"/>
        <s v="E3N-FED-MX-S-E"/>
        <s v="E3N-FED-MX-M-E"/>
        <s v="E3N-N9300-XF-A"/>
        <s v="E3N-N9500-M4-A"/>
        <s v="E3N-N9500-M816-A"/>
        <s v="E3N-C93001-A"/>
        <s v="E3N-C9400-A"/>
        <s v="E3N-C93002-A"/>
        <s v="E3N-C9200CX2-A"/>
        <s v="E3N-C9300X1-A"/>
        <s v="E3A-TE-UNITS"/>
        <s v="E3A-TE-S"/>
        <s v="E3A-TE-USERS"/>
        <s v="E3S-ISE-ADV"/>
        <s v="E3S-SFW-FPR1120-TM"/>
        <s v="E3S-SFW-FPR2130-TM"/>
        <s v="E3-CX-ENTWAN-T14OS"/>
        <s v="E3-CX-MDS-T1NCD"/>
        <s v="E3-CX-MDS-L1SWPERP"/>
        <s v="E3-CX-AIR-T1NCD"/>
        <s v="E3-CX-ST-T1NCD"/>
        <s v="E3-CX-SFW-EPER"/>
        <s v="E3-CX-SFW-ENCD"/>
        <s v="E3-CX-SFW-ENBD"/>
        <s v="E3-CX-SFW-ESWP"/>
        <s v="E3-CX-ISE-ESWP"/>
        <s v="E3-CX-ISE-EPER"/>
        <s v="E3-CX-ISE-ENBD"/>
        <s v="E3N-FED-CS-AC1-L-A"/>
        <s v="E3N-FED-CS-AC1-M-A"/>
        <s v="E3N-FED-CW-A"/>
        <s v="E3N-C95001-A"/>
        <s v="E3N-C9300X2-A"/>
        <s v="E3N-C95002-A"/>
        <s v="E3N-OP-ENTWAN-S"/>
        <s v="E3N-ENTWAN-P-T0-A"/>
        <s v="E3N-ENTWAN-P-T1-A"/>
        <s v="E3N-AIRWLAN-A"/>
        <s v="E3-CX-CSWAN-T1SWP"/>
        <s v="E3-CX-CSWAN-T14OS"/>
        <s v="E3-CX-CSWAN-T1NBD"/>
        <s v="E3-CX-CSWAN-T1NCD"/>
        <s v="E3-CX-CSWAN-L1PERP"/>
        <s v="E3-CX-CSDCN-L1PERP"/>
        <s v="E3-CX-CSDCN-T1NBD"/>
        <s v="E3-CX-CSDCN-T14HR"/>
        <s v="E3-CX-CSAIR-T1SWP"/>
        <s v="E3-CX-CSAIR-L1PERP"/>
        <s v="E3-CX-CSAIR-T1NCD"/>
        <s v="E3-CX-CSAIR-T1NBD"/>
        <s v="E3-CX-CSST-T1NCD"/>
        <s v="E3-CX-CSST-T14HR"/>
        <s v="E3-CX-CSST-T1NBD"/>
        <s v="E3-CX-CSST-T1SWT"/>
        <s v="E3-CX-SFW-SWPERP-2"/>
        <s v="E3-CX-SFW-T2NT"/>
        <s v="E3-CX-ISE-SWPERP-2"/>
        <s v="E3-CX-ISE-T2NT"/>
        <s v="E3-CX-ISE-T2SWE"/>
        <s v="L-LIC-CT5508-UPG"/>
        <s v="L-LIC-CT5508-25A"/>
        <s v="ONS-SI-155-I1="/>
        <s v="LIC-CT5508-25A"/>
        <s v="LIC-CT5508-UPG"/>
        <s v="ONS-SI-155-I1"/>
        <s v="ONS-SI-2G-L1"/>
        <s v="ONS-SI-GE-SX"/>
        <s v="L-LIC-CT2504-5A"/>
        <s v="L-LIC-CT2504-UPG"/>
        <s v="L-LIC-CT5508-5A"/>
        <s v="ONS-SI-622-L2="/>
        <s v="ONS-SI-100-FX="/>
        <s v="ONS-SI-GE-LX="/>
        <s v="ONS-SI-2G-I1="/>
        <s v="ONS-SE-ZE-EL="/>
        <s v="CTS-MIC-CLNG-G2="/>
        <s v="CTS-MIC-CLNG-WRK-"/>
        <s v="CTS-MIC-CLNG-PLT-"/>
        <s v="CTS-MIC-CLNG-DNG-"/>
        <s v="CTS-MIC-CLNG2"/>
        <s v="CTS-MIC-CLNG-ELM-"/>
        <s v="BE6M-M5-K9"/>
        <s v="BE6K-PSU"/>
        <s v="R2XX-RAID5"/>
        <s v="BE6K-RAM"/>
        <s v="BE6K-CPU"/>
        <s v="CAB-9K12A-NA"/>
        <s v="BE6K-RAIDCTRLR"/>
        <s v="BE6K-DISK"/>
        <s v="L-P-PI3X-LF-100-U"/>
        <s v="L-MGMT3X-PI-BASE"/>
        <s v="L-CME-CUE"/>
        <s v="CME-UL"/>
        <s v="BE7K-CPU"/>
        <s v="BE7K-DISK"/>
        <s v="R2XX-DMYMPWRCORD"/>
        <s v="BE7K-RAM"/>
        <s v="BE7K-RAIDCTRLR"/>
        <s v="BE7K-PSU"/>
        <s v="BE7K-NIC1"/>
        <s v="BE7K-PCIERISER"/>
        <s v="SG220-26-K9-NA"/>
        <s v="LIC-CT5520-UPG"/>
        <s v="LIC-CT5520-1A"/>
        <s v="CP-7841-K9="/>
        <s v="BE7K-RAM-M5-NEW"/>
        <s v="ONS-SE-ZE-EL"/>
        <s v="ONS-SI-2G-I1"/>
        <s v="ONS-SI-2G-L2"/>
        <s v="C9200CX-12P-2X2G-A"/>
        <s v="NETWORK-PNP-LIC"/>
        <s v="C9200CX-NW-A-12"/>
        <s v="CAB-TA-NA"/>
        <s v="SCAT9200CXUK9-179"/>
        <s v="ATA191-K9"/>
        <s v="ATA191-CLIP-NA"/>
        <s v="E3N-FED-MX-M-A"/>
        <s v="E3N-FED-MX-S-A"/>
        <s v="E3N-C9200CX2-E"/>
        <s v="E3S-SFW-FPR1010T"/>
        <s v="E3S-SFW-FPR1120T"/>
        <s v="E3S-SFW-FPR2130T"/>
        <s v="E3S-SFW-FPR2140T"/>
        <s v="E3-CX-ISE-SWPERP-1"/>
        <s v="CAAPL-CSPC-L-V3-K9"/>
        <s v="E3N-C96001-A"/>
        <s v="E3N-C9200L1-E"/>
        <s v="E3N-C95006-A"/>
        <s v="E3N-C9200CX1-E"/>
        <s v="E3S-AC-APEX"/>
        <s v="SVS-E3S-ADDONS-B"/>
        <s v="E3-CX-ADD-T2SWE"/>
        <s v="E3-CX-AIR-L1SWPERP"/>
        <s v="E3-CX-ST-T14OS"/>
        <s v="E3N-C95001-E"/>
        <s v="E3N-ENTWAN-P-T2-E"/>
        <s v="E3-CXST-T1SWP"/>
        <s v="E3-CX-ENTWAN-T14HR"/>
        <s v="E3N-C95005-A"/>
        <s v="E3N-C92001-A"/>
        <s v="E3N-IE4010H-A"/>
        <s v="E3N-C9300L1-A"/>
        <s v="E3N-C9200L1-A"/>
        <s v="E3N-C9300S1-E"/>
        <s v="E3N-C9300X1-E"/>
        <s v="E3N-CMICR-A"/>
        <s v="E3N-IE3300-A"/>
        <s v="E3N-C9200L2-A"/>
        <s v="E3N-C92002-E"/>
        <s v="E3N-C92002-A"/>
        <s v="ISE-SEC-SUB"/>
        <s v="SVS-ISE-SUP-B"/>
        <s v="ISE-E-LIC"/>
        <s v="DUO-FED-SUB"/>
        <s v="DUO-MFA-FED"/>
        <s v="SVS-DUO-FED-SUP-P"/>
        <s v="SVS-ISE-SUP-E"/>
        <m/>
        <s v="APIC-CLUSTER-M3"/>
        <s v="ASA5516-FPWR-K9"/>
        <s v="ASR1001-X"/>
        <s v="C8200-1N-4T"/>
        <s v="C8300-1N1S-4T2X"/>
        <s v="C8500L-8S4X"/>
        <s v="C9200-24T-A"/>
        <s v="C9200-48P-1E"/>
        <s v="C9200-48P-E"/>
        <s v="C9200L-24T-4X-E"/>
        <s v="C9200L-48T-4X-E"/>
        <s v="C9200L-48T-4X-E++"/>
        <s v="C9200L-DNA-E-48"/>
        <s v="C9300-24S-E"/>
        <s v="C9300L-24T-4X-E"/>
        <s v="C9300L-DNA-E-24"/>
        <s v="C9300X-24Y-E"/>
        <s v="C9300X-DNA-24Y-E"/>
        <s v="C9407R-1A"/>
        <s v="C9500-16X-A"/>
        <s v="C9500-48Y4C-1A"/>
        <s v="C9500-48Y4C-A"/>
        <s v="C9500-DNA-48Y4C-A"/>
        <s v="FPR1150-ASA-K9"/>
        <s v="FPR2130-ASA-K9"/>
        <s v="FPR2130-NGFW-K9"/>
        <s v="FPR3105-ASA-K9"/>
        <s v="ISR4331-SEC/K9"/>
        <s v="ISR4351-SEC/K9"/>
        <s v="ISR4451-X-V/K9"/>
        <s v="N9K-C9332C"/>
        <s v="N9K-C9508-B2"/>
        <s v="SLASR1-AIS"/>
        <s v="SNS-3615-K9"/>
        <s v="SNS-3715-K9"/>
        <s v="WS-C2960+24TC-L"/>
        <s v="WS-C2960X-24PD-L"/>
        <s v="WS-C2960X-24TD-L"/>
        <s v="WS-C2960X-24TS-L"/>
        <s v="WS-C2960X-48FPD-L"/>
        <s v="WS-C2960X-48FPS-L"/>
        <s v="WS-C2960X-48TD-L"/>
        <s v="WS-C2960X-48TS-L"/>
        <s v="WS-C2960X-48TS-L++"/>
        <s v="WS-C3650-24PD-S"/>
        <s v="A-FLEX-3-CC"/>
        <s v="A-FLEX-CCX-P-AGT"/>
        <s v="A-FLEX-05-15-K9"/>
        <s v="A-FLEX-CCX-P-C"/>
        <s v="SVS-CSS-SUPT-SSPT"/>
        <s v="A-FLEX-CCX-S-AGT"/>
        <s v="A-FLEX-CCX-S-C"/>
        <s v="A-FLEX-CCX-SVR"/>
      </sharedItems>
    </cacheField>
    <cacheField name="Description" numFmtId="0">
      <sharedItems containsBlank="1" count="237">
        <s v="Meraki FedRamp MR Essentials Subscription EA 3 LIC"/>
        <s v="Cisco Switching FedRamp EA 3.0 LIC Access Tier 1 Large"/>
        <s v="Cisco Switching FedRamp EA 3.0 LIC Access Tier 1 Medium"/>
        <s v="Cisco Switching Advantage FedRamp EA 3.0 LIC Core Modular"/>
        <s v="Cisco Support Standard for Cisco Network Subscription"/>
        <s v="Cisco Wireless FedRamp EA 3.0 LIC"/>
        <s v="Support for Cisco Data Center EA for Data Center Networking"/>
        <s v="Nexus 9300 XF 10G or higher (up to 3.6T)"/>
        <s v="Nexus 9500 8 or 16 Slot"/>
        <s v="C9300X 24-Port DNA EA"/>
        <s v="C9300 24-Port DNA EA"/>
        <s v="C9400 DNA EA"/>
        <s v="C9300L 24-Port DNA EA"/>
        <s v="C9300/C9300X 48-Port DNA EA"/>
        <s v="C9300L 48-Port DNA EA"/>
        <s v="C9200L 48-Port DNA EA"/>
        <s v="Cisco Support Standard for EA DNA Switching"/>
        <s v="C9500 24Y4C DNA EA"/>
        <s v="C9500 Low Port (12Q/16X) DNA EA"/>
        <s v="Cisco DNA Wireless"/>
        <s v="Cisco Support Standard for EA DNA Wireless"/>
        <s v="Cisco Support Standard for Duo Fed"/>
        <s v="Security EA3.0 - Duo Fed Essentials"/>
        <s v="ISE Premier"/>
        <s v="Cisco Support Standard for ISE"/>
        <s v="ISE Essentials"/>
        <s v="Cisco Support Standard for Cisco Secure Firewall"/>
        <s v="FPR2110T Threat Defense Threat, Malware,URL"/>
        <s v="FPR4125 Threat Defense Threat, Malware,URL"/>
        <s v="Cisco Support Enhanced Perpetual for ENTWAN"/>
        <s v="Cisco Support Enhanced 8x5xNBD for ENTWAN"/>
        <s v="Cisco Support Enhanced Perpetual for Nexus Switching"/>
        <s v="Cisco Support Enhanced  8x5xNBD for Nexus Switching"/>
        <s v="Cisco Support Enhanced 8x5xNBD for SAN Switching"/>
        <s v="Cisco Support Enhanced  8x5xNBD for Wireless"/>
        <s v="Cisco Support Enhanced SW for Wireless"/>
        <s v="SVCS Portfolio EA Management Service Cisco"/>
        <s v="Cisco Support Enhanced 24x7x4 for Switching"/>
        <s v="Cisco Support Enhanced 8x5xNBD for Switching"/>
        <s v="Cisco Support Enhanced SW for Switching"/>
        <s v="SVCS Portfolio T1 Secure Firewall Solution Support - OP"/>
        <s v="SVCS Portfolio Solution Support Perpetual Secure Firewall"/>
        <s v="SVCS Portfolio T1 8x5xNBD Secure Firewall Support"/>
        <s v="SVCS Portfolio T3 ISE SWSS Premium SW Support – OnPrem"/>
        <s v="Cisco Support Sig for Duo Fed Essential SW"/>
        <s v="^CUBE - 1 Redundant Trunk Session License"/>
        <s v="^Cisco Business Edition 7000M (M5) Appliance, Export Restr SW"/>
        <s v="Cisco VG450 144 FXS Bundle"/>
        <s v="^Cisco Business Edition 7000H (M5) Appliance, Export Restr SW"/>
        <s v="C9200 24-Port DNA EA"/>
        <s v="SVCS Portfolio T1 8x7xNCD Secure Firewall Support"/>
        <s v="SVCS Portfolio T1 ISE Solution Support - OnPrem"/>
        <s v="SVCS Portfolio T1 8x5xNBD ISE Support"/>
        <s v="Cisco Support Enhanced 8x7xNCD for ENTWAN"/>
        <s v="Cisco Support Enhanced 8x7xNCD for Nexus Switching"/>
        <s v="Meraki FedRamp MX Small Essentials Subscription EA 3 LIC"/>
        <s v="Meraki FedRamp MX Medium Essentials Subscription EA 3 LIC"/>
        <s v="Nexus 9500 4 Slot"/>
        <s v="C9200CX 12-Port DNA EA"/>
        <s v="C9300X 12-Port DNA EA"/>
        <s v="ThousandEyes - Cloud and Enterprise Agents (per unit)"/>
        <s v="Cisco Support Standard for EA Thousand Eyes"/>
        <s v="Cisco ThousandEyes - End User Monitoring Advantage"/>
        <s v="ISE Advantage"/>
        <s v="FPR1120 ThreatDefense Threat and Malware Lic"/>
        <s v="FPR2130 ThreatDefense Threat and Malware Lic"/>
        <s v="Cisco Support Enhanced 24x7x4 OS for ENTWAN"/>
        <s v="Cisco Support Enhanced 8x7xNCD for SAN Switching"/>
        <s v="Cisco Support Enhanced Perpetual for SAN Switching"/>
        <s v="Cisco Support Enhanced 8x7xNCD for Wireless"/>
        <s v="Cisco Support Enhanced 8x7xNCD for Switching"/>
        <s v="Cisco Support Enhanced  Perpetual for SFW"/>
        <s v="Cisco Support Enhanced  8x7xNCD for SFW"/>
        <s v="Cisco Support Enhanced 8x5xNBD for SFW"/>
        <s v="Cisco Support Enhanced  SW Support OP for SFW"/>
        <s v="Cisco Support Enhanced SW Support OP for ISE"/>
        <s v="Cisco Support Enhanced Perpetual for ISE"/>
        <s v="Cisco Support Enhanced 8x5xNBD for ISE"/>
        <s v="C9500 High Port (24Q/40X) DNA EA"/>
        <s v="Cisco Support Standard for EA SD-WAN &amp; Routing"/>
        <s v="Cisco DNA On-Prem on Tier 0(up to 25M)"/>
        <s v="Cisco DNA On-Prem on Tier 1(up to 200M)"/>
        <s v="Cisco Support Enhanced Combined Svs SW On-Prem for ENTWAN"/>
        <s v="Cisco Support Enhanced Combined Svs 24x7x4 OS for ENTWAN"/>
        <s v="Cisco Support Enhanced Combined Svs 8x5xNBD for ENTWAN"/>
        <s v="Cisco Support Enhanced Combined Svs 8x7xNCD for ENTWAN"/>
        <s v="Cisco Support Enhanced Combined Svs Perpetual for ENTWAN"/>
        <s v="Cisco Support Enhanced Combined Svss Perpetual for DCN"/>
        <s v="Cisco Support Enhanced Combined Svs 8x5xNBD for DCN"/>
        <s v="Cisco Support Enhanced Combined Svs 24x7x4 for DCN"/>
        <s v="Cisco Support Enhanced Combined Svs Wireless SW for Wireless"/>
        <s v="Cisco Support Enhanced Combined Svss Perpetual for Wireless"/>
        <s v="Cisco Support Enhanced Combined Svs 8x7xNCD for Wireless"/>
        <s v="Cisco Support Enhanced Combined Svs 8x5xNBD for Wireless"/>
        <s v="Cisco Support Enhanced Combined Svs 8x7xNCD for Switching"/>
        <s v="Cisco Support Enhanced Combined Svs 24x7x4 for Switching"/>
        <s v="Cisco Support Enhanced Combined Svs 8x5xNBD for Switching"/>
        <s v="Cisco Support Enhanced Combined Svs ST SW for Switching"/>
        <s v="SVCS Portfolio T2 8x5xNBD Secure Firewall Support"/>
        <s v="SVCS Portfolio Solution Support Perpetual ISE"/>
        <s v="SVCS Portfolio T2 8x5xNBD ISE Support"/>
        <s v="SVCS Portfolio T2 ISE SWSS Enhanced SW Support - OnPrem"/>
        <s v="Primary SKU for CT5508 upgrade licenses (Delivery via Email)"/>
        <s v="25 AP Adder License for the 5508 Controller (eDelivery)"/>
        <s v="SFP - OC3/STM1 IR1/S-1.1 1310 SFP, ITEMP"/>
        <s v="25 AP Adder License for the 5508 Controller"/>
        <s v="Primary SKU for all upgrade options on the Cisco 5508 WC"/>
        <s v="SFP - OC48/STM16, LR1, L-16.1, 1310nm,SM, LC, ITEMP"/>
        <s v="SFP - 1000BASE-SX Gigabit Ethernet, 850nm, MM, I-TEMP"/>
        <s v="5 AP Adder Licenses for 2504 WLAN Controller (e-Delivery)"/>
        <s v="Upgrade Options for 2504 WLAN Controller (e-Delivery)"/>
        <s v="5 AP Adder License for the 5508 Controller(eDelivery)"/>
        <s v="^SFP -OC12/STM4 LR, L-4.2, 1550 nm, SM, LC, ITEMP"/>
        <s v="SFP - 100Mbps Short Reach - 1310nm - MM - LC, ITEMP"/>
        <s v="SFP - 1000BASE-LX Gigabit Ethernet, 1310, SM, I-TEMP."/>
        <s v="SFP - OC48/STM16, IR1, S-16.1,1310nm, SM, LC,  ITEMP"/>
        <s v="SFP - 10/100/1000 Ethernet BaseT Multi-rate  Copper RJ45"/>
        <s v="Cisco Ceiling Microphone Gen 2 stand alone kit"/>
        <s v="Ceiling Microphone parts - Ceiling mounting wire kit"/>
        <s v="Ceiling Microphone parts - Top and Back plates"/>
        <s v="Ceiling Mic. dongles, RJ45-Euroblock and RJ45-MiniJack"/>
        <s v="Cisco Ceiling Microphone unit BOM"/>
        <s v="Microphone element for Ceiling Microphone"/>
        <s v="^Cisco Business Edition 6000M (M5) Appliance, Export Restr SW"/>
        <s v="^Cisco UCS 770W AC Power Supply for Rack Server"/>
        <s v="Enable RAID 5 Setting"/>
        <s v="^16GB DDR4-2666-MHz RDIMM/PC4-21300/single rank/x4/1.2v"/>
        <s v="^2.2 GHz 4114/85W 10C/13.75MB Cache/DDR4 2400MHz"/>
        <s v="Power Cord, 125VAC 13A NEMA 5-15 Plug, North America"/>
        <s v="^Cisco 12G Modular RAID controller with 2GB cache"/>
        <s v="^300GB 12G SAS 10K RPM SFF HDD"/>
        <s v="Prime Infra 1.x / 2.x LF to PI 3.0 LF Upg 100 Dev"/>
        <s v="Cisco Ent MGMT: PI 3.x Platform Base Lic"/>
        <s v="^Communication Manager Express (CME) - E-Delivery-Top Level"/>
        <s v="Cisco Communication Manager Express (CME) - 1 User License"/>
        <s v="^2.6 GHz 6132/140W 14C/19.25MB Cache/DDR4 2666MHz"/>
        <s v="No power cord option"/>
        <s v="^Cisco 12G Modular RAID controller with 4GB cache"/>
        <s v="Cisco UCS 1050W AC Power Supply for Rack Server"/>
        <s v="^Intel i350 Quad Port 1Gb Adapter"/>
        <s v="^Riser 1B incl 3 PCIe slots (x8, x8, x8); all slots from CPU1"/>
        <s v="^SG220-26 26-Port Gigabit Smart Switch"/>
        <s v="Top Level SKU for 5520 AP Adder Licenses"/>
        <s v="Cisco 5520 Wireless Controller 1 AP Adder License"/>
        <s v="Cisco IP Phone 7841"/>
        <s v="^16GB DDR4-2933-MHz RDIMM/1Rx4/1.2v"/>
        <s v="^SFP - OC48/STM16, LR2, L-16.2, 1550nm, SM, LC, ITEMP"/>
        <s v="Catalyst 9000 Compact Switch 12 port PoE+, 240W, Adv"/>
        <s v="Network Plug-n-Play Connect for zero-touch device deployment"/>
        <s v="C9200CX Network Advantage, 12-port license"/>
        <s v="North America AC Type A Power Cable"/>
        <s v="Cisco Catalyst 9200CX XE 17.9 UNIVERSAL"/>
        <s v="2-Port Analog Telephone Adapter"/>
        <s v="Power Clip for ATA191 and ATA192, North America"/>
        <s v="Meraki FedRamp MX Medium Advantage Subscription EA 3 LIC"/>
        <s v="Meraki FedRamp MX Small Advantage Subscription EA 3 LIC"/>
        <s v="FPR1010T Threat Defense Threat, Malware,URL"/>
        <s v="FPR1120T Threat Defense Threat, Malware,URL"/>
        <s v="FPR2130T Threat Defense Threat, Malware,URL"/>
        <s v="FPR2140 Threat Defense Threat, Malware,URL"/>
        <s v="^BCS-CSPC-Type 2-Large-V3-Collector"/>
        <s v="C9600 DNA EA"/>
        <s v="C9200L 24-Port DNA EA"/>
        <s v="C9200CX 8-Port DNA EA"/>
        <s v="Secure Client Premier"/>
        <s v="Cisco Support Standard for Security Add-Ons"/>
        <s v="SVCS Portfolio T2 Secure AddOns SWSSENHCD SW Support - OP"/>
        <s v="Cisco Support Enhanced Perpetual for Wireless"/>
        <s v="Cisco Support Enhanced 24x7x4 OS for Switching"/>
        <s v="Cisco DNA On-Prem on Tier 2(up to 1G)"/>
        <s v="Cisco Support Enhanced SW On-Prem for ENTWAN"/>
        <s v="Cisco Support Enhanced 24x7x4 for ENTWAN"/>
        <s v="C9500 48Y4C DNA EA"/>
        <s v="IE 4010 Cisco DNA EA"/>
        <s v="C9300 24-Port Fiber DNA EA"/>
        <s v="CMICR 4-Port DNA EA"/>
        <s v="IE 3300 Series Cisco DNA EA"/>
        <s v="C9200 48-Port DNA EA"/>
        <s v="Cisco Identity Service Engine Subscription"/>
        <s v="Cisco Identity Service Engine Essentials Subscription"/>
        <s v="Cisco Duo Federal subscription"/>
        <s v="Cisco Duo MFA edition for Federal customers"/>
        <s v="Cisco Support Signature for Duo for Government"/>
        <s v="Cisco Support Enhanced for ISE"/>
        <m/>
        <s v="^APIC Cluster - Medium Configurations (Up to 1200 Edge Ports)"/>
        <s v="^ASA 5516-X with FirePOWER services, 8GE, AC, 3DES/AES"/>
        <s v="^Cisco ASR1001-X Chassis, 6 built-in GE, Dual P/S, 8GB DRAM"/>
        <s v="Cisco Catalyst C8200-1N-4T Router"/>
        <s v="Cisco Catalyst C8300-1N1S-4T2X Router"/>
        <s v="Cisco Catalyst 8500 Series 4x SFP+ and 8x SFP, 4x10GE, 8x1GE"/>
        <s v="Catalyst 9200 24-port data only, Network Advantage"/>
        <s v="C9200 48-port PoE+, Network Essentials, 1yr offering"/>
        <s v="Catalyst 9200 48-port PoE+, Network Essentials"/>
        <s v="Catalyst 9200L 24-port data only,4 x 10G,Network Essentials"/>
        <s v="Catalyst 9200L 48-port data only,4 x 10G,Network Essentials"/>
        <s v="TAA C9200L 48p data only, 4 x 10G ,Network Essentials"/>
        <s v="C9200L Cisco DNA Essentials, 48-port Term license"/>
        <s v="Catalyst 9300  24 GE SFP Ports, modular uplink Switch"/>
        <s v="Catalyst 9300L 24p data, Network Essentials ,4x10G Uplink"/>
        <s v="C9300L Cisco DNA Essentials, 24-port license"/>
        <s v="Catalyst 9300X  24x25G Fiber Ports, modular uplink Switch"/>
        <s v="C9300 DNA Essentials, Term License"/>
        <s v="Fed Only, Cisco Catalyst 9400 Series 7 slot chassis 1 Year"/>
        <s v="Catalyst 9500 16-port 10Gig switch, Advantage"/>
        <s v="Cat. 9500 48-port x 1/10/25G + 4-port 40/100G, 1Y Advantage"/>
        <s v="Catalyst 9500 48-port x 1/10/25G + 4-port 40/100G, Advantage"/>
        <s v="C9500 DNA Advantage, Term License"/>
        <s v="Cisco Firepower 1150 ASA Appliance, 1U"/>
        <s v="Cisco Firepower 2130 ASA Appliance, 1U, 1 x NetMod Bay"/>
        <s v="Cisco Firepower 2130 NGFW Appliance, 1U, 1 x NetMod Bay"/>
        <s v="Cisco Secure Firewall 3105 ASA Appliance, 1U"/>
        <s v="Cisco ISR 4331 Sec bundle w/SEC license"/>
        <s v="Cisco ISR 4351 Sec bundle w/SEC license"/>
        <s v="Cisco ISR 4451 UC Bundle, PVDM4-64, UC Lic"/>
        <s v="^Nexus 9K ACI &amp; NX-OS Spine, 32p 40/100G &amp; 2p 10G"/>
        <s v="Nexus 9508 Chassis Bundle with 1 Sup, 3 PS, 2 SC, 6 FM, 3 FT"/>
        <s v="Cisco ASR 1000 Advanced IP Services License"/>
        <s v="^Small Secure Network Server for ISE Applications"/>
        <s v="Small Secure Network Server for ISE Applications"/>
        <s v="^Catalyst 2960 Plus 24 10/100 + 2T/SFP LAN Base"/>
        <s v="^Catalyst 2960-X 24 GigE PoE 370W, 2 x 10G SFP+, LAN Base"/>
        <s v="^Catalyst 2960-X 24 GigE, 2 x 10G SFP+, LAN Base"/>
        <s v="^Catalyst 2960-X 24 GigE, 4 x 1G SFP, LAN Base"/>
        <s v="^Catalyst 2960-X 48 GigE PoE 740W, 2 x 10G SFP+, LAN Base"/>
        <s v="^Catalyst 2960-X 48 GigE PoE 740W, 4 x 1G SFP, LAN Base"/>
        <s v="^Catalyst 2960-X 48 GigE, 2 x 10G SFP+, LAN Base"/>
        <s v="^Catalyst 2960-X 48 GigE, 4 x 1G SFP, LAN Base"/>
        <s v="^^Cisco Catalyst 3650 24 Port PoE 2x10G Uplink IP Base"/>
        <s v="Flex 3.0 for Contact Center"/>
        <s v="On-Premises UCCX Premium Agent License Smart Licensing"/>
        <s v="On-Premises UCCX Standard &amp; Premium Media Kit v15"/>
        <s v="On-Premises UCCX Premium Concurrent Agent"/>
        <s v="Solution Support for Collaboration"/>
        <s v="On-Premises UCCX Standard Agent License Smart Licensing"/>
        <s v="On-Premises UCCX Standard Concurrent Agent"/>
        <s v="On-Premises UCCX Standard &amp; Premium Server Smart Licensing"/>
      </sharedItems>
    </cacheField>
    <cacheField name="Quantity Desired" numFmtId="0">
      <sharedItems containsString="0" containsBlank="1" containsNumber="1" containsInteger="1" minValue="0" maxValue="8105"/>
    </cacheField>
    <cacheField name="License Tiers" numFmtId="0">
      <sharedItems containsBlank="1"/>
    </cacheField>
    <cacheField name="Service Tier" numFmtId="0">
      <sharedItems containsBlank="1" count="8">
        <m/>
        <s v="Support Enhanced"/>
        <s v="-"/>
        <s v="Services Tier 1"/>
        <s v="Services Tier 3"/>
        <s v="Support Signature"/>
        <s v="Combined Services Support Enhanced"/>
        <s v="Services Tier 2"/>
      </sharedItems>
    </cacheField>
    <cacheField name="Bureau" numFmtId="0">
      <sharedItems containsBlank="1" count="12">
        <s v="BIA"/>
        <s v="BIE"/>
        <s v="BLM"/>
        <s v="BOR"/>
        <s v="BSEE"/>
        <s v="FWS"/>
        <s v="OIG"/>
        <s v="USGS"/>
        <s v="NPS"/>
        <s v="IBC"/>
        <s v="OCI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2">
  <r>
    <s v="Cisco Networking"/>
    <s v="Software"/>
    <x v="0"/>
    <x v="0"/>
    <x v="0"/>
    <n v="100"/>
    <s v="NA"/>
    <x v="0"/>
    <x v="0"/>
  </r>
  <r>
    <s v="Cisco Networking"/>
    <s v="Software"/>
    <x v="1"/>
    <x v="1"/>
    <x v="1"/>
    <n v="1"/>
    <s v="Essential"/>
    <x v="0"/>
    <x v="0"/>
  </r>
  <r>
    <s v="Cisco Networking"/>
    <s v="Software"/>
    <x v="1"/>
    <x v="2"/>
    <x v="2"/>
    <n v="1"/>
    <s v="Essential"/>
    <x v="0"/>
    <x v="0"/>
  </r>
  <r>
    <s v="Cisco Networking"/>
    <s v="Software"/>
    <x v="1"/>
    <x v="3"/>
    <x v="3"/>
    <n v="1"/>
    <s v="Advantage"/>
    <x v="0"/>
    <x v="0"/>
  </r>
  <r>
    <s v="Cisco Networking"/>
    <s v="Software"/>
    <x v="1"/>
    <x v="4"/>
    <x v="4"/>
    <n v="1"/>
    <s v="NA"/>
    <x v="0"/>
    <x v="0"/>
  </r>
  <r>
    <s v="Cisco Networking"/>
    <s v="Software"/>
    <x v="2"/>
    <x v="5"/>
    <x v="4"/>
    <n v="1"/>
    <s v="NA"/>
    <x v="0"/>
    <x v="0"/>
  </r>
  <r>
    <s v="Cisco Networking"/>
    <s v="Software"/>
    <x v="2"/>
    <x v="6"/>
    <x v="5"/>
    <n v="1"/>
    <s v="Essential"/>
    <x v="0"/>
    <x v="0"/>
  </r>
  <r>
    <s v="Cloud Networking"/>
    <s v="Software"/>
    <x v="3"/>
    <x v="7"/>
    <x v="6"/>
    <n v="1"/>
    <s v="NA"/>
    <x v="0"/>
    <x v="0"/>
  </r>
  <r>
    <s v="Cloud Networking"/>
    <s v="Software"/>
    <x v="3"/>
    <x v="8"/>
    <x v="7"/>
    <n v="19"/>
    <s v="Essential"/>
    <x v="0"/>
    <x v="0"/>
  </r>
  <r>
    <s v="Cloud Networking"/>
    <s v="Software"/>
    <x v="3"/>
    <x v="9"/>
    <x v="8"/>
    <n v="1"/>
    <s v="Essential"/>
    <x v="0"/>
    <x v="0"/>
  </r>
  <r>
    <s v="Cisco DNA Software"/>
    <s v="Software"/>
    <x v="4"/>
    <x v="10"/>
    <x v="9"/>
    <n v="7"/>
    <s v="Essential"/>
    <x v="0"/>
    <x v="0"/>
  </r>
  <r>
    <s v="Cisco DNA Software"/>
    <s v="Software"/>
    <x v="4"/>
    <x v="11"/>
    <x v="10"/>
    <n v="24"/>
    <s v="Essential"/>
    <x v="0"/>
    <x v="0"/>
  </r>
  <r>
    <s v="Cisco DNA Software"/>
    <s v="Software"/>
    <x v="4"/>
    <x v="12"/>
    <x v="11"/>
    <n v="4"/>
    <s v="Essential"/>
    <x v="0"/>
    <x v="0"/>
  </r>
  <r>
    <s v="Cisco DNA Software"/>
    <s v="Software"/>
    <x v="4"/>
    <x v="13"/>
    <x v="12"/>
    <n v="3"/>
    <s v="Essential"/>
    <x v="0"/>
    <x v="0"/>
  </r>
  <r>
    <s v="Cisco DNA Software"/>
    <s v="Software"/>
    <x v="4"/>
    <x v="14"/>
    <x v="13"/>
    <n v="90"/>
    <s v="Essential"/>
    <x v="0"/>
    <x v="0"/>
  </r>
  <r>
    <s v="Cisco DNA Software"/>
    <s v="Software"/>
    <x v="4"/>
    <x v="15"/>
    <x v="14"/>
    <n v="5"/>
    <s v="Essential"/>
    <x v="0"/>
    <x v="0"/>
  </r>
  <r>
    <s v="Cisco DNA Software"/>
    <s v="Software"/>
    <x v="4"/>
    <x v="16"/>
    <x v="15"/>
    <n v="13"/>
    <s v="Essential"/>
    <x v="0"/>
    <x v="0"/>
  </r>
  <r>
    <s v="Cisco DNA Software"/>
    <s v="Software"/>
    <x v="4"/>
    <x v="17"/>
    <x v="16"/>
    <n v="1"/>
    <s v="NA"/>
    <x v="0"/>
    <x v="0"/>
  </r>
  <r>
    <s v="Cisco DNA Software"/>
    <s v="Software"/>
    <x v="4"/>
    <x v="18"/>
    <x v="17"/>
    <n v="3"/>
    <s v="Essential"/>
    <x v="0"/>
    <x v="0"/>
  </r>
  <r>
    <s v="Cisco DNA Software"/>
    <s v="Software"/>
    <x v="4"/>
    <x v="19"/>
    <x v="18"/>
    <n v="1"/>
    <s v="Essential"/>
    <x v="0"/>
    <x v="0"/>
  </r>
  <r>
    <s v="Cisco DNA Software"/>
    <s v="Software"/>
    <x v="5"/>
    <x v="20"/>
    <x v="19"/>
    <n v="150"/>
    <s v="Essential"/>
    <x v="0"/>
    <x v="0"/>
  </r>
  <r>
    <s v="Cisco DNA Software"/>
    <s v="Software"/>
    <x v="5"/>
    <x v="21"/>
    <x v="20"/>
    <n v="1"/>
    <s v="NA"/>
    <x v="0"/>
    <x v="0"/>
  </r>
  <r>
    <s v="Zero Trust"/>
    <s v="Software"/>
    <x v="6"/>
    <x v="22"/>
    <x v="21"/>
    <n v="1"/>
    <m/>
    <x v="0"/>
    <x v="0"/>
  </r>
  <r>
    <s v="Zero Trust"/>
    <s v="Software"/>
    <x v="6"/>
    <x v="23"/>
    <x v="22"/>
    <n v="100"/>
    <m/>
    <x v="0"/>
    <x v="0"/>
  </r>
  <r>
    <s v="Zero Trust"/>
    <s v="Software"/>
    <x v="7"/>
    <x v="24"/>
    <x v="23"/>
    <n v="100"/>
    <m/>
    <x v="0"/>
    <x v="0"/>
  </r>
  <r>
    <s v="Zero Trust"/>
    <s v="Software"/>
    <x v="7"/>
    <x v="25"/>
    <x v="24"/>
    <n v="1"/>
    <m/>
    <x v="0"/>
    <x v="0"/>
  </r>
  <r>
    <s v="Zero Trust"/>
    <s v="Software"/>
    <x v="7"/>
    <x v="26"/>
    <x v="25"/>
    <n v="100"/>
    <m/>
    <x v="0"/>
    <x v="0"/>
  </r>
  <r>
    <s v="Cloud and Network Security"/>
    <s v="Software"/>
    <x v="8"/>
    <x v="27"/>
    <x v="26"/>
    <n v="1"/>
    <m/>
    <x v="0"/>
    <x v="0"/>
  </r>
  <r>
    <s v="Cloud and Network Security"/>
    <s v="Software"/>
    <x v="8"/>
    <x v="28"/>
    <x v="27"/>
    <n v="15"/>
    <m/>
    <x v="0"/>
    <x v="0"/>
  </r>
  <r>
    <s v="Cloud and Network Security"/>
    <s v="Software"/>
    <x v="8"/>
    <x v="29"/>
    <x v="28"/>
    <n v="2"/>
    <m/>
    <x v="0"/>
    <x v="0"/>
  </r>
  <r>
    <s v="Networking Support &amp; Lifecycle Services"/>
    <s v="Services"/>
    <x v="9"/>
    <x v="30"/>
    <x v="29"/>
    <n v="110"/>
    <m/>
    <x v="1"/>
    <x v="0"/>
  </r>
  <r>
    <s v="Networking Support &amp; Lifecycle Services"/>
    <s v="Services"/>
    <x v="9"/>
    <x v="31"/>
    <x v="30"/>
    <n v="242"/>
    <m/>
    <x v="1"/>
    <x v="0"/>
  </r>
  <r>
    <s v="Networking Support &amp; Lifecycle Services"/>
    <s v="Services"/>
    <x v="10"/>
    <x v="32"/>
    <x v="31"/>
    <n v="14"/>
    <m/>
    <x v="2"/>
    <x v="0"/>
  </r>
  <r>
    <s v="Networking Support &amp; Lifecycle Services"/>
    <s v="Services"/>
    <x v="10"/>
    <x v="33"/>
    <x v="32"/>
    <n v="669"/>
    <m/>
    <x v="2"/>
    <x v="0"/>
  </r>
  <r>
    <s v="Networking Support &amp; Lifecycle Services"/>
    <s v="Services"/>
    <x v="11"/>
    <x v="34"/>
    <x v="33"/>
    <n v="57"/>
    <m/>
    <x v="2"/>
    <x v="0"/>
  </r>
  <r>
    <s v="Networking Support &amp; Lifecycle Services"/>
    <s v="Services"/>
    <x v="12"/>
    <x v="35"/>
    <x v="34"/>
    <n v="1"/>
    <m/>
    <x v="1"/>
    <x v="0"/>
  </r>
  <r>
    <s v="Networking Support &amp; Lifecycle Services"/>
    <s v="Services"/>
    <x v="12"/>
    <x v="36"/>
    <x v="35"/>
    <n v="0"/>
    <m/>
    <x v="1"/>
    <x v="0"/>
  </r>
  <r>
    <s v="Networking Support &amp; Lifecycle Services"/>
    <s v="Services"/>
    <x v="12"/>
    <x v="37"/>
    <x v="36"/>
    <n v="0"/>
    <m/>
    <x v="1"/>
    <x v="0"/>
  </r>
  <r>
    <s v="Networking Support &amp; Lifecycle Services"/>
    <s v="Services"/>
    <x v="13"/>
    <x v="38"/>
    <x v="37"/>
    <n v="163"/>
    <m/>
    <x v="1"/>
    <x v="0"/>
  </r>
  <r>
    <s v="Networking Support &amp; Lifecycle Services"/>
    <s v="Services"/>
    <x v="13"/>
    <x v="39"/>
    <x v="38"/>
    <n v="222"/>
    <m/>
    <x v="1"/>
    <x v="0"/>
  </r>
  <r>
    <s v="Networking Support &amp; Lifecycle Services"/>
    <s v="Services"/>
    <x v="13"/>
    <x v="40"/>
    <x v="39"/>
    <n v="0"/>
    <m/>
    <x v="1"/>
    <x v="0"/>
  </r>
  <r>
    <s v="Networking Support &amp; Lifecycle Services"/>
    <s v="Services"/>
    <x v="13"/>
    <x v="37"/>
    <x v="36"/>
    <n v="0"/>
    <m/>
    <x v="1"/>
    <x v="0"/>
  </r>
  <r>
    <s v="Cloud and Network Security Services"/>
    <s v="Services"/>
    <x v="14"/>
    <x v="41"/>
    <x v="40"/>
    <n v="0"/>
    <m/>
    <x v="3"/>
    <x v="0"/>
  </r>
  <r>
    <s v="Cloud and Network Security Services"/>
    <s v="Services"/>
    <x v="14"/>
    <x v="42"/>
    <x v="41"/>
    <n v="13"/>
    <m/>
    <x v="3"/>
    <x v="0"/>
  </r>
  <r>
    <s v="Cloud and Network Security Services"/>
    <s v="Services"/>
    <x v="14"/>
    <x v="43"/>
    <x v="42"/>
    <n v="174"/>
    <m/>
    <x v="3"/>
    <x v="0"/>
  </r>
  <r>
    <s v="Cloud and Network Security Services"/>
    <s v="Services"/>
    <x v="14"/>
    <x v="37"/>
    <x v="36"/>
    <n v="0"/>
    <m/>
    <x v="3"/>
    <x v="0"/>
  </r>
  <r>
    <s v="Zero Trust Services"/>
    <s v="Services"/>
    <x v="15"/>
    <x v="44"/>
    <x v="43"/>
    <n v="0"/>
    <m/>
    <x v="4"/>
    <x v="0"/>
  </r>
  <r>
    <s v="Zero Trust Services"/>
    <s v="Services"/>
    <x v="15"/>
    <x v="37"/>
    <x v="36"/>
    <n v="0"/>
    <m/>
    <x v="4"/>
    <x v="0"/>
  </r>
  <r>
    <s v="Zero Trust Services"/>
    <s v="Services"/>
    <x v="16"/>
    <x v="45"/>
    <x v="44"/>
    <n v="0"/>
    <m/>
    <x v="5"/>
    <x v="0"/>
  </r>
  <r>
    <s v="Zero Trust Services"/>
    <s v="Services"/>
    <x v="16"/>
    <x v="37"/>
    <x v="36"/>
    <n v="0"/>
    <m/>
    <x v="5"/>
    <x v="0"/>
  </r>
  <r>
    <s v="CON-ECMUS-CUBETRDE"/>
    <s v="Services"/>
    <x v="17"/>
    <x v="46"/>
    <x v="45"/>
    <n v="42"/>
    <m/>
    <x v="0"/>
    <x v="0"/>
  </r>
  <r>
    <s v="CON-ECMUS-CUBETRDE"/>
    <s v="Services"/>
    <x v="17"/>
    <x v="46"/>
    <x v="45"/>
    <n v="42"/>
    <m/>
    <x v="0"/>
    <x v="0"/>
  </r>
  <r>
    <s v="CON-SSSNT-BE7MM5K9"/>
    <s v="Services"/>
    <x v="17"/>
    <x v="47"/>
    <x v="46"/>
    <n v="1"/>
    <m/>
    <x v="0"/>
    <x v="0"/>
  </r>
  <r>
    <s v="CON-L1NBD-VG45XK14"/>
    <s v="Services"/>
    <x v="17"/>
    <x v="48"/>
    <x v="47"/>
    <n v="1"/>
    <m/>
    <x v="0"/>
    <x v="0"/>
  </r>
  <r>
    <s v="CON-SSSNT-BE79M5KH"/>
    <s v="Services"/>
    <x v="17"/>
    <x v="49"/>
    <x v="48"/>
    <n v="1"/>
    <m/>
    <x v="0"/>
    <x v="0"/>
  </r>
  <r>
    <s v="CON-SSSNT-BE79M5KH"/>
    <s v="Services"/>
    <x v="17"/>
    <x v="49"/>
    <x v="48"/>
    <n v="1"/>
    <m/>
    <x v="0"/>
    <x v="0"/>
  </r>
  <r>
    <s v="CON-SSSNT-BE79M5KH"/>
    <s v="Services"/>
    <x v="17"/>
    <x v="49"/>
    <x v="48"/>
    <n v="1"/>
    <m/>
    <x v="0"/>
    <x v="0"/>
  </r>
  <r>
    <s v="Cisco Networking"/>
    <s v="Software"/>
    <x v="0"/>
    <x v="0"/>
    <x v="0"/>
    <n v="100"/>
    <s v="NA"/>
    <x v="0"/>
    <x v="1"/>
  </r>
  <r>
    <s v="Cisco Networking"/>
    <s v="Software"/>
    <x v="1"/>
    <x v="1"/>
    <x v="1"/>
    <n v="1"/>
    <s v="Essential"/>
    <x v="0"/>
    <x v="1"/>
  </r>
  <r>
    <s v="Cisco Networking"/>
    <s v="Software"/>
    <x v="1"/>
    <x v="2"/>
    <x v="2"/>
    <n v="1"/>
    <s v="Essential"/>
    <x v="0"/>
    <x v="1"/>
  </r>
  <r>
    <s v="Cisco Networking"/>
    <s v="Software"/>
    <x v="1"/>
    <x v="3"/>
    <x v="3"/>
    <n v="1"/>
    <s v="Advantage"/>
    <x v="0"/>
    <x v="1"/>
  </r>
  <r>
    <s v="Cisco Networking"/>
    <s v="Software"/>
    <x v="1"/>
    <x v="4"/>
    <x v="4"/>
    <n v="1"/>
    <s v="NA"/>
    <x v="0"/>
    <x v="1"/>
  </r>
  <r>
    <s v="Cisco DNA Software"/>
    <s v="Software"/>
    <x v="4"/>
    <x v="50"/>
    <x v="49"/>
    <n v="5"/>
    <s v="Essential"/>
    <x v="0"/>
    <x v="1"/>
  </r>
  <r>
    <s v="Cisco DNA Software"/>
    <s v="Software"/>
    <x v="4"/>
    <x v="13"/>
    <x v="12"/>
    <n v="83"/>
    <s v="Essential"/>
    <x v="0"/>
    <x v="1"/>
  </r>
  <r>
    <s v="Cisco DNA Software"/>
    <s v="Software"/>
    <x v="4"/>
    <x v="16"/>
    <x v="15"/>
    <n v="2"/>
    <s v="Essential"/>
    <x v="0"/>
    <x v="1"/>
  </r>
  <r>
    <s v="Cisco DNA Software"/>
    <s v="Software"/>
    <x v="4"/>
    <x v="17"/>
    <x v="16"/>
    <n v="1"/>
    <s v="NA"/>
    <x v="0"/>
    <x v="1"/>
  </r>
  <r>
    <s v="Zero Trust"/>
    <s v="Software"/>
    <x v="6"/>
    <x v="22"/>
    <x v="21"/>
    <n v="1"/>
    <m/>
    <x v="0"/>
    <x v="1"/>
  </r>
  <r>
    <s v="Zero Trust"/>
    <s v="Software"/>
    <x v="6"/>
    <x v="23"/>
    <x v="22"/>
    <n v="100"/>
    <m/>
    <x v="0"/>
    <x v="1"/>
  </r>
  <r>
    <s v="Zero Trust"/>
    <s v="Software"/>
    <x v="7"/>
    <x v="24"/>
    <x v="23"/>
    <n v="100"/>
    <m/>
    <x v="0"/>
    <x v="1"/>
  </r>
  <r>
    <s v="Zero Trust"/>
    <s v="Software"/>
    <x v="7"/>
    <x v="25"/>
    <x v="24"/>
    <n v="1"/>
    <m/>
    <x v="0"/>
    <x v="1"/>
  </r>
  <r>
    <s v="Cloud and Network Security"/>
    <s v="Software"/>
    <x v="8"/>
    <x v="27"/>
    <x v="26"/>
    <n v="1"/>
    <m/>
    <x v="0"/>
    <x v="1"/>
  </r>
  <r>
    <s v="Cloud and Network Security"/>
    <s v="Software"/>
    <x v="8"/>
    <x v="29"/>
    <x v="28"/>
    <n v="2"/>
    <m/>
    <x v="0"/>
    <x v="1"/>
  </r>
  <r>
    <s v="Cloud and Network Security Services"/>
    <s v="Services"/>
    <x v="14"/>
    <x v="41"/>
    <x v="40"/>
    <n v="0"/>
    <m/>
    <x v="3"/>
    <x v="1"/>
  </r>
  <r>
    <s v="Cloud and Network Security Services"/>
    <s v="Services"/>
    <x v="14"/>
    <x v="43"/>
    <x v="42"/>
    <n v="52"/>
    <m/>
    <x v="3"/>
    <x v="1"/>
  </r>
  <r>
    <s v="Cloud and Network Security Services"/>
    <s v="Services"/>
    <x v="14"/>
    <x v="51"/>
    <x v="50"/>
    <n v="2"/>
    <m/>
    <x v="3"/>
    <x v="1"/>
  </r>
  <r>
    <s v="Cloud and Network Security Services"/>
    <s v="Services"/>
    <x v="14"/>
    <x v="37"/>
    <x v="36"/>
    <n v="0"/>
    <m/>
    <x v="3"/>
    <x v="1"/>
  </r>
  <r>
    <s v="Zero Trust Services"/>
    <s v="Services"/>
    <x v="15"/>
    <x v="52"/>
    <x v="51"/>
    <n v="0"/>
    <m/>
    <x v="3"/>
    <x v="1"/>
  </r>
  <r>
    <s v="Zero Trust Services"/>
    <s v="Services"/>
    <x v="15"/>
    <x v="53"/>
    <x v="52"/>
    <n v="2"/>
    <m/>
    <x v="3"/>
    <x v="1"/>
  </r>
  <r>
    <s v="Zero Trust Services"/>
    <s v="Services"/>
    <x v="15"/>
    <x v="37"/>
    <x v="36"/>
    <n v="0"/>
    <m/>
    <x v="3"/>
    <x v="1"/>
  </r>
  <r>
    <s v="Networking Support &amp; Lifecycle Services"/>
    <s v="Services"/>
    <x v="9"/>
    <x v="30"/>
    <x v="29"/>
    <n v="4"/>
    <m/>
    <x v="1"/>
    <x v="1"/>
  </r>
  <r>
    <s v="Networking Support &amp; Lifecycle Services"/>
    <s v="Services"/>
    <x v="9"/>
    <x v="31"/>
    <x v="30"/>
    <n v="1361"/>
    <m/>
    <x v="1"/>
    <x v="1"/>
  </r>
  <r>
    <s v="Networking Support &amp; Lifecycle Services"/>
    <s v="Services"/>
    <x v="9"/>
    <x v="54"/>
    <x v="53"/>
    <n v="10"/>
    <m/>
    <x v="1"/>
    <x v="1"/>
  </r>
  <r>
    <s v="Networking Support &amp; Lifecycle Services"/>
    <s v="Services"/>
    <x v="10"/>
    <x v="55"/>
    <x v="54"/>
    <n v="1"/>
    <m/>
    <x v="2"/>
    <x v="1"/>
  </r>
  <r>
    <s v="Networking Support &amp; Lifecycle Services"/>
    <s v="Services"/>
    <x v="10"/>
    <x v="33"/>
    <x v="32"/>
    <n v="37"/>
    <m/>
    <x v="2"/>
    <x v="1"/>
  </r>
  <r>
    <s v="Networking Support &amp; Lifecycle Services"/>
    <s v="Services"/>
    <x v="12"/>
    <x v="35"/>
    <x v="34"/>
    <n v="70"/>
    <m/>
    <x v="2"/>
    <x v="1"/>
  </r>
  <r>
    <s v="Networking Support &amp; Lifecycle Services"/>
    <s v="Services"/>
    <x v="13"/>
    <x v="38"/>
    <x v="37"/>
    <n v="2"/>
    <m/>
    <x v="1"/>
    <x v="1"/>
  </r>
  <r>
    <s v="Networking Support &amp; Lifecycle Services"/>
    <s v="Services"/>
    <x v="13"/>
    <x v="39"/>
    <x v="38"/>
    <n v="1019"/>
    <m/>
    <x v="1"/>
    <x v="1"/>
  </r>
  <r>
    <s v="Networking Support &amp; Lifecycle Services"/>
    <s v="Services"/>
    <x v="13"/>
    <x v="40"/>
    <x v="39"/>
    <n v="0"/>
    <m/>
    <x v="1"/>
    <x v="1"/>
  </r>
  <r>
    <s v="Networking Support &amp; Lifecycle Services"/>
    <s v="Services"/>
    <x v="13"/>
    <x v="37"/>
    <x v="36"/>
    <n v="0"/>
    <m/>
    <x v="1"/>
    <x v="1"/>
  </r>
  <r>
    <s v="Cisco Networking"/>
    <s v="Software"/>
    <x v="0"/>
    <x v="0"/>
    <x v="0"/>
    <n v="1985"/>
    <s v="NA"/>
    <x v="0"/>
    <x v="2"/>
  </r>
  <r>
    <s v="Cisco Networking"/>
    <s v="Software"/>
    <x v="0"/>
    <x v="56"/>
    <x v="55"/>
    <n v="92"/>
    <s v="NA"/>
    <x v="0"/>
    <x v="2"/>
  </r>
  <r>
    <s v="Cisco Networking"/>
    <s v="Software"/>
    <x v="0"/>
    <x v="57"/>
    <x v="56"/>
    <n v="2"/>
    <s v="NA"/>
    <x v="0"/>
    <x v="2"/>
  </r>
  <r>
    <s v="Cloud Networking"/>
    <s v="Software"/>
    <x v="3"/>
    <x v="58"/>
    <x v="7"/>
    <n v="22"/>
    <s v="Advantage"/>
    <x v="0"/>
    <x v="2"/>
  </r>
  <r>
    <s v="Cloud Networking"/>
    <s v="Software"/>
    <x v="3"/>
    <x v="7"/>
    <x v="6"/>
    <n v="1"/>
    <s v="NA"/>
    <x v="0"/>
    <x v="2"/>
  </r>
  <r>
    <s v="Cloud Networking"/>
    <s v="Software"/>
    <x v="3"/>
    <x v="59"/>
    <x v="57"/>
    <n v="2"/>
    <s v="Advantage"/>
    <x v="0"/>
    <x v="2"/>
  </r>
  <r>
    <s v="Cloud Networking"/>
    <s v="Software"/>
    <x v="3"/>
    <x v="60"/>
    <x v="8"/>
    <n v="2"/>
    <s v="Advantage"/>
    <x v="0"/>
    <x v="2"/>
  </r>
  <r>
    <s v="Cisco DNA Software"/>
    <s v="Software"/>
    <x v="4"/>
    <x v="61"/>
    <x v="10"/>
    <n v="168"/>
    <s v="Advantage"/>
    <x v="0"/>
    <x v="2"/>
  </r>
  <r>
    <s v="Cisco DNA Software"/>
    <s v="Software"/>
    <x v="4"/>
    <x v="62"/>
    <x v="11"/>
    <n v="1"/>
    <s v="Advantage"/>
    <x v="0"/>
    <x v="2"/>
  </r>
  <r>
    <s v="Cisco DNA Software"/>
    <s v="Software"/>
    <x v="4"/>
    <x v="63"/>
    <x v="13"/>
    <n v="475"/>
    <s v="Advantage"/>
    <x v="0"/>
    <x v="2"/>
  </r>
  <r>
    <s v="Cisco DNA Software"/>
    <s v="Software"/>
    <x v="4"/>
    <x v="64"/>
    <x v="58"/>
    <n v="24"/>
    <s v="Advantage"/>
    <x v="0"/>
    <x v="2"/>
  </r>
  <r>
    <s v="Cisco DNA Software"/>
    <s v="Software"/>
    <x v="4"/>
    <x v="17"/>
    <x v="16"/>
    <n v="1"/>
    <s v="NA"/>
    <x v="0"/>
    <x v="2"/>
  </r>
  <r>
    <s v="Cisco DNA Software"/>
    <s v="Software"/>
    <x v="4"/>
    <x v="65"/>
    <x v="59"/>
    <n v="5"/>
    <s v="Advantage"/>
    <x v="0"/>
    <x v="2"/>
  </r>
  <r>
    <s v="Full Stack Observability"/>
    <s v="Software"/>
    <x v="18"/>
    <x v="66"/>
    <x v="60"/>
    <n v="3000"/>
    <m/>
    <x v="0"/>
    <x v="2"/>
  </r>
  <r>
    <s v="Full Stack Observability"/>
    <s v="Software"/>
    <x v="18"/>
    <x v="67"/>
    <x v="61"/>
    <n v="1"/>
    <m/>
    <x v="0"/>
    <x v="2"/>
  </r>
  <r>
    <s v="Full Stack Observability"/>
    <s v="Software"/>
    <x v="18"/>
    <x v="68"/>
    <x v="62"/>
    <n v="100"/>
    <m/>
    <x v="0"/>
    <x v="2"/>
  </r>
  <r>
    <s v="Zero Trust"/>
    <s v="Software"/>
    <x v="6"/>
    <x v="22"/>
    <x v="21"/>
    <n v="1"/>
    <m/>
    <x v="0"/>
    <x v="2"/>
  </r>
  <r>
    <s v="Zero Trust"/>
    <s v="Software"/>
    <x v="6"/>
    <x v="23"/>
    <x v="22"/>
    <n v="210"/>
    <m/>
    <x v="0"/>
    <x v="2"/>
  </r>
  <r>
    <s v="Zero Trust"/>
    <s v="Software"/>
    <x v="7"/>
    <x v="24"/>
    <x v="23"/>
    <n v="100"/>
    <m/>
    <x v="0"/>
    <x v="2"/>
  </r>
  <r>
    <s v="Zero Trust"/>
    <s v="Software"/>
    <x v="7"/>
    <x v="25"/>
    <x v="24"/>
    <n v="1"/>
    <m/>
    <x v="0"/>
    <x v="2"/>
  </r>
  <r>
    <s v="Zero Trust"/>
    <s v="Software"/>
    <x v="7"/>
    <x v="69"/>
    <x v="63"/>
    <n v="300"/>
    <m/>
    <x v="0"/>
    <x v="2"/>
  </r>
  <r>
    <s v="Zero Trust"/>
    <s v="Software"/>
    <x v="7"/>
    <x v="26"/>
    <x v="25"/>
    <n v="3200"/>
    <m/>
    <x v="0"/>
    <x v="2"/>
  </r>
  <r>
    <s v="Cloud and Network Security"/>
    <s v="Software"/>
    <x v="8"/>
    <x v="27"/>
    <x v="26"/>
    <n v="1"/>
    <m/>
    <x v="0"/>
    <x v="2"/>
  </r>
  <r>
    <s v="Cloud and Network Security"/>
    <s v="Software"/>
    <x v="8"/>
    <x v="70"/>
    <x v="64"/>
    <n v="1"/>
    <m/>
    <x v="0"/>
    <x v="2"/>
  </r>
  <r>
    <s v="Cloud and Network Security"/>
    <s v="Software"/>
    <x v="8"/>
    <x v="71"/>
    <x v="65"/>
    <n v="3"/>
    <m/>
    <x v="0"/>
    <x v="2"/>
  </r>
  <r>
    <s v="Networking Support &amp; Lifecycle Services"/>
    <s v="Services"/>
    <x v="9"/>
    <x v="30"/>
    <x v="29"/>
    <n v="50"/>
    <m/>
    <x v="0"/>
    <x v="2"/>
  </r>
  <r>
    <s v="Networking Support &amp; Lifecycle Services"/>
    <s v="Services"/>
    <x v="9"/>
    <x v="31"/>
    <x v="30"/>
    <n v="31"/>
    <m/>
    <x v="0"/>
    <x v="2"/>
  </r>
  <r>
    <s v="Networking Support &amp; Lifecycle Services"/>
    <s v="Services"/>
    <x v="9"/>
    <x v="54"/>
    <x v="53"/>
    <n v="76"/>
    <m/>
    <x v="0"/>
    <x v="2"/>
  </r>
  <r>
    <s v="Networking Support &amp; Lifecycle Services"/>
    <s v="Services"/>
    <x v="9"/>
    <x v="72"/>
    <x v="66"/>
    <n v="38"/>
    <m/>
    <x v="0"/>
    <x v="2"/>
  </r>
  <r>
    <s v="Networking Support &amp; Lifecycle Services"/>
    <s v="Services"/>
    <x v="10"/>
    <x v="55"/>
    <x v="54"/>
    <n v="6"/>
    <m/>
    <x v="0"/>
    <x v="2"/>
  </r>
  <r>
    <s v="Networking Support &amp; Lifecycle Services"/>
    <s v="Services"/>
    <x v="10"/>
    <x v="32"/>
    <x v="31"/>
    <n v="12"/>
    <m/>
    <x v="0"/>
    <x v="2"/>
  </r>
  <r>
    <s v="Networking Support &amp; Lifecycle Services"/>
    <s v="Services"/>
    <x v="10"/>
    <x v="33"/>
    <x v="32"/>
    <n v="43"/>
    <m/>
    <x v="0"/>
    <x v="2"/>
  </r>
  <r>
    <s v="Networking Support &amp; Lifecycle Services"/>
    <s v="Services"/>
    <x v="11"/>
    <x v="34"/>
    <x v="33"/>
    <n v="4"/>
    <m/>
    <x v="0"/>
    <x v="2"/>
  </r>
  <r>
    <s v="Networking Support &amp; Lifecycle Services"/>
    <s v="Services"/>
    <x v="11"/>
    <x v="73"/>
    <x v="67"/>
    <n v="58"/>
    <m/>
    <x v="0"/>
    <x v="2"/>
  </r>
  <r>
    <s v="Networking Support &amp; Lifecycle Services"/>
    <s v="Services"/>
    <x v="11"/>
    <x v="74"/>
    <x v="68"/>
    <n v="7"/>
    <m/>
    <x v="0"/>
    <x v="2"/>
  </r>
  <r>
    <s v="Networking Support &amp; Lifecycle Services"/>
    <s v="Services"/>
    <x v="12"/>
    <x v="35"/>
    <x v="34"/>
    <n v="2"/>
    <m/>
    <x v="0"/>
    <x v="2"/>
  </r>
  <r>
    <s v="Networking Support &amp; Lifecycle Services"/>
    <s v="Services"/>
    <x v="12"/>
    <x v="75"/>
    <x v="69"/>
    <n v="56"/>
    <m/>
    <x v="0"/>
    <x v="2"/>
  </r>
  <r>
    <s v="Networking Support &amp; Lifecycle Services"/>
    <s v="Services"/>
    <x v="12"/>
    <x v="36"/>
    <x v="35"/>
    <n v="0"/>
    <m/>
    <x v="0"/>
    <x v="2"/>
  </r>
  <r>
    <s v="Networking Support &amp; Lifecycle Services"/>
    <s v="Services"/>
    <x v="13"/>
    <x v="40"/>
    <x v="39"/>
    <n v="0"/>
    <m/>
    <x v="0"/>
    <x v="2"/>
  </r>
  <r>
    <s v="Networking Support &amp; Lifecycle Services"/>
    <s v="Services"/>
    <x v="13"/>
    <x v="76"/>
    <x v="70"/>
    <n v="1298"/>
    <m/>
    <x v="0"/>
    <x v="2"/>
  </r>
  <r>
    <s v="Networking Support &amp; Lifecycle Services"/>
    <s v="Services"/>
    <x v="13"/>
    <x v="39"/>
    <x v="38"/>
    <n v="934"/>
    <m/>
    <x v="0"/>
    <x v="2"/>
  </r>
  <r>
    <s v="Cloud and Network Security Services"/>
    <s v="Services"/>
    <x v="14"/>
    <x v="77"/>
    <x v="71"/>
    <n v="40"/>
    <m/>
    <x v="0"/>
    <x v="2"/>
  </r>
  <r>
    <s v="Cloud and Network Security Services"/>
    <s v="Services"/>
    <x v="14"/>
    <x v="78"/>
    <x v="72"/>
    <n v="8"/>
    <m/>
    <x v="0"/>
    <x v="2"/>
  </r>
  <r>
    <s v="Cloud and Network Security Services"/>
    <s v="Services"/>
    <x v="14"/>
    <x v="79"/>
    <x v="73"/>
    <n v="11"/>
    <m/>
    <x v="0"/>
    <x v="2"/>
  </r>
  <r>
    <s v="Cloud and Network Security Services"/>
    <s v="Services"/>
    <x v="14"/>
    <x v="80"/>
    <x v="74"/>
    <n v="0"/>
    <m/>
    <x v="0"/>
    <x v="2"/>
  </r>
  <r>
    <s v="Zero Trust Services"/>
    <s v="Services"/>
    <x v="15"/>
    <x v="81"/>
    <x v="75"/>
    <n v="0"/>
    <m/>
    <x v="0"/>
    <x v="2"/>
  </r>
  <r>
    <s v="Zero Trust Services"/>
    <s v="Services"/>
    <x v="15"/>
    <x v="82"/>
    <x v="76"/>
    <n v="2"/>
    <m/>
    <x v="0"/>
    <x v="2"/>
  </r>
  <r>
    <s v="Zero Trust Services"/>
    <s v="Services"/>
    <x v="15"/>
    <x v="83"/>
    <x v="77"/>
    <n v="2"/>
    <m/>
    <x v="0"/>
    <x v="2"/>
  </r>
  <r>
    <s v="CON-SSSNT-BE7MM5K9"/>
    <s v="Services"/>
    <x v="17"/>
    <x v="47"/>
    <x v="46"/>
    <n v="1"/>
    <m/>
    <x v="0"/>
    <x v="2"/>
  </r>
  <r>
    <s v="CON-SSSNT-BE7MM5K9"/>
    <s v="Services"/>
    <x v="17"/>
    <x v="47"/>
    <x v="46"/>
    <n v="1"/>
    <m/>
    <x v="0"/>
    <x v="2"/>
  </r>
  <r>
    <s v="CON-SSSNT-BE7MM5K9"/>
    <s v="Services"/>
    <x v="17"/>
    <x v="47"/>
    <x v="46"/>
    <n v="1"/>
    <m/>
    <x v="0"/>
    <x v="2"/>
  </r>
  <r>
    <s v="CON-SSSNT-BE7MM5K9"/>
    <s v="Services"/>
    <x v="17"/>
    <x v="47"/>
    <x v="46"/>
    <n v="1"/>
    <m/>
    <x v="0"/>
    <x v="2"/>
  </r>
  <r>
    <s v="CON-SSSNT-BE7MM5K9"/>
    <s v="Services"/>
    <x v="17"/>
    <x v="47"/>
    <x v="46"/>
    <n v="1"/>
    <m/>
    <x v="0"/>
    <x v="2"/>
  </r>
  <r>
    <s v="CON-SSSNT-BE7MM5K9"/>
    <s v="Services"/>
    <x v="17"/>
    <x v="47"/>
    <x v="46"/>
    <n v="1"/>
    <m/>
    <x v="0"/>
    <x v="2"/>
  </r>
  <r>
    <s v="CON-SSSNT-BE7MM5K9"/>
    <s v="Services"/>
    <x v="17"/>
    <x v="47"/>
    <x v="46"/>
    <n v="1"/>
    <m/>
    <x v="0"/>
    <x v="2"/>
  </r>
  <r>
    <s v="CON-SSSNT-BE7MM5K9"/>
    <s v="Services"/>
    <x v="17"/>
    <x v="47"/>
    <x v="46"/>
    <n v="1"/>
    <m/>
    <x v="0"/>
    <x v="2"/>
  </r>
  <r>
    <s v="CON-SSSNT-BE7MM5K9"/>
    <s v="Services"/>
    <x v="17"/>
    <x v="47"/>
    <x v="46"/>
    <n v="1"/>
    <m/>
    <x v="0"/>
    <x v="2"/>
  </r>
  <r>
    <s v="CON-SSSNT-BE7MM5K9"/>
    <s v="Services"/>
    <x v="17"/>
    <x v="47"/>
    <x v="46"/>
    <n v="1"/>
    <m/>
    <x v="0"/>
    <x v="2"/>
  </r>
  <r>
    <s v="CON-SSSNT-BE7MM5K9"/>
    <s v="Services"/>
    <x v="17"/>
    <x v="47"/>
    <x v="46"/>
    <n v="1"/>
    <m/>
    <x v="0"/>
    <x v="2"/>
  </r>
  <r>
    <s v="CON-SSSNT-BE7MM5K9"/>
    <s v="Services"/>
    <x v="17"/>
    <x v="47"/>
    <x v="46"/>
    <n v="1"/>
    <m/>
    <x v="0"/>
    <x v="2"/>
  </r>
  <r>
    <s v="Cisco Networking"/>
    <s v="Software"/>
    <x v="0"/>
    <x v="0"/>
    <x v="0"/>
    <n v="100"/>
    <s v="NA"/>
    <x v="0"/>
    <x v="3"/>
  </r>
  <r>
    <s v="Cisco Networking"/>
    <s v="Software"/>
    <x v="1"/>
    <x v="84"/>
    <x v="1"/>
    <n v="1"/>
    <s v="Advantage"/>
    <x v="0"/>
    <x v="3"/>
  </r>
  <r>
    <s v="Cisco Networking"/>
    <s v="Software"/>
    <x v="1"/>
    <x v="85"/>
    <x v="2"/>
    <n v="1"/>
    <s v="Advantage"/>
    <x v="0"/>
    <x v="3"/>
  </r>
  <r>
    <s v="Cisco Networking"/>
    <s v="Software"/>
    <x v="1"/>
    <x v="3"/>
    <x v="3"/>
    <n v="1"/>
    <s v="Advantage"/>
    <x v="0"/>
    <x v="3"/>
  </r>
  <r>
    <s v="Cisco Networking"/>
    <s v="Software"/>
    <x v="1"/>
    <x v="4"/>
    <x v="4"/>
    <n v="1"/>
    <s v="NA"/>
    <x v="0"/>
    <x v="3"/>
  </r>
  <r>
    <s v="Cisco Networking"/>
    <s v="Software"/>
    <x v="2"/>
    <x v="86"/>
    <x v="5"/>
    <n v="1"/>
    <s v="Advantage"/>
    <x v="0"/>
    <x v="3"/>
  </r>
  <r>
    <s v="Cisco Networking"/>
    <s v="Software"/>
    <x v="2"/>
    <x v="5"/>
    <x v="4"/>
    <n v="1"/>
    <s v="NA"/>
    <x v="0"/>
    <x v="3"/>
  </r>
  <r>
    <s v="Cloud Networking"/>
    <s v="Software"/>
    <x v="3"/>
    <x v="58"/>
    <x v="7"/>
    <n v="11"/>
    <s v="Advantage"/>
    <x v="0"/>
    <x v="3"/>
  </r>
  <r>
    <s v="Cloud Networking"/>
    <s v="Software"/>
    <x v="3"/>
    <x v="7"/>
    <x v="6"/>
    <n v="1"/>
    <s v="NA"/>
    <x v="0"/>
    <x v="3"/>
  </r>
  <r>
    <s v="Cloud Networking"/>
    <s v="Software"/>
    <x v="3"/>
    <x v="59"/>
    <x v="57"/>
    <n v="2"/>
    <s v="Advantage"/>
    <x v="0"/>
    <x v="3"/>
  </r>
  <r>
    <s v="Cisco DNA Software"/>
    <s v="Software"/>
    <x v="4"/>
    <x v="61"/>
    <x v="10"/>
    <n v="113"/>
    <s v="Advantage"/>
    <x v="0"/>
    <x v="3"/>
  </r>
  <r>
    <s v="Cisco DNA Software"/>
    <s v="Software"/>
    <x v="4"/>
    <x v="87"/>
    <x v="78"/>
    <n v="6"/>
    <s v="Advantage"/>
    <x v="0"/>
    <x v="3"/>
  </r>
  <r>
    <s v="Cisco DNA Software"/>
    <s v="Software"/>
    <x v="4"/>
    <x v="62"/>
    <x v="11"/>
    <n v="27"/>
    <s v="Advantage"/>
    <x v="0"/>
    <x v="3"/>
  </r>
  <r>
    <s v="Cisco DNA Software"/>
    <s v="Software"/>
    <x v="4"/>
    <x v="88"/>
    <x v="9"/>
    <n v="2"/>
    <s v="Advantage"/>
    <x v="0"/>
    <x v="3"/>
  </r>
  <r>
    <s v="Cisco DNA Software"/>
    <s v="Software"/>
    <x v="4"/>
    <x v="63"/>
    <x v="13"/>
    <n v="185"/>
    <s v="Advantage"/>
    <x v="0"/>
    <x v="3"/>
  </r>
  <r>
    <s v="Cisco DNA Software"/>
    <s v="Software"/>
    <x v="4"/>
    <x v="64"/>
    <x v="58"/>
    <n v="111"/>
    <s v="Advantage"/>
    <x v="0"/>
    <x v="3"/>
  </r>
  <r>
    <s v="Cisco DNA Software"/>
    <s v="Software"/>
    <x v="4"/>
    <x v="89"/>
    <x v="18"/>
    <n v="16"/>
    <s v="Advantage"/>
    <x v="0"/>
    <x v="3"/>
  </r>
  <r>
    <s v="Cisco DNA Software"/>
    <s v="Software"/>
    <x v="4"/>
    <x v="17"/>
    <x v="16"/>
    <n v="1"/>
    <s v="NA"/>
    <x v="0"/>
    <x v="3"/>
  </r>
  <r>
    <s v="Cisco DNA Software"/>
    <s v="Software"/>
    <x v="19"/>
    <x v="90"/>
    <x v="79"/>
    <n v="1"/>
    <s v="NA"/>
    <x v="0"/>
    <x v="3"/>
  </r>
  <r>
    <s v="Cisco DNA Software"/>
    <s v="Software"/>
    <x v="19"/>
    <x v="91"/>
    <x v="80"/>
    <n v="22"/>
    <s v="Advantage"/>
    <x v="0"/>
    <x v="3"/>
  </r>
  <r>
    <s v="Cisco DNA Software"/>
    <s v="Software"/>
    <x v="19"/>
    <x v="92"/>
    <x v="81"/>
    <n v="1"/>
    <s v="Advantage"/>
    <x v="0"/>
    <x v="3"/>
  </r>
  <r>
    <s v="Cisco DNA Software"/>
    <s v="Software"/>
    <x v="5"/>
    <x v="93"/>
    <x v="19"/>
    <n v="345"/>
    <s v="Advantage"/>
    <x v="0"/>
    <x v="3"/>
  </r>
  <r>
    <s v="Cisco DNA Software"/>
    <s v="Software"/>
    <x v="5"/>
    <x v="21"/>
    <x v="20"/>
    <n v="1"/>
    <s v="NA"/>
    <x v="0"/>
    <x v="3"/>
  </r>
  <r>
    <s v="Zero Trust"/>
    <s v="Software"/>
    <x v="6"/>
    <x v="22"/>
    <x v="21"/>
    <n v="1"/>
    <m/>
    <x v="0"/>
    <x v="3"/>
  </r>
  <r>
    <s v="Zero Trust"/>
    <s v="Software"/>
    <x v="6"/>
    <x v="23"/>
    <x v="22"/>
    <n v="100"/>
    <m/>
    <x v="0"/>
    <x v="3"/>
  </r>
  <r>
    <s v="Zero Trust"/>
    <s v="Software"/>
    <x v="7"/>
    <x v="24"/>
    <x v="23"/>
    <n v="840"/>
    <m/>
    <x v="0"/>
    <x v="3"/>
  </r>
  <r>
    <s v="Zero Trust"/>
    <s v="Software"/>
    <x v="7"/>
    <x v="25"/>
    <x v="24"/>
    <n v="1"/>
    <m/>
    <x v="0"/>
    <x v="3"/>
  </r>
  <r>
    <s v="Zero Trust"/>
    <s v="Software"/>
    <x v="7"/>
    <x v="69"/>
    <x v="63"/>
    <n v="740"/>
    <m/>
    <x v="0"/>
    <x v="3"/>
  </r>
  <r>
    <s v="Zero Trust"/>
    <s v="Software"/>
    <x v="7"/>
    <x v="26"/>
    <x v="25"/>
    <n v="2300"/>
    <m/>
    <x v="0"/>
    <x v="3"/>
  </r>
  <r>
    <s v="Networking Support &amp; Lifecycle Services"/>
    <s v="Services"/>
    <x v="9"/>
    <x v="94"/>
    <x v="82"/>
    <n v="0"/>
    <m/>
    <x v="6"/>
    <x v="3"/>
  </r>
  <r>
    <s v="Networking Support &amp; Lifecycle Services"/>
    <s v="Services"/>
    <x v="9"/>
    <x v="95"/>
    <x v="83"/>
    <n v="11"/>
    <m/>
    <x v="6"/>
    <x v="3"/>
  </r>
  <r>
    <s v="Networking Support &amp; Lifecycle Services"/>
    <s v="Services"/>
    <x v="9"/>
    <x v="96"/>
    <x v="84"/>
    <n v="1322"/>
    <m/>
    <x v="6"/>
    <x v="3"/>
  </r>
  <r>
    <s v="Networking Support &amp; Lifecycle Services"/>
    <s v="Services"/>
    <x v="9"/>
    <x v="97"/>
    <x v="85"/>
    <n v="25"/>
    <m/>
    <x v="6"/>
    <x v="3"/>
  </r>
  <r>
    <s v="Networking Support &amp; Lifecycle Services"/>
    <s v="Services"/>
    <x v="9"/>
    <x v="37"/>
    <x v="36"/>
    <n v="0"/>
    <m/>
    <x v="6"/>
    <x v="3"/>
  </r>
  <r>
    <s v="Networking Support &amp; Lifecycle Services"/>
    <s v="Services"/>
    <x v="9"/>
    <x v="98"/>
    <x v="86"/>
    <n v="21"/>
    <m/>
    <x v="6"/>
    <x v="3"/>
  </r>
  <r>
    <s v="Networking Support &amp; Lifecycle Services"/>
    <s v="Services"/>
    <x v="10"/>
    <x v="99"/>
    <x v="87"/>
    <n v="4"/>
    <m/>
    <x v="2"/>
    <x v="3"/>
  </r>
  <r>
    <s v="Networking Support &amp; Lifecycle Services"/>
    <s v="Services"/>
    <x v="10"/>
    <x v="100"/>
    <x v="88"/>
    <n v="68"/>
    <m/>
    <x v="2"/>
    <x v="3"/>
  </r>
  <r>
    <s v="Networking Support &amp; Lifecycle Services"/>
    <s v="Services"/>
    <x v="10"/>
    <x v="101"/>
    <x v="89"/>
    <n v="70"/>
    <m/>
    <x v="2"/>
    <x v="3"/>
  </r>
  <r>
    <s v="Networking Support &amp; Lifecycle Services"/>
    <s v="Services"/>
    <x v="11"/>
    <x v="34"/>
    <x v="33"/>
    <n v="9"/>
    <m/>
    <x v="2"/>
    <x v="3"/>
  </r>
  <r>
    <s v="Networking Support &amp; Lifecycle Services"/>
    <s v="Services"/>
    <x v="12"/>
    <x v="102"/>
    <x v="90"/>
    <n v="0"/>
    <m/>
    <x v="6"/>
    <x v="3"/>
  </r>
  <r>
    <s v="Networking Support &amp; Lifecycle Services"/>
    <s v="Services"/>
    <x v="12"/>
    <x v="103"/>
    <x v="91"/>
    <n v="1"/>
    <m/>
    <x v="6"/>
    <x v="3"/>
  </r>
  <r>
    <s v="Networking Support &amp; Lifecycle Services"/>
    <s v="Services"/>
    <x v="12"/>
    <x v="104"/>
    <x v="92"/>
    <n v="1"/>
    <m/>
    <x v="6"/>
    <x v="3"/>
  </r>
  <r>
    <s v="Networking Support &amp; Lifecycle Services"/>
    <s v="Services"/>
    <x v="12"/>
    <x v="105"/>
    <x v="93"/>
    <n v="9"/>
    <m/>
    <x v="6"/>
    <x v="3"/>
  </r>
  <r>
    <s v="Networking Support &amp; Lifecycle Services"/>
    <s v="Services"/>
    <x v="12"/>
    <x v="37"/>
    <x v="36"/>
    <n v="0"/>
    <m/>
    <x v="6"/>
    <x v="3"/>
  </r>
  <r>
    <s v="Networking Support &amp; Lifecycle Services"/>
    <s v="Services"/>
    <x v="13"/>
    <x v="106"/>
    <x v="94"/>
    <n v="355"/>
    <m/>
    <x v="6"/>
    <x v="3"/>
  </r>
  <r>
    <s v="Networking Support &amp; Lifecycle Services"/>
    <s v="Services"/>
    <x v="13"/>
    <x v="107"/>
    <x v="95"/>
    <n v="450"/>
    <m/>
    <x v="6"/>
    <x v="3"/>
  </r>
  <r>
    <s v="Networking Support &amp; Lifecycle Services"/>
    <s v="Services"/>
    <x v="13"/>
    <x v="108"/>
    <x v="96"/>
    <n v="6057"/>
    <m/>
    <x v="6"/>
    <x v="3"/>
  </r>
  <r>
    <s v="Networking Support &amp; Lifecycle Services"/>
    <s v="Services"/>
    <x v="13"/>
    <x v="109"/>
    <x v="97"/>
    <n v="0"/>
    <m/>
    <x v="6"/>
    <x v="3"/>
  </r>
  <r>
    <s v="Networking Support &amp; Lifecycle Services"/>
    <s v="Services"/>
    <x v="13"/>
    <x v="37"/>
    <x v="36"/>
    <n v="0"/>
    <m/>
    <x v="6"/>
    <x v="3"/>
  </r>
  <r>
    <s v="Cloud and Network Security Services"/>
    <s v="Services"/>
    <x v="14"/>
    <x v="110"/>
    <x v="41"/>
    <n v="2"/>
    <m/>
    <x v="7"/>
    <x v="3"/>
  </r>
  <r>
    <s v="Cloud and Network Security Services"/>
    <s v="Services"/>
    <x v="14"/>
    <x v="111"/>
    <x v="98"/>
    <n v="42"/>
    <m/>
    <x v="7"/>
    <x v="3"/>
  </r>
  <r>
    <s v="Zero Trust Services"/>
    <s v="Services"/>
    <x v="15"/>
    <x v="112"/>
    <x v="99"/>
    <n v="1"/>
    <m/>
    <x v="7"/>
    <x v="3"/>
  </r>
  <r>
    <s v="Zero Trust Services"/>
    <s v="Services"/>
    <x v="15"/>
    <x v="113"/>
    <x v="100"/>
    <n v="33"/>
    <m/>
    <x v="7"/>
    <x v="3"/>
  </r>
  <r>
    <s v="Zero Trust Services"/>
    <s v="Services"/>
    <x v="15"/>
    <x v="114"/>
    <x v="101"/>
    <n v="0"/>
    <m/>
    <x v="7"/>
    <x v="3"/>
  </r>
  <r>
    <s v="Zero Trust Services"/>
    <s v="Services"/>
    <x v="15"/>
    <x v="37"/>
    <x v="36"/>
    <n v="0"/>
    <m/>
    <x v="7"/>
    <x v="3"/>
  </r>
  <r>
    <s v="CON-SSSNT-LCTUPG"/>
    <s v="Services"/>
    <x v="17"/>
    <x v="115"/>
    <x v="102"/>
    <n v="1"/>
    <m/>
    <x v="0"/>
    <x v="3"/>
  </r>
  <r>
    <m/>
    <s v="Services"/>
    <x v="17"/>
    <x v="116"/>
    <x v="103"/>
    <n v="1"/>
    <m/>
    <x v="0"/>
    <x v="3"/>
  </r>
  <r>
    <s v="CON-SSSNT-LCTUPG"/>
    <s v="Services"/>
    <x v="17"/>
    <x v="115"/>
    <x v="102"/>
    <n v="1"/>
    <m/>
    <x v="0"/>
    <x v="3"/>
  </r>
  <r>
    <m/>
    <s v="Services"/>
    <x v="17"/>
    <x v="116"/>
    <x v="103"/>
    <n v="1"/>
    <m/>
    <x v="0"/>
    <x v="3"/>
  </r>
  <r>
    <s v="CON-SSSNT-LCTUPG"/>
    <s v="Services"/>
    <x v="17"/>
    <x v="115"/>
    <x v="102"/>
    <n v="1"/>
    <m/>
    <x v="0"/>
    <x v="3"/>
  </r>
  <r>
    <m/>
    <s v="Services"/>
    <x v="17"/>
    <x v="116"/>
    <x v="103"/>
    <n v="1"/>
    <m/>
    <x v="0"/>
    <x v="3"/>
  </r>
  <r>
    <s v="CON-SSSNT-LCTUPG"/>
    <s v="Services"/>
    <x v="17"/>
    <x v="115"/>
    <x v="102"/>
    <n v="1"/>
    <m/>
    <x v="0"/>
    <x v="3"/>
  </r>
  <r>
    <m/>
    <s v="Services"/>
    <x v="17"/>
    <x v="116"/>
    <x v="103"/>
    <n v="1"/>
    <m/>
    <x v="0"/>
    <x v="3"/>
  </r>
  <r>
    <s v="CON-SSSNT-ONS155I1"/>
    <s v="Services"/>
    <x v="17"/>
    <x v="117"/>
    <x v="104"/>
    <n v="1"/>
    <m/>
    <x v="0"/>
    <x v="3"/>
  </r>
  <r>
    <s v="CON-SSSNT-ONS155I1"/>
    <s v="Services"/>
    <x v="17"/>
    <x v="117"/>
    <x v="104"/>
    <n v="1"/>
    <m/>
    <x v="0"/>
    <x v="3"/>
  </r>
  <r>
    <s v="CON-SSSNT-ONS155I1"/>
    <s v="Services"/>
    <x v="17"/>
    <x v="117"/>
    <x v="104"/>
    <n v="1"/>
    <m/>
    <x v="0"/>
    <x v="3"/>
  </r>
  <r>
    <s v="CON-SSSNT-ONS155I1"/>
    <s v="Services"/>
    <x v="17"/>
    <x v="117"/>
    <x v="104"/>
    <n v="1"/>
    <m/>
    <x v="0"/>
    <x v="3"/>
  </r>
  <r>
    <s v="CON-ECMUS-LCT25A"/>
    <s v="Services"/>
    <x v="17"/>
    <x v="118"/>
    <x v="105"/>
    <n v="1"/>
    <m/>
    <x v="0"/>
    <x v="3"/>
  </r>
  <r>
    <s v="CON-SSSNT-LCTUPG"/>
    <s v="Services"/>
    <x v="17"/>
    <x v="119"/>
    <x v="106"/>
    <n v="1"/>
    <m/>
    <x v="0"/>
    <x v="3"/>
  </r>
  <r>
    <m/>
    <s v="Services"/>
    <x v="17"/>
    <x v="118"/>
    <x v="105"/>
    <n v="1"/>
    <m/>
    <x v="0"/>
    <x v="3"/>
  </r>
  <r>
    <s v="CON-SSSNT-ONS155I1"/>
    <s v="Services"/>
    <x v="17"/>
    <x v="120"/>
    <x v="104"/>
    <n v="1"/>
    <m/>
    <x v="0"/>
    <x v="3"/>
  </r>
  <r>
    <s v="CON-SSSNT-ONS155I1"/>
    <s v="Services"/>
    <x v="17"/>
    <x v="120"/>
    <x v="104"/>
    <n v="1"/>
    <m/>
    <x v="0"/>
    <x v="3"/>
  </r>
  <r>
    <s v="CON-SSSNT-ONS155I1"/>
    <s v="Services"/>
    <x v="17"/>
    <x v="120"/>
    <x v="104"/>
    <n v="1"/>
    <m/>
    <x v="0"/>
    <x v="3"/>
  </r>
  <r>
    <s v="CON-SSSNT-ONS155I1"/>
    <s v="Services"/>
    <x v="17"/>
    <x v="120"/>
    <x v="104"/>
    <n v="1"/>
    <m/>
    <x v="0"/>
    <x v="3"/>
  </r>
  <r>
    <s v="CON-SSSNT-SI2GL1"/>
    <s v="Services"/>
    <x v="17"/>
    <x v="121"/>
    <x v="107"/>
    <n v="1"/>
    <m/>
    <x v="0"/>
    <x v="3"/>
  </r>
  <r>
    <s v="CON-SSSNT-SI2GL1"/>
    <s v="Services"/>
    <x v="17"/>
    <x v="121"/>
    <x v="107"/>
    <n v="1"/>
    <m/>
    <x v="0"/>
    <x v="3"/>
  </r>
  <r>
    <s v="CON-SSSNT-SIGESX"/>
    <s v="Services"/>
    <x v="17"/>
    <x v="122"/>
    <x v="108"/>
    <n v="1"/>
    <m/>
    <x v="0"/>
    <x v="3"/>
  </r>
  <r>
    <s v="CON-SSSNT-SIGESX"/>
    <s v="Services"/>
    <x v="17"/>
    <x v="122"/>
    <x v="108"/>
    <n v="1"/>
    <m/>
    <x v="0"/>
    <x v="3"/>
  </r>
  <r>
    <s v="CON-SSSNT-SIGESX"/>
    <s v="Services"/>
    <x v="17"/>
    <x v="122"/>
    <x v="108"/>
    <n v="1"/>
    <m/>
    <x v="0"/>
    <x v="3"/>
  </r>
  <r>
    <s v="CON-SSSNT-SIGESX"/>
    <s v="Services"/>
    <x v="17"/>
    <x v="122"/>
    <x v="108"/>
    <n v="1"/>
    <m/>
    <x v="0"/>
    <x v="3"/>
  </r>
  <r>
    <s v="CON-SSSNT-SIGESX"/>
    <s v="Services"/>
    <x v="17"/>
    <x v="122"/>
    <x v="108"/>
    <n v="1"/>
    <m/>
    <x v="0"/>
    <x v="3"/>
  </r>
  <r>
    <s v="CON-SSSNT-SIGESX"/>
    <s v="Services"/>
    <x v="17"/>
    <x v="122"/>
    <x v="108"/>
    <n v="1"/>
    <m/>
    <x v="0"/>
    <x v="3"/>
  </r>
  <r>
    <s v="CON-SSSNT-SIGESX"/>
    <s v="Services"/>
    <x v="17"/>
    <x v="122"/>
    <x v="108"/>
    <n v="1"/>
    <m/>
    <x v="0"/>
    <x v="3"/>
  </r>
  <r>
    <s v="CON-SSSNT-SIGESX"/>
    <s v="Services"/>
    <x v="17"/>
    <x v="122"/>
    <x v="108"/>
    <n v="1"/>
    <m/>
    <x v="0"/>
    <x v="3"/>
  </r>
  <r>
    <s v="CON-SSSNT-SIGESX"/>
    <s v="Services"/>
    <x v="17"/>
    <x v="122"/>
    <x v="108"/>
    <n v="1"/>
    <m/>
    <x v="0"/>
    <x v="3"/>
  </r>
  <r>
    <s v="CON-SSSNT-SIGESX"/>
    <s v="Services"/>
    <x v="17"/>
    <x v="122"/>
    <x v="108"/>
    <n v="1"/>
    <m/>
    <x v="0"/>
    <x v="3"/>
  </r>
  <r>
    <s v="CON-SSSNT-SI2GL1"/>
    <s v="Services"/>
    <x v="17"/>
    <x v="121"/>
    <x v="107"/>
    <n v="1"/>
    <m/>
    <x v="0"/>
    <x v="3"/>
  </r>
  <r>
    <s v="CON-SSSNT-SI2GL1"/>
    <s v="Services"/>
    <x v="17"/>
    <x v="121"/>
    <x v="107"/>
    <n v="1"/>
    <m/>
    <x v="0"/>
    <x v="3"/>
  </r>
  <r>
    <s v="CON-SSSNT-SIGESX"/>
    <s v="Services"/>
    <x v="17"/>
    <x v="122"/>
    <x v="108"/>
    <n v="1"/>
    <m/>
    <x v="0"/>
    <x v="3"/>
  </r>
  <r>
    <s v="CON-SSSNT-SIGESX"/>
    <s v="Services"/>
    <x v="17"/>
    <x v="122"/>
    <x v="108"/>
    <n v="1"/>
    <m/>
    <x v="0"/>
    <x v="3"/>
  </r>
  <r>
    <s v="CON-SSSNT-SIGESX"/>
    <s v="Services"/>
    <x v="17"/>
    <x v="122"/>
    <x v="108"/>
    <n v="1"/>
    <m/>
    <x v="0"/>
    <x v="3"/>
  </r>
  <r>
    <s v="CON-SSSNT-SIGESX"/>
    <s v="Services"/>
    <x v="17"/>
    <x v="122"/>
    <x v="108"/>
    <n v="1"/>
    <m/>
    <x v="0"/>
    <x v="3"/>
  </r>
  <r>
    <s v="CON-SSSNT-SIGESX"/>
    <s v="Services"/>
    <x v="17"/>
    <x v="122"/>
    <x v="108"/>
    <n v="1"/>
    <m/>
    <x v="0"/>
    <x v="3"/>
  </r>
  <r>
    <s v="CON-SSSNT-SIGESX"/>
    <s v="Services"/>
    <x v="17"/>
    <x v="122"/>
    <x v="108"/>
    <n v="1"/>
    <m/>
    <x v="0"/>
    <x v="3"/>
  </r>
  <r>
    <s v="CON-SSSNT-SIGESX"/>
    <s v="Services"/>
    <x v="17"/>
    <x v="122"/>
    <x v="108"/>
    <n v="1"/>
    <m/>
    <x v="0"/>
    <x v="3"/>
  </r>
  <r>
    <s v="CON-SSSNT-SIGESX"/>
    <s v="Services"/>
    <x v="17"/>
    <x v="122"/>
    <x v="108"/>
    <n v="1"/>
    <m/>
    <x v="0"/>
    <x v="3"/>
  </r>
  <r>
    <s v="CON-SSSNT-SIGESX"/>
    <s v="Services"/>
    <x v="17"/>
    <x v="122"/>
    <x v="108"/>
    <n v="1"/>
    <m/>
    <x v="0"/>
    <x v="3"/>
  </r>
  <r>
    <s v="CON-SSSNT-SIGESX"/>
    <s v="Services"/>
    <x v="17"/>
    <x v="122"/>
    <x v="108"/>
    <n v="1"/>
    <m/>
    <x v="0"/>
    <x v="3"/>
  </r>
  <r>
    <s v="CON-L1SW-LCT255A"/>
    <s v="Services"/>
    <x v="17"/>
    <x v="123"/>
    <x v="109"/>
    <n v="1"/>
    <m/>
    <x v="0"/>
    <x v="3"/>
  </r>
  <r>
    <s v="CON-ECMUS-LCT25UP"/>
    <s v="Services"/>
    <x v="17"/>
    <x v="124"/>
    <x v="110"/>
    <n v="1"/>
    <m/>
    <x v="0"/>
    <x v="3"/>
  </r>
  <r>
    <s v="CON-ECMUS-LCT255A"/>
    <s v="Services"/>
    <x v="17"/>
    <x v="123"/>
    <x v="109"/>
    <n v="1"/>
    <m/>
    <x v="0"/>
    <x v="3"/>
  </r>
  <r>
    <s v="CON-ECMUS-LICCT55A"/>
    <s v="Services"/>
    <x v="17"/>
    <x v="125"/>
    <x v="111"/>
    <n v="1"/>
    <m/>
    <x v="0"/>
    <x v="3"/>
  </r>
  <r>
    <s v="CON-SSSNT-LCTUPG"/>
    <s v="Services"/>
    <x v="17"/>
    <x v="115"/>
    <x v="102"/>
    <n v="1"/>
    <m/>
    <x v="0"/>
    <x v="3"/>
  </r>
  <r>
    <m/>
    <s v="Services"/>
    <x v="17"/>
    <x v="125"/>
    <x v="111"/>
    <n v="1"/>
    <m/>
    <x v="0"/>
    <x v="3"/>
  </r>
  <r>
    <s v="CON-SSSNT-ONS622L2"/>
    <s v="Services"/>
    <x v="17"/>
    <x v="126"/>
    <x v="112"/>
    <n v="1"/>
    <m/>
    <x v="0"/>
    <x v="3"/>
  </r>
  <r>
    <s v="CON-SSSNT-ONSFX"/>
    <s v="Services"/>
    <x v="17"/>
    <x v="127"/>
    <x v="113"/>
    <n v="1"/>
    <m/>
    <x v="0"/>
    <x v="3"/>
  </r>
  <r>
    <s v="CON-SSSNT-ONSFX"/>
    <s v="Services"/>
    <x v="17"/>
    <x v="127"/>
    <x v="113"/>
    <n v="1"/>
    <m/>
    <x v="0"/>
    <x v="3"/>
  </r>
  <r>
    <s v="CON-SSSNT-ONSFX"/>
    <s v="Services"/>
    <x v="17"/>
    <x v="127"/>
    <x v="113"/>
    <n v="1"/>
    <m/>
    <x v="0"/>
    <x v="3"/>
  </r>
  <r>
    <s v="CON-SSSNT-ONSFX"/>
    <s v="Services"/>
    <x v="17"/>
    <x v="127"/>
    <x v="113"/>
    <n v="1"/>
    <m/>
    <x v="0"/>
    <x v="3"/>
  </r>
  <r>
    <s v="CON-SSSNT-ONSFX"/>
    <s v="Services"/>
    <x v="17"/>
    <x v="127"/>
    <x v="113"/>
    <n v="1"/>
    <m/>
    <x v="0"/>
    <x v="3"/>
  </r>
  <r>
    <s v="CON-SSSNT-ONSFX"/>
    <s v="Services"/>
    <x v="17"/>
    <x v="127"/>
    <x v="113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2G-I1"/>
    <s v="Services"/>
    <x v="17"/>
    <x v="129"/>
    <x v="115"/>
    <n v="1"/>
    <m/>
    <x v="0"/>
    <x v="3"/>
  </r>
  <r>
    <s v="CON-SSSNT-2G-I1"/>
    <s v="Services"/>
    <x v="17"/>
    <x v="129"/>
    <x v="115"/>
    <n v="1"/>
    <m/>
    <x v="0"/>
    <x v="3"/>
  </r>
  <r>
    <s v="CON-SSSNT-2G-I1"/>
    <s v="Services"/>
    <x v="17"/>
    <x v="129"/>
    <x v="115"/>
    <n v="1"/>
    <m/>
    <x v="0"/>
    <x v="3"/>
  </r>
  <r>
    <s v="CON-SSSNT-2G-I1"/>
    <s v="Services"/>
    <x v="17"/>
    <x v="129"/>
    <x v="115"/>
    <n v="1"/>
    <m/>
    <x v="0"/>
    <x v="3"/>
  </r>
  <r>
    <s v="CON-SSSNT-2G-I1"/>
    <s v="Services"/>
    <x v="17"/>
    <x v="129"/>
    <x v="115"/>
    <n v="1"/>
    <m/>
    <x v="0"/>
    <x v="3"/>
  </r>
  <r>
    <s v="CON-SSSNT-2G-I1"/>
    <s v="Services"/>
    <x v="17"/>
    <x v="129"/>
    <x v="115"/>
    <n v="1"/>
    <m/>
    <x v="0"/>
    <x v="3"/>
  </r>
  <r>
    <s v="CON-SSSNT-2G-I1"/>
    <s v="Services"/>
    <x v="17"/>
    <x v="129"/>
    <x v="115"/>
    <n v="1"/>
    <m/>
    <x v="0"/>
    <x v="3"/>
  </r>
  <r>
    <s v="CON-SSSNT-2G-I1"/>
    <s v="Services"/>
    <x v="17"/>
    <x v="129"/>
    <x v="115"/>
    <n v="1"/>
    <m/>
    <x v="0"/>
    <x v="3"/>
  </r>
  <r>
    <s v="CON-SSSNT-2G-I1"/>
    <s v="Services"/>
    <x v="17"/>
    <x v="129"/>
    <x v="115"/>
    <n v="1"/>
    <m/>
    <x v="0"/>
    <x v="3"/>
  </r>
  <r>
    <s v="CON-SSSNT-2G-I1"/>
    <s v="Services"/>
    <x v="17"/>
    <x v="129"/>
    <x v="115"/>
    <n v="1"/>
    <m/>
    <x v="0"/>
    <x v="3"/>
  </r>
  <r>
    <s v="CON-SSSNT-2G-I1"/>
    <s v="Services"/>
    <x v="17"/>
    <x v="129"/>
    <x v="115"/>
    <n v="1"/>
    <m/>
    <x v="0"/>
    <x v="3"/>
  </r>
  <r>
    <s v="CON-SSSNT-2G-I1"/>
    <s v="Services"/>
    <x v="17"/>
    <x v="129"/>
    <x v="115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ONS155I1"/>
    <s v="Services"/>
    <x v="17"/>
    <x v="117"/>
    <x v="10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2G-I1"/>
    <s v="Services"/>
    <x v="17"/>
    <x v="129"/>
    <x v="115"/>
    <n v="1"/>
    <m/>
    <x v="0"/>
    <x v="3"/>
  </r>
  <r>
    <s v="CON-L1NBD-CT2CG2SM"/>
    <s v="Services"/>
    <x v="17"/>
    <x v="131"/>
    <x v="117"/>
    <n v="1"/>
    <m/>
    <x v="0"/>
    <x v="3"/>
  </r>
  <r>
    <m/>
    <s v="Services"/>
    <x v="17"/>
    <x v="132"/>
    <x v="118"/>
    <n v="1"/>
    <m/>
    <x v="0"/>
    <x v="3"/>
  </r>
  <r>
    <m/>
    <s v="Services"/>
    <x v="17"/>
    <x v="133"/>
    <x v="119"/>
    <n v="1"/>
    <m/>
    <x v="0"/>
    <x v="3"/>
  </r>
  <r>
    <m/>
    <s v="Services"/>
    <x v="17"/>
    <x v="134"/>
    <x v="120"/>
    <n v="1"/>
    <m/>
    <x v="0"/>
    <x v="3"/>
  </r>
  <r>
    <m/>
    <s v="Services"/>
    <x v="17"/>
    <x v="135"/>
    <x v="121"/>
    <n v="1"/>
    <m/>
    <x v="0"/>
    <x v="3"/>
  </r>
  <r>
    <m/>
    <s v="Services"/>
    <x v="17"/>
    <x v="136"/>
    <x v="122"/>
    <n v="1"/>
    <m/>
    <x v="0"/>
    <x v="3"/>
  </r>
  <r>
    <s v="CON-L1NBD-CT2CG2SM"/>
    <s v="Services"/>
    <x v="17"/>
    <x v="131"/>
    <x v="117"/>
    <n v="1"/>
    <m/>
    <x v="0"/>
    <x v="3"/>
  </r>
  <r>
    <m/>
    <s v="Services"/>
    <x v="17"/>
    <x v="134"/>
    <x v="120"/>
    <n v="1"/>
    <m/>
    <x v="0"/>
    <x v="3"/>
  </r>
  <r>
    <m/>
    <s v="Services"/>
    <x v="17"/>
    <x v="133"/>
    <x v="119"/>
    <n v="1"/>
    <m/>
    <x v="0"/>
    <x v="3"/>
  </r>
  <r>
    <m/>
    <s v="Services"/>
    <x v="17"/>
    <x v="132"/>
    <x v="118"/>
    <n v="1"/>
    <m/>
    <x v="0"/>
    <x v="3"/>
  </r>
  <r>
    <m/>
    <s v="Services"/>
    <x v="17"/>
    <x v="136"/>
    <x v="122"/>
    <n v="1"/>
    <m/>
    <x v="0"/>
    <x v="3"/>
  </r>
  <r>
    <m/>
    <s v="Services"/>
    <x v="17"/>
    <x v="135"/>
    <x v="121"/>
    <n v="1"/>
    <m/>
    <x v="0"/>
    <x v="3"/>
  </r>
  <r>
    <s v="CON-L1NBD-CT2CG2SM"/>
    <s v="Services"/>
    <x v="17"/>
    <x v="131"/>
    <x v="117"/>
    <n v="1"/>
    <m/>
    <x v="0"/>
    <x v="3"/>
  </r>
  <r>
    <m/>
    <s v="Services"/>
    <x v="17"/>
    <x v="133"/>
    <x v="119"/>
    <n v="1"/>
    <m/>
    <x v="0"/>
    <x v="3"/>
  </r>
  <r>
    <m/>
    <s v="Services"/>
    <x v="17"/>
    <x v="132"/>
    <x v="118"/>
    <n v="1"/>
    <m/>
    <x v="0"/>
    <x v="3"/>
  </r>
  <r>
    <m/>
    <s v="Services"/>
    <x v="17"/>
    <x v="135"/>
    <x v="121"/>
    <n v="1"/>
    <m/>
    <x v="0"/>
    <x v="3"/>
  </r>
  <r>
    <m/>
    <s v="Services"/>
    <x v="17"/>
    <x v="134"/>
    <x v="120"/>
    <n v="1"/>
    <m/>
    <x v="0"/>
    <x v="3"/>
  </r>
  <r>
    <m/>
    <s v="Services"/>
    <x v="17"/>
    <x v="136"/>
    <x v="122"/>
    <n v="1"/>
    <m/>
    <x v="0"/>
    <x v="3"/>
  </r>
  <r>
    <s v="CON-L1NBD-CT2CG2SM"/>
    <s v="Services"/>
    <x v="17"/>
    <x v="131"/>
    <x v="117"/>
    <n v="1"/>
    <m/>
    <x v="0"/>
    <x v="3"/>
  </r>
  <r>
    <m/>
    <s v="Services"/>
    <x v="17"/>
    <x v="136"/>
    <x v="122"/>
    <n v="1"/>
    <m/>
    <x v="0"/>
    <x v="3"/>
  </r>
  <r>
    <m/>
    <s v="Services"/>
    <x v="17"/>
    <x v="132"/>
    <x v="118"/>
    <n v="1"/>
    <m/>
    <x v="0"/>
    <x v="3"/>
  </r>
  <r>
    <m/>
    <s v="Services"/>
    <x v="17"/>
    <x v="134"/>
    <x v="120"/>
    <n v="1"/>
    <m/>
    <x v="0"/>
    <x v="3"/>
  </r>
  <r>
    <m/>
    <s v="Services"/>
    <x v="17"/>
    <x v="133"/>
    <x v="119"/>
    <n v="1"/>
    <m/>
    <x v="0"/>
    <x v="3"/>
  </r>
  <r>
    <m/>
    <s v="Services"/>
    <x v="17"/>
    <x v="135"/>
    <x v="121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ONS155I1"/>
    <s v="Services"/>
    <x v="17"/>
    <x v="117"/>
    <x v="10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2G-I1"/>
    <s v="Services"/>
    <x v="17"/>
    <x v="129"/>
    <x v="115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NSSEZEEL"/>
    <s v="Services"/>
    <x v="17"/>
    <x v="130"/>
    <x v="116"/>
    <n v="1"/>
    <m/>
    <x v="0"/>
    <x v="3"/>
  </r>
  <r>
    <s v="CON-SSSNT-2G-I1"/>
    <s v="Services"/>
    <x v="17"/>
    <x v="129"/>
    <x v="115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SSSNT-SIGELX"/>
    <s v="Services"/>
    <x v="17"/>
    <x v="128"/>
    <x v="114"/>
    <n v="1"/>
    <m/>
    <x v="0"/>
    <x v="3"/>
  </r>
  <r>
    <s v="CON-L1NBD-BE6MM5K9"/>
    <s v="Services"/>
    <x v="17"/>
    <x v="137"/>
    <x v="123"/>
    <n v="1"/>
    <m/>
    <x v="0"/>
    <x v="3"/>
  </r>
  <r>
    <m/>
    <s v="Services"/>
    <x v="17"/>
    <x v="138"/>
    <x v="124"/>
    <n v="1"/>
    <m/>
    <x v="0"/>
    <x v="3"/>
  </r>
  <r>
    <m/>
    <s v="Services"/>
    <x v="17"/>
    <x v="139"/>
    <x v="125"/>
    <n v="1"/>
    <m/>
    <x v="0"/>
    <x v="3"/>
  </r>
  <r>
    <m/>
    <s v="Services"/>
    <x v="17"/>
    <x v="140"/>
    <x v="126"/>
    <n v="1"/>
    <m/>
    <x v="0"/>
    <x v="3"/>
  </r>
  <r>
    <m/>
    <s v="Services"/>
    <x v="17"/>
    <x v="140"/>
    <x v="126"/>
    <n v="1"/>
    <m/>
    <x v="0"/>
    <x v="3"/>
  </r>
  <r>
    <m/>
    <s v="Services"/>
    <x v="17"/>
    <x v="140"/>
    <x v="126"/>
    <n v="1"/>
    <m/>
    <x v="0"/>
    <x v="3"/>
  </r>
  <r>
    <m/>
    <s v="Services"/>
    <x v="17"/>
    <x v="141"/>
    <x v="127"/>
    <n v="1"/>
    <m/>
    <x v="0"/>
    <x v="3"/>
  </r>
  <r>
    <m/>
    <s v="Services"/>
    <x v="17"/>
    <x v="142"/>
    <x v="128"/>
    <n v="1"/>
    <m/>
    <x v="0"/>
    <x v="3"/>
  </r>
  <r>
    <m/>
    <s v="Services"/>
    <x v="17"/>
    <x v="143"/>
    <x v="129"/>
    <n v="1"/>
    <m/>
    <x v="0"/>
    <x v="3"/>
  </r>
  <r>
    <m/>
    <s v="Services"/>
    <x v="17"/>
    <x v="144"/>
    <x v="130"/>
    <n v="1"/>
    <m/>
    <x v="0"/>
    <x v="3"/>
  </r>
  <r>
    <m/>
    <s v="Services"/>
    <x v="17"/>
    <x v="144"/>
    <x v="130"/>
    <n v="1"/>
    <m/>
    <x v="0"/>
    <x v="3"/>
  </r>
  <r>
    <m/>
    <s v="Services"/>
    <x v="17"/>
    <x v="144"/>
    <x v="130"/>
    <n v="1"/>
    <m/>
    <x v="0"/>
    <x v="3"/>
  </r>
  <r>
    <m/>
    <s v="Services"/>
    <x v="17"/>
    <x v="144"/>
    <x v="130"/>
    <n v="1"/>
    <m/>
    <x v="0"/>
    <x v="3"/>
  </r>
  <r>
    <m/>
    <s v="Services"/>
    <x v="17"/>
    <x v="144"/>
    <x v="130"/>
    <n v="1"/>
    <m/>
    <x v="0"/>
    <x v="3"/>
  </r>
  <r>
    <m/>
    <s v="Services"/>
    <x v="17"/>
    <x v="144"/>
    <x v="130"/>
    <n v="1"/>
    <m/>
    <x v="0"/>
    <x v="3"/>
  </r>
  <r>
    <s v="CON-ECMUS-LPPIF100"/>
    <s v="Services"/>
    <x v="17"/>
    <x v="145"/>
    <x v="131"/>
    <n v="1"/>
    <m/>
    <x v="0"/>
    <x v="3"/>
  </r>
  <r>
    <s v="CON-ECMUS-LPPIF100"/>
    <s v="Services"/>
    <x v="17"/>
    <x v="145"/>
    <x v="131"/>
    <n v="1"/>
    <m/>
    <x v="0"/>
    <x v="3"/>
  </r>
  <r>
    <s v="CON-ECMUS-LPPIF100"/>
    <s v="Services"/>
    <x v="17"/>
    <x v="145"/>
    <x v="131"/>
    <n v="1"/>
    <m/>
    <x v="0"/>
    <x v="3"/>
  </r>
  <r>
    <s v="CON-ECMUS-LPPIF100"/>
    <s v="Services"/>
    <x v="17"/>
    <x v="145"/>
    <x v="131"/>
    <n v="1"/>
    <m/>
    <x v="0"/>
    <x v="3"/>
  </r>
  <r>
    <s v="CON-ECMUS-LPPIF100"/>
    <s v="Services"/>
    <x v="17"/>
    <x v="145"/>
    <x v="131"/>
    <n v="1"/>
    <m/>
    <x v="0"/>
    <x v="3"/>
  </r>
  <r>
    <s v="CON-ECMUS-LMGMBASE"/>
    <s v="Services"/>
    <x v="17"/>
    <x v="146"/>
    <x v="132"/>
    <n v="1"/>
    <m/>
    <x v="0"/>
    <x v="3"/>
  </r>
  <r>
    <s v="CON-ECMUS-LCMECEUE"/>
    <s v="Services"/>
    <x v="17"/>
    <x v="147"/>
    <x v="133"/>
    <n v="1"/>
    <m/>
    <x v="0"/>
    <x v="3"/>
  </r>
  <r>
    <s v="CON-ECMUS-CMEULCTG"/>
    <s v="Services"/>
    <x v="17"/>
    <x v="148"/>
    <x v="134"/>
    <n v="1"/>
    <m/>
    <x v="0"/>
    <x v="3"/>
  </r>
  <r>
    <s v="CON-SSSNT-BE7MM5K9"/>
    <s v="Services"/>
    <x v="17"/>
    <x v="47"/>
    <x v="46"/>
    <n v="1"/>
    <m/>
    <x v="0"/>
    <x v="3"/>
  </r>
  <r>
    <m/>
    <s v="Services"/>
    <x v="17"/>
    <x v="149"/>
    <x v="135"/>
    <n v="1"/>
    <m/>
    <x v="0"/>
    <x v="3"/>
  </r>
  <r>
    <m/>
    <s v="Services"/>
    <x v="17"/>
    <x v="150"/>
    <x v="130"/>
    <n v="1"/>
    <m/>
    <x v="0"/>
    <x v="3"/>
  </r>
  <r>
    <m/>
    <s v="Services"/>
    <x v="17"/>
    <x v="139"/>
    <x v="125"/>
    <n v="1"/>
    <m/>
    <x v="0"/>
    <x v="3"/>
  </r>
  <r>
    <m/>
    <s v="Services"/>
    <x v="17"/>
    <x v="151"/>
    <x v="136"/>
    <n v="2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2"/>
    <x v="126"/>
    <n v="1"/>
    <m/>
    <x v="0"/>
    <x v="3"/>
  </r>
  <r>
    <m/>
    <s v="Services"/>
    <x v="17"/>
    <x v="152"/>
    <x v="126"/>
    <n v="1"/>
    <m/>
    <x v="0"/>
    <x v="3"/>
  </r>
  <r>
    <m/>
    <s v="Services"/>
    <x v="17"/>
    <x v="152"/>
    <x v="126"/>
    <n v="1"/>
    <m/>
    <x v="0"/>
    <x v="3"/>
  </r>
  <r>
    <m/>
    <s v="Services"/>
    <x v="17"/>
    <x v="153"/>
    <x v="137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2"/>
    <x v="126"/>
    <n v="1"/>
    <m/>
    <x v="0"/>
    <x v="3"/>
  </r>
  <r>
    <m/>
    <s v="Services"/>
    <x v="17"/>
    <x v="154"/>
    <x v="138"/>
    <n v="1"/>
    <m/>
    <x v="0"/>
    <x v="3"/>
  </r>
  <r>
    <m/>
    <s v="Services"/>
    <x v="17"/>
    <x v="155"/>
    <x v="139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2"/>
    <x v="126"/>
    <n v="1"/>
    <m/>
    <x v="0"/>
    <x v="3"/>
  </r>
  <r>
    <m/>
    <s v="Services"/>
    <x v="17"/>
    <x v="154"/>
    <x v="138"/>
    <n v="1"/>
    <m/>
    <x v="0"/>
    <x v="3"/>
  </r>
  <r>
    <m/>
    <s v="Services"/>
    <x v="17"/>
    <x v="150"/>
    <x v="130"/>
    <n v="1"/>
    <m/>
    <x v="0"/>
    <x v="3"/>
  </r>
  <r>
    <m/>
    <s v="Services"/>
    <x v="17"/>
    <x v="155"/>
    <x v="139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2"/>
    <x v="126"/>
    <n v="1"/>
    <m/>
    <x v="0"/>
    <x v="3"/>
  </r>
  <r>
    <m/>
    <s v="Services"/>
    <x v="17"/>
    <x v="156"/>
    <x v="140"/>
    <n v="1"/>
    <m/>
    <x v="0"/>
    <x v="3"/>
  </r>
  <r>
    <s v="CON-SSSNT-BE7MM5K9"/>
    <s v="Services"/>
    <x v="17"/>
    <x v="47"/>
    <x v="46"/>
    <n v="1"/>
    <m/>
    <x v="0"/>
    <x v="3"/>
  </r>
  <r>
    <m/>
    <s v="Services"/>
    <x v="17"/>
    <x v="154"/>
    <x v="138"/>
    <n v="1"/>
    <m/>
    <x v="0"/>
    <x v="3"/>
  </r>
  <r>
    <m/>
    <s v="Services"/>
    <x v="17"/>
    <x v="153"/>
    <x v="137"/>
    <n v="1"/>
    <m/>
    <x v="0"/>
    <x v="3"/>
  </r>
  <r>
    <m/>
    <s v="Services"/>
    <x v="17"/>
    <x v="155"/>
    <x v="139"/>
    <n v="1"/>
    <m/>
    <x v="0"/>
    <x v="3"/>
  </r>
  <r>
    <m/>
    <s v="Services"/>
    <x v="17"/>
    <x v="150"/>
    <x v="130"/>
    <n v="1"/>
    <m/>
    <x v="0"/>
    <x v="3"/>
  </r>
  <r>
    <m/>
    <s v="Services"/>
    <x v="17"/>
    <x v="152"/>
    <x v="126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2"/>
    <x v="126"/>
    <n v="1"/>
    <m/>
    <x v="0"/>
    <x v="3"/>
  </r>
  <r>
    <m/>
    <s v="Services"/>
    <x v="17"/>
    <x v="154"/>
    <x v="138"/>
    <n v="1"/>
    <m/>
    <x v="0"/>
    <x v="3"/>
  </r>
  <r>
    <m/>
    <s v="Services"/>
    <x v="17"/>
    <x v="152"/>
    <x v="126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5"/>
    <x v="139"/>
    <n v="1"/>
    <m/>
    <x v="0"/>
    <x v="3"/>
  </r>
  <r>
    <m/>
    <s v="Services"/>
    <x v="17"/>
    <x v="150"/>
    <x v="130"/>
    <n v="1"/>
    <m/>
    <x v="0"/>
    <x v="3"/>
  </r>
  <r>
    <m/>
    <s v="Services"/>
    <x v="17"/>
    <x v="152"/>
    <x v="126"/>
    <n v="1"/>
    <m/>
    <x v="0"/>
    <x v="3"/>
  </r>
  <r>
    <m/>
    <s v="Services"/>
    <x v="17"/>
    <x v="152"/>
    <x v="126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6"/>
    <x v="140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49"/>
    <x v="135"/>
    <n v="1"/>
    <m/>
    <x v="0"/>
    <x v="3"/>
  </r>
  <r>
    <m/>
    <s v="Services"/>
    <x v="17"/>
    <x v="152"/>
    <x v="126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39"/>
    <x v="125"/>
    <n v="1"/>
    <m/>
    <x v="0"/>
    <x v="3"/>
  </r>
  <r>
    <m/>
    <s v="Services"/>
    <x v="17"/>
    <x v="151"/>
    <x v="136"/>
    <n v="2"/>
    <m/>
    <x v="0"/>
    <x v="3"/>
  </r>
  <r>
    <s v="CON-L1NBD-G2029NA1"/>
    <s v="Services"/>
    <x v="17"/>
    <x v="157"/>
    <x v="141"/>
    <n v="1"/>
    <m/>
    <x v="0"/>
    <x v="3"/>
  </r>
  <r>
    <s v="CON-ECMUS-LICGT552"/>
    <s v="Services"/>
    <x v="17"/>
    <x v="158"/>
    <x v="142"/>
    <n v="1"/>
    <m/>
    <x v="0"/>
    <x v="3"/>
  </r>
  <r>
    <s v="CON-ECMUS-LICT5520"/>
    <s v="Services"/>
    <x v="17"/>
    <x v="159"/>
    <x v="143"/>
    <n v="150"/>
    <m/>
    <x v="0"/>
    <x v="3"/>
  </r>
  <r>
    <s v="CON-L1NBD-P7PK94P1"/>
    <s v="Services"/>
    <x v="17"/>
    <x v="160"/>
    <x v="144"/>
    <n v="1"/>
    <m/>
    <x v="0"/>
    <x v="3"/>
  </r>
  <r>
    <s v="CON-SSSNT-BE79M5KH"/>
    <s v="Services"/>
    <x v="17"/>
    <x v="49"/>
    <x v="48"/>
    <n v="1"/>
    <m/>
    <x v="0"/>
    <x v="3"/>
  </r>
  <r>
    <m/>
    <s v="Services"/>
    <x v="17"/>
    <x v="154"/>
    <x v="138"/>
    <n v="1"/>
    <m/>
    <x v="0"/>
    <x v="3"/>
  </r>
  <r>
    <m/>
    <s v="Services"/>
    <x v="17"/>
    <x v="161"/>
    <x v="145"/>
    <n v="1"/>
    <m/>
    <x v="0"/>
    <x v="3"/>
  </r>
  <r>
    <m/>
    <s v="Services"/>
    <x v="17"/>
    <x v="161"/>
    <x v="145"/>
    <n v="1"/>
    <m/>
    <x v="0"/>
    <x v="3"/>
  </r>
  <r>
    <m/>
    <s v="Services"/>
    <x v="17"/>
    <x v="149"/>
    <x v="135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5"/>
    <x v="139"/>
    <n v="1"/>
    <m/>
    <x v="0"/>
    <x v="3"/>
  </r>
  <r>
    <m/>
    <s v="Services"/>
    <x v="17"/>
    <x v="150"/>
    <x v="130"/>
    <n v="1"/>
    <m/>
    <x v="0"/>
    <x v="3"/>
  </r>
  <r>
    <m/>
    <s v="Services"/>
    <x v="17"/>
    <x v="149"/>
    <x v="135"/>
    <n v="1"/>
    <m/>
    <x v="0"/>
    <x v="3"/>
  </r>
  <r>
    <m/>
    <s v="Services"/>
    <x v="17"/>
    <x v="150"/>
    <x v="130"/>
    <n v="1"/>
    <m/>
    <x v="0"/>
    <x v="3"/>
  </r>
  <r>
    <m/>
    <s v="Services"/>
    <x v="17"/>
    <x v="156"/>
    <x v="140"/>
    <n v="1"/>
    <m/>
    <x v="0"/>
    <x v="3"/>
  </r>
  <r>
    <m/>
    <s v="Services"/>
    <x v="17"/>
    <x v="154"/>
    <x v="138"/>
    <n v="1"/>
    <m/>
    <x v="0"/>
    <x v="3"/>
  </r>
  <r>
    <m/>
    <s v="Services"/>
    <x v="17"/>
    <x v="161"/>
    <x v="145"/>
    <n v="1"/>
    <m/>
    <x v="0"/>
    <x v="3"/>
  </r>
  <r>
    <m/>
    <s v="Services"/>
    <x v="17"/>
    <x v="153"/>
    <x v="137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61"/>
    <x v="145"/>
    <n v="1"/>
    <m/>
    <x v="0"/>
    <x v="3"/>
  </r>
  <r>
    <m/>
    <s v="Services"/>
    <x v="17"/>
    <x v="150"/>
    <x v="130"/>
    <n v="1"/>
    <m/>
    <x v="0"/>
    <x v="3"/>
  </r>
  <r>
    <m/>
    <s v="Services"/>
    <x v="17"/>
    <x v="161"/>
    <x v="145"/>
    <n v="1"/>
    <m/>
    <x v="0"/>
    <x v="3"/>
  </r>
  <r>
    <m/>
    <s v="Services"/>
    <x v="17"/>
    <x v="142"/>
    <x v="128"/>
    <n v="2"/>
    <m/>
    <x v="0"/>
    <x v="3"/>
  </r>
  <r>
    <m/>
    <s v="Services"/>
    <x v="17"/>
    <x v="161"/>
    <x v="145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61"/>
    <x v="145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61"/>
    <x v="145"/>
    <n v="1"/>
    <m/>
    <x v="0"/>
    <x v="3"/>
  </r>
  <r>
    <m/>
    <s v="Services"/>
    <x v="17"/>
    <x v="161"/>
    <x v="145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61"/>
    <x v="145"/>
    <n v="1"/>
    <m/>
    <x v="0"/>
    <x v="3"/>
  </r>
  <r>
    <m/>
    <s v="Services"/>
    <x v="17"/>
    <x v="139"/>
    <x v="125"/>
    <n v="1"/>
    <m/>
    <x v="0"/>
    <x v="3"/>
  </r>
  <r>
    <m/>
    <s v="Services"/>
    <x v="17"/>
    <x v="161"/>
    <x v="145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m/>
    <s v="Services"/>
    <x v="17"/>
    <x v="161"/>
    <x v="145"/>
    <n v="1"/>
    <m/>
    <x v="0"/>
    <x v="3"/>
  </r>
  <r>
    <m/>
    <s v="Services"/>
    <x v="17"/>
    <x v="155"/>
    <x v="139"/>
    <n v="1"/>
    <m/>
    <x v="0"/>
    <x v="3"/>
  </r>
  <r>
    <m/>
    <s v="Services"/>
    <x v="17"/>
    <x v="150"/>
    <x v="130"/>
    <n v="1"/>
    <m/>
    <x v="0"/>
    <x v="3"/>
  </r>
  <r>
    <m/>
    <s v="Services"/>
    <x v="17"/>
    <x v="150"/>
    <x v="130"/>
    <n v="1"/>
    <m/>
    <x v="0"/>
    <x v="3"/>
  </r>
  <r>
    <s v="CON-SSSNT-NSSEZEEL"/>
    <s v="Services"/>
    <x v="17"/>
    <x v="162"/>
    <x v="116"/>
    <n v="1"/>
    <m/>
    <x v="0"/>
    <x v="3"/>
  </r>
  <r>
    <s v="CON-SSSNT-NSSEZEEL"/>
    <s v="Services"/>
    <x v="17"/>
    <x v="162"/>
    <x v="116"/>
    <n v="1"/>
    <m/>
    <x v="0"/>
    <x v="3"/>
  </r>
  <r>
    <s v="CON-SSSNT-2G-I1"/>
    <s v="Services"/>
    <x v="17"/>
    <x v="163"/>
    <x v="115"/>
    <n v="1"/>
    <m/>
    <x v="0"/>
    <x v="3"/>
  </r>
  <r>
    <s v="CON-SSSNT-SI2GL2"/>
    <s v="Services"/>
    <x v="17"/>
    <x v="164"/>
    <x v="146"/>
    <n v="1"/>
    <m/>
    <x v="0"/>
    <x v="3"/>
  </r>
  <r>
    <s v="CON-SSSNT-NSSEZEEL"/>
    <s v="Services"/>
    <x v="17"/>
    <x v="162"/>
    <x v="116"/>
    <n v="1"/>
    <m/>
    <x v="0"/>
    <x v="3"/>
  </r>
  <r>
    <s v="CON-SSSNT-NSSEZEEL"/>
    <s v="Services"/>
    <x v="17"/>
    <x v="162"/>
    <x v="116"/>
    <n v="1"/>
    <m/>
    <x v="0"/>
    <x v="3"/>
  </r>
  <r>
    <s v="CON-SSSNT-2G-I1"/>
    <s v="Services"/>
    <x v="17"/>
    <x v="163"/>
    <x v="115"/>
    <n v="1"/>
    <m/>
    <x v="0"/>
    <x v="3"/>
  </r>
  <r>
    <s v="CON-SSSNT-SI2GL2"/>
    <s v="Services"/>
    <x v="17"/>
    <x v="164"/>
    <x v="146"/>
    <n v="1"/>
    <m/>
    <x v="0"/>
    <x v="3"/>
  </r>
  <r>
    <s v="CON-L1NBD-C9200CXM"/>
    <s v="Services"/>
    <x v="17"/>
    <x v="165"/>
    <x v="147"/>
    <n v="1"/>
    <m/>
    <x v="0"/>
    <x v="3"/>
  </r>
  <r>
    <m/>
    <s v="Services"/>
    <x v="17"/>
    <x v="166"/>
    <x v="148"/>
    <n v="1"/>
    <m/>
    <x v="0"/>
    <x v="3"/>
  </r>
  <r>
    <m/>
    <s v="Services"/>
    <x v="17"/>
    <x v="167"/>
    <x v="149"/>
    <n v="1"/>
    <m/>
    <x v="0"/>
    <x v="3"/>
  </r>
  <r>
    <m/>
    <s v="Services"/>
    <x v="17"/>
    <x v="168"/>
    <x v="150"/>
    <n v="1"/>
    <m/>
    <x v="0"/>
    <x v="3"/>
  </r>
  <r>
    <m/>
    <s v="Services"/>
    <x v="17"/>
    <x v="169"/>
    <x v="151"/>
    <n v="1"/>
    <m/>
    <x v="0"/>
    <x v="3"/>
  </r>
  <r>
    <s v="CON-L1NBD-TAVK99V9"/>
    <s v="Services"/>
    <x v="17"/>
    <x v="170"/>
    <x v="152"/>
    <n v="1"/>
    <m/>
    <x v="0"/>
    <x v="3"/>
  </r>
  <r>
    <m/>
    <s v="Services"/>
    <x v="17"/>
    <x v="171"/>
    <x v="153"/>
    <n v="1"/>
    <m/>
    <x v="0"/>
    <x v="3"/>
  </r>
  <r>
    <s v="CON-L1NBD-TAVK99V9"/>
    <s v="Services"/>
    <x v="17"/>
    <x v="170"/>
    <x v="152"/>
    <n v="1"/>
    <m/>
    <x v="0"/>
    <x v="3"/>
  </r>
  <r>
    <m/>
    <s v="Services"/>
    <x v="17"/>
    <x v="171"/>
    <x v="153"/>
    <n v="1"/>
    <m/>
    <x v="0"/>
    <x v="3"/>
  </r>
  <r>
    <s v="CON-L1NBD-TAVK99V9"/>
    <s v="Services"/>
    <x v="17"/>
    <x v="170"/>
    <x v="152"/>
    <n v="1"/>
    <m/>
    <x v="0"/>
    <x v="3"/>
  </r>
  <r>
    <m/>
    <m/>
    <x v="17"/>
    <x v="171"/>
    <x v="153"/>
    <n v="1"/>
    <m/>
    <x v="0"/>
    <x v="3"/>
  </r>
  <r>
    <s v="Cisco Networking"/>
    <s v="Software"/>
    <x v="0"/>
    <x v="0"/>
    <x v="0"/>
    <n v="100"/>
    <s v="NA"/>
    <x v="0"/>
    <x v="4"/>
  </r>
  <r>
    <s v="Cisco Networking"/>
    <s v="Software"/>
    <x v="0"/>
    <x v="172"/>
    <x v="154"/>
    <n v="1"/>
    <s v="NA"/>
    <x v="0"/>
    <x v="4"/>
  </r>
  <r>
    <s v="Cisco Networking"/>
    <s v="Software"/>
    <x v="0"/>
    <x v="173"/>
    <x v="155"/>
    <n v="1"/>
    <s v="NA"/>
    <x v="0"/>
    <x v="4"/>
  </r>
  <r>
    <s v="Cisco DNA Software"/>
    <s v="Software"/>
    <x v="4"/>
    <x v="61"/>
    <x v="10"/>
    <n v="10"/>
    <s v="Advantage"/>
    <x v="0"/>
    <x v="4"/>
  </r>
  <r>
    <s v="Cisco DNA Software"/>
    <s v="Software"/>
    <x v="4"/>
    <x v="63"/>
    <x v="13"/>
    <n v="50"/>
    <s v="Advantage"/>
    <x v="0"/>
    <x v="4"/>
  </r>
  <r>
    <s v="Cisco DNA Software"/>
    <s v="Software"/>
    <x v="4"/>
    <x v="64"/>
    <x v="58"/>
    <n v="8"/>
    <s v="Advantage"/>
    <x v="0"/>
    <x v="4"/>
  </r>
  <r>
    <s v="Cisco DNA Software"/>
    <s v="Software"/>
    <x v="4"/>
    <x v="174"/>
    <x v="58"/>
    <n v="14"/>
    <s v="Essential"/>
    <x v="0"/>
    <x v="4"/>
  </r>
  <r>
    <s v="Cisco DNA Software"/>
    <s v="Software"/>
    <x v="4"/>
    <x v="17"/>
    <x v="16"/>
    <n v="1"/>
    <s v="NA"/>
    <x v="0"/>
    <x v="4"/>
  </r>
  <r>
    <s v="Cisco DNA Software"/>
    <s v="Software"/>
    <x v="4"/>
    <x v="65"/>
    <x v="59"/>
    <n v="10"/>
    <s v="Advantage"/>
    <x v="0"/>
    <x v="4"/>
  </r>
  <r>
    <s v="Zero Trust"/>
    <s v="Software"/>
    <x v="7"/>
    <x v="24"/>
    <x v="23"/>
    <n v="3000"/>
    <m/>
    <x v="0"/>
    <x v="4"/>
  </r>
  <r>
    <s v="Zero Trust"/>
    <s v="Software"/>
    <x v="7"/>
    <x v="25"/>
    <x v="24"/>
    <n v="1"/>
    <m/>
    <x v="0"/>
    <x v="4"/>
  </r>
  <r>
    <s v="Cloud and Network Security"/>
    <s v="Software"/>
    <x v="8"/>
    <x v="175"/>
    <x v="156"/>
    <n v="4"/>
    <m/>
    <x v="0"/>
    <x v="4"/>
  </r>
  <r>
    <s v="Cloud and Network Security"/>
    <s v="Software"/>
    <x v="8"/>
    <x v="176"/>
    <x v="157"/>
    <n v="15"/>
    <m/>
    <x v="0"/>
    <x v="4"/>
  </r>
  <r>
    <s v="Cloud and Network Security"/>
    <s v="Software"/>
    <x v="8"/>
    <x v="27"/>
    <x v="26"/>
    <n v="1"/>
    <m/>
    <x v="0"/>
    <x v="4"/>
  </r>
  <r>
    <s v="Cloud and Network Security"/>
    <s v="Software"/>
    <x v="8"/>
    <x v="177"/>
    <x v="158"/>
    <n v="1"/>
    <m/>
    <x v="0"/>
    <x v="4"/>
  </r>
  <r>
    <s v="Cloud and Network Security"/>
    <s v="Software"/>
    <x v="8"/>
    <x v="178"/>
    <x v="159"/>
    <n v="4"/>
    <m/>
    <x v="0"/>
    <x v="4"/>
  </r>
  <r>
    <s v="Networking Support &amp; Lifecycle Services"/>
    <s v="Services"/>
    <x v="10"/>
    <x v="33"/>
    <x v="32"/>
    <n v="42"/>
    <m/>
    <x v="2"/>
    <x v="4"/>
  </r>
  <r>
    <s v="Networking Support &amp; Lifecycle Services"/>
    <s v="Services"/>
    <x v="13"/>
    <x v="39"/>
    <x v="38"/>
    <n v="2489"/>
    <m/>
    <x v="1"/>
    <x v="4"/>
  </r>
  <r>
    <s v="Networking Support &amp; Lifecycle Services"/>
    <s v="Services"/>
    <x v="13"/>
    <x v="40"/>
    <x v="39"/>
    <n v="0"/>
    <m/>
    <x v="1"/>
    <x v="4"/>
  </r>
  <r>
    <s v="Networking Support &amp; Lifecycle Services"/>
    <s v="Services"/>
    <x v="13"/>
    <x v="37"/>
    <x v="36"/>
    <n v="0"/>
    <m/>
    <x v="1"/>
    <x v="4"/>
  </r>
  <r>
    <s v="Cloud and Network Security Services"/>
    <s v="Services"/>
    <x v="14"/>
    <x v="41"/>
    <x v="40"/>
    <n v="0"/>
    <m/>
    <x v="3"/>
    <x v="4"/>
  </r>
  <r>
    <s v="Cloud and Network Security Services"/>
    <s v="Services"/>
    <x v="14"/>
    <x v="43"/>
    <x v="42"/>
    <n v="105"/>
    <m/>
    <x v="3"/>
    <x v="4"/>
  </r>
  <r>
    <s v="Cloud and Network Security Services"/>
    <s v="Services"/>
    <x v="14"/>
    <x v="37"/>
    <x v="36"/>
    <n v="0"/>
    <m/>
    <x v="3"/>
    <x v="4"/>
  </r>
  <r>
    <s v="Zero Trust Services"/>
    <s v="Services"/>
    <x v="15"/>
    <x v="179"/>
    <x v="99"/>
    <n v="1"/>
    <m/>
    <x v="3"/>
    <x v="4"/>
  </r>
  <r>
    <s v="Zero Trust Services"/>
    <s v="Services"/>
    <x v="15"/>
    <x v="52"/>
    <x v="51"/>
    <n v="0"/>
    <m/>
    <x v="3"/>
    <x v="4"/>
  </r>
  <r>
    <s v="Zero Trust Services"/>
    <s v="Services"/>
    <x v="15"/>
    <x v="37"/>
    <x v="36"/>
    <n v="0"/>
    <m/>
    <x v="3"/>
    <x v="4"/>
  </r>
  <r>
    <s v="CON-L1NBD-CSPC2205"/>
    <s v="Services"/>
    <x v="17"/>
    <x v="180"/>
    <x v="160"/>
    <n v="1"/>
    <m/>
    <x v="0"/>
    <x v="4"/>
  </r>
  <r>
    <s v="Cisco Networking"/>
    <s v="Software"/>
    <x v="0"/>
    <x v="0"/>
    <x v="0"/>
    <n v="100"/>
    <s v="NA"/>
    <x v="0"/>
    <x v="5"/>
  </r>
  <r>
    <s v="Cisco Networking"/>
    <s v="Software"/>
    <x v="1"/>
    <x v="84"/>
    <x v="1"/>
    <n v="1"/>
    <s v="Advantage"/>
    <x v="0"/>
    <x v="5"/>
  </r>
  <r>
    <s v="Cisco Networking"/>
    <s v="Software"/>
    <x v="1"/>
    <x v="85"/>
    <x v="2"/>
    <n v="1"/>
    <s v="Advantage"/>
    <x v="0"/>
    <x v="5"/>
  </r>
  <r>
    <s v="Cisco Networking"/>
    <s v="Software"/>
    <x v="1"/>
    <x v="3"/>
    <x v="3"/>
    <n v="1"/>
    <s v="Advantage"/>
    <x v="0"/>
    <x v="5"/>
  </r>
  <r>
    <s v="Cisco Networking"/>
    <s v="Software"/>
    <x v="1"/>
    <x v="4"/>
    <x v="4"/>
    <n v="1"/>
    <s v="NA"/>
    <x v="0"/>
    <x v="5"/>
  </r>
  <r>
    <s v="Cisco Networking"/>
    <s v="Software"/>
    <x v="2"/>
    <x v="86"/>
    <x v="5"/>
    <n v="1"/>
    <s v="Advantage"/>
    <x v="0"/>
    <x v="5"/>
  </r>
  <r>
    <s v="Cisco Networking"/>
    <s v="Software"/>
    <x v="2"/>
    <x v="5"/>
    <x v="4"/>
    <n v="1"/>
    <s v="NA"/>
    <x v="0"/>
    <x v="5"/>
  </r>
  <r>
    <s v="Cloud Networking"/>
    <s v="Software"/>
    <x v="3"/>
    <x v="58"/>
    <x v="7"/>
    <n v="7"/>
    <s v="Advantage"/>
    <x v="0"/>
    <x v="5"/>
  </r>
  <r>
    <s v="Cloud Networking"/>
    <s v="Software"/>
    <x v="3"/>
    <x v="7"/>
    <x v="6"/>
    <n v="1"/>
    <s v="NA"/>
    <x v="0"/>
    <x v="5"/>
  </r>
  <r>
    <s v="Cisco DNA Software"/>
    <s v="Software"/>
    <x v="4"/>
    <x v="11"/>
    <x v="10"/>
    <n v="3"/>
    <s v="Essential"/>
    <x v="0"/>
    <x v="5"/>
  </r>
  <r>
    <s v="Cisco DNA Software"/>
    <s v="Software"/>
    <x v="4"/>
    <x v="61"/>
    <x v="10"/>
    <n v="4"/>
    <s v="Advantage"/>
    <x v="0"/>
    <x v="5"/>
  </r>
  <r>
    <s v="Cisco DNA Software"/>
    <s v="Software"/>
    <x v="4"/>
    <x v="62"/>
    <x v="11"/>
    <n v="6"/>
    <s v="Advantage"/>
    <x v="0"/>
    <x v="5"/>
  </r>
  <r>
    <s v="Cisco DNA Software"/>
    <s v="Software"/>
    <x v="4"/>
    <x v="13"/>
    <x v="12"/>
    <n v="21"/>
    <s v="Essential"/>
    <x v="0"/>
    <x v="5"/>
  </r>
  <r>
    <s v="Cisco DNA Software"/>
    <s v="Software"/>
    <x v="4"/>
    <x v="14"/>
    <x v="13"/>
    <n v="13"/>
    <s v="Essential"/>
    <x v="0"/>
    <x v="5"/>
  </r>
  <r>
    <s v="Cisco DNA Software"/>
    <s v="Software"/>
    <x v="4"/>
    <x v="181"/>
    <x v="161"/>
    <n v="2"/>
    <s v="Advantage"/>
    <x v="0"/>
    <x v="5"/>
  </r>
  <r>
    <s v="Cisco DNA Software"/>
    <s v="Software"/>
    <x v="4"/>
    <x v="63"/>
    <x v="13"/>
    <n v="2"/>
    <s v="Advantage"/>
    <x v="0"/>
    <x v="5"/>
  </r>
  <r>
    <s v="Cisco DNA Software"/>
    <s v="Software"/>
    <x v="4"/>
    <x v="15"/>
    <x v="14"/>
    <n v="68"/>
    <s v="Essential"/>
    <x v="0"/>
    <x v="5"/>
  </r>
  <r>
    <s v="Cisco DNA Software"/>
    <s v="Software"/>
    <x v="4"/>
    <x v="182"/>
    <x v="162"/>
    <n v="105"/>
    <s v="Essential"/>
    <x v="0"/>
    <x v="5"/>
  </r>
  <r>
    <s v="Cisco DNA Software"/>
    <s v="Software"/>
    <x v="4"/>
    <x v="174"/>
    <x v="58"/>
    <n v="7"/>
    <s v="Essential"/>
    <x v="0"/>
    <x v="5"/>
  </r>
  <r>
    <s v="Cisco DNA Software"/>
    <s v="Software"/>
    <x v="4"/>
    <x v="16"/>
    <x v="15"/>
    <n v="137"/>
    <s v="Essential"/>
    <x v="0"/>
    <x v="5"/>
  </r>
  <r>
    <s v="Cisco DNA Software"/>
    <s v="Software"/>
    <x v="4"/>
    <x v="17"/>
    <x v="16"/>
    <n v="1"/>
    <s v="NA"/>
    <x v="0"/>
    <x v="5"/>
  </r>
  <r>
    <s v="Cisco DNA Software"/>
    <s v="Software"/>
    <x v="4"/>
    <x v="183"/>
    <x v="17"/>
    <n v="2"/>
    <s v="Advantage"/>
    <x v="0"/>
    <x v="5"/>
  </r>
  <r>
    <s v="Cisco DNA Software"/>
    <s v="Software"/>
    <x v="4"/>
    <x v="184"/>
    <x v="163"/>
    <n v="1"/>
    <s v="Essential"/>
    <x v="0"/>
    <x v="5"/>
  </r>
  <r>
    <s v="Cisco DNA Software"/>
    <s v="Software"/>
    <x v="5"/>
    <x v="20"/>
    <x v="19"/>
    <n v="500"/>
    <s v="Essential"/>
    <x v="0"/>
    <x v="5"/>
  </r>
  <r>
    <s v="Cisco DNA Software"/>
    <s v="Software"/>
    <x v="5"/>
    <x v="21"/>
    <x v="20"/>
    <n v="1"/>
    <s v="NA"/>
    <x v="0"/>
    <x v="5"/>
  </r>
  <r>
    <s v="Zero Trust"/>
    <s v="Software"/>
    <x v="6"/>
    <x v="22"/>
    <x v="21"/>
    <n v="1"/>
    <m/>
    <x v="0"/>
    <x v="5"/>
  </r>
  <r>
    <s v="Zero Trust"/>
    <s v="Software"/>
    <x v="6"/>
    <x v="23"/>
    <x v="22"/>
    <n v="100"/>
    <m/>
    <x v="0"/>
    <x v="5"/>
  </r>
  <r>
    <s v="Zero Trust"/>
    <s v="Software"/>
    <x v="7"/>
    <x v="24"/>
    <x v="23"/>
    <n v="5500"/>
    <m/>
    <x v="0"/>
    <x v="5"/>
  </r>
  <r>
    <s v="Zero Trust"/>
    <s v="Software"/>
    <x v="7"/>
    <x v="25"/>
    <x v="24"/>
    <n v="1"/>
    <m/>
    <x v="0"/>
    <x v="5"/>
  </r>
  <r>
    <s v="Networking Support &amp; Lifecycle Services"/>
    <s v="Services"/>
    <x v="10"/>
    <x v="55"/>
    <x v="54"/>
    <n v="50"/>
    <m/>
    <x v="0"/>
    <x v="5"/>
  </r>
  <r>
    <s v="Networking Support &amp; Lifecycle Services"/>
    <s v="Services"/>
    <x v="10"/>
    <x v="32"/>
    <x v="31"/>
    <n v="24"/>
    <m/>
    <x v="0"/>
    <x v="5"/>
  </r>
  <r>
    <s v="Networking Support &amp; Lifecycle Services"/>
    <s v="Services"/>
    <x v="10"/>
    <x v="33"/>
    <x v="32"/>
    <n v="4"/>
    <m/>
    <x v="0"/>
    <x v="5"/>
  </r>
  <r>
    <s v="Networking Support &amp; Lifecycle Services"/>
    <s v="Services"/>
    <x v="13"/>
    <x v="40"/>
    <x v="39"/>
    <n v="0"/>
    <m/>
    <x v="0"/>
    <x v="5"/>
  </r>
  <r>
    <s v="Networking Support &amp; Lifecycle Services"/>
    <s v="Services"/>
    <x v="13"/>
    <x v="76"/>
    <x v="70"/>
    <n v="40"/>
    <m/>
    <x v="0"/>
    <x v="5"/>
  </r>
  <r>
    <s v="Networking Support &amp; Lifecycle Services"/>
    <s v="Services"/>
    <x v="13"/>
    <x v="39"/>
    <x v="38"/>
    <n v="1011"/>
    <m/>
    <x v="0"/>
    <x v="5"/>
  </r>
  <r>
    <s v="Cisco Networking"/>
    <s v="Software"/>
    <x v="0"/>
    <x v="0"/>
    <x v="0"/>
    <n v="100"/>
    <s v="NA"/>
    <x v="0"/>
    <x v="6"/>
  </r>
  <r>
    <s v="Cisco Networking"/>
    <s v="Software"/>
    <x v="1"/>
    <x v="1"/>
    <x v="1"/>
    <n v="1"/>
    <s v="Essential"/>
    <x v="0"/>
    <x v="6"/>
  </r>
  <r>
    <s v="Cisco Networking"/>
    <s v="Software"/>
    <x v="1"/>
    <x v="2"/>
    <x v="2"/>
    <n v="1"/>
    <s v="Essential"/>
    <x v="0"/>
    <x v="6"/>
  </r>
  <r>
    <s v="Cisco Networking"/>
    <s v="Software"/>
    <x v="1"/>
    <x v="3"/>
    <x v="3"/>
    <n v="1"/>
    <s v="Advantage"/>
    <x v="0"/>
    <x v="6"/>
  </r>
  <r>
    <s v="Cisco Networking"/>
    <s v="Software"/>
    <x v="1"/>
    <x v="4"/>
    <x v="4"/>
    <n v="1"/>
    <s v="NA"/>
    <x v="0"/>
    <x v="6"/>
  </r>
  <r>
    <s v="Cisco Networking"/>
    <s v="Software"/>
    <x v="2"/>
    <x v="5"/>
    <x v="4"/>
    <n v="1"/>
    <s v="NA"/>
    <x v="0"/>
    <x v="6"/>
  </r>
  <r>
    <s v="Cisco Networking"/>
    <s v="Software"/>
    <x v="2"/>
    <x v="6"/>
    <x v="5"/>
    <n v="1"/>
    <s v="Essential"/>
    <x v="0"/>
    <x v="6"/>
  </r>
  <r>
    <s v="Cisco DNA Software"/>
    <s v="Software"/>
    <x v="4"/>
    <x v="13"/>
    <x v="12"/>
    <n v="24"/>
    <s v="Essential"/>
    <x v="0"/>
    <x v="6"/>
  </r>
  <r>
    <s v="Cisco DNA Software"/>
    <s v="Software"/>
    <x v="4"/>
    <x v="15"/>
    <x v="14"/>
    <n v="26"/>
    <s v="Essential"/>
    <x v="0"/>
    <x v="6"/>
  </r>
  <r>
    <s v="Cisco DNA Software"/>
    <s v="Software"/>
    <x v="4"/>
    <x v="17"/>
    <x v="16"/>
    <n v="1"/>
    <s v="NA"/>
    <x v="0"/>
    <x v="6"/>
  </r>
  <r>
    <s v="Cisco DNA Software"/>
    <s v="Software"/>
    <x v="5"/>
    <x v="20"/>
    <x v="19"/>
    <n v="50"/>
    <s v="Essential"/>
    <x v="0"/>
    <x v="6"/>
  </r>
  <r>
    <s v="Cisco DNA Software"/>
    <s v="Software"/>
    <x v="5"/>
    <x v="21"/>
    <x v="20"/>
    <n v="1"/>
    <s v="NA"/>
    <x v="0"/>
    <x v="6"/>
  </r>
  <r>
    <s v="Zero Trust"/>
    <s v="Software"/>
    <x v="6"/>
    <x v="22"/>
    <x v="21"/>
    <n v="1"/>
    <m/>
    <x v="0"/>
    <x v="6"/>
  </r>
  <r>
    <s v="Zero Trust"/>
    <s v="Software"/>
    <x v="6"/>
    <x v="23"/>
    <x v="22"/>
    <n v="100"/>
    <m/>
    <x v="0"/>
    <x v="6"/>
  </r>
  <r>
    <s v="Zero Trust"/>
    <s v="Software"/>
    <x v="7"/>
    <x v="24"/>
    <x v="23"/>
    <n v="500"/>
    <m/>
    <x v="0"/>
    <x v="6"/>
  </r>
  <r>
    <s v="Zero Trust"/>
    <s v="Software"/>
    <x v="7"/>
    <x v="25"/>
    <x v="24"/>
    <n v="1"/>
    <m/>
    <x v="0"/>
    <x v="6"/>
  </r>
  <r>
    <s v="Cloud and Network Security"/>
    <s v="Software"/>
    <x v="8"/>
    <x v="175"/>
    <x v="156"/>
    <n v="1"/>
    <m/>
    <x v="0"/>
    <x v="6"/>
  </r>
  <r>
    <s v="Cloud and Network Security"/>
    <s v="Software"/>
    <x v="8"/>
    <x v="176"/>
    <x v="157"/>
    <n v="1"/>
    <m/>
    <x v="0"/>
    <x v="6"/>
  </r>
  <r>
    <s v="Cloud and Network Security"/>
    <s v="Software"/>
    <x v="8"/>
    <x v="27"/>
    <x v="26"/>
    <n v="1"/>
    <m/>
    <x v="0"/>
    <x v="6"/>
  </r>
  <r>
    <s v="Add-on Products"/>
    <s v="Software"/>
    <x v="20"/>
    <x v="185"/>
    <x v="164"/>
    <n v="330"/>
    <m/>
    <x v="0"/>
    <x v="6"/>
  </r>
  <r>
    <s v="Add-on Products"/>
    <s v="Software"/>
    <x v="20"/>
    <x v="186"/>
    <x v="165"/>
    <n v="1"/>
    <m/>
    <x v="0"/>
    <x v="6"/>
  </r>
  <r>
    <s v="Add-ons Services"/>
    <s v="Services"/>
    <x v="21"/>
    <x v="187"/>
    <x v="166"/>
    <n v="0"/>
    <m/>
    <x v="1"/>
    <x v="6"/>
  </r>
  <r>
    <s v="Add-ons Services"/>
    <s v="Services"/>
    <x v="21"/>
    <x v="37"/>
    <x v="36"/>
    <n v="0"/>
    <m/>
    <x v="1"/>
    <x v="6"/>
  </r>
  <r>
    <s v="Cloud and Network Security Services"/>
    <s v="Services"/>
    <x v="14"/>
    <x v="41"/>
    <x v="40"/>
    <n v="0"/>
    <m/>
    <x v="3"/>
    <x v="6"/>
  </r>
  <r>
    <s v="Cloud and Network Security Services"/>
    <s v="Services"/>
    <x v="14"/>
    <x v="43"/>
    <x v="42"/>
    <n v="44"/>
    <m/>
    <x v="3"/>
    <x v="6"/>
  </r>
  <r>
    <s v="Cloud and Network Security Services"/>
    <s v="Services"/>
    <x v="14"/>
    <x v="51"/>
    <x v="50"/>
    <n v="17"/>
    <m/>
    <x v="3"/>
    <x v="6"/>
  </r>
  <r>
    <s v="Cloud and Network Security Services"/>
    <s v="Services"/>
    <x v="14"/>
    <x v="37"/>
    <x v="36"/>
    <n v="0"/>
    <m/>
    <x v="3"/>
    <x v="6"/>
  </r>
  <r>
    <s v="Zero Trust Services"/>
    <s v="Services"/>
    <x v="15"/>
    <x v="52"/>
    <x v="51"/>
    <n v="0"/>
    <m/>
    <x v="3"/>
    <x v="6"/>
  </r>
  <r>
    <s v="Zero Trust Services"/>
    <s v="Services"/>
    <x v="15"/>
    <x v="37"/>
    <x v="36"/>
    <n v="0"/>
    <m/>
    <x v="3"/>
    <x v="6"/>
  </r>
  <r>
    <s v="Networking Support &amp; Lifecycle Services"/>
    <s v="Services"/>
    <x v="9"/>
    <x v="31"/>
    <x v="30"/>
    <n v="90"/>
    <m/>
    <x v="1"/>
    <x v="6"/>
  </r>
  <r>
    <s v="Networking Support &amp; Lifecycle Services"/>
    <s v="Services"/>
    <x v="9"/>
    <x v="72"/>
    <x v="66"/>
    <n v="23"/>
    <m/>
    <x v="1"/>
    <x v="6"/>
  </r>
  <r>
    <s v="Networking Support &amp; Lifecycle Services"/>
    <s v="Services"/>
    <x v="12"/>
    <x v="35"/>
    <x v="34"/>
    <n v="1"/>
    <m/>
    <x v="1"/>
    <x v="6"/>
  </r>
  <r>
    <s v="Networking Support &amp; Lifecycle Services"/>
    <s v="Services"/>
    <x v="12"/>
    <x v="188"/>
    <x v="167"/>
    <n v="4"/>
    <m/>
    <x v="1"/>
    <x v="6"/>
  </r>
  <r>
    <s v="Networking Support &amp; Lifecycle Services"/>
    <s v="Services"/>
    <x v="12"/>
    <x v="36"/>
    <x v="35"/>
    <n v="0"/>
    <m/>
    <x v="1"/>
    <x v="6"/>
  </r>
  <r>
    <s v="Networking Support &amp; Lifecycle Services"/>
    <s v="Services"/>
    <x v="12"/>
    <x v="37"/>
    <x v="36"/>
    <n v="0"/>
    <m/>
    <x v="1"/>
    <x v="6"/>
  </r>
  <r>
    <s v="Networking Support &amp; Lifecycle Services"/>
    <s v="Services"/>
    <x v="13"/>
    <x v="189"/>
    <x v="168"/>
    <n v="1098"/>
    <m/>
    <x v="1"/>
    <x v="6"/>
  </r>
  <r>
    <s v="Networking Support &amp; Lifecycle Services"/>
    <s v="Services"/>
    <x v="13"/>
    <x v="76"/>
    <x v="70"/>
    <n v="11"/>
    <m/>
    <x v="1"/>
    <x v="6"/>
  </r>
  <r>
    <s v="Networking Support &amp; Lifecycle Services"/>
    <s v="Services"/>
    <x v="13"/>
    <x v="39"/>
    <x v="38"/>
    <n v="221"/>
    <m/>
    <x v="1"/>
    <x v="6"/>
  </r>
  <r>
    <s v="Networking Support &amp; Lifecycle Services"/>
    <s v="Services"/>
    <x v="13"/>
    <x v="40"/>
    <x v="39"/>
    <n v="0"/>
    <m/>
    <x v="1"/>
    <x v="6"/>
  </r>
  <r>
    <s v="Networking Support &amp; Lifecycle Services"/>
    <s v="Services"/>
    <x v="13"/>
    <x v="37"/>
    <x v="36"/>
    <n v="0"/>
    <m/>
    <x v="1"/>
    <x v="6"/>
  </r>
  <r>
    <s v="Cisco Networking"/>
    <s v="Software"/>
    <x v="0"/>
    <x v="0"/>
    <x v="0"/>
    <n v="100"/>
    <s v="NA"/>
    <x v="0"/>
    <x v="7"/>
  </r>
  <r>
    <s v="Cisco Networking"/>
    <s v="Software"/>
    <x v="1"/>
    <x v="84"/>
    <x v="1"/>
    <n v="1"/>
    <s v="Advantage"/>
    <x v="0"/>
    <x v="7"/>
  </r>
  <r>
    <s v="Cisco Networking"/>
    <s v="Software"/>
    <x v="1"/>
    <x v="85"/>
    <x v="2"/>
    <n v="1"/>
    <s v="Advantage"/>
    <x v="0"/>
    <x v="7"/>
  </r>
  <r>
    <s v="Cisco Networking"/>
    <s v="Software"/>
    <x v="1"/>
    <x v="3"/>
    <x v="3"/>
    <n v="1"/>
    <s v="Advantage"/>
    <x v="0"/>
    <x v="7"/>
  </r>
  <r>
    <s v="Cisco Networking"/>
    <s v="Software"/>
    <x v="1"/>
    <x v="4"/>
    <x v="4"/>
    <n v="1"/>
    <s v="NA"/>
    <x v="0"/>
    <x v="7"/>
  </r>
  <r>
    <s v="Cloud Networking"/>
    <s v="Software"/>
    <x v="3"/>
    <x v="58"/>
    <x v="7"/>
    <n v="21"/>
    <s v="Advantage"/>
    <x v="0"/>
    <x v="7"/>
  </r>
  <r>
    <s v="Cloud Networking"/>
    <s v="Software"/>
    <x v="3"/>
    <x v="7"/>
    <x v="6"/>
    <n v="1"/>
    <s v="NA"/>
    <x v="0"/>
    <x v="7"/>
  </r>
  <r>
    <s v="Cloud Networking"/>
    <s v="Software"/>
    <x v="3"/>
    <x v="8"/>
    <x v="7"/>
    <n v="13"/>
    <s v="Essential"/>
    <x v="0"/>
    <x v="7"/>
  </r>
  <r>
    <s v="Cisco DNA Software"/>
    <s v="Software"/>
    <x v="4"/>
    <x v="11"/>
    <x v="10"/>
    <n v="18"/>
    <s v="Essential"/>
    <x v="0"/>
    <x v="7"/>
  </r>
  <r>
    <s v="Cisco DNA Software"/>
    <s v="Software"/>
    <x v="4"/>
    <x v="190"/>
    <x v="78"/>
    <n v="2"/>
    <s v="Essential"/>
    <x v="0"/>
    <x v="7"/>
  </r>
  <r>
    <s v="Cisco DNA Software"/>
    <s v="Software"/>
    <x v="4"/>
    <x v="14"/>
    <x v="13"/>
    <n v="60"/>
    <s v="Essential"/>
    <x v="0"/>
    <x v="7"/>
  </r>
  <r>
    <s v="Cisco DNA Software"/>
    <s v="Software"/>
    <x v="4"/>
    <x v="17"/>
    <x v="16"/>
    <n v="1"/>
    <s v="NA"/>
    <x v="0"/>
    <x v="7"/>
  </r>
  <r>
    <s v="Cisco DNA Software"/>
    <s v="Software"/>
    <x v="4"/>
    <x v="19"/>
    <x v="18"/>
    <n v="5"/>
    <s v="Essential"/>
    <x v="0"/>
    <x v="7"/>
  </r>
  <r>
    <s v="Cisco DNA Software"/>
    <s v="Software"/>
    <x v="19"/>
    <x v="191"/>
    <x v="169"/>
    <n v="4"/>
    <s v="Essential"/>
    <x v="0"/>
    <x v="7"/>
  </r>
  <r>
    <s v="Cisco DNA Software"/>
    <s v="Software"/>
    <x v="19"/>
    <x v="90"/>
    <x v="79"/>
    <n v="1"/>
    <s v="NA"/>
    <x v="0"/>
    <x v="7"/>
  </r>
  <r>
    <s v="Zero Trust"/>
    <s v="Software"/>
    <x v="6"/>
    <x v="22"/>
    <x v="21"/>
    <n v="1"/>
    <m/>
    <x v="0"/>
    <x v="7"/>
  </r>
  <r>
    <s v="Zero Trust"/>
    <s v="Software"/>
    <x v="6"/>
    <x v="23"/>
    <x v="22"/>
    <n v="100"/>
    <m/>
    <x v="0"/>
    <x v="7"/>
  </r>
  <r>
    <s v="Zero Trust"/>
    <s v="Software"/>
    <x v="7"/>
    <x v="24"/>
    <x v="23"/>
    <n v="150"/>
    <m/>
    <x v="0"/>
    <x v="7"/>
  </r>
  <r>
    <s v="Zero Trust"/>
    <s v="Software"/>
    <x v="7"/>
    <x v="25"/>
    <x v="24"/>
    <n v="1"/>
    <m/>
    <x v="0"/>
    <x v="7"/>
  </r>
  <r>
    <s v="Zero Trust"/>
    <s v="Software"/>
    <x v="7"/>
    <x v="69"/>
    <x v="63"/>
    <n v="200"/>
    <m/>
    <x v="0"/>
    <x v="7"/>
  </r>
  <r>
    <s v="Zero Trust Services"/>
    <s v="Services"/>
    <x v="15"/>
    <x v="81"/>
    <x v="75"/>
    <n v="1"/>
    <s v="-"/>
    <x v="0"/>
    <x v="7"/>
  </r>
  <r>
    <s v="Networking Support &amp; Lifecycle Services"/>
    <s v="Services"/>
    <x v="9"/>
    <x v="192"/>
    <x v="170"/>
    <n v="0"/>
    <m/>
    <x v="1"/>
    <x v="7"/>
  </r>
  <r>
    <s v="Networking Support &amp; Lifecycle Services"/>
    <s v="Services"/>
    <x v="9"/>
    <x v="30"/>
    <x v="29"/>
    <n v="3"/>
    <m/>
    <x v="1"/>
    <x v="7"/>
  </r>
  <r>
    <s v="Networking Support &amp; Lifecycle Services"/>
    <s v="Services"/>
    <x v="9"/>
    <x v="31"/>
    <x v="30"/>
    <n v="31"/>
    <m/>
    <x v="1"/>
    <x v="7"/>
  </r>
  <r>
    <s v="Networking Support &amp; Lifecycle Services"/>
    <s v="Services"/>
    <x v="9"/>
    <x v="54"/>
    <x v="53"/>
    <n v="82"/>
    <m/>
    <x v="1"/>
    <x v="7"/>
  </r>
  <r>
    <s v="Networking Support &amp; Lifecycle Services"/>
    <s v="Services"/>
    <x v="9"/>
    <x v="193"/>
    <x v="171"/>
    <n v="10"/>
    <m/>
    <x v="1"/>
    <x v="7"/>
  </r>
  <r>
    <s v="Networking Support &amp; Lifecycle Services"/>
    <s v="Services"/>
    <x v="9"/>
    <x v="37"/>
    <x v="36"/>
    <n v="0"/>
    <m/>
    <x v="1"/>
    <x v="7"/>
  </r>
  <r>
    <s v="Networking Support &amp; Lifecycle Services"/>
    <s v="Services"/>
    <x v="10"/>
    <x v="55"/>
    <x v="54"/>
    <n v="46"/>
    <m/>
    <x v="2"/>
    <x v="7"/>
  </r>
  <r>
    <s v="Networking Support &amp; Lifecycle Services"/>
    <s v="Services"/>
    <x v="10"/>
    <x v="32"/>
    <x v="31"/>
    <n v="29"/>
    <m/>
    <x v="2"/>
    <x v="7"/>
  </r>
  <r>
    <s v="Networking Support &amp; Lifecycle Services"/>
    <s v="Services"/>
    <x v="10"/>
    <x v="33"/>
    <x v="32"/>
    <n v="707"/>
    <m/>
    <x v="2"/>
    <x v="7"/>
  </r>
  <r>
    <s v="Networking Support &amp; Lifecycle Services"/>
    <s v="Services"/>
    <x v="13"/>
    <x v="76"/>
    <x v="70"/>
    <n v="22"/>
    <m/>
    <x v="1"/>
    <x v="7"/>
  </r>
  <r>
    <s v="Networking Support &amp; Lifecycle Services"/>
    <s v="Services"/>
    <x v="13"/>
    <x v="39"/>
    <x v="38"/>
    <n v="1528"/>
    <m/>
    <x v="1"/>
    <x v="7"/>
  </r>
  <r>
    <s v="Networking Support &amp; Lifecycle Services"/>
    <s v="Services"/>
    <x v="13"/>
    <x v="40"/>
    <x v="39"/>
    <n v="0"/>
    <m/>
    <x v="1"/>
    <x v="7"/>
  </r>
  <r>
    <s v="Networking Support &amp; Lifecycle Services"/>
    <s v="Services"/>
    <x v="13"/>
    <x v="37"/>
    <x v="36"/>
    <n v="0"/>
    <m/>
    <x v="1"/>
    <x v="7"/>
  </r>
  <r>
    <s v="Cisco Networking"/>
    <m/>
    <x v="0"/>
    <x v="0"/>
    <x v="0"/>
    <n v="100"/>
    <s v="NA"/>
    <x v="0"/>
    <x v="8"/>
  </r>
  <r>
    <s v="Cisco Networking"/>
    <m/>
    <x v="1"/>
    <x v="84"/>
    <x v="1"/>
    <n v="1"/>
    <s v="Advantage"/>
    <x v="0"/>
    <x v="8"/>
  </r>
  <r>
    <s v="Cisco Networking"/>
    <m/>
    <x v="1"/>
    <x v="85"/>
    <x v="2"/>
    <n v="1"/>
    <s v="Advantage"/>
    <x v="0"/>
    <x v="8"/>
  </r>
  <r>
    <s v="Cisco Networking"/>
    <m/>
    <x v="1"/>
    <x v="3"/>
    <x v="3"/>
    <n v="1"/>
    <s v="Advantage"/>
    <x v="0"/>
    <x v="8"/>
  </r>
  <r>
    <s v="Cisco Networking"/>
    <m/>
    <x v="1"/>
    <x v="4"/>
    <x v="4"/>
    <n v="1"/>
    <s v="NA"/>
    <x v="0"/>
    <x v="8"/>
  </r>
  <r>
    <s v="Cisco Networking"/>
    <m/>
    <x v="2"/>
    <x v="86"/>
    <x v="5"/>
    <n v="1"/>
    <s v="Advantage"/>
    <x v="0"/>
    <x v="8"/>
  </r>
  <r>
    <s v="Cisco Networking"/>
    <m/>
    <x v="2"/>
    <x v="5"/>
    <x v="4"/>
    <n v="1"/>
    <s v="NA"/>
    <x v="0"/>
    <x v="8"/>
  </r>
  <r>
    <s v="Cloud Networking"/>
    <m/>
    <x v="3"/>
    <x v="58"/>
    <x v="7"/>
    <n v="11"/>
    <s v="Advantage"/>
    <x v="0"/>
    <x v="8"/>
  </r>
  <r>
    <s v="Cloud Networking"/>
    <m/>
    <x v="3"/>
    <x v="7"/>
    <x v="6"/>
    <n v="1"/>
    <s v="NA"/>
    <x v="0"/>
    <x v="8"/>
  </r>
  <r>
    <s v="Cloud Networking"/>
    <m/>
    <x v="3"/>
    <x v="59"/>
    <x v="57"/>
    <n v="2"/>
    <s v="Advantage"/>
    <x v="0"/>
    <x v="8"/>
  </r>
  <r>
    <s v="Cisco DNA Software"/>
    <m/>
    <x v="4"/>
    <x v="10"/>
    <x v="9"/>
    <n v="2"/>
    <s v="Essential"/>
    <x v="0"/>
    <x v="8"/>
  </r>
  <r>
    <s v="Cisco DNA Software"/>
    <m/>
    <x v="4"/>
    <x v="61"/>
    <x v="10"/>
    <n v="1"/>
    <s v="Advantage"/>
    <x v="0"/>
    <x v="8"/>
  </r>
  <r>
    <s v="Cisco DNA Software"/>
    <m/>
    <x v="4"/>
    <x v="194"/>
    <x v="172"/>
    <n v="3"/>
    <s v="Advantage"/>
    <x v="0"/>
    <x v="8"/>
  </r>
  <r>
    <s v="Cisco DNA Software"/>
    <m/>
    <x v="4"/>
    <x v="50"/>
    <x v="49"/>
    <n v="3"/>
    <s v="Essential"/>
    <x v="0"/>
    <x v="8"/>
  </r>
  <r>
    <s v="Cisco DNA Software"/>
    <m/>
    <x v="4"/>
    <x v="62"/>
    <x v="11"/>
    <n v="9"/>
    <s v="Advantage"/>
    <x v="0"/>
    <x v="8"/>
  </r>
  <r>
    <s v="Cisco DNA Software"/>
    <m/>
    <x v="4"/>
    <x v="195"/>
    <x v="49"/>
    <n v="5"/>
    <s v="Advantage"/>
    <x v="0"/>
    <x v="8"/>
  </r>
  <r>
    <s v="Cisco DNA Software"/>
    <m/>
    <x v="4"/>
    <x v="196"/>
    <x v="173"/>
    <n v="1"/>
    <s v="Advantage"/>
    <x v="0"/>
    <x v="8"/>
  </r>
  <r>
    <s v="Cisco DNA Software"/>
    <m/>
    <x v="4"/>
    <x v="13"/>
    <x v="12"/>
    <n v="2"/>
    <s v="Essential"/>
    <x v="0"/>
    <x v="8"/>
  </r>
  <r>
    <s v="Cisco DNA Software"/>
    <m/>
    <x v="4"/>
    <x v="197"/>
    <x v="12"/>
    <n v="1"/>
    <s v="Advantage"/>
    <x v="0"/>
    <x v="8"/>
  </r>
  <r>
    <s v="Cisco DNA Software"/>
    <m/>
    <x v="4"/>
    <x v="14"/>
    <x v="13"/>
    <n v="11"/>
    <s v="Essential"/>
    <x v="0"/>
    <x v="8"/>
  </r>
  <r>
    <s v="Cisco DNA Software"/>
    <m/>
    <x v="4"/>
    <x v="63"/>
    <x v="13"/>
    <n v="75"/>
    <s v="Advantage"/>
    <x v="0"/>
    <x v="8"/>
  </r>
  <r>
    <s v="Cisco DNA Software"/>
    <m/>
    <x v="4"/>
    <x v="15"/>
    <x v="14"/>
    <n v="12"/>
    <s v="Essential"/>
    <x v="0"/>
    <x v="8"/>
  </r>
  <r>
    <s v="Cisco DNA Software"/>
    <m/>
    <x v="4"/>
    <x v="182"/>
    <x v="162"/>
    <n v="187"/>
    <s v="Essential"/>
    <x v="0"/>
    <x v="8"/>
  </r>
  <r>
    <s v="Cisco DNA Software"/>
    <m/>
    <x v="4"/>
    <x v="198"/>
    <x v="162"/>
    <n v="187"/>
    <s v="Advantage"/>
    <x v="0"/>
    <x v="8"/>
  </r>
  <r>
    <s v="Cisco DNA Software"/>
    <m/>
    <x v="4"/>
    <x v="199"/>
    <x v="174"/>
    <n v="5"/>
    <s v="Essential"/>
    <x v="0"/>
    <x v="8"/>
  </r>
  <r>
    <s v="Cisco DNA Software"/>
    <m/>
    <x v="4"/>
    <x v="64"/>
    <x v="58"/>
    <n v="5"/>
    <s v="Advantage"/>
    <x v="0"/>
    <x v="8"/>
  </r>
  <r>
    <s v="Cisco DNA Software"/>
    <m/>
    <x v="4"/>
    <x v="174"/>
    <x v="58"/>
    <n v="74"/>
    <s v="Essential"/>
    <x v="0"/>
    <x v="8"/>
  </r>
  <r>
    <s v="Cisco DNA Software"/>
    <m/>
    <x v="4"/>
    <x v="200"/>
    <x v="59"/>
    <n v="2"/>
    <s v="Essential"/>
    <x v="0"/>
    <x v="8"/>
  </r>
  <r>
    <s v="Cisco DNA Software"/>
    <m/>
    <x v="4"/>
    <x v="201"/>
    <x v="175"/>
    <n v="36"/>
    <s v="Advantage"/>
    <x v="0"/>
    <x v="8"/>
  </r>
  <r>
    <s v="Cisco DNA Software"/>
    <m/>
    <x v="4"/>
    <x v="16"/>
    <x v="15"/>
    <n v="232"/>
    <s v="Essential"/>
    <x v="0"/>
    <x v="8"/>
  </r>
  <r>
    <s v="Cisco DNA Software"/>
    <m/>
    <x v="4"/>
    <x v="202"/>
    <x v="176"/>
    <n v="1"/>
    <s v="Advantage"/>
    <x v="0"/>
    <x v="8"/>
  </r>
  <r>
    <s v="Cisco DNA Software"/>
    <m/>
    <x v="4"/>
    <x v="203"/>
    <x v="15"/>
    <n v="42"/>
    <s v="Advantage"/>
    <x v="0"/>
    <x v="8"/>
  </r>
  <r>
    <s v="Cisco DNA Software"/>
    <m/>
    <x v="4"/>
    <x v="89"/>
    <x v="18"/>
    <n v="9"/>
    <s v="Advantage"/>
    <x v="0"/>
    <x v="8"/>
  </r>
  <r>
    <s v="Cisco DNA Software"/>
    <m/>
    <x v="4"/>
    <x v="204"/>
    <x v="177"/>
    <n v="15"/>
    <s v="Essential"/>
    <x v="0"/>
    <x v="8"/>
  </r>
  <r>
    <s v="Cisco DNA Software"/>
    <m/>
    <x v="4"/>
    <x v="17"/>
    <x v="16"/>
    <n v="1"/>
    <s v="NA"/>
    <x v="0"/>
    <x v="8"/>
  </r>
  <r>
    <s v="Cisco DNA Software"/>
    <m/>
    <x v="4"/>
    <x v="205"/>
    <x v="177"/>
    <n v="2"/>
    <s v="Advantage"/>
    <x v="0"/>
    <x v="8"/>
  </r>
  <r>
    <s v="Cisco DNA Software"/>
    <m/>
    <x v="4"/>
    <x v="65"/>
    <x v="59"/>
    <n v="3"/>
    <s v="Advantage"/>
    <x v="0"/>
    <x v="8"/>
  </r>
  <r>
    <s v="Cisco DNA Software"/>
    <m/>
    <x v="4"/>
    <x v="184"/>
    <x v="163"/>
    <n v="161"/>
    <s v="Essential"/>
    <x v="0"/>
    <x v="8"/>
  </r>
  <r>
    <s v="Cisco DNA Software"/>
    <m/>
    <x v="5"/>
    <x v="20"/>
    <x v="19"/>
    <n v="275"/>
    <s v="Essential"/>
    <x v="0"/>
    <x v="8"/>
  </r>
  <r>
    <s v="Cisco DNA Software"/>
    <m/>
    <x v="5"/>
    <x v="93"/>
    <x v="19"/>
    <n v="8"/>
    <s v="Advantage"/>
    <x v="0"/>
    <x v="8"/>
  </r>
  <r>
    <s v="Cisco DNA Software"/>
    <m/>
    <x v="5"/>
    <x v="21"/>
    <x v="20"/>
    <n v="1"/>
    <s v="NA"/>
    <x v="0"/>
    <x v="8"/>
  </r>
  <r>
    <s v="Zero Trust"/>
    <m/>
    <x v="6"/>
    <x v="22"/>
    <x v="21"/>
    <n v="1"/>
    <m/>
    <x v="0"/>
    <x v="8"/>
  </r>
  <r>
    <s v="Zero Trust"/>
    <m/>
    <x v="6"/>
    <x v="23"/>
    <x v="22"/>
    <n v="100"/>
    <m/>
    <x v="0"/>
    <x v="8"/>
  </r>
  <r>
    <s v="Zero Trust"/>
    <m/>
    <x v="7"/>
    <x v="24"/>
    <x v="23"/>
    <n v="100"/>
    <m/>
    <x v="0"/>
    <x v="8"/>
  </r>
  <r>
    <s v="Zero Trust"/>
    <m/>
    <x v="7"/>
    <x v="25"/>
    <x v="24"/>
    <n v="1"/>
    <m/>
    <x v="0"/>
    <x v="8"/>
  </r>
  <r>
    <s v="Zero Trust"/>
    <m/>
    <x v="7"/>
    <x v="69"/>
    <x v="63"/>
    <n v="1000"/>
    <m/>
    <x v="0"/>
    <x v="8"/>
  </r>
  <r>
    <s v="Zero Trust"/>
    <m/>
    <x v="7"/>
    <x v="26"/>
    <x v="25"/>
    <n v="2000"/>
    <m/>
    <x v="0"/>
    <x v="8"/>
  </r>
  <r>
    <s v="Zero Trust Services"/>
    <m/>
    <x v="15"/>
    <x v="179"/>
    <x v="99"/>
    <n v="5"/>
    <m/>
    <x v="3"/>
    <x v="8"/>
  </r>
  <r>
    <s v="Zero Trust Services"/>
    <m/>
    <x v="15"/>
    <x v="52"/>
    <x v="51"/>
    <n v="0"/>
    <m/>
    <x v="3"/>
    <x v="8"/>
  </r>
  <r>
    <s v="Zero Trust Services"/>
    <m/>
    <x v="15"/>
    <x v="37"/>
    <x v="36"/>
    <n v="0"/>
    <m/>
    <x v="3"/>
    <x v="8"/>
  </r>
  <r>
    <s v="Zero Trust Services"/>
    <m/>
    <x v="16"/>
    <x v="45"/>
    <x v="44"/>
    <n v="0"/>
    <m/>
    <x v="5"/>
    <x v="8"/>
  </r>
  <r>
    <s v="Zero Trust Services"/>
    <m/>
    <x v="16"/>
    <x v="37"/>
    <x v="36"/>
    <n v="0"/>
    <m/>
    <x v="5"/>
    <x v="8"/>
  </r>
  <r>
    <s v="Networking Support &amp; Lifecycle Services"/>
    <m/>
    <x v="9"/>
    <x v="30"/>
    <x v="29"/>
    <n v="106"/>
    <m/>
    <x v="0"/>
    <x v="8"/>
  </r>
  <r>
    <s v="Networking Support &amp; Lifecycle Services"/>
    <m/>
    <x v="9"/>
    <x v="31"/>
    <x v="30"/>
    <n v="1102"/>
    <m/>
    <x v="0"/>
    <x v="8"/>
  </r>
  <r>
    <s v="Networking Support &amp; Lifecycle Services"/>
    <m/>
    <x v="9"/>
    <x v="54"/>
    <x v="53"/>
    <n v="1536"/>
    <m/>
    <x v="0"/>
    <x v="8"/>
  </r>
  <r>
    <s v="Networking Support &amp; Lifecycle Services"/>
    <m/>
    <x v="9"/>
    <x v="193"/>
    <x v="171"/>
    <n v="150"/>
    <m/>
    <x v="0"/>
    <x v="8"/>
  </r>
  <r>
    <s v="Networking Support &amp; Lifecycle Services"/>
    <m/>
    <x v="9"/>
    <x v="72"/>
    <x v="66"/>
    <n v="100"/>
    <m/>
    <x v="0"/>
    <x v="8"/>
  </r>
  <r>
    <s v="Networking Support &amp; Lifecycle Services"/>
    <m/>
    <x v="10"/>
    <x v="55"/>
    <x v="54"/>
    <n v="1"/>
    <m/>
    <x v="0"/>
    <x v="8"/>
  </r>
  <r>
    <s v="Networking Support &amp; Lifecycle Services"/>
    <m/>
    <x v="10"/>
    <x v="33"/>
    <x v="32"/>
    <n v="166"/>
    <m/>
    <x v="0"/>
    <x v="8"/>
  </r>
  <r>
    <s v="Networking Support &amp; Lifecycle Services"/>
    <m/>
    <x v="12"/>
    <x v="35"/>
    <x v="34"/>
    <n v="284"/>
    <m/>
    <x v="0"/>
    <x v="8"/>
  </r>
  <r>
    <s v="Networking Support &amp; Lifecycle Services"/>
    <m/>
    <x v="12"/>
    <x v="75"/>
    <x v="69"/>
    <n v="2075"/>
    <m/>
    <x v="0"/>
    <x v="8"/>
  </r>
  <r>
    <s v="Networking Support &amp; Lifecycle Services"/>
    <m/>
    <x v="12"/>
    <x v="188"/>
    <x v="167"/>
    <n v="2"/>
    <m/>
    <x v="0"/>
    <x v="8"/>
  </r>
  <r>
    <s v="Networking Support &amp; Lifecycle Services"/>
    <m/>
    <x v="12"/>
    <x v="36"/>
    <x v="35"/>
    <n v="0"/>
    <m/>
    <x v="0"/>
    <x v="8"/>
  </r>
  <r>
    <s v="Networking Support &amp; Lifecycle Services"/>
    <m/>
    <x v="12"/>
    <x v="37"/>
    <x v="36"/>
    <n v="0"/>
    <m/>
    <x v="0"/>
    <x v="8"/>
  </r>
  <r>
    <s v="Networking Support &amp; Lifecycle Services"/>
    <m/>
    <x v="13"/>
    <x v="40"/>
    <x v="39"/>
    <n v="0"/>
    <m/>
    <x v="0"/>
    <x v="8"/>
  </r>
  <r>
    <s v="Networking Support &amp; Lifecycle Services"/>
    <m/>
    <x v="13"/>
    <x v="38"/>
    <x v="37"/>
    <n v="16"/>
    <m/>
    <x v="0"/>
    <x v="8"/>
  </r>
  <r>
    <s v="Networking Support &amp; Lifecycle Services"/>
    <m/>
    <x v="13"/>
    <x v="39"/>
    <x v="38"/>
    <n v="8105"/>
    <m/>
    <x v="0"/>
    <x v="8"/>
  </r>
  <r>
    <m/>
    <s v="Software"/>
    <x v="22"/>
    <x v="206"/>
    <x v="178"/>
    <n v="1"/>
    <m/>
    <x v="0"/>
    <x v="9"/>
  </r>
  <r>
    <m/>
    <s v="Software"/>
    <x v="23"/>
    <x v="207"/>
    <x v="24"/>
    <n v="1"/>
    <m/>
    <x v="0"/>
    <x v="9"/>
  </r>
  <r>
    <m/>
    <s v="Software"/>
    <x v="22"/>
    <x v="208"/>
    <x v="179"/>
    <n v="5000"/>
    <m/>
    <x v="0"/>
    <x v="9"/>
  </r>
  <r>
    <m/>
    <s v="Software"/>
    <x v="24"/>
    <x v="209"/>
    <x v="180"/>
    <n v="1"/>
    <m/>
    <x v="0"/>
    <x v="9"/>
  </r>
  <r>
    <m/>
    <s v="Software"/>
    <x v="24"/>
    <x v="210"/>
    <x v="181"/>
    <n v="1"/>
    <m/>
    <x v="0"/>
    <x v="9"/>
  </r>
  <r>
    <m/>
    <s v="Software"/>
    <x v="23"/>
    <x v="211"/>
    <x v="182"/>
    <n v="1"/>
    <m/>
    <x v="0"/>
    <x v="9"/>
  </r>
  <r>
    <m/>
    <s v="Software"/>
    <x v="22"/>
    <x v="206"/>
    <x v="178"/>
    <n v="1"/>
    <m/>
    <x v="0"/>
    <x v="9"/>
  </r>
  <r>
    <m/>
    <s v="Software"/>
    <x v="22"/>
    <x v="208"/>
    <x v="179"/>
    <n v="100"/>
    <m/>
    <x v="0"/>
    <x v="9"/>
  </r>
  <r>
    <m/>
    <s v="Software"/>
    <x v="23"/>
    <x v="212"/>
    <x v="183"/>
    <n v="1"/>
    <m/>
    <x v="0"/>
    <x v="9"/>
  </r>
  <r>
    <m/>
    <m/>
    <x v="17"/>
    <x v="213"/>
    <x v="184"/>
    <m/>
    <m/>
    <x v="0"/>
    <x v="9"/>
  </r>
  <r>
    <m/>
    <s v="Services"/>
    <x v="17"/>
    <x v="214"/>
    <x v="185"/>
    <n v="1"/>
    <m/>
    <x v="0"/>
    <x v="9"/>
  </r>
  <r>
    <m/>
    <s v="Services"/>
    <x v="17"/>
    <x v="215"/>
    <x v="186"/>
    <n v="1"/>
    <m/>
    <x v="0"/>
    <x v="9"/>
  </r>
  <r>
    <m/>
    <s v="Services"/>
    <x v="17"/>
    <x v="216"/>
    <x v="187"/>
    <n v="1"/>
    <m/>
    <x v="0"/>
    <x v="9"/>
  </r>
  <r>
    <m/>
    <s v="Services"/>
    <x v="17"/>
    <x v="137"/>
    <x v="123"/>
    <n v="2"/>
    <m/>
    <x v="0"/>
    <x v="9"/>
  </r>
  <r>
    <m/>
    <s v="Services"/>
    <x v="17"/>
    <x v="217"/>
    <x v="188"/>
    <n v="66"/>
    <m/>
    <x v="0"/>
    <x v="9"/>
  </r>
  <r>
    <m/>
    <s v="Services"/>
    <x v="17"/>
    <x v="218"/>
    <x v="189"/>
    <n v="7"/>
    <m/>
    <x v="0"/>
    <x v="9"/>
  </r>
  <r>
    <m/>
    <s v="Services"/>
    <x v="17"/>
    <x v="219"/>
    <x v="190"/>
    <n v="2"/>
    <m/>
    <x v="0"/>
    <x v="9"/>
  </r>
  <r>
    <m/>
    <s v="Services"/>
    <x v="17"/>
    <x v="220"/>
    <x v="191"/>
    <n v="4"/>
    <m/>
    <x v="0"/>
    <x v="9"/>
  </r>
  <r>
    <m/>
    <s v="Services"/>
    <x v="17"/>
    <x v="221"/>
    <x v="192"/>
    <n v="4"/>
    <m/>
    <x v="0"/>
    <x v="9"/>
  </r>
  <r>
    <m/>
    <s v="Services"/>
    <x v="17"/>
    <x v="222"/>
    <x v="193"/>
    <n v="3"/>
    <m/>
    <x v="0"/>
    <x v="9"/>
  </r>
  <r>
    <m/>
    <s v="Services"/>
    <x v="17"/>
    <x v="223"/>
    <x v="194"/>
    <n v="1"/>
    <m/>
    <x v="0"/>
    <x v="9"/>
  </r>
  <r>
    <m/>
    <s v="Services"/>
    <x v="17"/>
    <x v="224"/>
    <x v="195"/>
    <n v="3"/>
    <m/>
    <x v="0"/>
    <x v="9"/>
  </r>
  <r>
    <m/>
    <s v="Services"/>
    <x v="17"/>
    <x v="225"/>
    <x v="196"/>
    <n v="93"/>
    <m/>
    <x v="0"/>
    <x v="9"/>
  </r>
  <r>
    <m/>
    <s v="Services"/>
    <x v="17"/>
    <x v="226"/>
    <x v="197"/>
    <n v="93"/>
    <m/>
    <x v="0"/>
    <x v="9"/>
  </r>
  <r>
    <m/>
    <s v="Services"/>
    <x v="17"/>
    <x v="227"/>
    <x v="198"/>
    <n v="3"/>
    <m/>
    <x v="0"/>
    <x v="9"/>
  </r>
  <r>
    <m/>
    <s v="Services"/>
    <x v="17"/>
    <x v="228"/>
    <x v="199"/>
    <n v="2"/>
    <m/>
    <x v="0"/>
    <x v="9"/>
  </r>
  <r>
    <m/>
    <s v="Services"/>
    <x v="17"/>
    <x v="229"/>
    <x v="200"/>
    <n v="2"/>
    <m/>
    <x v="0"/>
    <x v="9"/>
  </r>
  <r>
    <m/>
    <s v="Services"/>
    <x v="17"/>
    <x v="230"/>
    <x v="201"/>
    <n v="3"/>
    <m/>
    <x v="0"/>
    <x v="9"/>
  </r>
  <r>
    <m/>
    <s v="Services"/>
    <x v="17"/>
    <x v="231"/>
    <x v="202"/>
    <n v="3"/>
    <m/>
    <x v="0"/>
    <x v="9"/>
  </r>
  <r>
    <m/>
    <s v="Services"/>
    <x v="17"/>
    <x v="232"/>
    <x v="203"/>
    <n v="2"/>
    <m/>
    <x v="0"/>
    <x v="9"/>
  </r>
  <r>
    <m/>
    <s v="Services"/>
    <x v="17"/>
    <x v="233"/>
    <x v="204"/>
    <n v="2"/>
    <m/>
    <x v="0"/>
    <x v="9"/>
  </r>
  <r>
    <m/>
    <s v="Services"/>
    <x v="17"/>
    <x v="234"/>
    <x v="205"/>
    <n v="3"/>
    <m/>
    <x v="0"/>
    <x v="9"/>
  </r>
  <r>
    <m/>
    <s v="Services"/>
    <x v="17"/>
    <x v="235"/>
    <x v="206"/>
    <n v="2"/>
    <m/>
    <x v="0"/>
    <x v="9"/>
  </r>
  <r>
    <m/>
    <s v="Services"/>
    <x v="17"/>
    <x v="236"/>
    <x v="207"/>
    <n v="2"/>
    <m/>
    <x v="0"/>
    <x v="9"/>
  </r>
  <r>
    <m/>
    <s v="Services"/>
    <x v="17"/>
    <x v="237"/>
    <x v="208"/>
    <n v="9"/>
    <m/>
    <x v="0"/>
    <x v="9"/>
  </r>
  <r>
    <m/>
    <s v="Services"/>
    <x v="17"/>
    <x v="238"/>
    <x v="209"/>
    <n v="1"/>
    <m/>
    <x v="0"/>
    <x v="9"/>
  </r>
  <r>
    <m/>
    <s v="Services"/>
    <x v="17"/>
    <x v="239"/>
    <x v="210"/>
    <n v="8"/>
    <m/>
    <x v="0"/>
    <x v="9"/>
  </r>
  <r>
    <m/>
    <s v="Services"/>
    <x v="17"/>
    <x v="240"/>
    <x v="211"/>
    <n v="3"/>
    <m/>
    <x v="0"/>
    <x v="9"/>
  </r>
  <r>
    <m/>
    <s v="Services"/>
    <x v="17"/>
    <x v="241"/>
    <x v="212"/>
    <n v="1"/>
    <m/>
    <x v="0"/>
    <x v="9"/>
  </r>
  <r>
    <m/>
    <s v="Services"/>
    <x v="17"/>
    <x v="242"/>
    <x v="213"/>
    <n v="1"/>
    <m/>
    <x v="0"/>
    <x v="9"/>
  </r>
  <r>
    <m/>
    <s v="Services"/>
    <x v="17"/>
    <x v="243"/>
    <x v="214"/>
    <n v="2"/>
    <m/>
    <x v="0"/>
    <x v="9"/>
  </r>
  <r>
    <m/>
    <s v="Services"/>
    <x v="17"/>
    <x v="244"/>
    <x v="215"/>
    <n v="2"/>
    <m/>
    <x v="0"/>
    <x v="9"/>
  </r>
  <r>
    <m/>
    <s v="Services"/>
    <x v="17"/>
    <x v="245"/>
    <x v="216"/>
    <n v="2"/>
    <m/>
    <x v="0"/>
    <x v="9"/>
  </r>
  <r>
    <m/>
    <s v="Services"/>
    <x v="17"/>
    <x v="246"/>
    <x v="217"/>
    <n v="1"/>
    <m/>
    <x v="0"/>
    <x v="9"/>
  </r>
  <r>
    <m/>
    <s v="Services"/>
    <x v="17"/>
    <x v="247"/>
    <x v="218"/>
    <n v="2"/>
    <m/>
    <x v="0"/>
    <x v="9"/>
  </r>
  <r>
    <m/>
    <s v="Services"/>
    <x v="17"/>
    <x v="248"/>
    <x v="219"/>
    <n v="5"/>
    <m/>
    <x v="0"/>
    <x v="9"/>
  </r>
  <r>
    <m/>
    <s v="Services"/>
    <x v="17"/>
    <x v="249"/>
    <x v="220"/>
    <n v="1"/>
    <m/>
    <x v="0"/>
    <x v="9"/>
  </r>
  <r>
    <m/>
    <s v="Services"/>
    <x v="17"/>
    <x v="250"/>
    <x v="221"/>
    <n v="3"/>
    <m/>
    <x v="0"/>
    <x v="9"/>
  </r>
  <r>
    <m/>
    <s v="Services"/>
    <x v="17"/>
    <x v="251"/>
    <x v="222"/>
    <n v="3"/>
    <m/>
    <x v="0"/>
    <x v="9"/>
  </r>
  <r>
    <m/>
    <s v="Services"/>
    <x v="17"/>
    <x v="252"/>
    <x v="223"/>
    <n v="3"/>
    <m/>
    <x v="0"/>
    <x v="9"/>
  </r>
  <r>
    <m/>
    <s v="Services"/>
    <x v="17"/>
    <x v="253"/>
    <x v="224"/>
    <n v="3"/>
    <m/>
    <x v="0"/>
    <x v="9"/>
  </r>
  <r>
    <m/>
    <s v="Services"/>
    <x v="17"/>
    <x v="254"/>
    <x v="225"/>
    <n v="2"/>
    <m/>
    <x v="0"/>
    <x v="9"/>
  </r>
  <r>
    <m/>
    <s v="Services"/>
    <x v="17"/>
    <x v="255"/>
    <x v="226"/>
    <n v="12"/>
    <m/>
    <x v="0"/>
    <x v="9"/>
  </r>
  <r>
    <m/>
    <s v="Services"/>
    <x v="17"/>
    <x v="256"/>
    <x v="227"/>
    <n v="84"/>
    <m/>
    <x v="0"/>
    <x v="9"/>
  </r>
  <r>
    <m/>
    <s v="Services"/>
    <x v="17"/>
    <x v="257"/>
    <x v="227"/>
    <n v="13"/>
    <m/>
    <x v="0"/>
    <x v="9"/>
  </r>
  <r>
    <m/>
    <s v="Services"/>
    <x v="17"/>
    <x v="258"/>
    <x v="228"/>
    <n v="2"/>
    <m/>
    <x v="0"/>
    <x v="9"/>
  </r>
  <r>
    <m/>
    <s v="Software"/>
    <x v="25"/>
    <x v="259"/>
    <x v="229"/>
    <n v="1"/>
    <m/>
    <x v="0"/>
    <x v="10"/>
  </r>
  <r>
    <m/>
    <s v="Software"/>
    <x v="25"/>
    <x v="260"/>
    <x v="230"/>
    <n v="105"/>
    <m/>
    <x v="0"/>
    <x v="10"/>
  </r>
  <r>
    <m/>
    <s v="Software"/>
    <x v="25"/>
    <x v="261"/>
    <x v="231"/>
    <n v="1"/>
    <m/>
    <x v="0"/>
    <x v="10"/>
  </r>
  <r>
    <m/>
    <s v="Software"/>
    <x v="25"/>
    <x v="262"/>
    <x v="232"/>
    <n v="105"/>
    <m/>
    <x v="0"/>
    <x v="10"/>
  </r>
  <r>
    <m/>
    <s v="Software"/>
    <x v="25"/>
    <x v="263"/>
    <x v="233"/>
    <n v="1"/>
    <m/>
    <x v="0"/>
    <x v="10"/>
  </r>
  <r>
    <m/>
    <s v="Software"/>
    <x v="25"/>
    <x v="264"/>
    <x v="234"/>
    <n v="70"/>
    <m/>
    <x v="0"/>
    <x v="10"/>
  </r>
  <r>
    <m/>
    <s v="Software"/>
    <x v="25"/>
    <x v="265"/>
    <x v="235"/>
    <n v="70"/>
    <m/>
    <x v="0"/>
    <x v="10"/>
  </r>
  <r>
    <m/>
    <s v="Software"/>
    <x v="25"/>
    <x v="266"/>
    <x v="236"/>
    <n v="1"/>
    <m/>
    <x v="0"/>
    <x v="10"/>
  </r>
  <r>
    <m/>
    <m/>
    <x v="17"/>
    <x v="213"/>
    <x v="184"/>
    <m/>
    <m/>
    <x v="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B0CC4-1750-4CA4-A161-CD947A6433B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033" firstHeaderRow="1" firstDataRow="1" firstDataCol="1"/>
  <pivotFields count="9">
    <pivotField showAll="0"/>
    <pivotField showAll="0"/>
    <pivotField showAll="0">
      <items count="27">
        <item x="19"/>
        <item x="4"/>
        <item x="5"/>
        <item x="1"/>
        <item x="2"/>
        <item x="22"/>
        <item x="6"/>
        <item x="24"/>
        <item x="7"/>
        <item x="0"/>
        <item x="3"/>
        <item x="8"/>
        <item x="20"/>
        <item x="23"/>
        <item x="9"/>
        <item x="13"/>
        <item x="12"/>
        <item x="16"/>
        <item x="15"/>
        <item x="10"/>
        <item x="11"/>
        <item x="14"/>
        <item x="21"/>
        <item x="18"/>
        <item x="25"/>
        <item x="17"/>
        <item t="default"/>
      </items>
    </pivotField>
    <pivotField axis="axisRow" showAll="0" sortType="descending">
      <items count="268">
        <item x="261"/>
        <item x="259"/>
        <item x="260"/>
        <item x="262"/>
        <item x="264"/>
        <item x="265"/>
        <item x="266"/>
        <item x="214"/>
        <item x="215"/>
        <item x="216"/>
        <item x="171"/>
        <item x="170"/>
        <item x="141"/>
        <item x="144"/>
        <item x="138"/>
        <item x="143"/>
        <item x="140"/>
        <item x="137"/>
        <item x="49"/>
        <item x="149"/>
        <item x="150"/>
        <item x="155"/>
        <item x="156"/>
        <item x="154"/>
        <item x="153"/>
        <item x="152"/>
        <item x="161"/>
        <item x="47"/>
        <item x="217"/>
        <item x="218"/>
        <item x="219"/>
        <item x="220"/>
        <item x="221"/>
        <item x="222"/>
        <item x="165"/>
        <item x="167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180"/>
        <item x="142"/>
        <item x="168"/>
        <item x="148"/>
        <item x="160"/>
        <item x="135"/>
        <item x="134"/>
        <item x="136"/>
        <item x="131"/>
        <item x="133"/>
        <item x="132"/>
        <item x="46"/>
        <item x="209"/>
        <item x="210"/>
        <item x="67"/>
        <item x="66"/>
        <item x="68"/>
        <item x="187"/>
        <item x="188"/>
        <item x="35"/>
        <item x="75"/>
        <item x="103"/>
        <item x="105"/>
        <item x="104"/>
        <item x="102"/>
        <item x="99"/>
        <item x="101"/>
        <item x="100"/>
        <item x="107"/>
        <item x="108"/>
        <item x="106"/>
        <item x="109"/>
        <item x="98"/>
        <item x="95"/>
        <item x="96"/>
        <item x="97"/>
        <item x="94"/>
        <item x="32"/>
        <item x="33"/>
        <item x="55"/>
        <item x="37"/>
        <item x="193"/>
        <item x="72"/>
        <item x="31"/>
        <item x="54"/>
        <item x="30"/>
        <item x="45"/>
        <item x="83"/>
        <item x="82"/>
        <item x="81"/>
        <item x="179"/>
        <item x="112"/>
        <item x="53"/>
        <item x="52"/>
        <item x="113"/>
        <item x="114"/>
        <item x="44"/>
        <item x="74"/>
        <item x="34"/>
        <item x="73"/>
        <item x="79"/>
        <item x="78"/>
        <item x="77"/>
        <item x="80"/>
        <item x="42"/>
        <item x="110"/>
        <item x="51"/>
        <item x="43"/>
        <item x="41"/>
        <item x="111"/>
        <item x="36"/>
        <item x="38"/>
        <item x="189"/>
        <item x="39"/>
        <item x="76"/>
        <item x="192"/>
        <item x="40"/>
        <item x="21"/>
        <item x="93"/>
        <item x="20"/>
        <item x="17"/>
        <item x="195"/>
        <item x="50"/>
        <item x="205"/>
        <item x="204"/>
        <item x="184"/>
        <item x="64"/>
        <item x="174"/>
        <item x="198"/>
        <item x="182"/>
        <item x="203"/>
        <item x="16"/>
        <item x="61"/>
        <item x="11"/>
        <item x="63"/>
        <item x="14"/>
        <item x="197"/>
        <item x="13"/>
        <item x="15"/>
        <item x="199"/>
        <item x="65"/>
        <item x="200"/>
        <item x="88"/>
        <item x="10"/>
        <item x="62"/>
        <item x="12"/>
        <item x="87"/>
        <item x="190"/>
        <item x="89"/>
        <item x="19"/>
        <item x="194"/>
        <item x="183"/>
        <item x="18"/>
        <item x="181"/>
        <item x="201"/>
        <item x="7"/>
        <item x="91"/>
        <item x="92"/>
        <item x="191"/>
        <item x="84"/>
        <item x="1"/>
        <item x="85"/>
        <item x="2"/>
        <item x="3"/>
        <item x="86"/>
        <item x="6"/>
        <item x="0"/>
        <item x="172"/>
        <item x="57"/>
        <item x="173"/>
        <item x="56"/>
        <item x="202"/>
        <item x="196"/>
        <item x="58"/>
        <item x="8"/>
        <item x="59"/>
        <item x="60"/>
        <item x="9"/>
        <item x="90"/>
        <item x="185"/>
        <item x="23"/>
        <item x="69"/>
        <item x="26"/>
        <item x="24"/>
        <item x="175"/>
        <item x="176"/>
        <item x="70"/>
        <item x="28"/>
        <item x="177"/>
        <item x="71"/>
        <item x="178"/>
        <item x="29"/>
        <item x="237"/>
        <item x="238"/>
        <item x="239"/>
        <item x="240"/>
        <item x="208"/>
        <item x="206"/>
        <item x="241"/>
        <item x="242"/>
        <item x="243"/>
        <item x="147"/>
        <item x="118"/>
        <item x="119"/>
        <item x="159"/>
        <item x="158"/>
        <item x="123"/>
        <item x="124"/>
        <item x="116"/>
        <item x="125"/>
        <item x="115"/>
        <item x="146"/>
        <item x="145"/>
        <item x="244"/>
        <item x="245"/>
        <item x="166"/>
        <item x="162"/>
        <item x="130"/>
        <item x="127"/>
        <item x="120"/>
        <item x="117"/>
        <item x="163"/>
        <item x="129"/>
        <item x="121"/>
        <item x="164"/>
        <item x="126"/>
        <item x="128"/>
        <item x="122"/>
        <item x="151"/>
        <item x="139"/>
        <item x="169"/>
        <item x="157"/>
        <item x="246"/>
        <item x="247"/>
        <item x="248"/>
        <item x="263"/>
        <item x="211"/>
        <item x="22"/>
        <item x="186"/>
        <item x="4"/>
        <item x="5"/>
        <item x="25"/>
        <item x="27"/>
        <item x="207"/>
        <item x="212"/>
        <item x="48"/>
        <item x="249"/>
        <item x="250"/>
        <item x="251"/>
        <item x="252"/>
        <item x="253"/>
        <item x="254"/>
        <item x="255"/>
        <item x="256"/>
        <item x="257"/>
        <item x="258"/>
        <item x="2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38">
        <item x="228"/>
        <item x="126"/>
        <item x="145"/>
        <item x="127"/>
        <item x="135"/>
        <item x="130"/>
        <item x="185"/>
        <item x="186"/>
        <item x="160"/>
        <item x="220"/>
        <item x="221"/>
        <item x="222"/>
        <item x="223"/>
        <item x="224"/>
        <item x="225"/>
        <item x="226"/>
        <item x="227"/>
        <item x="129"/>
        <item x="137"/>
        <item x="187"/>
        <item x="123"/>
        <item x="48"/>
        <item x="46"/>
        <item x="124"/>
        <item x="133"/>
        <item x="45"/>
        <item x="139"/>
        <item x="215"/>
        <item x="140"/>
        <item x="146"/>
        <item x="112"/>
        <item x="141"/>
        <item x="218"/>
        <item x="105"/>
        <item x="103"/>
        <item x="152"/>
        <item x="111"/>
        <item x="109"/>
        <item x="49"/>
        <item x="177"/>
        <item x="192"/>
        <item x="58"/>
        <item x="163"/>
        <item x="149"/>
        <item x="162"/>
        <item x="15"/>
        <item x="197"/>
        <item x="10"/>
        <item x="174"/>
        <item x="202"/>
        <item x="13"/>
        <item x="12"/>
        <item x="14"/>
        <item x="200"/>
        <item x="59"/>
        <item x="9"/>
        <item x="11"/>
        <item x="17"/>
        <item x="172"/>
        <item x="207"/>
        <item x="78"/>
        <item x="18"/>
        <item x="161"/>
        <item x="205"/>
        <item x="147"/>
        <item x="191"/>
        <item x="193"/>
        <item x="194"/>
        <item x="195"/>
        <item x="198"/>
        <item x="199"/>
        <item x="201"/>
        <item x="204"/>
        <item x="206"/>
        <item x="120"/>
        <item x="118"/>
        <item x="119"/>
        <item x="143"/>
        <item x="217"/>
        <item x="190"/>
        <item x="151"/>
        <item x="188"/>
        <item x="189"/>
        <item x="117"/>
        <item x="121"/>
        <item x="134"/>
        <item x="80"/>
        <item x="81"/>
        <item x="169"/>
        <item x="19"/>
        <item x="180"/>
        <item x="181"/>
        <item x="132"/>
        <item x="208"/>
        <item x="209"/>
        <item x="210"/>
        <item x="179"/>
        <item x="178"/>
        <item x="144"/>
        <item x="212"/>
        <item x="213"/>
        <item x="214"/>
        <item x="211"/>
        <item x="32"/>
        <item x="34"/>
        <item x="72"/>
        <item x="71"/>
        <item x="74"/>
        <item x="171"/>
        <item x="37"/>
        <item x="66"/>
        <item x="168"/>
        <item x="30"/>
        <item x="77"/>
        <item x="33"/>
        <item x="73"/>
        <item x="38"/>
        <item x="53"/>
        <item x="54"/>
        <item x="67"/>
        <item x="70"/>
        <item x="69"/>
        <item x="89"/>
        <item x="95"/>
        <item x="83"/>
        <item x="88"/>
        <item x="84"/>
        <item x="96"/>
        <item x="93"/>
        <item x="85"/>
        <item x="94"/>
        <item x="92"/>
        <item x="86"/>
        <item x="97"/>
        <item x="82"/>
        <item x="90"/>
        <item x="87"/>
        <item x="91"/>
        <item x="183"/>
        <item x="29"/>
        <item x="76"/>
        <item x="31"/>
        <item x="68"/>
        <item x="167"/>
        <item x="39"/>
        <item x="35"/>
        <item x="170"/>
        <item x="75"/>
        <item x="44"/>
        <item x="182"/>
        <item x="4"/>
        <item x="26"/>
        <item x="21"/>
        <item x="16"/>
        <item x="20"/>
        <item x="79"/>
        <item x="61"/>
        <item x="24"/>
        <item x="165"/>
        <item x="3"/>
        <item x="1"/>
        <item x="2"/>
        <item x="62"/>
        <item x="138"/>
        <item x="47"/>
        <item x="5"/>
        <item x="175"/>
        <item x="125"/>
        <item x="203"/>
        <item x="229"/>
        <item x="156"/>
        <item x="64"/>
        <item x="157"/>
        <item x="27"/>
        <item x="65"/>
        <item x="158"/>
        <item x="159"/>
        <item x="28"/>
        <item x="176"/>
        <item x="173"/>
        <item x="63"/>
        <item x="25"/>
        <item x="23"/>
        <item x="0"/>
        <item x="154"/>
        <item x="56"/>
        <item x="155"/>
        <item x="55"/>
        <item x="122"/>
        <item x="148"/>
        <item x="7"/>
        <item x="57"/>
        <item x="8"/>
        <item x="216"/>
        <item x="136"/>
        <item x="150"/>
        <item x="230"/>
        <item x="232"/>
        <item x="231"/>
        <item x="236"/>
        <item x="234"/>
        <item x="235"/>
        <item x="153"/>
        <item x="128"/>
        <item x="106"/>
        <item x="102"/>
        <item x="131"/>
        <item x="164"/>
        <item x="22"/>
        <item x="116"/>
        <item x="114"/>
        <item x="108"/>
        <item x="113"/>
        <item x="104"/>
        <item x="115"/>
        <item x="107"/>
        <item x="219"/>
        <item x="233"/>
        <item x="6"/>
        <item x="36"/>
        <item x="99"/>
        <item x="41"/>
        <item x="52"/>
        <item x="42"/>
        <item x="50"/>
        <item x="51"/>
        <item x="40"/>
        <item x="100"/>
        <item x="98"/>
        <item x="101"/>
        <item x="166"/>
        <item x="43"/>
        <item x="196"/>
        <item x="60"/>
        <item x="142"/>
        <item x="110"/>
        <item x="184"/>
        <item t="default"/>
      </items>
    </pivotField>
    <pivotField dataField="1" showAll="0"/>
    <pivotField showAll="0"/>
    <pivotField showAll="0">
      <items count="9">
        <item x="2"/>
        <item x="6"/>
        <item x="3"/>
        <item x="7"/>
        <item x="4"/>
        <item x="1"/>
        <item x="5"/>
        <item x="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9"/>
        <item x="8"/>
        <item x="10"/>
        <item x="6"/>
        <item x="7"/>
        <item x="11"/>
        <item t="default"/>
      </items>
    </pivotField>
  </pivotFields>
  <rowFields count="3">
    <field x="3"/>
    <field x="4"/>
    <field x="8"/>
  </rowFields>
  <rowItems count="1032">
    <i>
      <x v="123"/>
    </i>
    <i r="1">
      <x v="116"/>
    </i>
    <i r="2">
      <x/>
    </i>
    <i r="2">
      <x v="1"/>
    </i>
    <i r="2">
      <x v="2"/>
    </i>
    <i r="2">
      <x v="4"/>
    </i>
    <i r="2">
      <x v="5"/>
    </i>
    <i r="2">
      <x v="7"/>
    </i>
    <i r="2">
      <x v="9"/>
    </i>
    <i r="2">
      <x v="10"/>
    </i>
    <i>
      <x v="193"/>
    </i>
    <i r="1">
      <x v="182"/>
    </i>
    <i r="2">
      <x/>
    </i>
    <i r="2">
      <x v="1"/>
    </i>
    <i r="2">
      <x v="2"/>
    </i>
    <i r="2">
      <x v="3"/>
    </i>
    <i r="2">
      <x v="4"/>
    </i>
    <i r="2">
      <x v="5"/>
    </i>
    <i r="2">
      <x v="7"/>
    </i>
    <i r="2">
      <x v="9"/>
    </i>
    <i r="2">
      <x v="10"/>
    </i>
    <i>
      <x v="192"/>
    </i>
    <i r="1">
      <x v="181"/>
    </i>
    <i r="2">
      <x/>
    </i>
    <i r="2">
      <x v="2"/>
    </i>
    <i r="2">
      <x v="3"/>
    </i>
    <i r="2">
      <x v="7"/>
    </i>
    <i>
      <x v="79"/>
    </i>
    <i r="1">
      <x v="127"/>
    </i>
    <i r="2">
      <x v="3"/>
    </i>
    <i>
      <x v="206"/>
    </i>
    <i r="1">
      <x v="96"/>
    </i>
    <i r="2">
      <x v="6"/>
    </i>
    <i>
      <x v="65"/>
    </i>
    <i r="1">
      <x v="233"/>
    </i>
    <i r="2">
      <x v="2"/>
    </i>
    <i>
      <x v="93"/>
    </i>
    <i r="1">
      <x v="112"/>
    </i>
    <i r="2">
      <x/>
    </i>
    <i r="2">
      <x v="1"/>
    </i>
    <i r="2">
      <x v="2"/>
    </i>
    <i r="2">
      <x v="7"/>
    </i>
    <i r="2">
      <x v="9"/>
    </i>
    <i r="2">
      <x v="10"/>
    </i>
    <i>
      <x v="176"/>
    </i>
    <i r="1">
      <x v="183"/>
    </i>
    <i r="2">
      <x/>
    </i>
    <i r="2">
      <x v="1"/>
    </i>
    <i r="2">
      <x v="2"/>
    </i>
    <i r="2">
      <x v="3"/>
    </i>
    <i r="2">
      <x v="4"/>
    </i>
    <i r="2">
      <x v="5"/>
    </i>
    <i r="2">
      <x v="7"/>
    </i>
    <i r="2">
      <x v="9"/>
    </i>
    <i r="2">
      <x v="10"/>
    </i>
    <i>
      <x v="191"/>
    </i>
    <i r="1">
      <x v="180"/>
    </i>
    <i r="2">
      <x v="2"/>
    </i>
    <i r="2">
      <x v="3"/>
    </i>
    <i r="2">
      <x v="7"/>
    </i>
    <i r="2">
      <x v="10"/>
    </i>
    <i>
      <x v="70"/>
    </i>
    <i r="1">
      <x v="121"/>
    </i>
    <i r="2">
      <x v="2"/>
    </i>
    <i r="2">
      <x v="7"/>
    </i>
    <i>
      <x v="94"/>
    </i>
    <i r="1">
      <x v="117"/>
    </i>
    <i r="2">
      <x v="1"/>
    </i>
    <i r="2">
      <x v="2"/>
    </i>
    <i r="2">
      <x v="7"/>
    </i>
    <i r="2">
      <x v="10"/>
    </i>
    <i>
      <x v="88"/>
    </i>
    <i r="1">
      <x v="103"/>
    </i>
    <i r="2">
      <x/>
    </i>
    <i r="2">
      <x v="1"/>
    </i>
    <i r="2">
      <x v="2"/>
    </i>
    <i r="2">
      <x v="4"/>
    </i>
    <i r="2">
      <x v="5"/>
    </i>
    <i r="2">
      <x v="7"/>
    </i>
    <i r="2">
      <x v="10"/>
    </i>
    <i>
      <x v="124"/>
    </i>
    <i r="1">
      <x v="120"/>
    </i>
    <i r="2">
      <x v="2"/>
    </i>
    <i r="2">
      <x v="5"/>
    </i>
    <i r="2">
      <x v="9"/>
    </i>
    <i r="2">
      <x v="10"/>
    </i>
    <i>
      <x v="84"/>
    </i>
    <i r="1">
      <x v="126"/>
    </i>
    <i r="2">
      <x v="3"/>
    </i>
    <i>
      <x v="122"/>
    </i>
    <i r="1">
      <x v="111"/>
    </i>
    <i r="2">
      <x v="9"/>
    </i>
    <i>
      <x v="129"/>
    </i>
    <i r="1">
      <x v="89"/>
    </i>
    <i r="2">
      <x/>
    </i>
    <i r="2">
      <x v="5"/>
    </i>
    <i r="2">
      <x v="7"/>
    </i>
    <i r="2">
      <x v="9"/>
    </i>
    <i>
      <x v="190"/>
    </i>
    <i r="1">
      <x v="208"/>
    </i>
    <i r="2">
      <x/>
    </i>
    <i r="2">
      <x v="1"/>
    </i>
    <i r="2">
      <x v="2"/>
    </i>
    <i r="2">
      <x v="3"/>
    </i>
    <i r="2">
      <x v="5"/>
    </i>
    <i r="2">
      <x v="7"/>
    </i>
    <i r="2">
      <x v="9"/>
    </i>
    <i r="2">
      <x v="10"/>
    </i>
    <i>
      <x v="144"/>
    </i>
    <i r="1">
      <x v="50"/>
    </i>
    <i r="2">
      <x v="2"/>
    </i>
    <i r="2">
      <x v="3"/>
    </i>
    <i r="2">
      <x v="4"/>
    </i>
    <i r="2">
      <x v="5"/>
    </i>
    <i r="2">
      <x v="7"/>
    </i>
    <i>
      <x v="78"/>
    </i>
    <i r="1">
      <x v="123"/>
    </i>
    <i r="2">
      <x v="3"/>
    </i>
    <i>
      <x v="141"/>
    </i>
    <i r="1">
      <x v="45"/>
    </i>
    <i r="2">
      <x/>
    </i>
    <i r="2">
      <x v="1"/>
    </i>
    <i r="2">
      <x v="5"/>
    </i>
    <i r="2">
      <x v="7"/>
    </i>
    <i>
      <x v="117"/>
    </i>
    <i r="1">
      <x v="223"/>
    </i>
    <i r="2">
      <x/>
    </i>
    <i r="2">
      <x v="1"/>
    </i>
    <i r="2">
      <x v="4"/>
    </i>
    <i r="2">
      <x v="9"/>
    </i>
    <i>
      <x v="69"/>
    </i>
    <i r="1">
      <x v="104"/>
    </i>
    <i r="2">
      <x/>
    </i>
    <i r="2">
      <x v="1"/>
    </i>
    <i r="2">
      <x v="2"/>
    </i>
    <i r="2">
      <x v="7"/>
    </i>
    <i r="2">
      <x v="9"/>
    </i>
    <i>
      <x v="80"/>
    </i>
    <i r="1">
      <x v="130"/>
    </i>
    <i r="2">
      <x v="3"/>
    </i>
    <i>
      <x v="128"/>
    </i>
    <i r="1">
      <x v="89"/>
    </i>
    <i r="2">
      <x v="3"/>
    </i>
    <i r="2">
      <x v="7"/>
    </i>
    <i>
      <x v="189"/>
    </i>
    <i r="1">
      <x v="207"/>
    </i>
    <i r="2">
      <x v="9"/>
    </i>
    <i>
      <x v="142"/>
    </i>
    <i r="1">
      <x v="47"/>
    </i>
    <i r="2">
      <x v="2"/>
    </i>
    <i r="2">
      <x v="3"/>
    </i>
    <i r="2">
      <x v="4"/>
    </i>
    <i r="2">
      <x v="5"/>
    </i>
    <i r="2">
      <x v="7"/>
    </i>
    <i>
      <x v="139"/>
    </i>
    <i r="1">
      <x v="44"/>
    </i>
    <i r="2">
      <x v="5"/>
    </i>
    <i r="2">
      <x v="7"/>
    </i>
    <i>
      <x v="95"/>
    </i>
    <i r="1">
      <x v="139"/>
    </i>
    <i r="2">
      <x/>
    </i>
    <i r="2">
      <x v="1"/>
    </i>
    <i r="2">
      <x v="2"/>
    </i>
    <i r="2">
      <x v="7"/>
    </i>
    <i r="2">
      <x v="10"/>
    </i>
    <i>
      <x v="138"/>
    </i>
    <i r="1">
      <x v="44"/>
    </i>
    <i r="2">
      <x v="7"/>
    </i>
    <i>
      <x v="121"/>
    </i>
    <i r="1">
      <x v="109"/>
    </i>
    <i r="2">
      <x/>
    </i>
    <i r="2">
      <x v="1"/>
    </i>
    <i r="2">
      <x v="7"/>
    </i>
    <i>
      <x v="145"/>
    </i>
    <i r="1">
      <x v="50"/>
    </i>
    <i r="2">
      <x/>
    </i>
    <i r="2">
      <x v="5"/>
    </i>
    <i r="2">
      <x v="7"/>
    </i>
    <i r="2">
      <x v="10"/>
    </i>
    <i>
      <x v="135"/>
    </i>
    <i r="1">
      <x v="42"/>
    </i>
    <i r="2">
      <x v="5"/>
    </i>
    <i r="2">
      <x v="7"/>
    </i>
    <i>
      <x v="92"/>
    </i>
    <i r="1">
      <x v="110"/>
    </i>
    <i r="2">
      <x v="2"/>
    </i>
    <i r="2">
      <x v="7"/>
    </i>
    <i r="2">
      <x v="9"/>
    </i>
    <i>
      <x v="91"/>
    </i>
    <i r="1">
      <x v="108"/>
    </i>
    <i r="2">
      <x v="7"/>
    </i>
    <i r="2">
      <x v="10"/>
    </i>
    <i>
      <x v="214"/>
    </i>
    <i r="1">
      <x v="77"/>
    </i>
    <i r="2">
      <x v="3"/>
    </i>
    <i>
      <x v="136"/>
    </i>
    <i r="1">
      <x v="41"/>
    </i>
    <i r="2">
      <x v="2"/>
    </i>
    <i r="2">
      <x v="3"/>
    </i>
    <i r="2">
      <x v="4"/>
    </i>
    <i r="2">
      <x v="7"/>
    </i>
    <i>
      <x v="147"/>
    </i>
    <i r="1">
      <x v="51"/>
    </i>
    <i r="2">
      <x/>
    </i>
    <i r="2">
      <x v="1"/>
    </i>
    <i r="2">
      <x v="5"/>
    </i>
    <i r="2">
      <x v="7"/>
    </i>
    <i r="2">
      <x v="9"/>
    </i>
    <i>
      <x v="148"/>
    </i>
    <i r="1">
      <x v="52"/>
    </i>
    <i r="2">
      <x/>
    </i>
    <i r="2">
      <x v="5"/>
    </i>
    <i r="2">
      <x v="7"/>
    </i>
    <i r="2">
      <x v="9"/>
    </i>
    <i>
      <x v="3"/>
    </i>
    <i r="1">
      <x v="197"/>
    </i>
    <i r="2">
      <x v="8"/>
    </i>
    <i>
      <x v="2"/>
    </i>
    <i r="1">
      <x v="196"/>
    </i>
    <i r="2">
      <x v="8"/>
    </i>
    <i>
      <x v="89"/>
    </i>
    <i r="1">
      <x v="118"/>
    </i>
    <i r="2">
      <x v="1"/>
    </i>
    <i r="2">
      <x v="2"/>
    </i>
    <i r="2">
      <x v="5"/>
    </i>
    <i r="2">
      <x v="7"/>
    </i>
    <i r="2">
      <x v="10"/>
    </i>
    <i>
      <x v="66"/>
    </i>
    <i r="1">
      <x v="162"/>
    </i>
    <i r="2">
      <x v="2"/>
    </i>
    <i>
      <x v="137"/>
    </i>
    <i r="1">
      <x v="41"/>
    </i>
    <i r="2">
      <x v="4"/>
    </i>
    <i r="2">
      <x v="5"/>
    </i>
    <i r="2">
      <x v="7"/>
    </i>
    <i>
      <x v="39"/>
    </i>
    <i r="1">
      <x v="46"/>
    </i>
    <i r="2">
      <x v="6"/>
    </i>
    <i>
      <x v="38"/>
    </i>
    <i r="1">
      <x v="232"/>
    </i>
    <i r="2">
      <x v="6"/>
    </i>
    <i>
      <x v="180"/>
    </i>
    <i r="1">
      <x v="187"/>
    </i>
    <i r="2">
      <x v="2"/>
    </i>
    <i>
      <x v="263"/>
    </i>
    <i r="1">
      <x v="16"/>
    </i>
    <i r="2">
      <x v="6"/>
    </i>
    <i>
      <x v="61"/>
    </i>
    <i r="1">
      <x v="25"/>
    </i>
    <i r="2">
      <x/>
    </i>
    <i>
      <x v="87"/>
    </i>
    <i r="1">
      <x v="141"/>
    </i>
    <i r="2">
      <x/>
    </i>
    <i r="2">
      <x v="2"/>
    </i>
    <i r="2">
      <x v="5"/>
    </i>
    <i r="2">
      <x v="10"/>
    </i>
    <i>
      <x v="183"/>
    </i>
    <i r="1">
      <x v="190"/>
    </i>
    <i r="2">
      <x v="2"/>
    </i>
    <i r="2">
      <x v="3"/>
    </i>
    <i r="2">
      <x v="5"/>
    </i>
    <i r="2">
      <x v="7"/>
    </i>
    <i r="2">
      <x v="10"/>
    </i>
    <i>
      <x v="5"/>
    </i>
    <i r="1">
      <x v="201"/>
    </i>
    <i r="2">
      <x v="8"/>
    </i>
    <i>
      <x v="4"/>
    </i>
    <i r="1">
      <x v="200"/>
    </i>
    <i r="2">
      <x v="8"/>
    </i>
    <i>
      <x v="76"/>
    </i>
    <i r="1">
      <x v="122"/>
    </i>
    <i r="2">
      <x v="3"/>
    </i>
    <i>
      <x v="108"/>
    </i>
    <i r="1">
      <x v="114"/>
    </i>
    <i r="2">
      <x/>
    </i>
    <i r="2">
      <x v="2"/>
    </i>
    <i r="2">
      <x v="3"/>
    </i>
    <i>
      <x v="77"/>
    </i>
    <i r="1">
      <x v="125"/>
    </i>
    <i r="2">
      <x v="3"/>
    </i>
    <i>
      <x v="28"/>
    </i>
    <i r="1">
      <x v="81"/>
    </i>
    <i r="2">
      <x v="6"/>
    </i>
    <i>
      <x v="109"/>
    </i>
    <i r="1">
      <x v="119"/>
    </i>
    <i r="2">
      <x v="2"/>
    </i>
    <i>
      <x v="20"/>
    </i>
    <i r="1">
      <x v="5"/>
    </i>
    <i r="2">
      <x v="3"/>
    </i>
    <i>
      <x v="143"/>
    </i>
    <i r="1">
      <x v="47"/>
    </i>
    <i r="2">
      <x/>
    </i>
    <i r="2">
      <x v="5"/>
    </i>
    <i r="2">
      <x v="10"/>
    </i>
    <i>
      <x v="154"/>
    </i>
    <i r="1">
      <x v="56"/>
    </i>
    <i r="2">
      <x v="2"/>
    </i>
    <i r="2">
      <x v="3"/>
    </i>
    <i r="2">
      <x v="5"/>
    </i>
    <i r="2">
      <x v="7"/>
    </i>
    <i>
      <x v="119"/>
    </i>
    <i r="1">
      <x v="228"/>
    </i>
    <i r="2">
      <x v="3"/>
    </i>
    <i>
      <x v="140"/>
    </i>
    <i r="1">
      <x v="45"/>
    </i>
    <i r="2">
      <x v="7"/>
    </i>
    <i>
      <x v="112"/>
    </i>
    <i r="1">
      <x v="106"/>
    </i>
    <i r="2">
      <x v="2"/>
    </i>
    <i>
      <x v="164"/>
    </i>
    <i r="1">
      <x v="166"/>
    </i>
    <i r="2">
      <x v="7"/>
    </i>
    <i>
      <x v="104"/>
    </i>
    <i r="1">
      <x v="227"/>
    </i>
    <i r="2">
      <x v="3"/>
    </i>
    <i>
      <x v="184"/>
    </i>
    <i r="1">
      <x v="190"/>
    </i>
    <i r="2">
      <x/>
    </i>
    <i r="2">
      <x v="10"/>
    </i>
    <i>
      <x v="236"/>
    </i>
    <i r="1">
      <x v="210"/>
    </i>
    <i r="2">
      <x v="3"/>
    </i>
    <i>
      <x v="227"/>
    </i>
    <i r="1">
      <x v="209"/>
    </i>
    <i r="2">
      <x v="3"/>
    </i>
    <i>
      <x v="85"/>
    </i>
    <i r="1">
      <x v="129"/>
    </i>
    <i r="2">
      <x v="3"/>
    </i>
    <i>
      <x v="158"/>
    </i>
    <i r="1">
      <x v="61"/>
    </i>
    <i r="2">
      <x v="3"/>
    </i>
    <i r="2">
      <x v="7"/>
    </i>
    <i>
      <x v="166"/>
    </i>
    <i r="1">
      <x v="86"/>
    </i>
    <i r="2">
      <x v="3"/>
    </i>
    <i>
      <x v="82"/>
    </i>
    <i r="1">
      <x v="132"/>
    </i>
    <i r="2">
      <x v="3"/>
    </i>
    <i>
      <x v="237"/>
    </i>
    <i r="1">
      <x v="211"/>
    </i>
    <i r="2">
      <x v="3"/>
    </i>
    <i>
      <x v="116"/>
    </i>
    <i r="1">
      <x v="224"/>
    </i>
    <i r="2">
      <x v="1"/>
    </i>
    <i r="2">
      <x v="9"/>
    </i>
    <i>
      <x v="150"/>
    </i>
    <i r="1">
      <x v="54"/>
    </i>
    <i r="2">
      <x v="2"/>
    </i>
    <i r="2">
      <x v="4"/>
    </i>
    <i r="2">
      <x v="7"/>
    </i>
    <i>
      <x v="195"/>
    </i>
    <i r="1">
      <x v="172"/>
    </i>
    <i r="2">
      <x v="4"/>
    </i>
    <i r="2">
      <x v="9"/>
    </i>
    <i>
      <x v="232"/>
    </i>
    <i r="1">
      <x v="214"/>
    </i>
    <i r="2">
      <x v="3"/>
    </i>
    <i>
      <x v="197"/>
    </i>
    <i r="1">
      <x v="173"/>
    </i>
    <i r="2">
      <x/>
    </i>
    <i>
      <x v="27"/>
    </i>
    <i r="1">
      <x v="22"/>
    </i>
    <i r="2">
      <x/>
    </i>
    <i r="2">
      <x v="2"/>
    </i>
    <i r="2">
      <x v="3"/>
    </i>
    <i>
      <x v="134"/>
    </i>
    <i r="1">
      <x v="39"/>
    </i>
    <i r="2">
      <x v="7"/>
    </i>
    <i>
      <x v="264"/>
    </i>
    <i r="1">
      <x v="16"/>
    </i>
    <i r="2">
      <x v="6"/>
    </i>
    <i>
      <x v="114"/>
    </i>
    <i r="1">
      <x v="221"/>
    </i>
    <i r="2">
      <x/>
    </i>
    <i>
      <x v="25"/>
    </i>
    <i r="1">
      <x v="1"/>
    </i>
    <i r="2">
      <x v="3"/>
    </i>
    <i>
      <x v="262"/>
    </i>
    <i r="1">
      <x v="15"/>
    </i>
    <i r="2">
      <x v="6"/>
    </i>
    <i>
      <x v="26"/>
    </i>
    <i r="1">
      <x v="2"/>
    </i>
    <i r="2">
      <x v="3"/>
    </i>
    <i>
      <x v="110"/>
    </i>
    <i r="1">
      <x v="115"/>
    </i>
    <i r="2">
      <x v="2"/>
    </i>
    <i>
      <x v="83"/>
    </i>
    <i r="1">
      <x v="124"/>
    </i>
    <i r="2">
      <x v="3"/>
    </i>
    <i>
      <x v="202"/>
    </i>
    <i r="1">
      <x v="93"/>
    </i>
    <i r="2">
      <x v="6"/>
    </i>
    <i>
      <x v="72"/>
    </i>
    <i r="1">
      <x v="128"/>
    </i>
    <i r="2">
      <x v="3"/>
    </i>
    <i>
      <x v="251"/>
    </i>
    <i r="1">
      <x v="157"/>
    </i>
    <i r="2">
      <x/>
    </i>
    <i r="2">
      <x v="1"/>
    </i>
    <i r="2">
      <x v="2"/>
    </i>
    <i r="2">
      <x v="3"/>
    </i>
    <i r="2">
      <x v="4"/>
    </i>
    <i r="2">
      <x v="5"/>
    </i>
    <i r="2">
      <x v="7"/>
    </i>
    <i r="2">
      <x v="9"/>
    </i>
    <i r="2">
      <x v="10"/>
    </i>
    <i>
      <x v="130"/>
    </i>
    <i r="1">
      <x v="153"/>
    </i>
    <i r="2">
      <x/>
    </i>
    <i r="2">
      <x v="1"/>
    </i>
    <i r="2">
      <x v="2"/>
    </i>
    <i r="2">
      <x v="3"/>
    </i>
    <i r="2">
      <x v="4"/>
    </i>
    <i r="2">
      <x v="5"/>
    </i>
    <i r="2">
      <x v="7"/>
    </i>
    <i r="2">
      <x v="9"/>
    </i>
    <i r="2">
      <x v="10"/>
    </i>
    <i>
      <x v="153"/>
    </i>
    <i r="1">
      <x v="55"/>
    </i>
    <i r="2">
      <x/>
    </i>
    <i r="2">
      <x v="7"/>
    </i>
    <i>
      <x v="247"/>
    </i>
    <i r="1">
      <x v="152"/>
    </i>
    <i r="2">
      <x/>
    </i>
    <i r="2">
      <x v="1"/>
    </i>
    <i r="2">
      <x v="2"/>
    </i>
    <i r="2">
      <x v="3"/>
    </i>
    <i r="2">
      <x v="5"/>
    </i>
    <i r="2">
      <x v="7"/>
    </i>
    <i r="2">
      <x v="9"/>
    </i>
    <i r="2">
      <x v="10"/>
    </i>
    <i>
      <x v="111"/>
    </i>
    <i r="1">
      <x v="105"/>
    </i>
    <i r="2">
      <x v="2"/>
    </i>
    <i>
      <x v="132"/>
    </i>
    <i r="1">
      <x v="38"/>
    </i>
    <i r="2">
      <x v="1"/>
    </i>
    <i r="2">
      <x v="7"/>
    </i>
    <i>
      <x v="204"/>
    </i>
    <i r="1">
      <x v="95"/>
    </i>
    <i r="2">
      <x v="6"/>
    </i>
    <i>
      <x v="107"/>
    </i>
    <i r="1">
      <x v="142"/>
    </i>
    <i r="2">
      <x v="2"/>
    </i>
    <i>
      <x v="249"/>
    </i>
    <i r="1">
      <x v="150"/>
    </i>
    <i r="2">
      <x/>
    </i>
    <i r="2">
      <x v="1"/>
    </i>
    <i r="2">
      <x v="3"/>
    </i>
    <i r="2">
      <x v="5"/>
    </i>
    <i r="2">
      <x v="7"/>
    </i>
    <i r="2">
      <x v="9"/>
    </i>
    <i r="2">
      <x v="10"/>
    </i>
    <i>
      <x v="173"/>
    </i>
    <i r="1">
      <x v="159"/>
    </i>
    <i r="2">
      <x/>
    </i>
    <i r="2">
      <x v="1"/>
    </i>
    <i r="2">
      <x v="3"/>
    </i>
    <i r="2">
      <x v="5"/>
    </i>
    <i r="2">
      <x v="7"/>
    </i>
    <i r="2">
      <x v="9"/>
    </i>
    <i r="2">
      <x v="10"/>
    </i>
    <i>
      <x v="29"/>
    </i>
    <i r="1">
      <x v="82"/>
    </i>
    <i r="2">
      <x v="6"/>
    </i>
    <i>
      <x v="23"/>
    </i>
    <i r="1">
      <x v="163"/>
    </i>
    <i r="2">
      <x v="3"/>
    </i>
    <i>
      <x v="21"/>
    </i>
    <i r="1">
      <x v="26"/>
    </i>
    <i r="2">
      <x v="3"/>
    </i>
    <i>
      <x v="156"/>
    </i>
    <i r="1">
      <x v="60"/>
    </i>
    <i r="2">
      <x v="3"/>
    </i>
    <i>
      <x v="13"/>
    </i>
    <i r="1">
      <x v="5"/>
    </i>
    <i r="2">
      <x v="3"/>
    </i>
    <i>
      <x v="159"/>
    </i>
    <i r="1">
      <x v="61"/>
    </i>
    <i r="2">
      <x/>
    </i>
    <i r="2">
      <x v="10"/>
    </i>
    <i>
      <x v="100"/>
    </i>
    <i r="1">
      <x v="220"/>
    </i>
    <i r="2">
      <x v="4"/>
    </i>
    <i r="2">
      <x v="7"/>
    </i>
    <i>
      <x v="68"/>
    </i>
    <i r="1">
      <x v="143"/>
    </i>
    <i r="2">
      <x v="7"/>
    </i>
    <i r="2">
      <x v="9"/>
    </i>
    <i>
      <x v="230"/>
    </i>
    <i r="1">
      <x v="213"/>
    </i>
    <i r="2">
      <x v="3"/>
    </i>
    <i>
      <x v="185"/>
    </i>
    <i r="1">
      <x v="191"/>
    </i>
    <i r="2">
      <x v="2"/>
    </i>
    <i r="2">
      <x v="3"/>
    </i>
    <i r="2">
      <x v="7"/>
    </i>
    <i>
      <x v="228"/>
    </i>
    <i r="1">
      <x v="212"/>
    </i>
    <i r="2">
      <x v="3"/>
    </i>
    <i>
      <x v="165"/>
    </i>
    <i r="1">
      <x v="218"/>
    </i>
    <i r="2">
      <x/>
    </i>
    <i r="2">
      <x v="2"/>
    </i>
    <i r="2">
      <x v="3"/>
    </i>
    <i r="2">
      <x v="5"/>
    </i>
    <i r="2">
      <x v="7"/>
    </i>
    <i r="2">
      <x v="10"/>
    </i>
    <i>
      <x v="149"/>
    </i>
    <i r="1">
      <x v="48"/>
    </i>
    <i r="2">
      <x v="7"/>
    </i>
    <i>
      <x v="244"/>
    </i>
    <i r="1">
      <x v="216"/>
    </i>
    <i r="2">
      <x v="6"/>
    </i>
    <i>
      <x v="127"/>
    </i>
    <i r="1">
      <x v="154"/>
    </i>
    <i r="2">
      <x/>
    </i>
    <i r="2">
      <x v="3"/>
    </i>
    <i r="2">
      <x v="5"/>
    </i>
    <i r="2">
      <x v="7"/>
    </i>
    <i r="2">
      <x v="9"/>
    </i>
    <i>
      <x v="194"/>
    </i>
    <i r="1">
      <x v="170"/>
    </i>
    <i r="2">
      <x v="4"/>
    </i>
    <i r="2">
      <x v="9"/>
    </i>
    <i>
      <x v="250"/>
    </i>
    <i r="1">
      <x v="150"/>
    </i>
    <i r="2">
      <x/>
    </i>
    <i r="2">
      <x v="3"/>
    </i>
    <i r="2">
      <x v="5"/>
    </i>
    <i r="2">
      <x v="7"/>
    </i>
    <i r="2">
      <x v="9"/>
    </i>
    <i>
      <x v="220"/>
    </i>
    <i r="1">
      <x v="205"/>
    </i>
    <i r="2">
      <x v="3"/>
    </i>
    <i>
      <x v="252"/>
    </i>
    <i r="1">
      <x v="151"/>
    </i>
    <i r="2">
      <x/>
    </i>
    <i r="2">
      <x v="1"/>
    </i>
    <i r="2">
      <x v="2"/>
    </i>
    <i r="2">
      <x v="4"/>
    </i>
    <i r="2">
      <x v="9"/>
    </i>
    <i>
      <x v="222"/>
    </i>
    <i r="1">
      <x v="206"/>
    </i>
    <i r="2">
      <x v="3"/>
    </i>
    <i>
      <x v="131"/>
    </i>
    <i r="1">
      <x v="38"/>
    </i>
    <i r="2">
      <x v="7"/>
    </i>
    <i>
      <x v="75"/>
    </i>
    <i r="1">
      <x v="136"/>
    </i>
    <i r="2">
      <x v="3"/>
    </i>
    <i>
      <x v="171"/>
    </i>
    <i r="1">
      <x v="161"/>
    </i>
    <i r="2">
      <x v="3"/>
    </i>
    <i r="2">
      <x v="5"/>
    </i>
    <i r="2">
      <x v="7"/>
    </i>
    <i r="2">
      <x v="10"/>
    </i>
    <i>
      <x v="56"/>
    </i>
    <i r="1">
      <x v="74"/>
    </i>
    <i r="2">
      <x v="3"/>
    </i>
    <i>
      <x v="55"/>
    </i>
    <i r="1">
      <x v="84"/>
    </i>
    <i r="2">
      <x v="3"/>
    </i>
    <i>
      <x v="239"/>
    </i>
    <i r="1">
      <x v="167"/>
    </i>
    <i r="2">
      <x v="3"/>
    </i>
    <i>
      <x v="31"/>
    </i>
    <i r="1">
      <x v="65"/>
    </i>
    <i r="2">
      <x v="6"/>
    </i>
    <i>
      <x v="201"/>
    </i>
    <i r="1">
      <x v="177"/>
    </i>
    <i r="2">
      <x/>
    </i>
    <i r="2">
      <x v="1"/>
    </i>
    <i>
      <x v="226"/>
    </i>
    <i r="1">
      <x v="209"/>
    </i>
    <i r="2">
      <x v="3"/>
    </i>
    <i>
      <x v="218"/>
    </i>
    <i r="1">
      <x v="34"/>
    </i>
    <i r="2">
      <x v="3"/>
    </i>
    <i>
      <x v="58"/>
    </i>
    <i r="1">
      <x v="83"/>
    </i>
    <i r="2">
      <x v="3"/>
    </i>
    <i>
      <x v="238"/>
    </i>
    <i r="1">
      <x v="194"/>
    </i>
    <i r="2">
      <x v="3"/>
    </i>
    <i>
      <x v="19"/>
    </i>
    <i r="1">
      <x v="4"/>
    </i>
    <i r="2">
      <x v="3"/>
    </i>
    <i>
      <x v="200"/>
    </i>
    <i r="1">
      <x v="176"/>
    </i>
    <i r="2">
      <x v="4"/>
    </i>
    <i>
      <x v="60"/>
    </i>
    <i r="1">
      <x v="75"/>
    </i>
    <i r="2">
      <x v="3"/>
    </i>
    <i>
      <x v="57"/>
    </i>
    <i r="1">
      <x v="188"/>
    </i>
    <i r="2">
      <x v="3"/>
    </i>
    <i>
      <x v="59"/>
    </i>
    <i r="1">
      <x v="76"/>
    </i>
    <i r="2">
      <x v="3"/>
    </i>
    <i>
      <x v="32"/>
    </i>
    <i r="1">
      <x v="40"/>
    </i>
    <i r="2">
      <x v="6"/>
    </i>
    <i>
      <x v="168"/>
    </i>
    <i r="1">
      <x v="88"/>
    </i>
    <i r="2">
      <x v="10"/>
    </i>
    <i>
      <x v="18"/>
    </i>
    <i r="1">
      <x v="21"/>
    </i>
    <i r="2">
      <x/>
    </i>
    <i r="2">
      <x v="3"/>
    </i>
    <i>
      <x v="233"/>
    </i>
    <i r="1">
      <x v="215"/>
    </i>
    <i r="2">
      <x v="3"/>
    </i>
    <i>
      <x v="169"/>
    </i>
    <i r="1">
      <x v="160"/>
    </i>
    <i r="2">
      <x v="3"/>
    </i>
    <i r="2">
      <x v="5"/>
    </i>
    <i r="2">
      <x v="7"/>
    </i>
    <i r="2">
      <x v="10"/>
    </i>
    <i>
      <x v="229"/>
    </i>
    <i r="1">
      <x v="213"/>
    </i>
    <i r="2">
      <x v="3"/>
    </i>
    <i>
      <x v="155"/>
    </i>
    <i r="1">
      <x v="56"/>
    </i>
    <i r="2">
      <x/>
    </i>
    <i>
      <x v="170"/>
    </i>
    <i r="1">
      <x v="160"/>
    </i>
    <i r="2">
      <x/>
    </i>
    <i r="2">
      <x v="1"/>
    </i>
    <i r="2">
      <x v="9"/>
    </i>
    <i>
      <x v="260"/>
    </i>
    <i r="1">
      <x v="13"/>
    </i>
    <i r="2">
      <x v="6"/>
    </i>
    <i>
      <x v="10"/>
    </i>
    <i r="1">
      <x v="202"/>
    </i>
    <i r="2">
      <x v="3"/>
    </i>
    <i>
      <x v="40"/>
    </i>
    <i r="1">
      <x v="69"/>
    </i>
    <i r="2">
      <x v="6"/>
    </i>
    <i>
      <x v="17"/>
    </i>
    <i r="1">
      <x v="20"/>
    </i>
    <i r="2">
      <x v="3"/>
    </i>
    <i r="2">
      <x v="6"/>
    </i>
    <i>
      <x v="43"/>
    </i>
    <i r="1">
      <x v="71"/>
    </i>
    <i r="2">
      <x v="6"/>
    </i>
    <i>
      <x v="37"/>
    </i>
    <i r="1">
      <x v="68"/>
    </i>
    <i r="2">
      <x v="6"/>
    </i>
    <i>
      <x v="44"/>
    </i>
    <i r="1">
      <x v="49"/>
    </i>
    <i r="2">
      <x v="6"/>
    </i>
    <i>
      <x v="258"/>
    </i>
    <i r="1">
      <x v="11"/>
    </i>
    <i r="2">
      <x v="6"/>
    </i>
    <i>
      <x v="199"/>
    </i>
    <i r="1">
      <x v="174"/>
    </i>
    <i r="2">
      <x v="2"/>
    </i>
    <i>
      <x v="24"/>
    </i>
    <i r="1">
      <x v="18"/>
    </i>
    <i r="2">
      <x v="3"/>
    </i>
    <i>
      <x v="16"/>
    </i>
    <i r="1">
      <x v="1"/>
    </i>
    <i r="2">
      <x v="3"/>
    </i>
    <i>
      <x v="33"/>
    </i>
    <i r="1">
      <x v="66"/>
    </i>
    <i r="2">
      <x v="6"/>
    </i>
    <i>
      <x v="47"/>
    </i>
    <i r="1">
      <x v="63"/>
    </i>
    <i r="2">
      <x v="6"/>
    </i>
    <i>
      <x v="172"/>
    </i>
    <i r="1">
      <x v="161"/>
    </i>
    <i r="2">
      <x/>
    </i>
    <i r="2">
      <x v="1"/>
    </i>
    <i r="2">
      <x v="9"/>
    </i>
    <i>
      <x v="22"/>
    </i>
    <i r="1">
      <x v="28"/>
    </i>
    <i r="2">
      <x v="3"/>
    </i>
    <i>
      <x v="174"/>
    </i>
    <i r="1">
      <x v="165"/>
    </i>
    <i r="2">
      <x v="3"/>
    </i>
    <i r="2">
      <x v="5"/>
    </i>
    <i r="2">
      <x v="7"/>
    </i>
    <i>
      <x v="205"/>
    </i>
    <i r="1">
      <x v="102"/>
    </i>
    <i r="2">
      <x v="6"/>
    </i>
    <i>
      <x v="257"/>
    </i>
    <i r="1">
      <x v="10"/>
    </i>
    <i r="2">
      <x v="6"/>
    </i>
    <i>
      <x v="11"/>
    </i>
    <i r="1">
      <x v="35"/>
    </i>
    <i r="2">
      <x v="3"/>
    </i>
    <i>
      <x v="259"/>
    </i>
    <i r="1">
      <x v="12"/>
    </i>
    <i r="2">
      <x v="6"/>
    </i>
    <i>
      <x v="162"/>
    </i>
    <i r="1">
      <x v="57"/>
    </i>
    <i r="2">
      <x/>
    </i>
    <i>
      <x v="51"/>
    </i>
    <i r="1">
      <x v="203"/>
    </i>
    <i r="2">
      <x v="3"/>
    </i>
    <i>
      <x v="160"/>
    </i>
    <i r="1">
      <x v="58"/>
    </i>
    <i r="2">
      <x v="7"/>
    </i>
    <i>
      <x v="48"/>
    </i>
    <i r="1">
      <x v="73"/>
    </i>
    <i r="2">
      <x v="6"/>
    </i>
    <i>
      <x v="212"/>
    </i>
    <i r="1">
      <x v="33"/>
    </i>
    <i r="2">
      <x v="3"/>
    </i>
    <i>
      <x v="210"/>
    </i>
    <i r="1">
      <x v="101"/>
    </i>
    <i r="2">
      <x v="6"/>
    </i>
    <i>
      <x v="261"/>
    </i>
    <i r="1">
      <x v="14"/>
    </i>
    <i r="2">
      <x v="6"/>
    </i>
    <i>
      <x v="219"/>
    </i>
    <i r="1">
      <x v="36"/>
    </i>
    <i r="2">
      <x v="3"/>
    </i>
    <i>
      <x v="115"/>
    </i>
    <i r="1">
      <x v="221"/>
    </i>
    <i r="2">
      <x v="3"/>
    </i>
    <i>
      <x v="243"/>
    </i>
    <i r="1">
      <x v="32"/>
    </i>
    <i r="2">
      <x v="6"/>
    </i>
    <i>
      <x v="98"/>
    </i>
    <i r="1">
      <x v="140"/>
    </i>
    <i r="2">
      <x v="2"/>
    </i>
    <i>
      <x v="49"/>
    </i>
    <i r="1">
      <x v="59"/>
    </i>
    <i r="2">
      <x v="6"/>
    </i>
    <i>
      <x v="161"/>
    </i>
    <i r="1">
      <x v="57"/>
    </i>
    <i r="2">
      <x v="5"/>
    </i>
    <i>
      <x v="216"/>
    </i>
    <i r="1">
      <x v="37"/>
    </i>
    <i r="2">
      <x v="3"/>
    </i>
    <i>
      <x v="42"/>
    </i>
    <i r="1">
      <x v="53"/>
    </i>
    <i r="2">
      <x v="6"/>
    </i>
    <i>
      <x v="152"/>
    </i>
    <i r="1">
      <x v="55"/>
    </i>
    <i r="2">
      <x v="3"/>
    </i>
    <i>
      <x v="163"/>
    </i>
    <i r="1">
      <x v="62"/>
    </i>
    <i r="2">
      <x v="5"/>
    </i>
    <i>
      <x v="45"/>
    </i>
    <i r="1">
      <x v="168"/>
    </i>
    <i r="2">
      <x v="6"/>
    </i>
    <i>
      <x v="30"/>
    </i>
    <i r="1">
      <x v="79"/>
    </i>
    <i r="2">
      <x v="6"/>
    </i>
    <i>
      <x v="207"/>
    </i>
    <i r="1">
      <x v="97"/>
    </i>
    <i r="2">
      <x v="6"/>
    </i>
    <i>
      <x v="188"/>
    </i>
    <i r="1">
      <x v="155"/>
    </i>
    <i r="2">
      <x v="3"/>
    </i>
    <i r="2">
      <x v="10"/>
    </i>
    <i>
      <x v="175"/>
    </i>
    <i r="1">
      <x v="165"/>
    </i>
    <i r="2">
      <x/>
    </i>
    <i r="2">
      <x v="9"/>
    </i>
    <i>
      <x v="231"/>
    </i>
    <i r="1">
      <x v="214"/>
    </i>
    <i r="2">
      <x v="3"/>
    </i>
    <i>
      <x v="178"/>
    </i>
    <i r="1">
      <x v="185"/>
    </i>
    <i r="2">
      <x v="2"/>
    </i>
    <i>
      <x v="41"/>
    </i>
    <i r="1">
      <x v="70"/>
    </i>
    <i r="2">
      <x v="6"/>
    </i>
    <i>
      <x v="46"/>
    </i>
    <i r="1">
      <x v="72"/>
    </i>
    <i r="2">
      <x v="6"/>
    </i>
    <i>
      <x v="151"/>
    </i>
    <i r="1">
      <x v="54"/>
    </i>
    <i r="2">
      <x v="7"/>
    </i>
    <i>
      <x v="265"/>
    </i>
    <i r="1">
      <x/>
    </i>
    <i r="2">
      <x v="6"/>
    </i>
    <i>
      <x v="234"/>
    </i>
    <i r="1">
      <x v="29"/>
    </i>
    <i r="2">
      <x v="3"/>
    </i>
    <i>
      <x v="102"/>
    </i>
    <i r="1">
      <x v="222"/>
    </i>
    <i r="2">
      <x v="1"/>
    </i>
    <i>
      <x v="157"/>
    </i>
    <i r="1">
      <x v="60"/>
    </i>
    <i r="2">
      <x v="10"/>
    </i>
    <i>
      <x v="97"/>
    </i>
    <i r="1">
      <x v="113"/>
    </i>
    <i r="2">
      <x v="2"/>
    </i>
    <i>
      <x v="223"/>
    </i>
    <i r="1">
      <x v="27"/>
    </i>
    <i r="2">
      <x v="6"/>
    </i>
    <i>
      <x v="186"/>
    </i>
    <i r="1">
      <x v="192"/>
    </i>
    <i r="2">
      <x v="2"/>
    </i>
    <i>
      <x v="224"/>
    </i>
    <i r="1">
      <x v="193"/>
    </i>
    <i r="2">
      <x v="6"/>
    </i>
    <i>
      <x v="133"/>
    </i>
    <i r="1">
      <x v="39"/>
    </i>
    <i r="2">
      <x v="7"/>
    </i>
    <i>
      <x v="241"/>
    </i>
    <i r="1">
      <x v="31"/>
    </i>
    <i r="2">
      <x v="3"/>
    </i>
    <i>
      <x v="8"/>
    </i>
    <i r="1">
      <x v="7"/>
    </i>
    <i r="2">
      <x v="6"/>
    </i>
    <i>
      <x v="7"/>
    </i>
    <i r="1">
      <x v="6"/>
    </i>
    <i r="2">
      <x v="6"/>
    </i>
    <i>
      <x v="62"/>
    </i>
    <i r="1">
      <x v="90"/>
    </i>
    <i r="2">
      <x v="6"/>
    </i>
    <i>
      <x v="235"/>
    </i>
    <i r="1">
      <x v="30"/>
    </i>
    <i r="2">
      <x v="3"/>
    </i>
    <i>
      <x v="203"/>
    </i>
    <i r="1">
      <x v="94"/>
    </i>
    <i r="2">
      <x v="6"/>
    </i>
    <i>
      <x v="246"/>
    </i>
    <i r="1">
      <x v="149"/>
    </i>
    <i r="2">
      <x v="6"/>
    </i>
    <i>
      <x v="63"/>
    </i>
    <i r="1">
      <x v="91"/>
    </i>
    <i r="2">
      <x v="6"/>
    </i>
    <i>
      <x v="255"/>
    </i>
    <i r="1">
      <x v="164"/>
    </i>
    <i r="2">
      <x/>
    </i>
    <i>
      <x v="64"/>
    </i>
    <i r="1">
      <x v="156"/>
    </i>
    <i r="2">
      <x v="2"/>
    </i>
    <i>
      <x v="34"/>
    </i>
    <i r="1">
      <x v="64"/>
    </i>
    <i r="2">
      <x v="3"/>
    </i>
    <i>
      <x v="208"/>
    </i>
    <i r="1">
      <x v="99"/>
    </i>
    <i r="2">
      <x v="6"/>
    </i>
    <i>
      <x v="182"/>
    </i>
    <i r="1">
      <x v="179"/>
    </i>
    <i r="2">
      <x v="7"/>
    </i>
    <i>
      <x v="209"/>
    </i>
    <i r="1">
      <x v="100"/>
    </i>
    <i r="2">
      <x v="6"/>
    </i>
    <i>
      <x v="53"/>
    </i>
    <i r="1">
      <x v="85"/>
    </i>
    <i r="2">
      <x v="3"/>
    </i>
    <i>
      <x v="36"/>
    </i>
    <i r="1">
      <x v="67"/>
    </i>
    <i r="2">
      <x v="6"/>
    </i>
    <i>
      <x v="187"/>
    </i>
    <i r="1">
      <x v="192"/>
    </i>
    <i r="2">
      <x/>
    </i>
    <i>
      <x v="211"/>
    </i>
    <i r="1">
      <x v="24"/>
    </i>
    <i r="2">
      <x v="3"/>
    </i>
    <i>
      <x v="253"/>
    </i>
    <i r="1">
      <x v="157"/>
    </i>
    <i r="2">
      <x v="6"/>
    </i>
    <i>
      <x v="213"/>
    </i>
    <i r="1">
      <x v="204"/>
    </i>
    <i r="2">
      <x v="3"/>
    </i>
    <i>
      <x v="14"/>
    </i>
    <i r="1">
      <x v="23"/>
    </i>
    <i r="2">
      <x v="3"/>
    </i>
    <i>
      <x v="215"/>
    </i>
    <i r="1">
      <x v="234"/>
    </i>
    <i r="2">
      <x v="3"/>
    </i>
    <i>
      <x v="9"/>
    </i>
    <i r="1">
      <x v="19"/>
    </i>
    <i r="2">
      <x v="6"/>
    </i>
    <i>
      <x v="217"/>
    </i>
    <i r="1">
      <x v="235"/>
    </i>
    <i r="2">
      <x v="3"/>
    </i>
    <i>
      <x v="179"/>
    </i>
    <i r="1">
      <x v="186"/>
    </i>
    <i r="2">
      <x v="4"/>
    </i>
    <i>
      <x v="1"/>
    </i>
    <i r="1">
      <x v="169"/>
    </i>
    <i r="2">
      <x v="8"/>
    </i>
    <i>
      <x v="181"/>
    </i>
    <i r="1">
      <x v="178"/>
    </i>
    <i r="2">
      <x v="7"/>
    </i>
    <i>
      <x v="167"/>
    </i>
    <i r="1">
      <x v="87"/>
    </i>
    <i r="2">
      <x v="3"/>
    </i>
    <i>
      <x v="240"/>
    </i>
    <i r="1">
      <x v="80"/>
    </i>
    <i r="2">
      <x v="3"/>
    </i>
    <i>
      <x v="221"/>
    </i>
    <i r="1">
      <x v="92"/>
    </i>
    <i r="2">
      <x v="3"/>
    </i>
    <i>
      <x v="242"/>
    </i>
    <i r="1">
      <x v="78"/>
    </i>
    <i r="2">
      <x v="6"/>
    </i>
    <i>
      <x v="6"/>
    </i>
    <i r="1">
      <x v="199"/>
    </i>
    <i r="2">
      <x v="8"/>
    </i>
    <i>
      <x v="245"/>
    </i>
    <i r="1">
      <x v="217"/>
    </i>
    <i r="2">
      <x v="8"/>
    </i>
    <i>
      <x v="50"/>
    </i>
    <i r="1">
      <x v="8"/>
    </i>
    <i r="2">
      <x v="4"/>
    </i>
    <i>
      <x v="248"/>
    </i>
    <i r="1">
      <x v="158"/>
    </i>
    <i r="2">
      <x v="9"/>
    </i>
    <i>
      <x v="12"/>
    </i>
    <i r="1">
      <x v="3"/>
    </i>
    <i r="2">
      <x v="3"/>
    </i>
    <i>
      <x v="54"/>
    </i>
    <i r="1">
      <x v="98"/>
    </i>
    <i r="2">
      <x v="3"/>
    </i>
    <i>
      <x v="225"/>
    </i>
    <i r="1">
      <x v="189"/>
    </i>
    <i r="2">
      <x v="3"/>
    </i>
    <i>
      <x v="146"/>
    </i>
    <i r="1">
      <x v="51"/>
    </i>
    <i r="2">
      <x v="7"/>
    </i>
    <i>
      <x/>
    </i>
    <i r="1">
      <x v="198"/>
    </i>
    <i r="2">
      <x v="8"/>
    </i>
    <i>
      <x v="254"/>
    </i>
    <i r="1">
      <x v="138"/>
    </i>
    <i r="2">
      <x v="6"/>
    </i>
    <i>
      <x v="71"/>
    </i>
    <i r="1">
      <x v="137"/>
    </i>
    <i r="2">
      <x v="3"/>
    </i>
    <i>
      <x v="256"/>
    </i>
    <i r="1">
      <x v="9"/>
    </i>
    <i r="2">
      <x v="6"/>
    </i>
    <i>
      <x v="52"/>
    </i>
    <i r="1">
      <x v="195"/>
    </i>
    <i r="2">
      <x v="3"/>
    </i>
    <i>
      <x v="15"/>
    </i>
    <i r="1">
      <x v="17"/>
    </i>
    <i r="2">
      <x v="3"/>
    </i>
    <i>
      <x v="99"/>
    </i>
    <i r="1">
      <x v="147"/>
    </i>
    <i r="2">
      <x v="2"/>
    </i>
    <i r="2">
      <x v="10"/>
    </i>
    <i>
      <x v="196"/>
    </i>
    <i r="1">
      <x v="171"/>
    </i>
    <i r="2">
      <x v="2"/>
    </i>
    <i>
      <x v="73"/>
    </i>
    <i r="1">
      <x v="131"/>
    </i>
    <i r="2">
      <x v="3"/>
    </i>
    <i>
      <x v="198"/>
    </i>
    <i r="1">
      <x v="175"/>
    </i>
    <i r="2">
      <x v="4"/>
    </i>
    <i>
      <x v="177"/>
    </i>
    <i r="1">
      <x v="184"/>
    </i>
    <i r="2">
      <x v="4"/>
    </i>
    <i>
      <x v="35"/>
    </i>
    <i r="1">
      <x v="43"/>
    </i>
    <i r="2">
      <x v="3"/>
    </i>
    <i>
      <x v="101"/>
    </i>
    <i r="1">
      <x v="220"/>
    </i>
    <i r="2">
      <x v="3"/>
    </i>
    <i>
      <x v="86"/>
    </i>
    <i r="1">
      <x v="134"/>
    </i>
    <i r="2">
      <x v="3"/>
    </i>
    <i>
      <x v="118"/>
    </i>
    <i r="1">
      <x v="226"/>
    </i>
    <i r="2">
      <x/>
    </i>
    <i r="2">
      <x v="1"/>
    </i>
    <i r="2">
      <x v="4"/>
    </i>
    <i r="2">
      <x v="9"/>
    </i>
    <i>
      <x v="113"/>
    </i>
    <i r="1">
      <x v="107"/>
    </i>
    <i r="2">
      <x v="2"/>
    </i>
    <i>
      <x v="126"/>
    </i>
    <i r="1">
      <x v="144"/>
    </i>
    <i r="2">
      <x/>
    </i>
    <i r="2">
      <x v="1"/>
    </i>
    <i r="2">
      <x v="2"/>
    </i>
    <i r="2">
      <x v="4"/>
    </i>
    <i r="2">
      <x v="5"/>
    </i>
    <i r="2">
      <x v="7"/>
    </i>
    <i r="2">
      <x v="9"/>
    </i>
    <i r="2">
      <x v="10"/>
    </i>
    <i>
      <x v="103"/>
    </i>
    <i r="1">
      <x v="225"/>
    </i>
    <i r="2">
      <x v="1"/>
    </i>
    <i r="2">
      <x v="4"/>
    </i>
    <i r="2">
      <x v="7"/>
    </i>
    <i r="2">
      <x v="9"/>
    </i>
    <i>
      <x v="120"/>
    </i>
    <i r="1">
      <x v="145"/>
    </i>
    <i r="2">
      <x/>
    </i>
    <i r="2">
      <x v="2"/>
    </i>
    <i r="2">
      <x v="7"/>
    </i>
    <i r="2">
      <x v="9"/>
    </i>
    <i>
      <x v="81"/>
    </i>
    <i r="1">
      <x v="133"/>
    </i>
    <i r="2">
      <x v="3"/>
    </i>
    <i>
      <x v="90"/>
    </i>
    <i r="1">
      <x v="219"/>
    </i>
    <i r="2">
      <x/>
    </i>
    <i r="2">
      <x v="1"/>
    </i>
    <i r="2">
      <x v="3"/>
    </i>
    <i r="2">
      <x v="4"/>
    </i>
    <i r="2">
      <x v="7"/>
    </i>
    <i r="2">
      <x v="9"/>
    </i>
    <i r="2">
      <x v="10"/>
    </i>
    <i>
      <x v="74"/>
    </i>
    <i r="1">
      <x v="135"/>
    </i>
    <i r="2">
      <x v="3"/>
    </i>
    <i>
      <x v="105"/>
    </i>
    <i r="1">
      <x v="229"/>
    </i>
    <i r="2">
      <x v="3"/>
    </i>
    <i>
      <x v="125"/>
    </i>
    <i r="1">
      <x v="146"/>
    </i>
    <i r="2">
      <x v="10"/>
    </i>
    <i>
      <x v="96"/>
    </i>
    <i r="1">
      <x v="148"/>
    </i>
    <i r="2">
      <x/>
    </i>
    <i r="2">
      <x v="7"/>
    </i>
    <i>
      <x v="266"/>
    </i>
    <i r="1">
      <x v="236"/>
    </i>
    <i r="2">
      <x v="6"/>
    </i>
    <i r="2">
      <x v="11"/>
    </i>
    <i>
      <x v="67"/>
    </i>
    <i r="1">
      <x v="230"/>
    </i>
    <i r="2">
      <x v="9"/>
    </i>
    <i>
      <x v="106"/>
    </i>
    <i r="1">
      <x v="231"/>
    </i>
    <i r="2">
      <x/>
    </i>
    <i t="grand">
      <x/>
    </i>
  </rowItems>
  <colItems count="1">
    <i/>
  </colItems>
  <dataFields count="1">
    <dataField name="Sum of Quantity Desire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2D9C-8A2F-4944-9ADA-4B55FA54A08F}">
  <dimension ref="A2:B14"/>
  <sheetViews>
    <sheetView tabSelected="1" workbookViewId="0">
      <selection activeCell="A15" sqref="A15"/>
    </sheetView>
  </sheetViews>
  <sheetFormatPr defaultRowHeight="14.5" x14ac:dyDescent="0.35"/>
  <cols>
    <col min="1" max="1" width="28.90625" bestFit="1" customWidth="1"/>
    <col min="2" max="2" width="27.08984375" bestFit="1" customWidth="1"/>
  </cols>
  <sheetData>
    <row r="2" spans="1:2" ht="16" x14ac:dyDescent="0.4">
      <c r="A2" s="18" t="s">
        <v>9</v>
      </c>
      <c r="B2" s="18" t="s">
        <v>611</v>
      </c>
    </row>
    <row r="3" spans="1:2" x14ac:dyDescent="0.35">
      <c r="A3" s="1" t="s">
        <v>0</v>
      </c>
      <c r="B3" s="9">
        <f>BIA!J59</f>
        <v>0</v>
      </c>
    </row>
    <row r="4" spans="1:2" x14ac:dyDescent="0.35">
      <c r="A4" s="1" t="s">
        <v>1</v>
      </c>
      <c r="B4" s="9">
        <f>BIE!J34</f>
        <v>0</v>
      </c>
    </row>
    <row r="5" spans="1:2" x14ac:dyDescent="0.35">
      <c r="A5" s="1" t="s">
        <v>2</v>
      </c>
      <c r="B5" s="9">
        <f>BLM!J62</f>
        <v>0</v>
      </c>
    </row>
    <row r="6" spans="1:2" x14ac:dyDescent="0.35">
      <c r="A6" s="1" t="s">
        <v>3</v>
      </c>
      <c r="B6" s="9">
        <f>BOR!J367</f>
        <v>0</v>
      </c>
    </row>
    <row r="7" spans="1:2" x14ac:dyDescent="0.35">
      <c r="A7" s="1" t="s">
        <v>4</v>
      </c>
      <c r="B7" s="9">
        <f>BSEE!J29</f>
        <v>0</v>
      </c>
    </row>
    <row r="8" spans="1:2" x14ac:dyDescent="0.35">
      <c r="A8" s="1" t="s">
        <v>5</v>
      </c>
      <c r="B8" s="9">
        <f>FWS!J37</f>
        <v>0</v>
      </c>
    </row>
    <row r="9" spans="1:2" x14ac:dyDescent="0.35">
      <c r="A9" s="1" t="s">
        <v>6</v>
      </c>
      <c r="B9" s="9">
        <f>OIG!J42</f>
        <v>0</v>
      </c>
    </row>
    <row r="10" spans="1:2" x14ac:dyDescent="0.35">
      <c r="A10" s="1" t="s">
        <v>7</v>
      </c>
      <c r="B10" s="9">
        <f>USGS!J36</f>
        <v>0</v>
      </c>
    </row>
    <row r="11" spans="1:2" x14ac:dyDescent="0.35">
      <c r="A11" s="1" t="s">
        <v>428</v>
      </c>
      <c r="B11" s="9">
        <f>NPS!J69</f>
        <v>0</v>
      </c>
    </row>
    <row r="12" spans="1:2" x14ac:dyDescent="0.35">
      <c r="A12" s="1" t="s">
        <v>8</v>
      </c>
      <c r="B12" s="9">
        <f>'DOI IBC'!J58</f>
        <v>0</v>
      </c>
    </row>
    <row r="13" spans="1:2" x14ac:dyDescent="0.35">
      <c r="A13" s="1" t="s">
        <v>258</v>
      </c>
      <c r="B13" s="9">
        <f>'DOI OCIO'!J10</f>
        <v>0</v>
      </c>
    </row>
    <row r="14" spans="1:2" x14ac:dyDescent="0.35">
      <c r="A14" s="1" t="s">
        <v>429</v>
      </c>
      <c r="B14" s="9">
        <f>SUM(B3:B13)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1FEF-A58C-4556-B872-325D80B3915E}">
  <dimension ref="A1:B1033"/>
  <sheetViews>
    <sheetView workbookViewId="0">
      <selection activeCell="B2" sqref="B2"/>
    </sheetView>
  </sheetViews>
  <sheetFormatPr defaultRowHeight="14.5" x14ac:dyDescent="0.35"/>
  <cols>
    <col min="1" max="1" width="65.26953125" bestFit="1" customWidth="1"/>
    <col min="2" max="2" width="23.453125" bestFit="1" customWidth="1"/>
    <col min="3" max="3" width="20" bestFit="1" customWidth="1"/>
    <col min="4" max="4" width="19.26953125" bestFit="1" customWidth="1"/>
    <col min="5" max="5" width="46.26953125" bestFit="1" customWidth="1"/>
    <col min="6" max="6" width="45.453125" bestFit="1" customWidth="1"/>
    <col min="7" max="7" width="5.26953125" bestFit="1" customWidth="1"/>
    <col min="8" max="8" width="4.7265625" bestFit="1" customWidth="1"/>
    <col min="9" max="9" width="10.453125" bestFit="1" customWidth="1"/>
    <col min="10" max="10" width="28" bestFit="1" customWidth="1"/>
    <col min="11" max="11" width="48.1796875" bestFit="1" customWidth="1"/>
    <col min="12" max="12" width="16" bestFit="1" customWidth="1"/>
    <col min="13" max="13" width="14.81640625" bestFit="1" customWidth="1"/>
    <col min="14" max="14" width="16.453125" bestFit="1" customWidth="1"/>
    <col min="15" max="15" width="8.81640625" bestFit="1" customWidth="1"/>
    <col min="16" max="16" width="37.453125" bestFit="1" customWidth="1"/>
    <col min="17" max="17" width="29" bestFit="1" customWidth="1"/>
    <col min="18" max="18" width="28.26953125" bestFit="1" customWidth="1"/>
    <col min="19" max="19" width="27.453125" bestFit="1" customWidth="1"/>
    <col min="20" max="20" width="37" bestFit="1" customWidth="1"/>
    <col min="21" max="21" width="25" bestFit="1" customWidth="1"/>
    <col min="22" max="22" width="23" bestFit="1" customWidth="1"/>
    <col min="23" max="23" width="23.81640625" bestFit="1" customWidth="1"/>
    <col min="24" max="24" width="25.54296875" bestFit="1" customWidth="1"/>
    <col min="25" max="25" width="14.54296875" bestFit="1" customWidth="1"/>
    <col min="26" max="26" width="6.26953125" bestFit="1" customWidth="1"/>
    <col min="27" max="27" width="7.26953125" bestFit="1" customWidth="1"/>
    <col min="28" max="28" width="11.26953125" bestFit="1" customWidth="1"/>
  </cols>
  <sheetData>
    <row r="1" spans="1:2" x14ac:dyDescent="0.35">
      <c r="A1" s="12" t="s">
        <v>605</v>
      </c>
      <c r="B1" t="s">
        <v>608</v>
      </c>
    </row>
    <row r="2" spans="1:2" x14ac:dyDescent="0.35">
      <c r="A2" s="2" t="s">
        <v>207</v>
      </c>
      <c r="B2">
        <v>15529</v>
      </c>
    </row>
    <row r="3" spans="1:2" x14ac:dyDescent="0.35">
      <c r="A3" s="13" t="s">
        <v>208</v>
      </c>
      <c r="B3">
        <v>15529</v>
      </c>
    </row>
    <row r="4" spans="1:2" x14ac:dyDescent="0.35">
      <c r="A4" s="14" t="s">
        <v>0</v>
      </c>
      <c r="B4">
        <v>222</v>
      </c>
    </row>
    <row r="5" spans="1:2" x14ac:dyDescent="0.35">
      <c r="A5" s="14" t="s">
        <v>1</v>
      </c>
      <c r="B5">
        <v>1019</v>
      </c>
    </row>
    <row r="6" spans="1:2" x14ac:dyDescent="0.35">
      <c r="A6" s="14" t="s">
        <v>2</v>
      </c>
      <c r="B6">
        <v>934</v>
      </c>
    </row>
    <row r="7" spans="1:2" x14ac:dyDescent="0.35">
      <c r="A7" s="14" t="s">
        <v>4</v>
      </c>
      <c r="B7">
        <v>2489</v>
      </c>
    </row>
    <row r="8" spans="1:2" x14ac:dyDescent="0.35">
      <c r="A8" s="14" t="s">
        <v>5</v>
      </c>
      <c r="B8">
        <v>1011</v>
      </c>
    </row>
    <row r="9" spans="1:2" x14ac:dyDescent="0.35">
      <c r="A9" s="14" t="s">
        <v>428</v>
      </c>
      <c r="B9">
        <v>8105</v>
      </c>
    </row>
    <row r="10" spans="1:2" x14ac:dyDescent="0.35">
      <c r="A10" s="14" t="s">
        <v>6</v>
      </c>
      <c r="B10">
        <v>221</v>
      </c>
    </row>
    <row r="11" spans="1:2" x14ac:dyDescent="0.35">
      <c r="A11" s="14" t="s">
        <v>7</v>
      </c>
      <c r="B11">
        <v>1528</v>
      </c>
    </row>
    <row r="12" spans="1:2" x14ac:dyDescent="0.35">
      <c r="A12" s="2" t="s">
        <v>72</v>
      </c>
      <c r="B12">
        <v>10390</v>
      </c>
    </row>
    <row r="13" spans="1:2" x14ac:dyDescent="0.35">
      <c r="A13" s="13" t="s">
        <v>73</v>
      </c>
      <c r="B13">
        <v>10390</v>
      </c>
    </row>
    <row r="14" spans="1:2" x14ac:dyDescent="0.35">
      <c r="A14" s="14" t="s">
        <v>0</v>
      </c>
      <c r="B14">
        <v>100</v>
      </c>
    </row>
    <row r="15" spans="1:2" x14ac:dyDescent="0.35">
      <c r="A15" s="14" t="s">
        <v>1</v>
      </c>
      <c r="B15">
        <v>100</v>
      </c>
    </row>
    <row r="16" spans="1:2" x14ac:dyDescent="0.35">
      <c r="A16" s="14" t="s">
        <v>2</v>
      </c>
      <c r="B16">
        <v>100</v>
      </c>
    </row>
    <row r="17" spans="1:2" x14ac:dyDescent="0.35">
      <c r="A17" s="14" t="s">
        <v>3</v>
      </c>
      <c r="B17">
        <v>840</v>
      </c>
    </row>
    <row r="18" spans="1:2" x14ac:dyDescent="0.35">
      <c r="A18" s="14" t="s">
        <v>4</v>
      </c>
      <c r="B18">
        <v>3000</v>
      </c>
    </row>
    <row r="19" spans="1:2" x14ac:dyDescent="0.35">
      <c r="A19" s="14" t="s">
        <v>5</v>
      </c>
      <c r="B19">
        <v>5500</v>
      </c>
    </row>
    <row r="20" spans="1:2" x14ac:dyDescent="0.35">
      <c r="A20" s="14" t="s">
        <v>428</v>
      </c>
      <c r="B20">
        <v>100</v>
      </c>
    </row>
    <row r="21" spans="1:2" x14ac:dyDescent="0.35">
      <c r="A21" s="14" t="s">
        <v>6</v>
      </c>
      <c r="B21">
        <v>500</v>
      </c>
    </row>
    <row r="22" spans="1:2" x14ac:dyDescent="0.35">
      <c r="A22" s="14" t="s">
        <v>7</v>
      </c>
      <c r="B22">
        <v>150</v>
      </c>
    </row>
    <row r="23" spans="1:2" x14ac:dyDescent="0.35">
      <c r="A23" s="2" t="s">
        <v>76</v>
      </c>
      <c r="B23">
        <v>7600</v>
      </c>
    </row>
    <row r="24" spans="1:2" x14ac:dyDescent="0.35">
      <c r="A24" s="13" t="s">
        <v>77</v>
      </c>
      <c r="B24">
        <v>7600</v>
      </c>
    </row>
    <row r="25" spans="1:2" x14ac:dyDescent="0.35">
      <c r="A25" s="14" t="s">
        <v>0</v>
      </c>
      <c r="B25">
        <v>100</v>
      </c>
    </row>
    <row r="26" spans="1:2" x14ac:dyDescent="0.35">
      <c r="A26" s="14" t="s">
        <v>2</v>
      </c>
      <c r="B26">
        <v>3200</v>
      </c>
    </row>
    <row r="27" spans="1:2" x14ac:dyDescent="0.35">
      <c r="A27" s="14" t="s">
        <v>3</v>
      </c>
      <c r="B27">
        <v>2300</v>
      </c>
    </row>
    <row r="28" spans="1:2" x14ac:dyDescent="0.35">
      <c r="A28" s="14" t="s">
        <v>428</v>
      </c>
      <c r="B28">
        <v>2000</v>
      </c>
    </row>
    <row r="29" spans="1:2" x14ac:dyDescent="0.35">
      <c r="A29" s="2" t="s">
        <v>413</v>
      </c>
      <c r="B29">
        <v>6057</v>
      </c>
    </row>
    <row r="30" spans="1:2" x14ac:dyDescent="0.35">
      <c r="A30" s="13" t="s">
        <v>414</v>
      </c>
      <c r="B30">
        <v>6057</v>
      </c>
    </row>
    <row r="31" spans="1:2" x14ac:dyDescent="0.35">
      <c r="A31" s="14" t="s">
        <v>3</v>
      </c>
      <c r="B31">
        <v>6057</v>
      </c>
    </row>
    <row r="32" spans="1:2" x14ac:dyDescent="0.35">
      <c r="A32" s="2" t="s">
        <v>264</v>
      </c>
      <c r="B32">
        <v>5100</v>
      </c>
    </row>
    <row r="33" spans="1:2" x14ac:dyDescent="0.35">
      <c r="A33" s="13" t="s">
        <v>265</v>
      </c>
      <c r="B33">
        <v>5100</v>
      </c>
    </row>
    <row r="34" spans="1:2" x14ac:dyDescent="0.35">
      <c r="A34" s="14" t="s">
        <v>603</v>
      </c>
      <c r="B34">
        <v>5100</v>
      </c>
    </row>
    <row r="35" spans="1:2" x14ac:dyDescent="0.35">
      <c r="A35" s="2" t="s">
        <v>102</v>
      </c>
      <c r="B35">
        <v>3000</v>
      </c>
    </row>
    <row r="36" spans="1:2" x14ac:dyDescent="0.35">
      <c r="A36" s="13" t="s">
        <v>103</v>
      </c>
      <c r="B36">
        <v>3000</v>
      </c>
    </row>
    <row r="37" spans="1:2" x14ac:dyDescent="0.35">
      <c r="A37" s="14" t="s">
        <v>2</v>
      </c>
      <c r="B37">
        <v>3000</v>
      </c>
    </row>
    <row r="38" spans="1:2" x14ac:dyDescent="0.35">
      <c r="A38" s="2" t="s">
        <v>187</v>
      </c>
      <c r="B38">
        <v>2857</v>
      </c>
    </row>
    <row r="39" spans="1:2" x14ac:dyDescent="0.35">
      <c r="A39" s="13" t="s">
        <v>188</v>
      </c>
      <c r="B39">
        <v>2857</v>
      </c>
    </row>
    <row r="40" spans="1:2" x14ac:dyDescent="0.35">
      <c r="A40" s="14" t="s">
        <v>0</v>
      </c>
      <c r="B40">
        <v>242</v>
      </c>
    </row>
    <row r="41" spans="1:2" x14ac:dyDescent="0.35">
      <c r="A41" s="14" t="s">
        <v>1</v>
      </c>
      <c r="B41">
        <v>1361</v>
      </c>
    </row>
    <row r="42" spans="1:2" x14ac:dyDescent="0.35">
      <c r="A42" s="14" t="s">
        <v>2</v>
      </c>
      <c r="B42">
        <v>31</v>
      </c>
    </row>
    <row r="43" spans="1:2" x14ac:dyDescent="0.35">
      <c r="A43" s="14" t="s">
        <v>428</v>
      </c>
      <c r="B43">
        <v>1102</v>
      </c>
    </row>
    <row r="44" spans="1:2" x14ac:dyDescent="0.35">
      <c r="A44" s="14" t="s">
        <v>6</v>
      </c>
      <c r="B44">
        <v>90</v>
      </c>
    </row>
    <row r="45" spans="1:2" x14ac:dyDescent="0.35">
      <c r="A45" s="14" t="s">
        <v>7</v>
      </c>
      <c r="B45">
        <v>31</v>
      </c>
    </row>
    <row r="46" spans="1:2" x14ac:dyDescent="0.35">
      <c r="A46" s="2" t="s">
        <v>24</v>
      </c>
      <c r="B46">
        <v>2785</v>
      </c>
    </row>
    <row r="47" spans="1:2" x14ac:dyDescent="0.35">
      <c r="A47" s="13" t="s">
        <v>25</v>
      </c>
      <c r="B47">
        <v>2785</v>
      </c>
    </row>
    <row r="48" spans="1:2" x14ac:dyDescent="0.35">
      <c r="A48" s="14" t="s">
        <v>0</v>
      </c>
      <c r="B48">
        <v>100</v>
      </c>
    </row>
    <row r="49" spans="1:2" x14ac:dyDescent="0.35">
      <c r="A49" s="14" t="s">
        <v>1</v>
      </c>
      <c r="B49">
        <v>100</v>
      </c>
    </row>
    <row r="50" spans="1:2" x14ac:dyDescent="0.35">
      <c r="A50" s="14" t="s">
        <v>2</v>
      </c>
      <c r="B50">
        <v>1985</v>
      </c>
    </row>
    <row r="51" spans="1:2" x14ac:dyDescent="0.35">
      <c r="A51" s="14" t="s">
        <v>3</v>
      </c>
      <c r="B51">
        <v>100</v>
      </c>
    </row>
    <row r="52" spans="1:2" x14ac:dyDescent="0.35">
      <c r="A52" s="14" t="s">
        <v>4</v>
      </c>
      <c r="B52">
        <v>100</v>
      </c>
    </row>
    <row r="53" spans="1:2" x14ac:dyDescent="0.35">
      <c r="A53" s="14" t="s">
        <v>5</v>
      </c>
      <c r="B53">
        <v>100</v>
      </c>
    </row>
    <row r="54" spans="1:2" x14ac:dyDescent="0.35">
      <c r="A54" s="14" t="s">
        <v>428</v>
      </c>
      <c r="B54">
        <v>100</v>
      </c>
    </row>
    <row r="55" spans="1:2" x14ac:dyDescent="0.35">
      <c r="A55" s="14" t="s">
        <v>6</v>
      </c>
      <c r="B55">
        <v>100</v>
      </c>
    </row>
    <row r="56" spans="1:2" x14ac:dyDescent="0.35">
      <c r="A56" s="14" t="s">
        <v>7</v>
      </c>
      <c r="B56">
        <v>100</v>
      </c>
    </row>
    <row r="57" spans="1:2" x14ac:dyDescent="0.35">
      <c r="A57" s="2" t="s">
        <v>108</v>
      </c>
      <c r="B57">
        <v>2240</v>
      </c>
    </row>
    <row r="58" spans="1:2" x14ac:dyDescent="0.35">
      <c r="A58" s="13" t="s">
        <v>109</v>
      </c>
      <c r="B58">
        <v>2240</v>
      </c>
    </row>
    <row r="59" spans="1:2" x14ac:dyDescent="0.35">
      <c r="A59" s="14" t="s">
        <v>2</v>
      </c>
      <c r="B59">
        <v>300</v>
      </c>
    </row>
    <row r="60" spans="1:2" x14ac:dyDescent="0.35">
      <c r="A60" s="14" t="s">
        <v>3</v>
      </c>
      <c r="B60">
        <v>740</v>
      </c>
    </row>
    <row r="61" spans="1:2" x14ac:dyDescent="0.35">
      <c r="A61" s="14" t="s">
        <v>428</v>
      </c>
      <c r="B61">
        <v>1000</v>
      </c>
    </row>
    <row r="62" spans="1:2" x14ac:dyDescent="0.35">
      <c r="A62" s="14" t="s">
        <v>7</v>
      </c>
      <c r="B62">
        <v>200</v>
      </c>
    </row>
    <row r="63" spans="1:2" x14ac:dyDescent="0.35">
      <c r="A63" s="2" t="s">
        <v>370</v>
      </c>
      <c r="B63">
        <v>2131</v>
      </c>
    </row>
    <row r="64" spans="1:2" x14ac:dyDescent="0.35">
      <c r="A64" s="13" t="s">
        <v>371</v>
      </c>
      <c r="B64">
        <v>2131</v>
      </c>
    </row>
    <row r="65" spans="1:2" x14ac:dyDescent="0.35">
      <c r="A65" s="14" t="s">
        <v>2</v>
      </c>
      <c r="B65">
        <v>56</v>
      </c>
    </row>
    <row r="66" spans="1:2" x14ac:dyDescent="0.35">
      <c r="A66" s="14" t="s">
        <v>428</v>
      </c>
      <c r="B66">
        <v>2075</v>
      </c>
    </row>
    <row r="67" spans="1:2" x14ac:dyDescent="0.35">
      <c r="A67" s="2" t="s">
        <v>229</v>
      </c>
      <c r="B67">
        <v>1704</v>
      </c>
    </row>
    <row r="68" spans="1:2" x14ac:dyDescent="0.35">
      <c r="A68" s="13" t="s">
        <v>230</v>
      </c>
      <c r="B68">
        <v>1704</v>
      </c>
    </row>
    <row r="69" spans="1:2" x14ac:dyDescent="0.35">
      <c r="A69" s="14" t="s">
        <v>1</v>
      </c>
      <c r="B69">
        <v>10</v>
      </c>
    </row>
    <row r="70" spans="1:2" x14ac:dyDescent="0.35">
      <c r="A70" s="14" t="s">
        <v>2</v>
      </c>
      <c r="B70">
        <v>76</v>
      </c>
    </row>
    <row r="71" spans="1:2" x14ac:dyDescent="0.35">
      <c r="A71" s="14" t="s">
        <v>428</v>
      </c>
      <c r="B71">
        <v>1536</v>
      </c>
    </row>
    <row r="72" spans="1:2" x14ac:dyDescent="0.35">
      <c r="A72" s="14" t="s">
        <v>7</v>
      </c>
      <c r="B72">
        <v>82</v>
      </c>
    </row>
    <row r="73" spans="1:2" x14ac:dyDescent="0.35">
      <c r="A73" s="2" t="s">
        <v>193</v>
      </c>
      <c r="B73">
        <v>1668</v>
      </c>
    </row>
    <row r="74" spans="1:2" x14ac:dyDescent="0.35">
      <c r="A74" s="13" t="s">
        <v>194</v>
      </c>
      <c r="B74">
        <v>1668</v>
      </c>
    </row>
    <row r="75" spans="1:2" x14ac:dyDescent="0.35">
      <c r="A75" s="14" t="s">
        <v>0</v>
      </c>
      <c r="B75">
        <v>669</v>
      </c>
    </row>
    <row r="76" spans="1:2" x14ac:dyDescent="0.35">
      <c r="A76" s="14" t="s">
        <v>1</v>
      </c>
      <c r="B76">
        <v>37</v>
      </c>
    </row>
    <row r="77" spans="1:2" x14ac:dyDescent="0.35">
      <c r="A77" s="14" t="s">
        <v>2</v>
      </c>
      <c r="B77">
        <v>43</v>
      </c>
    </row>
    <row r="78" spans="1:2" x14ac:dyDescent="0.35">
      <c r="A78" s="14" t="s">
        <v>4</v>
      </c>
      <c r="B78">
        <v>42</v>
      </c>
    </row>
    <row r="79" spans="1:2" x14ac:dyDescent="0.35">
      <c r="A79" s="14" t="s">
        <v>5</v>
      </c>
      <c r="B79">
        <v>4</v>
      </c>
    </row>
    <row r="80" spans="1:2" x14ac:dyDescent="0.35">
      <c r="A80" s="14" t="s">
        <v>428</v>
      </c>
      <c r="B80">
        <v>166</v>
      </c>
    </row>
    <row r="81" spans="1:2" x14ac:dyDescent="0.35">
      <c r="A81" s="14" t="s">
        <v>7</v>
      </c>
      <c r="B81">
        <v>707</v>
      </c>
    </row>
    <row r="82" spans="1:2" x14ac:dyDescent="0.35">
      <c r="A82" s="2" t="s">
        <v>245</v>
      </c>
      <c r="B82">
        <v>1371</v>
      </c>
    </row>
    <row r="83" spans="1:2" x14ac:dyDescent="0.35">
      <c r="A83" s="13" t="s">
        <v>246</v>
      </c>
      <c r="B83">
        <v>1371</v>
      </c>
    </row>
    <row r="84" spans="1:2" x14ac:dyDescent="0.35">
      <c r="A84" s="14" t="s">
        <v>2</v>
      </c>
      <c r="B84">
        <v>1298</v>
      </c>
    </row>
    <row r="85" spans="1:2" x14ac:dyDescent="0.35">
      <c r="A85" s="14" t="s">
        <v>5</v>
      </c>
      <c r="B85">
        <v>40</v>
      </c>
    </row>
    <row r="86" spans="1:2" x14ac:dyDescent="0.35">
      <c r="A86" s="14" t="s">
        <v>6</v>
      </c>
      <c r="B86">
        <v>11</v>
      </c>
    </row>
    <row r="87" spans="1:2" x14ac:dyDescent="0.35">
      <c r="A87" s="14" t="s">
        <v>7</v>
      </c>
      <c r="B87">
        <v>22</v>
      </c>
    </row>
    <row r="88" spans="1:2" x14ac:dyDescent="0.35">
      <c r="A88" s="2" t="s">
        <v>389</v>
      </c>
      <c r="B88">
        <v>1322</v>
      </c>
    </row>
    <row r="89" spans="1:2" x14ac:dyDescent="0.35">
      <c r="A89" s="13" t="s">
        <v>390</v>
      </c>
      <c r="B89">
        <v>1322</v>
      </c>
    </row>
    <row r="90" spans="1:2" x14ac:dyDescent="0.35">
      <c r="A90" s="14" t="s">
        <v>3</v>
      </c>
      <c r="B90">
        <v>1322</v>
      </c>
    </row>
    <row r="91" spans="1:2" x14ac:dyDescent="0.35">
      <c r="A91" s="2" t="s">
        <v>243</v>
      </c>
      <c r="B91">
        <v>1098</v>
      </c>
    </row>
    <row r="92" spans="1:2" x14ac:dyDescent="0.35">
      <c r="A92" s="13" t="s">
        <v>244</v>
      </c>
      <c r="B92">
        <v>1098</v>
      </c>
    </row>
    <row r="93" spans="1:2" x14ac:dyDescent="0.35">
      <c r="A93" s="14" t="s">
        <v>6</v>
      </c>
      <c r="B93">
        <v>1098</v>
      </c>
    </row>
    <row r="94" spans="1:2" x14ac:dyDescent="0.35">
      <c r="A94" s="2" t="s">
        <v>147</v>
      </c>
      <c r="B94">
        <v>975</v>
      </c>
    </row>
    <row r="95" spans="1:2" x14ac:dyDescent="0.35">
      <c r="A95" s="13" t="s">
        <v>19</v>
      </c>
      <c r="B95">
        <v>975</v>
      </c>
    </row>
    <row r="96" spans="1:2" x14ac:dyDescent="0.35">
      <c r="A96" s="14" t="s">
        <v>0</v>
      </c>
      <c r="B96">
        <v>150</v>
      </c>
    </row>
    <row r="97" spans="1:2" x14ac:dyDescent="0.35">
      <c r="A97" s="14" t="s">
        <v>5</v>
      </c>
      <c r="B97">
        <v>500</v>
      </c>
    </row>
    <row r="98" spans="1:2" x14ac:dyDescent="0.35">
      <c r="A98" s="14" t="s">
        <v>428</v>
      </c>
      <c r="B98">
        <v>275</v>
      </c>
    </row>
    <row r="99" spans="1:2" x14ac:dyDescent="0.35">
      <c r="A99" s="14" t="s">
        <v>6</v>
      </c>
      <c r="B99">
        <v>50</v>
      </c>
    </row>
    <row r="100" spans="1:2" x14ac:dyDescent="0.35">
      <c r="A100" s="2" t="s">
        <v>69</v>
      </c>
      <c r="B100">
        <v>910</v>
      </c>
    </row>
    <row r="101" spans="1:2" x14ac:dyDescent="0.35">
      <c r="A101" s="13" t="s">
        <v>70</v>
      </c>
      <c r="B101">
        <v>910</v>
      </c>
    </row>
    <row r="102" spans="1:2" x14ac:dyDescent="0.35">
      <c r="A102" s="14" t="s">
        <v>0</v>
      </c>
      <c r="B102">
        <v>100</v>
      </c>
    </row>
    <row r="103" spans="1:2" x14ac:dyDescent="0.35">
      <c r="A103" s="14" t="s">
        <v>1</v>
      </c>
      <c r="B103">
        <v>100</v>
      </c>
    </row>
    <row r="104" spans="1:2" x14ac:dyDescent="0.35">
      <c r="A104" s="14" t="s">
        <v>2</v>
      </c>
      <c r="B104">
        <v>210</v>
      </c>
    </row>
    <row r="105" spans="1:2" x14ac:dyDescent="0.35">
      <c r="A105" s="14" t="s">
        <v>3</v>
      </c>
      <c r="B105">
        <v>100</v>
      </c>
    </row>
    <row r="106" spans="1:2" x14ac:dyDescent="0.35">
      <c r="A106" s="14" t="s">
        <v>5</v>
      </c>
      <c r="B106">
        <v>100</v>
      </c>
    </row>
    <row r="107" spans="1:2" x14ac:dyDescent="0.35">
      <c r="A107" s="14" t="s">
        <v>428</v>
      </c>
      <c r="B107">
        <v>100</v>
      </c>
    </row>
    <row r="108" spans="1:2" x14ac:dyDescent="0.35">
      <c r="A108" s="14" t="s">
        <v>6</v>
      </c>
      <c r="B108">
        <v>100</v>
      </c>
    </row>
    <row r="109" spans="1:2" x14ac:dyDescent="0.35">
      <c r="A109" s="14" t="s">
        <v>7</v>
      </c>
      <c r="B109">
        <v>100</v>
      </c>
    </row>
    <row r="110" spans="1:2" x14ac:dyDescent="0.35">
      <c r="A110" s="2" t="s">
        <v>52</v>
      </c>
      <c r="B110">
        <v>787</v>
      </c>
    </row>
    <row r="111" spans="1:2" x14ac:dyDescent="0.35">
      <c r="A111" s="13" t="s">
        <v>53</v>
      </c>
      <c r="B111">
        <v>787</v>
      </c>
    </row>
    <row r="112" spans="1:2" x14ac:dyDescent="0.35">
      <c r="A112" s="14" t="s">
        <v>2</v>
      </c>
      <c r="B112">
        <v>475</v>
      </c>
    </row>
    <row r="113" spans="1:2" x14ac:dyDescent="0.35">
      <c r="A113" s="14" t="s">
        <v>3</v>
      </c>
      <c r="B113">
        <v>185</v>
      </c>
    </row>
    <row r="114" spans="1:2" x14ac:dyDescent="0.35">
      <c r="A114" s="14" t="s">
        <v>4</v>
      </c>
      <c r="B114">
        <v>50</v>
      </c>
    </row>
    <row r="115" spans="1:2" x14ac:dyDescent="0.35">
      <c r="A115" s="14" t="s">
        <v>5</v>
      </c>
      <c r="B115">
        <v>2</v>
      </c>
    </row>
    <row r="116" spans="1:2" x14ac:dyDescent="0.35">
      <c r="A116" s="14" t="s">
        <v>428</v>
      </c>
      <c r="B116">
        <v>75</v>
      </c>
    </row>
    <row r="117" spans="1:2" x14ac:dyDescent="0.35">
      <c r="A117" s="2" t="s">
        <v>411</v>
      </c>
      <c r="B117">
        <v>450</v>
      </c>
    </row>
    <row r="118" spans="1:2" x14ac:dyDescent="0.35">
      <c r="A118" s="13" t="s">
        <v>412</v>
      </c>
      <c r="B118">
        <v>450</v>
      </c>
    </row>
    <row r="119" spans="1:2" x14ac:dyDescent="0.35">
      <c r="A119" s="14" t="s">
        <v>3</v>
      </c>
      <c r="B119">
        <v>450</v>
      </c>
    </row>
    <row r="120" spans="1:2" x14ac:dyDescent="0.35">
      <c r="A120" s="2" t="s">
        <v>144</v>
      </c>
      <c r="B120">
        <v>384</v>
      </c>
    </row>
    <row r="121" spans="1:2" x14ac:dyDescent="0.35">
      <c r="A121" s="13" t="s">
        <v>55</v>
      </c>
      <c r="B121">
        <v>384</v>
      </c>
    </row>
    <row r="122" spans="1:2" x14ac:dyDescent="0.35">
      <c r="A122" s="14" t="s">
        <v>0</v>
      </c>
      <c r="B122">
        <v>13</v>
      </c>
    </row>
    <row r="123" spans="1:2" x14ac:dyDescent="0.35">
      <c r="A123" s="14" t="s">
        <v>1</v>
      </c>
      <c r="B123">
        <v>2</v>
      </c>
    </row>
    <row r="124" spans="1:2" x14ac:dyDescent="0.35">
      <c r="A124" s="14" t="s">
        <v>5</v>
      </c>
      <c r="B124">
        <v>137</v>
      </c>
    </row>
    <row r="125" spans="1:2" x14ac:dyDescent="0.35">
      <c r="A125" s="14" t="s">
        <v>428</v>
      </c>
      <c r="B125">
        <v>232</v>
      </c>
    </row>
    <row r="126" spans="1:2" x14ac:dyDescent="0.35">
      <c r="A126" s="2" t="s">
        <v>218</v>
      </c>
      <c r="B126">
        <v>375</v>
      </c>
    </row>
    <row r="127" spans="1:2" x14ac:dyDescent="0.35">
      <c r="A127" s="13" t="s">
        <v>219</v>
      </c>
      <c r="B127">
        <v>375</v>
      </c>
    </row>
    <row r="128" spans="1:2" x14ac:dyDescent="0.35">
      <c r="A128" s="14" t="s">
        <v>0</v>
      </c>
      <c r="B128">
        <v>174</v>
      </c>
    </row>
    <row r="129" spans="1:2" x14ac:dyDescent="0.35">
      <c r="A129" s="14" t="s">
        <v>1</v>
      </c>
      <c r="B129">
        <v>52</v>
      </c>
    </row>
    <row r="130" spans="1:2" x14ac:dyDescent="0.35">
      <c r="A130" s="14" t="s">
        <v>4</v>
      </c>
      <c r="B130">
        <v>105</v>
      </c>
    </row>
    <row r="131" spans="1:2" x14ac:dyDescent="0.35">
      <c r="A131" s="14" t="s">
        <v>6</v>
      </c>
      <c r="B131">
        <v>44</v>
      </c>
    </row>
    <row r="132" spans="1:2" x14ac:dyDescent="0.35">
      <c r="A132" s="2" t="s">
        <v>199</v>
      </c>
      <c r="B132">
        <v>358</v>
      </c>
    </row>
    <row r="133" spans="1:2" x14ac:dyDescent="0.35">
      <c r="A133" s="13" t="s">
        <v>200</v>
      </c>
      <c r="B133">
        <v>358</v>
      </c>
    </row>
    <row r="134" spans="1:2" x14ac:dyDescent="0.35">
      <c r="A134" s="14" t="s">
        <v>0</v>
      </c>
      <c r="B134">
        <v>1</v>
      </c>
    </row>
    <row r="135" spans="1:2" x14ac:dyDescent="0.35">
      <c r="A135" s="14" t="s">
        <v>1</v>
      </c>
      <c r="B135">
        <v>70</v>
      </c>
    </row>
    <row r="136" spans="1:2" x14ac:dyDescent="0.35">
      <c r="A136" s="14" t="s">
        <v>2</v>
      </c>
      <c r="B136">
        <v>2</v>
      </c>
    </row>
    <row r="137" spans="1:2" x14ac:dyDescent="0.35">
      <c r="A137" s="14" t="s">
        <v>428</v>
      </c>
      <c r="B137">
        <v>284</v>
      </c>
    </row>
    <row r="138" spans="1:2" x14ac:dyDescent="0.35">
      <c r="A138" s="14" t="s">
        <v>6</v>
      </c>
      <c r="B138">
        <v>1</v>
      </c>
    </row>
    <row r="139" spans="1:2" x14ac:dyDescent="0.35">
      <c r="A139" s="2" t="s">
        <v>409</v>
      </c>
      <c r="B139">
        <v>355</v>
      </c>
    </row>
    <row r="140" spans="1:2" x14ac:dyDescent="0.35">
      <c r="A140" s="13" t="s">
        <v>410</v>
      </c>
      <c r="B140">
        <v>355</v>
      </c>
    </row>
    <row r="141" spans="1:2" x14ac:dyDescent="0.35">
      <c r="A141" s="14" t="s">
        <v>3</v>
      </c>
      <c r="B141">
        <v>355</v>
      </c>
    </row>
    <row r="142" spans="1:2" x14ac:dyDescent="0.35">
      <c r="A142" s="2" t="s">
        <v>62</v>
      </c>
      <c r="B142">
        <v>353</v>
      </c>
    </row>
    <row r="143" spans="1:2" x14ac:dyDescent="0.35">
      <c r="A143" s="13" t="s">
        <v>19</v>
      </c>
      <c r="B143">
        <v>353</v>
      </c>
    </row>
    <row r="144" spans="1:2" x14ac:dyDescent="0.35">
      <c r="A144" s="14" t="s">
        <v>3</v>
      </c>
      <c r="B144">
        <v>345</v>
      </c>
    </row>
    <row r="145" spans="1:2" x14ac:dyDescent="0.35">
      <c r="A145" s="14" t="s">
        <v>428</v>
      </c>
      <c r="B145">
        <v>8</v>
      </c>
    </row>
    <row r="146" spans="1:2" x14ac:dyDescent="0.35">
      <c r="A146" s="2" t="s">
        <v>150</v>
      </c>
      <c r="B146">
        <v>330</v>
      </c>
    </row>
    <row r="147" spans="1:2" x14ac:dyDescent="0.35">
      <c r="A147" s="13" t="s">
        <v>151</v>
      </c>
      <c r="B147">
        <v>330</v>
      </c>
    </row>
    <row r="148" spans="1:2" x14ac:dyDescent="0.35">
      <c r="A148" s="14" t="s">
        <v>6</v>
      </c>
      <c r="B148">
        <v>330</v>
      </c>
    </row>
    <row r="149" spans="1:2" x14ac:dyDescent="0.35">
      <c r="A149" s="2" t="s">
        <v>45</v>
      </c>
      <c r="B149">
        <v>296</v>
      </c>
    </row>
    <row r="150" spans="1:2" x14ac:dyDescent="0.35">
      <c r="A150" s="13" t="s">
        <v>46</v>
      </c>
      <c r="B150">
        <v>296</v>
      </c>
    </row>
    <row r="151" spans="1:2" x14ac:dyDescent="0.35">
      <c r="A151" s="14" t="s">
        <v>2</v>
      </c>
      <c r="B151">
        <v>168</v>
      </c>
    </row>
    <row r="152" spans="1:2" x14ac:dyDescent="0.35">
      <c r="A152" s="14" t="s">
        <v>3</v>
      </c>
      <c r="B152">
        <v>113</v>
      </c>
    </row>
    <row r="153" spans="1:2" x14ac:dyDescent="0.35">
      <c r="A153" s="14" t="s">
        <v>4</v>
      </c>
      <c r="B153">
        <v>10</v>
      </c>
    </row>
    <row r="154" spans="1:2" x14ac:dyDescent="0.35">
      <c r="A154" s="14" t="s">
        <v>5</v>
      </c>
      <c r="B154">
        <v>4</v>
      </c>
    </row>
    <row r="155" spans="1:2" x14ac:dyDescent="0.35">
      <c r="A155" s="14" t="s">
        <v>428</v>
      </c>
      <c r="B155">
        <v>1</v>
      </c>
    </row>
    <row r="156" spans="1:2" x14ac:dyDescent="0.35">
      <c r="A156" s="2" t="s">
        <v>142</v>
      </c>
      <c r="B156">
        <v>292</v>
      </c>
    </row>
    <row r="157" spans="1:2" x14ac:dyDescent="0.35">
      <c r="A157" s="13" t="s">
        <v>143</v>
      </c>
      <c r="B157">
        <v>292</v>
      </c>
    </row>
    <row r="158" spans="1:2" x14ac:dyDescent="0.35">
      <c r="A158" s="14" t="s">
        <v>5</v>
      </c>
      <c r="B158">
        <v>105</v>
      </c>
    </row>
    <row r="159" spans="1:2" x14ac:dyDescent="0.35">
      <c r="A159" s="14" t="s">
        <v>428</v>
      </c>
      <c r="B159">
        <v>187</v>
      </c>
    </row>
    <row r="160" spans="1:2" x14ac:dyDescent="0.35">
      <c r="A160" s="2" t="s">
        <v>184</v>
      </c>
      <c r="B160">
        <v>273</v>
      </c>
    </row>
    <row r="161" spans="1:2" x14ac:dyDescent="0.35">
      <c r="A161" s="13" t="s">
        <v>185</v>
      </c>
      <c r="B161">
        <v>273</v>
      </c>
    </row>
    <row r="162" spans="1:2" x14ac:dyDescent="0.35">
      <c r="A162" s="14" t="s">
        <v>0</v>
      </c>
      <c r="B162">
        <v>110</v>
      </c>
    </row>
    <row r="163" spans="1:2" x14ac:dyDescent="0.35">
      <c r="A163" s="14" t="s">
        <v>1</v>
      </c>
      <c r="B163">
        <v>4</v>
      </c>
    </row>
    <row r="164" spans="1:2" x14ac:dyDescent="0.35">
      <c r="A164" s="14" t="s">
        <v>2</v>
      </c>
      <c r="B164">
        <v>50</v>
      </c>
    </row>
    <row r="165" spans="1:2" x14ac:dyDescent="0.35">
      <c r="A165" s="14" t="s">
        <v>428</v>
      </c>
      <c r="B165">
        <v>106</v>
      </c>
    </row>
    <row r="166" spans="1:2" x14ac:dyDescent="0.35">
      <c r="A166" s="14" t="s">
        <v>7</v>
      </c>
      <c r="B166">
        <v>3</v>
      </c>
    </row>
    <row r="167" spans="1:2" x14ac:dyDescent="0.35">
      <c r="A167" s="2" t="s">
        <v>436</v>
      </c>
      <c r="B167">
        <v>187</v>
      </c>
    </row>
    <row r="168" spans="1:2" x14ac:dyDescent="0.35">
      <c r="A168" s="13" t="s">
        <v>143</v>
      </c>
      <c r="B168">
        <v>187</v>
      </c>
    </row>
    <row r="169" spans="1:2" x14ac:dyDescent="0.35">
      <c r="A169" s="14" t="s">
        <v>428</v>
      </c>
      <c r="B169">
        <v>187</v>
      </c>
    </row>
    <row r="170" spans="1:2" x14ac:dyDescent="0.35">
      <c r="A170" s="2" t="s">
        <v>205</v>
      </c>
      <c r="B170">
        <v>181</v>
      </c>
    </row>
    <row r="171" spans="1:2" x14ac:dyDescent="0.35">
      <c r="A171" s="13" t="s">
        <v>206</v>
      </c>
      <c r="B171">
        <v>181</v>
      </c>
    </row>
    <row r="172" spans="1:2" x14ac:dyDescent="0.35">
      <c r="A172" s="14" t="s">
        <v>0</v>
      </c>
      <c r="B172">
        <v>163</v>
      </c>
    </row>
    <row r="173" spans="1:2" x14ac:dyDescent="0.35">
      <c r="A173" s="14" t="s">
        <v>1</v>
      </c>
      <c r="B173">
        <v>2</v>
      </c>
    </row>
    <row r="174" spans="1:2" x14ac:dyDescent="0.35">
      <c r="A174" s="14" t="s">
        <v>428</v>
      </c>
      <c r="B174">
        <v>16</v>
      </c>
    </row>
    <row r="175" spans="1:2" x14ac:dyDescent="0.35">
      <c r="A175" s="2" t="s">
        <v>138</v>
      </c>
      <c r="B175">
        <v>174</v>
      </c>
    </row>
    <row r="176" spans="1:2" x14ac:dyDescent="0.35">
      <c r="A176" s="13" t="s">
        <v>53</v>
      </c>
      <c r="B176">
        <v>174</v>
      </c>
    </row>
    <row r="177" spans="1:2" x14ac:dyDescent="0.35">
      <c r="A177" s="14" t="s">
        <v>0</v>
      </c>
      <c r="B177">
        <v>90</v>
      </c>
    </row>
    <row r="178" spans="1:2" x14ac:dyDescent="0.35">
      <c r="A178" s="14" t="s">
        <v>5</v>
      </c>
      <c r="B178">
        <v>13</v>
      </c>
    </row>
    <row r="179" spans="1:2" x14ac:dyDescent="0.35">
      <c r="A179" s="14" t="s">
        <v>428</v>
      </c>
      <c r="B179">
        <v>11</v>
      </c>
    </row>
    <row r="180" spans="1:2" x14ac:dyDescent="0.35">
      <c r="A180" s="14" t="s">
        <v>7</v>
      </c>
      <c r="B180">
        <v>60</v>
      </c>
    </row>
    <row r="181" spans="1:2" x14ac:dyDescent="0.35">
      <c r="A181" s="2" t="s">
        <v>145</v>
      </c>
      <c r="B181">
        <v>162</v>
      </c>
    </row>
    <row r="182" spans="1:2" x14ac:dyDescent="0.35">
      <c r="A182" s="13" t="s">
        <v>146</v>
      </c>
      <c r="B182">
        <v>162</v>
      </c>
    </row>
    <row r="183" spans="1:2" x14ac:dyDescent="0.35">
      <c r="A183" s="14" t="s">
        <v>5</v>
      </c>
      <c r="B183">
        <v>1</v>
      </c>
    </row>
    <row r="184" spans="1:2" x14ac:dyDescent="0.35">
      <c r="A184" s="14" t="s">
        <v>428</v>
      </c>
      <c r="B184">
        <v>161</v>
      </c>
    </row>
    <row r="185" spans="1:2" x14ac:dyDescent="0.35">
      <c r="A185" s="2" t="s">
        <v>239</v>
      </c>
      <c r="B185">
        <v>161</v>
      </c>
    </row>
    <row r="186" spans="1:2" x14ac:dyDescent="0.35">
      <c r="A186" s="13" t="s">
        <v>240</v>
      </c>
      <c r="B186">
        <v>161</v>
      </c>
    </row>
    <row r="187" spans="1:2" x14ac:dyDescent="0.35">
      <c r="A187" s="14" t="s">
        <v>2</v>
      </c>
      <c r="B187">
        <v>38</v>
      </c>
    </row>
    <row r="188" spans="1:2" x14ac:dyDescent="0.35">
      <c r="A188" s="14" t="s">
        <v>428</v>
      </c>
      <c r="B188">
        <v>100</v>
      </c>
    </row>
    <row r="189" spans="1:2" x14ac:dyDescent="0.35">
      <c r="A189" s="14" t="s">
        <v>6</v>
      </c>
      <c r="B189">
        <v>23</v>
      </c>
    </row>
    <row r="190" spans="1:2" x14ac:dyDescent="0.35">
      <c r="A190" s="2" t="s">
        <v>254</v>
      </c>
      <c r="B190">
        <v>160</v>
      </c>
    </row>
    <row r="191" spans="1:2" x14ac:dyDescent="0.35">
      <c r="A191" s="13" t="s">
        <v>255</v>
      </c>
      <c r="B191">
        <v>160</v>
      </c>
    </row>
    <row r="192" spans="1:2" x14ac:dyDescent="0.35">
      <c r="A192" s="14" t="s">
        <v>428</v>
      </c>
      <c r="B192">
        <v>150</v>
      </c>
    </row>
    <row r="193" spans="1:2" x14ac:dyDescent="0.35">
      <c r="A193" s="14" t="s">
        <v>7</v>
      </c>
      <c r="B193">
        <v>10</v>
      </c>
    </row>
    <row r="194" spans="1:2" x14ac:dyDescent="0.35">
      <c r="A194" s="2" t="s">
        <v>570</v>
      </c>
      <c r="B194">
        <v>150</v>
      </c>
    </row>
    <row r="195" spans="1:2" x14ac:dyDescent="0.35">
      <c r="A195" s="13" t="s">
        <v>571</v>
      </c>
      <c r="B195">
        <v>150</v>
      </c>
    </row>
    <row r="196" spans="1:2" x14ac:dyDescent="0.35">
      <c r="A196" s="14" t="s">
        <v>3</v>
      </c>
      <c r="B196">
        <v>150</v>
      </c>
    </row>
    <row r="197" spans="1:2" x14ac:dyDescent="0.35">
      <c r="A197" s="2" t="s">
        <v>95</v>
      </c>
      <c r="B197">
        <v>148</v>
      </c>
    </row>
    <row r="198" spans="1:2" x14ac:dyDescent="0.35">
      <c r="A198" s="13" t="s">
        <v>96</v>
      </c>
      <c r="B198">
        <v>148</v>
      </c>
    </row>
    <row r="199" spans="1:2" x14ac:dyDescent="0.35">
      <c r="A199" s="14" t="s">
        <v>2</v>
      </c>
      <c r="B199">
        <v>24</v>
      </c>
    </row>
    <row r="200" spans="1:2" x14ac:dyDescent="0.35">
      <c r="A200" s="14" t="s">
        <v>3</v>
      </c>
      <c r="B200">
        <v>111</v>
      </c>
    </row>
    <row r="201" spans="1:2" x14ac:dyDescent="0.35">
      <c r="A201" s="14" t="s">
        <v>4</v>
      </c>
      <c r="B201">
        <v>8</v>
      </c>
    </row>
    <row r="202" spans="1:2" x14ac:dyDescent="0.35">
      <c r="A202" s="14" t="s">
        <v>428</v>
      </c>
      <c r="B202">
        <v>5</v>
      </c>
    </row>
    <row r="203" spans="1:2" x14ac:dyDescent="0.35">
      <c r="A203" s="2" t="s">
        <v>137</v>
      </c>
      <c r="B203">
        <v>133</v>
      </c>
    </row>
    <row r="204" spans="1:2" x14ac:dyDescent="0.35">
      <c r="A204" s="13" t="s">
        <v>51</v>
      </c>
      <c r="B204">
        <v>133</v>
      </c>
    </row>
    <row r="205" spans="1:2" x14ac:dyDescent="0.35">
      <c r="A205" s="14" t="s">
        <v>0</v>
      </c>
      <c r="B205">
        <v>3</v>
      </c>
    </row>
    <row r="206" spans="1:2" x14ac:dyDescent="0.35">
      <c r="A206" s="14" t="s">
        <v>1</v>
      </c>
      <c r="B206">
        <v>83</v>
      </c>
    </row>
    <row r="207" spans="1:2" x14ac:dyDescent="0.35">
      <c r="A207" s="14" t="s">
        <v>5</v>
      </c>
      <c r="B207">
        <v>21</v>
      </c>
    </row>
    <row r="208" spans="1:2" x14ac:dyDescent="0.35">
      <c r="A208" s="14" t="s">
        <v>428</v>
      </c>
      <c r="B208">
        <v>2</v>
      </c>
    </row>
    <row r="209" spans="1:2" x14ac:dyDescent="0.35">
      <c r="A209" s="14" t="s">
        <v>6</v>
      </c>
      <c r="B209">
        <v>24</v>
      </c>
    </row>
    <row r="210" spans="1:2" x14ac:dyDescent="0.35">
      <c r="A210" s="2" t="s">
        <v>141</v>
      </c>
      <c r="B210">
        <v>111</v>
      </c>
    </row>
    <row r="211" spans="1:2" x14ac:dyDescent="0.35">
      <c r="A211" s="13" t="s">
        <v>54</v>
      </c>
      <c r="B211">
        <v>111</v>
      </c>
    </row>
    <row r="212" spans="1:2" x14ac:dyDescent="0.35">
      <c r="A212" s="14" t="s">
        <v>0</v>
      </c>
      <c r="B212">
        <v>5</v>
      </c>
    </row>
    <row r="213" spans="1:2" x14ac:dyDescent="0.35">
      <c r="A213" s="14" t="s">
        <v>5</v>
      </c>
      <c r="B213">
        <v>68</v>
      </c>
    </row>
    <row r="214" spans="1:2" x14ac:dyDescent="0.35">
      <c r="A214" s="14" t="s">
        <v>428</v>
      </c>
      <c r="B214">
        <v>12</v>
      </c>
    </row>
    <row r="215" spans="1:2" x14ac:dyDescent="0.35">
      <c r="A215" s="14" t="s">
        <v>6</v>
      </c>
      <c r="B215">
        <v>26</v>
      </c>
    </row>
    <row r="216" spans="1:2" x14ac:dyDescent="0.35">
      <c r="A216" s="2" t="s">
        <v>163</v>
      </c>
      <c r="B216">
        <v>105</v>
      </c>
    </row>
    <row r="217" spans="1:2" x14ac:dyDescent="0.35">
      <c r="A217" s="13" t="s">
        <v>164</v>
      </c>
      <c r="B217">
        <v>105</v>
      </c>
    </row>
    <row r="218" spans="1:2" x14ac:dyDescent="0.35">
      <c r="A218" s="14" t="s">
        <v>604</v>
      </c>
      <c r="B218">
        <v>105</v>
      </c>
    </row>
    <row r="219" spans="1:2" x14ac:dyDescent="0.35">
      <c r="A219" s="2" t="s">
        <v>159</v>
      </c>
      <c r="B219">
        <v>105</v>
      </c>
    </row>
    <row r="220" spans="1:2" x14ac:dyDescent="0.35">
      <c r="A220" s="13" t="s">
        <v>160</v>
      </c>
      <c r="B220">
        <v>105</v>
      </c>
    </row>
    <row r="221" spans="1:2" x14ac:dyDescent="0.35">
      <c r="A221" s="14" t="s">
        <v>604</v>
      </c>
      <c r="B221">
        <v>105</v>
      </c>
    </row>
    <row r="222" spans="1:2" x14ac:dyDescent="0.35">
      <c r="A222" s="2" t="s">
        <v>231</v>
      </c>
      <c r="B222">
        <v>104</v>
      </c>
    </row>
    <row r="223" spans="1:2" x14ac:dyDescent="0.35">
      <c r="A223" s="13" t="s">
        <v>232</v>
      </c>
      <c r="B223">
        <v>104</v>
      </c>
    </row>
    <row r="224" spans="1:2" x14ac:dyDescent="0.35">
      <c r="A224" s="14" t="s">
        <v>1</v>
      </c>
      <c r="B224">
        <v>1</v>
      </c>
    </row>
    <row r="225" spans="1:2" x14ac:dyDescent="0.35">
      <c r="A225" s="14" t="s">
        <v>2</v>
      </c>
      <c r="B225">
        <v>6</v>
      </c>
    </row>
    <row r="226" spans="1:2" x14ac:dyDescent="0.35">
      <c r="A226" s="14" t="s">
        <v>5</v>
      </c>
      <c r="B226">
        <v>50</v>
      </c>
    </row>
    <row r="227" spans="1:2" x14ac:dyDescent="0.35">
      <c r="A227" s="14" t="s">
        <v>428</v>
      </c>
      <c r="B227">
        <v>1</v>
      </c>
    </row>
    <row r="228" spans="1:2" x14ac:dyDescent="0.35">
      <c r="A228" s="14" t="s">
        <v>7</v>
      </c>
      <c r="B228">
        <v>46</v>
      </c>
    </row>
    <row r="229" spans="1:2" x14ac:dyDescent="0.35">
      <c r="A229" s="2" t="s">
        <v>106</v>
      </c>
      <c r="B229">
        <v>100</v>
      </c>
    </row>
    <row r="230" spans="1:2" x14ac:dyDescent="0.35">
      <c r="A230" s="13" t="s">
        <v>107</v>
      </c>
      <c r="B230">
        <v>100</v>
      </c>
    </row>
    <row r="231" spans="1:2" x14ac:dyDescent="0.35">
      <c r="A231" s="14" t="s">
        <v>2</v>
      </c>
      <c r="B231">
        <v>100</v>
      </c>
    </row>
    <row r="232" spans="1:2" x14ac:dyDescent="0.35">
      <c r="A232" s="2" t="s">
        <v>127</v>
      </c>
      <c r="B232">
        <v>95</v>
      </c>
    </row>
    <row r="233" spans="1:2" x14ac:dyDescent="0.35">
      <c r="A233" s="13" t="s">
        <v>96</v>
      </c>
      <c r="B233">
        <v>95</v>
      </c>
    </row>
    <row r="234" spans="1:2" x14ac:dyDescent="0.35">
      <c r="A234" s="14" t="s">
        <v>4</v>
      </c>
      <c r="B234">
        <v>14</v>
      </c>
    </row>
    <row r="235" spans="1:2" x14ac:dyDescent="0.35">
      <c r="A235" s="14" t="s">
        <v>5</v>
      </c>
      <c r="B235">
        <v>7</v>
      </c>
    </row>
    <row r="236" spans="1:2" x14ac:dyDescent="0.35">
      <c r="A236" s="14" t="s">
        <v>428</v>
      </c>
      <c r="B236">
        <v>74</v>
      </c>
    </row>
    <row r="237" spans="1:2" x14ac:dyDescent="0.35">
      <c r="A237" s="2" t="s">
        <v>301</v>
      </c>
      <c r="B237">
        <v>93</v>
      </c>
    </row>
    <row r="238" spans="1:2" x14ac:dyDescent="0.35">
      <c r="A238" s="13" t="s">
        <v>302</v>
      </c>
      <c r="B238">
        <v>93</v>
      </c>
    </row>
    <row r="239" spans="1:2" x14ac:dyDescent="0.35">
      <c r="A239" s="14" t="s">
        <v>603</v>
      </c>
      <c r="B239">
        <v>93</v>
      </c>
    </row>
    <row r="240" spans="1:2" x14ac:dyDescent="0.35">
      <c r="A240" s="2" t="s">
        <v>299</v>
      </c>
      <c r="B240">
        <v>93</v>
      </c>
    </row>
    <row r="241" spans="1:2" x14ac:dyDescent="0.35">
      <c r="A241" s="13" t="s">
        <v>300</v>
      </c>
      <c r="B241">
        <v>93</v>
      </c>
    </row>
    <row r="242" spans="1:2" x14ac:dyDescent="0.35">
      <c r="A242" s="14" t="s">
        <v>603</v>
      </c>
      <c r="B242">
        <v>93</v>
      </c>
    </row>
    <row r="243" spans="1:2" x14ac:dyDescent="0.35">
      <c r="A243" s="2" t="s">
        <v>89</v>
      </c>
      <c r="B243">
        <v>92</v>
      </c>
    </row>
    <row r="244" spans="1:2" x14ac:dyDescent="0.35">
      <c r="A244" s="13" t="s">
        <v>90</v>
      </c>
      <c r="B244">
        <v>92</v>
      </c>
    </row>
    <row r="245" spans="1:2" x14ac:dyDescent="0.35">
      <c r="A245" s="14" t="s">
        <v>2</v>
      </c>
      <c r="B245">
        <v>92</v>
      </c>
    </row>
    <row r="246" spans="1:2" x14ac:dyDescent="0.35">
      <c r="A246" s="2" t="s">
        <v>361</v>
      </c>
      <c r="B246">
        <v>84</v>
      </c>
    </row>
    <row r="247" spans="1:2" x14ac:dyDescent="0.35">
      <c r="A247" s="13" t="s">
        <v>362</v>
      </c>
      <c r="B247">
        <v>84</v>
      </c>
    </row>
    <row r="248" spans="1:2" x14ac:dyDescent="0.35">
      <c r="A248" s="14" t="s">
        <v>603</v>
      </c>
      <c r="B248">
        <v>84</v>
      </c>
    </row>
    <row r="249" spans="1:2" x14ac:dyDescent="0.35">
      <c r="A249" s="2" t="s">
        <v>452</v>
      </c>
      <c r="B249">
        <v>84</v>
      </c>
    </row>
    <row r="250" spans="1:2" x14ac:dyDescent="0.35">
      <c r="A250" s="13" t="s">
        <v>453</v>
      </c>
      <c r="B250">
        <v>84</v>
      </c>
    </row>
    <row r="251" spans="1:2" x14ac:dyDescent="0.35">
      <c r="A251" s="14" t="s">
        <v>0</v>
      </c>
      <c r="B251">
        <v>84</v>
      </c>
    </row>
    <row r="252" spans="1:2" x14ac:dyDescent="0.35">
      <c r="A252" s="2" t="s">
        <v>190</v>
      </c>
      <c r="B252">
        <v>79</v>
      </c>
    </row>
    <row r="253" spans="1:2" x14ac:dyDescent="0.35">
      <c r="A253" s="13" t="s">
        <v>191</v>
      </c>
      <c r="B253">
        <v>79</v>
      </c>
    </row>
    <row r="254" spans="1:2" x14ac:dyDescent="0.35">
      <c r="A254" s="14" t="s">
        <v>0</v>
      </c>
      <c r="B254">
        <v>14</v>
      </c>
    </row>
    <row r="255" spans="1:2" x14ac:dyDescent="0.35">
      <c r="A255" s="14" t="s">
        <v>2</v>
      </c>
      <c r="B255">
        <v>12</v>
      </c>
    </row>
    <row r="256" spans="1:2" x14ac:dyDescent="0.35">
      <c r="A256" s="14" t="s">
        <v>5</v>
      </c>
      <c r="B256">
        <v>24</v>
      </c>
    </row>
    <row r="257" spans="1:2" x14ac:dyDescent="0.35">
      <c r="A257" s="14" t="s">
        <v>7</v>
      </c>
      <c r="B257">
        <v>29</v>
      </c>
    </row>
    <row r="258" spans="1:2" x14ac:dyDescent="0.35">
      <c r="A258" s="2" t="s">
        <v>39</v>
      </c>
      <c r="B258">
        <v>72</v>
      </c>
    </row>
    <row r="259" spans="1:2" x14ac:dyDescent="0.35">
      <c r="A259" s="13" t="s">
        <v>40</v>
      </c>
      <c r="B259">
        <v>72</v>
      </c>
    </row>
    <row r="260" spans="1:2" x14ac:dyDescent="0.35">
      <c r="A260" s="14" t="s">
        <v>2</v>
      </c>
      <c r="B260">
        <v>22</v>
      </c>
    </row>
    <row r="261" spans="1:2" x14ac:dyDescent="0.35">
      <c r="A261" s="14" t="s">
        <v>3</v>
      </c>
      <c r="B261">
        <v>11</v>
      </c>
    </row>
    <row r="262" spans="1:2" x14ac:dyDescent="0.35">
      <c r="A262" s="14" t="s">
        <v>5</v>
      </c>
      <c r="B262">
        <v>7</v>
      </c>
    </row>
    <row r="263" spans="1:2" x14ac:dyDescent="0.35">
      <c r="A263" s="14" t="s">
        <v>428</v>
      </c>
      <c r="B263">
        <v>11</v>
      </c>
    </row>
    <row r="264" spans="1:2" x14ac:dyDescent="0.35">
      <c r="A264" s="14" t="s">
        <v>7</v>
      </c>
      <c r="B264">
        <v>21</v>
      </c>
    </row>
    <row r="265" spans="1:2" x14ac:dyDescent="0.35">
      <c r="A265" s="2" t="s">
        <v>169</v>
      </c>
      <c r="B265">
        <v>70</v>
      </c>
    </row>
    <row r="266" spans="1:2" x14ac:dyDescent="0.35">
      <c r="A266" s="13" t="s">
        <v>170</v>
      </c>
      <c r="B266">
        <v>70</v>
      </c>
    </row>
    <row r="267" spans="1:2" x14ac:dyDescent="0.35">
      <c r="A267" s="14" t="s">
        <v>604</v>
      </c>
      <c r="B267">
        <v>70</v>
      </c>
    </row>
    <row r="268" spans="1:2" x14ac:dyDescent="0.35">
      <c r="A268" s="2" t="s">
        <v>167</v>
      </c>
      <c r="B268">
        <v>70</v>
      </c>
    </row>
    <row r="269" spans="1:2" x14ac:dyDescent="0.35">
      <c r="A269" s="13" t="s">
        <v>168</v>
      </c>
      <c r="B269">
        <v>70</v>
      </c>
    </row>
    <row r="270" spans="1:2" x14ac:dyDescent="0.35">
      <c r="A270" s="14" t="s">
        <v>604</v>
      </c>
      <c r="B270">
        <v>70</v>
      </c>
    </row>
    <row r="271" spans="1:2" x14ac:dyDescent="0.35">
      <c r="A271" s="2" t="s">
        <v>399</v>
      </c>
      <c r="B271">
        <v>70</v>
      </c>
    </row>
    <row r="272" spans="1:2" x14ac:dyDescent="0.35">
      <c r="A272" s="13" t="s">
        <v>400</v>
      </c>
      <c r="B272">
        <v>70</v>
      </c>
    </row>
    <row r="273" spans="1:2" x14ac:dyDescent="0.35">
      <c r="A273" s="14" t="s">
        <v>3</v>
      </c>
      <c r="B273">
        <v>70</v>
      </c>
    </row>
    <row r="274" spans="1:2" x14ac:dyDescent="0.35">
      <c r="A274" s="2" t="s">
        <v>196</v>
      </c>
      <c r="B274">
        <v>70</v>
      </c>
    </row>
    <row r="275" spans="1:2" x14ac:dyDescent="0.35">
      <c r="A275" s="13" t="s">
        <v>197</v>
      </c>
      <c r="B275">
        <v>70</v>
      </c>
    </row>
    <row r="276" spans="1:2" x14ac:dyDescent="0.35">
      <c r="A276" s="14" t="s">
        <v>0</v>
      </c>
      <c r="B276">
        <v>57</v>
      </c>
    </row>
    <row r="277" spans="1:2" x14ac:dyDescent="0.35">
      <c r="A277" s="14" t="s">
        <v>2</v>
      </c>
      <c r="B277">
        <v>4</v>
      </c>
    </row>
    <row r="278" spans="1:2" x14ac:dyDescent="0.35">
      <c r="A278" s="14" t="s">
        <v>3</v>
      </c>
      <c r="B278">
        <v>9</v>
      </c>
    </row>
    <row r="279" spans="1:2" x14ac:dyDescent="0.35">
      <c r="A279" s="2" t="s">
        <v>397</v>
      </c>
      <c r="B279">
        <v>68</v>
      </c>
    </row>
    <row r="280" spans="1:2" x14ac:dyDescent="0.35">
      <c r="A280" s="13" t="s">
        <v>398</v>
      </c>
      <c r="B280">
        <v>68</v>
      </c>
    </row>
    <row r="281" spans="1:2" x14ac:dyDescent="0.35">
      <c r="A281" s="14" t="s">
        <v>3</v>
      </c>
      <c r="B281">
        <v>68</v>
      </c>
    </row>
    <row r="282" spans="1:2" x14ac:dyDescent="0.35">
      <c r="A282" s="2" t="s">
        <v>283</v>
      </c>
      <c r="B282">
        <v>66</v>
      </c>
    </row>
    <row r="283" spans="1:2" x14ac:dyDescent="0.35">
      <c r="A283" s="13" t="s">
        <v>284</v>
      </c>
      <c r="B283">
        <v>66</v>
      </c>
    </row>
    <row r="284" spans="1:2" x14ac:dyDescent="0.35">
      <c r="A284" s="14" t="s">
        <v>603</v>
      </c>
      <c r="B284">
        <v>66</v>
      </c>
    </row>
    <row r="285" spans="1:2" x14ac:dyDescent="0.35">
      <c r="A285" s="2" t="s">
        <v>366</v>
      </c>
      <c r="B285">
        <v>58</v>
      </c>
    </row>
    <row r="286" spans="1:2" x14ac:dyDescent="0.35">
      <c r="A286" s="13" t="s">
        <v>367</v>
      </c>
      <c r="B286">
        <v>58</v>
      </c>
    </row>
    <row r="287" spans="1:2" x14ac:dyDescent="0.35">
      <c r="A287" s="14" t="s">
        <v>2</v>
      </c>
      <c r="B287">
        <v>58</v>
      </c>
    </row>
    <row r="288" spans="1:2" x14ac:dyDescent="0.35">
      <c r="A288" s="2" t="s">
        <v>554</v>
      </c>
      <c r="B288">
        <v>52</v>
      </c>
    </row>
    <row r="289" spans="1:2" x14ac:dyDescent="0.35">
      <c r="A289" s="13" t="s">
        <v>543</v>
      </c>
      <c r="B289">
        <v>52</v>
      </c>
    </row>
    <row r="290" spans="1:2" x14ac:dyDescent="0.35">
      <c r="A290" s="14" t="s">
        <v>3</v>
      </c>
      <c r="B290">
        <v>52</v>
      </c>
    </row>
    <row r="291" spans="1:2" x14ac:dyDescent="0.35">
      <c r="A291" s="2" t="s">
        <v>136</v>
      </c>
      <c r="B291">
        <v>45</v>
      </c>
    </row>
    <row r="292" spans="1:2" x14ac:dyDescent="0.35">
      <c r="A292" s="13" t="s">
        <v>46</v>
      </c>
      <c r="B292">
        <v>45</v>
      </c>
    </row>
    <row r="293" spans="1:2" x14ac:dyDescent="0.35">
      <c r="A293" s="14" t="s">
        <v>0</v>
      </c>
      <c r="B293">
        <v>24</v>
      </c>
    </row>
    <row r="294" spans="1:2" x14ac:dyDescent="0.35">
      <c r="A294" s="14" t="s">
        <v>5</v>
      </c>
      <c r="B294">
        <v>3</v>
      </c>
    </row>
    <row r="295" spans="1:2" x14ac:dyDescent="0.35">
      <c r="A295" s="14" t="s">
        <v>7</v>
      </c>
      <c r="B295">
        <v>18</v>
      </c>
    </row>
    <row r="296" spans="1:2" x14ac:dyDescent="0.35">
      <c r="A296" s="2" t="s">
        <v>47</v>
      </c>
      <c r="B296">
        <v>43</v>
      </c>
    </row>
    <row r="297" spans="1:2" x14ac:dyDescent="0.35">
      <c r="A297" s="13" t="s">
        <v>48</v>
      </c>
      <c r="B297">
        <v>43</v>
      </c>
    </row>
    <row r="298" spans="1:2" x14ac:dyDescent="0.35">
      <c r="A298" s="14" t="s">
        <v>2</v>
      </c>
      <c r="B298">
        <v>1</v>
      </c>
    </row>
    <row r="299" spans="1:2" x14ac:dyDescent="0.35">
      <c r="A299" s="14" t="s">
        <v>3</v>
      </c>
      <c r="B299">
        <v>27</v>
      </c>
    </row>
    <row r="300" spans="1:2" x14ac:dyDescent="0.35">
      <c r="A300" s="14" t="s">
        <v>5</v>
      </c>
      <c r="B300">
        <v>6</v>
      </c>
    </row>
    <row r="301" spans="1:2" x14ac:dyDescent="0.35">
      <c r="A301" s="14" t="s">
        <v>428</v>
      </c>
      <c r="B301">
        <v>9</v>
      </c>
    </row>
    <row r="302" spans="1:2" x14ac:dyDescent="0.35">
      <c r="A302" s="2" t="s">
        <v>419</v>
      </c>
      <c r="B302">
        <v>42</v>
      </c>
    </row>
    <row r="303" spans="1:2" x14ac:dyDescent="0.35">
      <c r="A303" s="13" t="s">
        <v>420</v>
      </c>
      <c r="B303">
        <v>42</v>
      </c>
    </row>
    <row r="304" spans="1:2" x14ac:dyDescent="0.35">
      <c r="A304" s="14" t="s">
        <v>3</v>
      </c>
      <c r="B304">
        <v>42</v>
      </c>
    </row>
    <row r="305" spans="1:2" x14ac:dyDescent="0.35">
      <c r="A305" s="2" t="s">
        <v>444</v>
      </c>
      <c r="B305">
        <v>42</v>
      </c>
    </row>
    <row r="306" spans="1:2" x14ac:dyDescent="0.35">
      <c r="A306" s="13" t="s">
        <v>55</v>
      </c>
      <c r="B306">
        <v>42</v>
      </c>
    </row>
    <row r="307" spans="1:2" x14ac:dyDescent="0.35">
      <c r="A307" s="14" t="s">
        <v>428</v>
      </c>
      <c r="B307">
        <v>42</v>
      </c>
    </row>
    <row r="308" spans="1:2" x14ac:dyDescent="0.35">
      <c r="A308" s="2" t="s">
        <v>372</v>
      </c>
      <c r="B308">
        <v>40</v>
      </c>
    </row>
    <row r="309" spans="1:2" x14ac:dyDescent="0.35">
      <c r="A309" s="13" t="s">
        <v>373</v>
      </c>
      <c r="B309">
        <v>40</v>
      </c>
    </row>
    <row r="310" spans="1:2" x14ac:dyDescent="0.35">
      <c r="A310" s="14" t="s">
        <v>2</v>
      </c>
      <c r="B310">
        <v>40</v>
      </c>
    </row>
    <row r="311" spans="1:2" x14ac:dyDescent="0.35">
      <c r="A311" s="2" t="s">
        <v>440</v>
      </c>
      <c r="B311">
        <v>36</v>
      </c>
    </row>
    <row r="312" spans="1:2" x14ac:dyDescent="0.35">
      <c r="A312" s="13" t="s">
        <v>441</v>
      </c>
      <c r="B312">
        <v>36</v>
      </c>
    </row>
    <row r="313" spans="1:2" x14ac:dyDescent="0.35">
      <c r="A313" s="14" t="s">
        <v>428</v>
      </c>
      <c r="B313">
        <v>36</v>
      </c>
    </row>
    <row r="314" spans="1:2" x14ac:dyDescent="0.35">
      <c r="A314" s="2" t="s">
        <v>423</v>
      </c>
      <c r="B314">
        <v>33</v>
      </c>
    </row>
    <row r="315" spans="1:2" x14ac:dyDescent="0.35">
      <c r="A315" s="13" t="s">
        <v>424</v>
      </c>
      <c r="B315">
        <v>33</v>
      </c>
    </row>
    <row r="316" spans="1:2" x14ac:dyDescent="0.35">
      <c r="A316" s="14" t="s">
        <v>3</v>
      </c>
      <c r="B316">
        <v>33</v>
      </c>
    </row>
    <row r="317" spans="1:2" x14ac:dyDescent="0.35">
      <c r="A317" s="2" t="s">
        <v>154</v>
      </c>
      <c r="B317">
        <v>32</v>
      </c>
    </row>
    <row r="318" spans="1:2" x14ac:dyDescent="0.35">
      <c r="A318" s="13" t="s">
        <v>40</v>
      </c>
      <c r="B318">
        <v>32</v>
      </c>
    </row>
    <row r="319" spans="1:2" x14ac:dyDescent="0.35">
      <c r="A319" s="14" t="s">
        <v>0</v>
      </c>
      <c r="B319">
        <v>19</v>
      </c>
    </row>
    <row r="320" spans="1:2" x14ac:dyDescent="0.35">
      <c r="A320" s="14" t="s">
        <v>7</v>
      </c>
      <c r="B320">
        <v>13</v>
      </c>
    </row>
    <row r="321" spans="1:2" x14ac:dyDescent="0.35">
      <c r="A321" s="2" t="s">
        <v>512</v>
      </c>
      <c r="B321">
        <v>30</v>
      </c>
    </row>
    <row r="322" spans="1:2" x14ac:dyDescent="0.35">
      <c r="A322" s="13" t="s">
        <v>513</v>
      </c>
      <c r="B322">
        <v>30</v>
      </c>
    </row>
    <row r="323" spans="1:2" x14ac:dyDescent="0.35">
      <c r="A323" s="14" t="s">
        <v>3</v>
      </c>
      <c r="B323">
        <v>30</v>
      </c>
    </row>
    <row r="324" spans="1:2" x14ac:dyDescent="0.35">
      <c r="A324" s="2" t="s">
        <v>516</v>
      </c>
      <c r="B324">
        <v>30</v>
      </c>
    </row>
    <row r="325" spans="1:2" x14ac:dyDescent="0.35">
      <c r="A325" s="13" t="s">
        <v>517</v>
      </c>
      <c r="B325">
        <v>30</v>
      </c>
    </row>
    <row r="326" spans="1:2" x14ac:dyDescent="0.35">
      <c r="A326" s="14" t="s">
        <v>3</v>
      </c>
      <c r="B326">
        <v>30</v>
      </c>
    </row>
    <row r="327" spans="1:2" x14ac:dyDescent="0.35">
      <c r="A327" s="2" t="s">
        <v>391</v>
      </c>
      <c r="B327">
        <v>25</v>
      </c>
    </row>
    <row r="328" spans="1:2" x14ac:dyDescent="0.35">
      <c r="A328" s="13" t="s">
        <v>392</v>
      </c>
      <c r="B328">
        <v>25</v>
      </c>
    </row>
    <row r="329" spans="1:2" x14ac:dyDescent="0.35">
      <c r="A329" s="14" t="s">
        <v>3</v>
      </c>
      <c r="B329">
        <v>25</v>
      </c>
    </row>
    <row r="330" spans="1:2" x14ac:dyDescent="0.35">
      <c r="A330" s="2" t="s">
        <v>56</v>
      </c>
      <c r="B330">
        <v>25</v>
      </c>
    </row>
    <row r="331" spans="1:2" x14ac:dyDescent="0.35">
      <c r="A331" s="13" t="s">
        <v>57</v>
      </c>
      <c r="B331">
        <v>25</v>
      </c>
    </row>
    <row r="332" spans="1:2" x14ac:dyDescent="0.35">
      <c r="A332" s="14" t="s">
        <v>3</v>
      </c>
      <c r="B332">
        <v>16</v>
      </c>
    </row>
    <row r="333" spans="1:2" x14ac:dyDescent="0.35">
      <c r="A333" s="14" t="s">
        <v>428</v>
      </c>
      <c r="B333">
        <v>9</v>
      </c>
    </row>
    <row r="334" spans="1:2" x14ac:dyDescent="0.35">
      <c r="A334" s="2" t="s">
        <v>119</v>
      </c>
      <c r="B334">
        <v>22</v>
      </c>
    </row>
    <row r="335" spans="1:2" x14ac:dyDescent="0.35">
      <c r="A335" s="13" t="s">
        <v>120</v>
      </c>
      <c r="B335">
        <v>22</v>
      </c>
    </row>
    <row r="336" spans="1:2" x14ac:dyDescent="0.35">
      <c r="A336" s="14" t="s">
        <v>3</v>
      </c>
      <c r="B336">
        <v>22</v>
      </c>
    </row>
    <row r="337" spans="1:2" x14ac:dyDescent="0.35">
      <c r="A337" s="2" t="s">
        <v>393</v>
      </c>
      <c r="B337">
        <v>21</v>
      </c>
    </row>
    <row r="338" spans="1:2" x14ac:dyDescent="0.35">
      <c r="A338" s="13" t="s">
        <v>394</v>
      </c>
      <c r="B338">
        <v>21</v>
      </c>
    </row>
    <row r="339" spans="1:2" x14ac:dyDescent="0.35">
      <c r="A339" s="14" t="s">
        <v>3</v>
      </c>
      <c r="B339">
        <v>21</v>
      </c>
    </row>
    <row r="340" spans="1:2" x14ac:dyDescent="0.35">
      <c r="A340" s="2" t="s">
        <v>500</v>
      </c>
      <c r="B340">
        <v>20</v>
      </c>
    </row>
    <row r="341" spans="1:2" x14ac:dyDescent="0.35">
      <c r="A341" s="13" t="s">
        <v>501</v>
      </c>
      <c r="B341">
        <v>20</v>
      </c>
    </row>
    <row r="342" spans="1:2" x14ac:dyDescent="0.35">
      <c r="A342" s="14" t="s">
        <v>3</v>
      </c>
      <c r="B342">
        <v>20</v>
      </c>
    </row>
    <row r="343" spans="1:2" x14ac:dyDescent="0.35">
      <c r="A343" s="2" t="s">
        <v>233</v>
      </c>
      <c r="B343">
        <v>19</v>
      </c>
    </row>
    <row r="344" spans="1:2" x14ac:dyDescent="0.35">
      <c r="A344" s="13" t="s">
        <v>234</v>
      </c>
      <c r="B344">
        <v>19</v>
      </c>
    </row>
    <row r="345" spans="1:2" x14ac:dyDescent="0.35">
      <c r="A345" s="14" t="s">
        <v>1</v>
      </c>
      <c r="B345">
        <v>2</v>
      </c>
    </row>
    <row r="346" spans="1:2" x14ac:dyDescent="0.35">
      <c r="A346" s="14" t="s">
        <v>6</v>
      </c>
      <c r="B346">
        <v>17</v>
      </c>
    </row>
    <row r="347" spans="1:2" x14ac:dyDescent="0.35">
      <c r="A347" s="2" t="s">
        <v>97</v>
      </c>
      <c r="B347">
        <v>18</v>
      </c>
    </row>
    <row r="348" spans="1:2" x14ac:dyDescent="0.35">
      <c r="A348" s="13" t="s">
        <v>98</v>
      </c>
      <c r="B348">
        <v>18</v>
      </c>
    </row>
    <row r="349" spans="1:2" x14ac:dyDescent="0.35">
      <c r="A349" s="14" t="s">
        <v>2</v>
      </c>
      <c r="B349">
        <v>5</v>
      </c>
    </row>
    <row r="350" spans="1:2" x14ac:dyDescent="0.35">
      <c r="A350" s="14" t="s">
        <v>4</v>
      </c>
      <c r="B350">
        <v>10</v>
      </c>
    </row>
    <row r="351" spans="1:2" x14ac:dyDescent="0.35">
      <c r="A351" s="14" t="s">
        <v>428</v>
      </c>
      <c r="B351">
        <v>3</v>
      </c>
    </row>
    <row r="352" spans="1:2" x14ac:dyDescent="0.35">
      <c r="A352" s="2" t="s">
        <v>130</v>
      </c>
      <c r="B352">
        <v>16</v>
      </c>
    </row>
    <row r="353" spans="1:2" x14ac:dyDescent="0.35">
      <c r="A353" s="13" t="s">
        <v>131</v>
      </c>
      <c r="B353">
        <v>16</v>
      </c>
    </row>
    <row r="354" spans="1:2" x14ac:dyDescent="0.35">
      <c r="A354" s="14" t="s">
        <v>4</v>
      </c>
      <c r="B354">
        <v>15</v>
      </c>
    </row>
    <row r="355" spans="1:2" x14ac:dyDescent="0.35">
      <c r="A355" s="14" t="s">
        <v>6</v>
      </c>
      <c r="B355">
        <v>1</v>
      </c>
    </row>
    <row r="356" spans="1:2" x14ac:dyDescent="0.35">
      <c r="A356" s="2" t="s">
        <v>514</v>
      </c>
      <c r="B356">
        <v>15</v>
      </c>
    </row>
    <row r="357" spans="1:2" x14ac:dyDescent="0.35">
      <c r="A357" s="13" t="s">
        <v>515</v>
      </c>
      <c r="B357">
        <v>15</v>
      </c>
    </row>
    <row r="358" spans="1:2" x14ac:dyDescent="0.35">
      <c r="A358" s="14" t="s">
        <v>3</v>
      </c>
      <c r="B358">
        <v>15</v>
      </c>
    </row>
    <row r="359" spans="1:2" x14ac:dyDescent="0.35">
      <c r="A359" s="2" t="s">
        <v>82</v>
      </c>
      <c r="B359">
        <v>15</v>
      </c>
    </row>
    <row r="360" spans="1:2" x14ac:dyDescent="0.35">
      <c r="A360" s="13" t="s">
        <v>83</v>
      </c>
      <c r="B360">
        <v>15</v>
      </c>
    </row>
    <row r="361" spans="1:2" x14ac:dyDescent="0.35">
      <c r="A361" s="14" t="s">
        <v>0</v>
      </c>
      <c r="B361">
        <v>15</v>
      </c>
    </row>
    <row r="362" spans="1:2" x14ac:dyDescent="0.35">
      <c r="A362" s="2" t="s">
        <v>454</v>
      </c>
      <c r="B362">
        <v>15</v>
      </c>
    </row>
    <row r="363" spans="1:2" x14ac:dyDescent="0.35">
      <c r="A363" s="13" t="s">
        <v>455</v>
      </c>
      <c r="B363">
        <v>15</v>
      </c>
    </row>
    <row r="364" spans="1:2" x14ac:dyDescent="0.35">
      <c r="A364" s="14" t="s">
        <v>0</v>
      </c>
      <c r="B364">
        <v>1</v>
      </c>
    </row>
    <row r="365" spans="1:2" x14ac:dyDescent="0.35">
      <c r="A365" s="14" t="s">
        <v>2</v>
      </c>
      <c r="B365">
        <v>12</v>
      </c>
    </row>
    <row r="366" spans="1:2" x14ac:dyDescent="0.35">
      <c r="A366" s="14" t="s">
        <v>3</v>
      </c>
      <c r="B366">
        <v>2</v>
      </c>
    </row>
    <row r="367" spans="1:2" x14ac:dyDescent="0.35">
      <c r="A367" s="2" t="s">
        <v>445</v>
      </c>
      <c r="B367">
        <v>15</v>
      </c>
    </row>
    <row r="368" spans="1:2" x14ac:dyDescent="0.35">
      <c r="A368" s="13" t="s">
        <v>446</v>
      </c>
      <c r="B368">
        <v>15</v>
      </c>
    </row>
    <row r="369" spans="1:2" x14ac:dyDescent="0.35">
      <c r="A369" s="14" t="s">
        <v>428</v>
      </c>
      <c r="B369">
        <v>15</v>
      </c>
    </row>
    <row r="370" spans="1:2" x14ac:dyDescent="0.35">
      <c r="A370" s="2" t="s">
        <v>363</v>
      </c>
      <c r="B370">
        <v>13</v>
      </c>
    </row>
    <row r="371" spans="1:2" x14ac:dyDescent="0.35">
      <c r="A371" s="13" t="s">
        <v>362</v>
      </c>
      <c r="B371">
        <v>13</v>
      </c>
    </row>
    <row r="372" spans="1:2" x14ac:dyDescent="0.35">
      <c r="A372" s="14" t="s">
        <v>603</v>
      </c>
      <c r="B372">
        <v>13</v>
      </c>
    </row>
    <row r="373" spans="1:2" x14ac:dyDescent="0.35">
      <c r="A373" s="2" t="s">
        <v>216</v>
      </c>
      <c r="B373">
        <v>13</v>
      </c>
    </row>
    <row r="374" spans="1:2" x14ac:dyDescent="0.35">
      <c r="A374" s="13" t="s">
        <v>217</v>
      </c>
      <c r="B374">
        <v>13</v>
      </c>
    </row>
    <row r="375" spans="1:2" x14ac:dyDescent="0.35">
      <c r="A375" s="14" t="s">
        <v>0</v>
      </c>
      <c r="B375">
        <v>13</v>
      </c>
    </row>
    <row r="376" spans="1:2" x14ac:dyDescent="0.35">
      <c r="A376" s="2" t="s">
        <v>557</v>
      </c>
      <c r="B376">
        <v>12</v>
      </c>
    </row>
    <row r="377" spans="1:2" x14ac:dyDescent="0.35">
      <c r="A377" s="13" t="s">
        <v>535</v>
      </c>
      <c r="B377">
        <v>12</v>
      </c>
    </row>
    <row r="378" spans="1:2" x14ac:dyDescent="0.35">
      <c r="A378" s="14" t="s">
        <v>3</v>
      </c>
      <c r="B378">
        <v>12</v>
      </c>
    </row>
    <row r="379" spans="1:2" x14ac:dyDescent="0.35">
      <c r="A379" s="2" t="s">
        <v>359</v>
      </c>
      <c r="B379">
        <v>12</v>
      </c>
    </row>
    <row r="380" spans="1:2" x14ac:dyDescent="0.35">
      <c r="A380" s="13" t="s">
        <v>360</v>
      </c>
      <c r="B380">
        <v>12</v>
      </c>
    </row>
    <row r="381" spans="1:2" x14ac:dyDescent="0.35">
      <c r="A381" s="14" t="s">
        <v>603</v>
      </c>
      <c r="B381">
        <v>12</v>
      </c>
    </row>
    <row r="382" spans="1:2" x14ac:dyDescent="0.35">
      <c r="A382" s="2" t="s">
        <v>574</v>
      </c>
      <c r="B382">
        <v>12</v>
      </c>
    </row>
    <row r="383" spans="1:2" x14ac:dyDescent="0.35">
      <c r="A383" s="13" t="s">
        <v>575</v>
      </c>
      <c r="B383">
        <v>12</v>
      </c>
    </row>
    <row r="384" spans="1:2" x14ac:dyDescent="0.35">
      <c r="A384" s="14" t="s">
        <v>3</v>
      </c>
      <c r="B384">
        <v>12</v>
      </c>
    </row>
    <row r="385" spans="1:2" x14ac:dyDescent="0.35">
      <c r="A385" s="2" t="s">
        <v>376</v>
      </c>
      <c r="B385">
        <v>11</v>
      </c>
    </row>
    <row r="386" spans="1:2" x14ac:dyDescent="0.35">
      <c r="A386" s="13" t="s">
        <v>377</v>
      </c>
      <c r="B386">
        <v>11</v>
      </c>
    </row>
    <row r="387" spans="1:2" x14ac:dyDescent="0.35">
      <c r="A387" s="14" t="s">
        <v>2</v>
      </c>
      <c r="B387">
        <v>11</v>
      </c>
    </row>
    <row r="388" spans="1:2" x14ac:dyDescent="0.35">
      <c r="A388" s="2" t="s">
        <v>387</v>
      </c>
      <c r="B388">
        <v>11</v>
      </c>
    </row>
    <row r="389" spans="1:2" x14ac:dyDescent="0.35">
      <c r="A389" s="13" t="s">
        <v>388</v>
      </c>
      <c r="B389">
        <v>11</v>
      </c>
    </row>
    <row r="390" spans="1:2" x14ac:dyDescent="0.35">
      <c r="A390" s="14" t="s">
        <v>3</v>
      </c>
      <c r="B390">
        <v>11</v>
      </c>
    </row>
    <row r="391" spans="1:2" x14ac:dyDescent="0.35">
      <c r="A391" s="2" t="s">
        <v>323</v>
      </c>
      <c r="B391">
        <v>9</v>
      </c>
    </row>
    <row r="392" spans="1:2" x14ac:dyDescent="0.35">
      <c r="A392" s="13" t="s">
        <v>324</v>
      </c>
      <c r="B392">
        <v>9</v>
      </c>
    </row>
    <row r="393" spans="1:2" x14ac:dyDescent="0.35">
      <c r="A393" s="14" t="s">
        <v>603</v>
      </c>
      <c r="B393">
        <v>9</v>
      </c>
    </row>
    <row r="394" spans="1:2" x14ac:dyDescent="0.35">
      <c r="A394" s="2" t="s">
        <v>407</v>
      </c>
      <c r="B394">
        <v>9</v>
      </c>
    </row>
    <row r="395" spans="1:2" x14ac:dyDescent="0.35">
      <c r="A395" s="13" t="s">
        <v>408</v>
      </c>
      <c r="B395">
        <v>9</v>
      </c>
    </row>
    <row r="396" spans="1:2" x14ac:dyDescent="0.35">
      <c r="A396" s="14" t="s">
        <v>3</v>
      </c>
      <c r="B396">
        <v>9</v>
      </c>
    </row>
    <row r="397" spans="1:2" x14ac:dyDescent="0.35">
      <c r="A397" s="2" t="s">
        <v>74</v>
      </c>
      <c r="B397">
        <v>9</v>
      </c>
    </row>
    <row r="398" spans="1:2" x14ac:dyDescent="0.35">
      <c r="A398" s="13" t="s">
        <v>75</v>
      </c>
      <c r="B398">
        <v>9</v>
      </c>
    </row>
    <row r="399" spans="1:2" x14ac:dyDescent="0.35">
      <c r="A399" s="14" t="s">
        <v>0</v>
      </c>
      <c r="B399">
        <v>1</v>
      </c>
    </row>
    <row r="400" spans="1:2" x14ac:dyDescent="0.35">
      <c r="A400" s="14" t="s">
        <v>1</v>
      </c>
      <c r="B400">
        <v>1</v>
      </c>
    </row>
    <row r="401" spans="1:2" x14ac:dyDescent="0.35">
      <c r="A401" s="14" t="s">
        <v>2</v>
      </c>
      <c r="B401">
        <v>1</v>
      </c>
    </row>
    <row r="402" spans="1:2" x14ac:dyDescent="0.35">
      <c r="A402" s="14" t="s">
        <v>3</v>
      </c>
      <c r="B402">
        <v>1</v>
      </c>
    </row>
    <row r="403" spans="1:2" x14ac:dyDescent="0.35">
      <c r="A403" s="14" t="s">
        <v>4</v>
      </c>
      <c r="B403">
        <v>1</v>
      </c>
    </row>
    <row r="404" spans="1:2" x14ac:dyDescent="0.35">
      <c r="A404" s="14" t="s">
        <v>5</v>
      </c>
      <c r="B404">
        <v>1</v>
      </c>
    </row>
    <row r="405" spans="1:2" x14ac:dyDescent="0.35">
      <c r="A405" s="14" t="s">
        <v>428</v>
      </c>
      <c r="B405">
        <v>1</v>
      </c>
    </row>
    <row r="406" spans="1:2" x14ac:dyDescent="0.35">
      <c r="A406" s="14" t="s">
        <v>6</v>
      </c>
      <c r="B406">
        <v>1</v>
      </c>
    </row>
    <row r="407" spans="1:2" x14ac:dyDescent="0.35">
      <c r="A407" s="14" t="s">
        <v>7</v>
      </c>
      <c r="B407">
        <v>1</v>
      </c>
    </row>
    <row r="408" spans="1:2" x14ac:dyDescent="0.35">
      <c r="A408" s="2" t="s">
        <v>58</v>
      </c>
      <c r="B408">
        <v>9</v>
      </c>
    </row>
    <row r="409" spans="1:2" x14ac:dyDescent="0.35">
      <c r="A409" s="13" t="s">
        <v>59</v>
      </c>
      <c r="B409">
        <v>9</v>
      </c>
    </row>
    <row r="410" spans="1:2" x14ac:dyDescent="0.35">
      <c r="A410" s="14" t="s">
        <v>0</v>
      </c>
      <c r="B410">
        <v>1</v>
      </c>
    </row>
    <row r="411" spans="1:2" x14ac:dyDescent="0.35">
      <c r="A411" s="14" t="s">
        <v>1</v>
      </c>
      <c r="B411">
        <v>1</v>
      </c>
    </row>
    <row r="412" spans="1:2" x14ac:dyDescent="0.35">
      <c r="A412" s="14" t="s">
        <v>2</v>
      </c>
      <c r="B412">
        <v>1</v>
      </c>
    </row>
    <row r="413" spans="1:2" x14ac:dyDescent="0.35">
      <c r="A413" s="14" t="s">
        <v>3</v>
      </c>
      <c r="B413">
        <v>1</v>
      </c>
    </row>
    <row r="414" spans="1:2" x14ac:dyDescent="0.35">
      <c r="A414" s="14" t="s">
        <v>4</v>
      </c>
      <c r="B414">
        <v>1</v>
      </c>
    </row>
    <row r="415" spans="1:2" x14ac:dyDescent="0.35">
      <c r="A415" s="14" t="s">
        <v>5</v>
      </c>
      <c r="B415">
        <v>1</v>
      </c>
    </row>
    <row r="416" spans="1:2" x14ac:dyDescent="0.35">
      <c r="A416" s="14" t="s">
        <v>428</v>
      </c>
      <c r="B416">
        <v>1</v>
      </c>
    </row>
    <row r="417" spans="1:2" x14ac:dyDescent="0.35">
      <c r="A417" s="14" t="s">
        <v>6</v>
      </c>
      <c r="B417">
        <v>1</v>
      </c>
    </row>
    <row r="418" spans="1:2" x14ac:dyDescent="0.35">
      <c r="A418" s="14" t="s">
        <v>7</v>
      </c>
      <c r="B418">
        <v>1</v>
      </c>
    </row>
    <row r="419" spans="1:2" x14ac:dyDescent="0.35">
      <c r="A419" s="2" t="s">
        <v>177</v>
      </c>
      <c r="B419">
        <v>9</v>
      </c>
    </row>
    <row r="420" spans="1:2" x14ac:dyDescent="0.35">
      <c r="A420" s="13" t="s">
        <v>50</v>
      </c>
      <c r="B420">
        <v>9</v>
      </c>
    </row>
    <row r="421" spans="1:2" x14ac:dyDescent="0.35">
      <c r="A421" s="14" t="s">
        <v>0</v>
      </c>
      <c r="B421">
        <v>7</v>
      </c>
    </row>
    <row r="422" spans="1:2" x14ac:dyDescent="0.35">
      <c r="A422" s="14" t="s">
        <v>428</v>
      </c>
      <c r="B422">
        <v>2</v>
      </c>
    </row>
    <row r="423" spans="1:2" x14ac:dyDescent="0.35">
      <c r="A423" s="2" t="s">
        <v>67</v>
      </c>
      <c r="B423">
        <v>8</v>
      </c>
    </row>
    <row r="424" spans="1:2" x14ac:dyDescent="0.35">
      <c r="A424" s="13" t="s">
        <v>68</v>
      </c>
      <c r="B424">
        <v>8</v>
      </c>
    </row>
    <row r="425" spans="1:2" x14ac:dyDescent="0.35">
      <c r="A425" s="14" t="s">
        <v>0</v>
      </c>
      <c r="B425">
        <v>1</v>
      </c>
    </row>
    <row r="426" spans="1:2" x14ac:dyDescent="0.35">
      <c r="A426" s="14" t="s">
        <v>1</v>
      </c>
      <c r="B426">
        <v>1</v>
      </c>
    </row>
    <row r="427" spans="1:2" x14ac:dyDescent="0.35">
      <c r="A427" s="14" t="s">
        <v>2</v>
      </c>
      <c r="B427">
        <v>1</v>
      </c>
    </row>
    <row r="428" spans="1:2" x14ac:dyDescent="0.35">
      <c r="A428" s="14" t="s">
        <v>3</v>
      </c>
      <c r="B428">
        <v>1</v>
      </c>
    </row>
    <row r="429" spans="1:2" x14ac:dyDescent="0.35">
      <c r="A429" s="14" t="s">
        <v>5</v>
      </c>
      <c r="B429">
        <v>1</v>
      </c>
    </row>
    <row r="430" spans="1:2" x14ac:dyDescent="0.35">
      <c r="A430" s="14" t="s">
        <v>428</v>
      </c>
      <c r="B430">
        <v>1</v>
      </c>
    </row>
    <row r="431" spans="1:2" x14ac:dyDescent="0.35">
      <c r="A431" s="14" t="s">
        <v>6</v>
      </c>
      <c r="B431">
        <v>1</v>
      </c>
    </row>
    <row r="432" spans="1:2" x14ac:dyDescent="0.35">
      <c r="A432" s="14" t="s">
        <v>7</v>
      </c>
      <c r="B432">
        <v>1</v>
      </c>
    </row>
    <row r="433" spans="1:2" x14ac:dyDescent="0.35">
      <c r="A433" s="2" t="s">
        <v>374</v>
      </c>
      <c r="B433">
        <v>8</v>
      </c>
    </row>
    <row r="434" spans="1:2" x14ac:dyDescent="0.35">
      <c r="A434" s="13" t="s">
        <v>375</v>
      </c>
      <c r="B434">
        <v>8</v>
      </c>
    </row>
    <row r="435" spans="1:2" x14ac:dyDescent="0.35">
      <c r="A435" s="14" t="s">
        <v>2</v>
      </c>
      <c r="B435">
        <v>8</v>
      </c>
    </row>
    <row r="436" spans="1:2" x14ac:dyDescent="0.35">
      <c r="A436" s="2" t="s">
        <v>86</v>
      </c>
      <c r="B436">
        <v>8</v>
      </c>
    </row>
    <row r="437" spans="1:2" x14ac:dyDescent="0.35">
      <c r="A437" s="13" t="s">
        <v>87</v>
      </c>
      <c r="B437">
        <v>8</v>
      </c>
    </row>
    <row r="438" spans="1:2" x14ac:dyDescent="0.35">
      <c r="A438" s="14" t="s">
        <v>1</v>
      </c>
      <c r="B438">
        <v>5</v>
      </c>
    </row>
    <row r="439" spans="1:2" x14ac:dyDescent="0.35">
      <c r="A439" s="14" t="s">
        <v>428</v>
      </c>
      <c r="B439">
        <v>3</v>
      </c>
    </row>
    <row r="440" spans="1:2" x14ac:dyDescent="0.35">
      <c r="A440" s="2" t="s">
        <v>327</v>
      </c>
      <c r="B440">
        <v>8</v>
      </c>
    </row>
    <row r="441" spans="1:2" x14ac:dyDescent="0.35">
      <c r="A441" s="13" t="s">
        <v>328</v>
      </c>
      <c r="B441">
        <v>8</v>
      </c>
    </row>
    <row r="442" spans="1:2" x14ac:dyDescent="0.35">
      <c r="A442" s="14" t="s">
        <v>603</v>
      </c>
      <c r="B442">
        <v>8</v>
      </c>
    </row>
    <row r="443" spans="1:2" x14ac:dyDescent="0.35">
      <c r="A443" s="2" t="s">
        <v>368</v>
      </c>
      <c r="B443">
        <v>7</v>
      </c>
    </row>
    <row r="444" spans="1:2" x14ac:dyDescent="0.35">
      <c r="A444" s="13" t="s">
        <v>369</v>
      </c>
      <c r="B444">
        <v>7</v>
      </c>
    </row>
    <row r="445" spans="1:2" x14ac:dyDescent="0.35">
      <c r="A445" s="14" t="s">
        <v>2</v>
      </c>
      <c r="B445">
        <v>7</v>
      </c>
    </row>
    <row r="446" spans="1:2" x14ac:dyDescent="0.35">
      <c r="A446" s="2" t="s">
        <v>34</v>
      </c>
      <c r="B446">
        <v>7</v>
      </c>
    </row>
    <row r="447" spans="1:2" x14ac:dyDescent="0.35">
      <c r="A447" s="13" t="s">
        <v>35</v>
      </c>
      <c r="B447">
        <v>7</v>
      </c>
    </row>
    <row r="448" spans="1:2" x14ac:dyDescent="0.35">
      <c r="A448" s="14" t="s">
        <v>0</v>
      </c>
      <c r="B448">
        <v>1</v>
      </c>
    </row>
    <row r="449" spans="1:2" x14ac:dyDescent="0.35">
      <c r="A449" s="14" t="s">
        <v>1</v>
      </c>
      <c r="B449">
        <v>1</v>
      </c>
    </row>
    <row r="450" spans="1:2" x14ac:dyDescent="0.35">
      <c r="A450" s="14" t="s">
        <v>3</v>
      </c>
      <c r="B450">
        <v>1</v>
      </c>
    </row>
    <row r="451" spans="1:2" x14ac:dyDescent="0.35">
      <c r="A451" s="14" t="s">
        <v>5</v>
      </c>
      <c r="B451">
        <v>1</v>
      </c>
    </row>
    <row r="452" spans="1:2" x14ac:dyDescent="0.35">
      <c r="A452" s="14" t="s">
        <v>428</v>
      </c>
      <c r="B452">
        <v>1</v>
      </c>
    </row>
    <row r="453" spans="1:2" x14ac:dyDescent="0.35">
      <c r="A453" s="14" t="s">
        <v>6</v>
      </c>
      <c r="B453">
        <v>1</v>
      </c>
    </row>
    <row r="454" spans="1:2" x14ac:dyDescent="0.35">
      <c r="A454" s="14" t="s">
        <v>7</v>
      </c>
      <c r="B454">
        <v>1</v>
      </c>
    </row>
    <row r="455" spans="1:2" x14ac:dyDescent="0.35">
      <c r="A455" s="2" t="s">
        <v>32</v>
      </c>
      <c r="B455">
        <v>7</v>
      </c>
    </row>
    <row r="456" spans="1:2" x14ac:dyDescent="0.35">
      <c r="A456" s="13" t="s">
        <v>33</v>
      </c>
      <c r="B456">
        <v>7</v>
      </c>
    </row>
    <row r="457" spans="1:2" x14ac:dyDescent="0.35">
      <c r="A457" s="14" t="s">
        <v>0</v>
      </c>
      <c r="B457">
        <v>1</v>
      </c>
    </row>
    <row r="458" spans="1:2" x14ac:dyDescent="0.35">
      <c r="A458" s="14" t="s">
        <v>1</v>
      </c>
      <c r="B458">
        <v>1</v>
      </c>
    </row>
    <row r="459" spans="1:2" x14ac:dyDescent="0.35">
      <c r="A459" s="14" t="s">
        <v>3</v>
      </c>
      <c r="B459">
        <v>1</v>
      </c>
    </row>
    <row r="460" spans="1:2" x14ac:dyDescent="0.35">
      <c r="A460" s="14" t="s">
        <v>5</v>
      </c>
      <c r="B460">
        <v>1</v>
      </c>
    </row>
    <row r="461" spans="1:2" x14ac:dyDescent="0.35">
      <c r="A461" s="14" t="s">
        <v>428</v>
      </c>
      <c r="B461">
        <v>1</v>
      </c>
    </row>
    <row r="462" spans="1:2" x14ac:dyDescent="0.35">
      <c r="A462" s="14" t="s">
        <v>6</v>
      </c>
      <c r="B462">
        <v>1</v>
      </c>
    </row>
    <row r="463" spans="1:2" x14ac:dyDescent="0.35">
      <c r="A463" s="14" t="s">
        <v>7</v>
      </c>
      <c r="B463">
        <v>1</v>
      </c>
    </row>
    <row r="464" spans="1:2" x14ac:dyDescent="0.35">
      <c r="A464" s="2" t="s">
        <v>285</v>
      </c>
      <c r="B464">
        <v>7</v>
      </c>
    </row>
    <row r="465" spans="1:2" x14ac:dyDescent="0.35">
      <c r="A465" s="13" t="s">
        <v>286</v>
      </c>
      <c r="B465">
        <v>7</v>
      </c>
    </row>
    <row r="466" spans="1:2" x14ac:dyDescent="0.35">
      <c r="A466" s="14" t="s">
        <v>603</v>
      </c>
      <c r="B466">
        <v>7</v>
      </c>
    </row>
    <row r="467" spans="1:2" x14ac:dyDescent="0.35">
      <c r="A467" s="2" t="s">
        <v>560</v>
      </c>
      <c r="B467">
        <v>6</v>
      </c>
    </row>
    <row r="468" spans="1:2" x14ac:dyDescent="0.35">
      <c r="A468" s="13" t="s">
        <v>561</v>
      </c>
      <c r="B468">
        <v>6</v>
      </c>
    </row>
    <row r="469" spans="1:2" x14ac:dyDescent="0.35">
      <c r="A469" s="14" t="s">
        <v>3</v>
      </c>
      <c r="B469">
        <v>6</v>
      </c>
    </row>
    <row r="470" spans="1:2" x14ac:dyDescent="0.35">
      <c r="A470" s="2" t="s">
        <v>562</v>
      </c>
      <c r="B470">
        <v>6</v>
      </c>
    </row>
    <row r="471" spans="1:2" x14ac:dyDescent="0.35">
      <c r="A471" s="13" t="s">
        <v>563</v>
      </c>
      <c r="B471">
        <v>6</v>
      </c>
    </row>
    <row r="472" spans="1:2" x14ac:dyDescent="0.35">
      <c r="A472" s="14" t="s">
        <v>3</v>
      </c>
      <c r="B472">
        <v>6</v>
      </c>
    </row>
    <row r="473" spans="1:2" x14ac:dyDescent="0.35">
      <c r="A473" s="2" t="s">
        <v>114</v>
      </c>
      <c r="B473">
        <v>6</v>
      </c>
    </row>
    <row r="474" spans="1:2" x14ac:dyDescent="0.35">
      <c r="A474" s="13" t="s">
        <v>115</v>
      </c>
      <c r="B474">
        <v>6</v>
      </c>
    </row>
    <row r="475" spans="1:2" x14ac:dyDescent="0.35">
      <c r="A475" s="14" t="s">
        <v>3</v>
      </c>
      <c r="B475">
        <v>6</v>
      </c>
    </row>
    <row r="476" spans="1:2" x14ac:dyDescent="0.35">
      <c r="A476" s="2" t="s">
        <v>542</v>
      </c>
      <c r="B476">
        <v>6</v>
      </c>
    </row>
    <row r="477" spans="1:2" x14ac:dyDescent="0.35">
      <c r="A477" s="13" t="s">
        <v>543</v>
      </c>
      <c r="B477">
        <v>6</v>
      </c>
    </row>
    <row r="478" spans="1:2" x14ac:dyDescent="0.35">
      <c r="A478" s="14" t="s">
        <v>3</v>
      </c>
      <c r="B478">
        <v>6</v>
      </c>
    </row>
    <row r="479" spans="1:2" x14ac:dyDescent="0.35">
      <c r="A479" s="2" t="s">
        <v>180</v>
      </c>
      <c r="B479">
        <v>6</v>
      </c>
    </row>
    <row r="480" spans="1:2" x14ac:dyDescent="0.35">
      <c r="A480" s="13" t="s">
        <v>57</v>
      </c>
      <c r="B480">
        <v>6</v>
      </c>
    </row>
    <row r="481" spans="1:2" x14ac:dyDescent="0.35">
      <c r="A481" s="14" t="s">
        <v>0</v>
      </c>
      <c r="B481">
        <v>1</v>
      </c>
    </row>
    <row r="482" spans="1:2" x14ac:dyDescent="0.35">
      <c r="A482" s="14" t="s">
        <v>7</v>
      </c>
      <c r="B482">
        <v>5</v>
      </c>
    </row>
    <row r="483" spans="1:2" x14ac:dyDescent="0.35">
      <c r="A483" s="2" t="s">
        <v>427</v>
      </c>
      <c r="B483">
        <v>6</v>
      </c>
    </row>
    <row r="484" spans="1:2" x14ac:dyDescent="0.35">
      <c r="A484" s="13" t="s">
        <v>422</v>
      </c>
      <c r="B484">
        <v>6</v>
      </c>
    </row>
    <row r="485" spans="1:2" x14ac:dyDescent="0.35">
      <c r="A485" s="14" t="s">
        <v>4</v>
      </c>
      <c r="B485">
        <v>1</v>
      </c>
    </row>
    <row r="486" spans="1:2" x14ac:dyDescent="0.35">
      <c r="A486" s="14" t="s">
        <v>428</v>
      </c>
      <c r="B486">
        <v>5</v>
      </c>
    </row>
    <row r="487" spans="1:2" x14ac:dyDescent="0.35">
      <c r="A487" s="2" t="s">
        <v>241</v>
      </c>
      <c r="B487">
        <v>6</v>
      </c>
    </row>
    <row r="488" spans="1:2" x14ac:dyDescent="0.35">
      <c r="A488" s="13" t="s">
        <v>242</v>
      </c>
      <c r="B488">
        <v>6</v>
      </c>
    </row>
    <row r="489" spans="1:2" x14ac:dyDescent="0.35">
      <c r="A489" s="14" t="s">
        <v>428</v>
      </c>
      <c r="B489">
        <v>2</v>
      </c>
    </row>
    <row r="490" spans="1:2" x14ac:dyDescent="0.35">
      <c r="A490" s="14" t="s">
        <v>6</v>
      </c>
      <c r="B490">
        <v>4</v>
      </c>
    </row>
    <row r="491" spans="1:2" x14ac:dyDescent="0.35">
      <c r="A491" s="2" t="s">
        <v>491</v>
      </c>
      <c r="B491">
        <v>6</v>
      </c>
    </row>
    <row r="492" spans="1:2" x14ac:dyDescent="0.35">
      <c r="A492" s="13" t="s">
        <v>492</v>
      </c>
      <c r="B492">
        <v>6</v>
      </c>
    </row>
    <row r="493" spans="1:2" x14ac:dyDescent="0.35">
      <c r="A493" s="14" t="s">
        <v>3</v>
      </c>
      <c r="B493">
        <v>6</v>
      </c>
    </row>
    <row r="494" spans="1:2" x14ac:dyDescent="0.35">
      <c r="A494" s="2" t="s">
        <v>93</v>
      </c>
      <c r="B494">
        <v>6</v>
      </c>
    </row>
    <row r="495" spans="1:2" x14ac:dyDescent="0.35">
      <c r="A495" s="13" t="s">
        <v>94</v>
      </c>
      <c r="B495">
        <v>6</v>
      </c>
    </row>
    <row r="496" spans="1:2" x14ac:dyDescent="0.35">
      <c r="A496" s="14" t="s">
        <v>2</v>
      </c>
      <c r="B496">
        <v>2</v>
      </c>
    </row>
    <row r="497" spans="1:2" x14ac:dyDescent="0.35">
      <c r="A497" s="14" t="s">
        <v>3</v>
      </c>
      <c r="B497">
        <v>2</v>
      </c>
    </row>
    <row r="498" spans="1:2" x14ac:dyDescent="0.35">
      <c r="A498" s="14" t="s">
        <v>428</v>
      </c>
      <c r="B498">
        <v>2</v>
      </c>
    </row>
    <row r="499" spans="1:2" x14ac:dyDescent="0.35">
      <c r="A499" s="2" t="s">
        <v>510</v>
      </c>
      <c r="B499">
        <v>6</v>
      </c>
    </row>
    <row r="500" spans="1:2" x14ac:dyDescent="0.35">
      <c r="A500" s="13" t="s">
        <v>511</v>
      </c>
      <c r="B500">
        <v>6</v>
      </c>
    </row>
    <row r="501" spans="1:2" x14ac:dyDescent="0.35">
      <c r="A501" s="14" t="s">
        <v>3</v>
      </c>
      <c r="B501">
        <v>6</v>
      </c>
    </row>
    <row r="502" spans="1:2" x14ac:dyDescent="0.35">
      <c r="A502" s="2" t="s">
        <v>41</v>
      </c>
      <c r="B502">
        <v>6</v>
      </c>
    </row>
    <row r="503" spans="1:2" x14ac:dyDescent="0.35">
      <c r="A503" s="13" t="s">
        <v>42</v>
      </c>
      <c r="B503">
        <v>6</v>
      </c>
    </row>
    <row r="504" spans="1:2" x14ac:dyDescent="0.35">
      <c r="A504" s="14" t="s">
        <v>0</v>
      </c>
      <c r="B504">
        <v>1</v>
      </c>
    </row>
    <row r="505" spans="1:2" x14ac:dyDescent="0.35">
      <c r="A505" s="14" t="s">
        <v>2</v>
      </c>
      <c r="B505">
        <v>1</v>
      </c>
    </row>
    <row r="506" spans="1:2" x14ac:dyDescent="0.35">
      <c r="A506" s="14" t="s">
        <v>3</v>
      </c>
      <c r="B506">
        <v>1</v>
      </c>
    </row>
    <row r="507" spans="1:2" x14ac:dyDescent="0.35">
      <c r="A507" s="14" t="s">
        <v>5</v>
      </c>
      <c r="B507">
        <v>1</v>
      </c>
    </row>
    <row r="508" spans="1:2" x14ac:dyDescent="0.35">
      <c r="A508" s="14" t="s">
        <v>428</v>
      </c>
      <c r="B508">
        <v>1</v>
      </c>
    </row>
    <row r="509" spans="1:2" x14ac:dyDescent="0.35">
      <c r="A509" s="14" t="s">
        <v>7</v>
      </c>
      <c r="B509">
        <v>1</v>
      </c>
    </row>
    <row r="510" spans="1:2" x14ac:dyDescent="0.35">
      <c r="A510" s="2" t="s">
        <v>437</v>
      </c>
      <c r="B510">
        <v>5</v>
      </c>
    </row>
    <row r="511" spans="1:2" x14ac:dyDescent="0.35">
      <c r="A511" s="13" t="s">
        <v>438</v>
      </c>
      <c r="B511">
        <v>5</v>
      </c>
    </row>
    <row r="512" spans="1:2" x14ac:dyDescent="0.35">
      <c r="A512" s="14" t="s">
        <v>428</v>
      </c>
      <c r="B512">
        <v>5</v>
      </c>
    </row>
    <row r="513" spans="1:2" x14ac:dyDescent="0.35">
      <c r="A513" s="2" t="s">
        <v>345</v>
      </c>
      <c r="B513">
        <v>5</v>
      </c>
    </row>
    <row r="514" spans="1:2" x14ac:dyDescent="0.35">
      <c r="A514" s="13" t="s">
        <v>346</v>
      </c>
      <c r="B514">
        <v>5</v>
      </c>
    </row>
    <row r="515" spans="1:2" x14ac:dyDescent="0.35">
      <c r="A515" s="14" t="s">
        <v>603</v>
      </c>
      <c r="B515">
        <v>5</v>
      </c>
    </row>
    <row r="516" spans="1:2" x14ac:dyDescent="0.35">
      <c r="A516" s="2" t="s">
        <v>63</v>
      </c>
      <c r="B516">
        <v>5</v>
      </c>
    </row>
    <row r="517" spans="1:2" x14ac:dyDescent="0.35">
      <c r="A517" s="13" t="s">
        <v>64</v>
      </c>
      <c r="B517">
        <v>5</v>
      </c>
    </row>
    <row r="518" spans="1:2" x14ac:dyDescent="0.35">
      <c r="A518" s="14" t="s">
        <v>0</v>
      </c>
      <c r="B518">
        <v>1</v>
      </c>
    </row>
    <row r="519" spans="1:2" x14ac:dyDescent="0.35">
      <c r="A519" s="14" t="s">
        <v>3</v>
      </c>
      <c r="B519">
        <v>1</v>
      </c>
    </row>
    <row r="520" spans="1:2" x14ac:dyDescent="0.35">
      <c r="A520" s="14" t="s">
        <v>5</v>
      </c>
      <c r="B520">
        <v>1</v>
      </c>
    </row>
    <row r="521" spans="1:2" x14ac:dyDescent="0.35">
      <c r="A521" s="14" t="s">
        <v>428</v>
      </c>
      <c r="B521">
        <v>1</v>
      </c>
    </row>
    <row r="522" spans="1:2" x14ac:dyDescent="0.35">
      <c r="A522" s="14" t="s">
        <v>6</v>
      </c>
      <c r="B522">
        <v>1</v>
      </c>
    </row>
    <row r="523" spans="1:2" x14ac:dyDescent="0.35">
      <c r="A523" s="2" t="s">
        <v>128</v>
      </c>
      <c r="B523">
        <v>5</v>
      </c>
    </row>
    <row r="524" spans="1:2" x14ac:dyDescent="0.35">
      <c r="A524" s="13" t="s">
        <v>129</v>
      </c>
      <c r="B524">
        <v>5</v>
      </c>
    </row>
    <row r="525" spans="1:2" x14ac:dyDescent="0.35">
      <c r="A525" s="14" t="s">
        <v>4</v>
      </c>
      <c r="B525">
        <v>4</v>
      </c>
    </row>
    <row r="526" spans="1:2" x14ac:dyDescent="0.35">
      <c r="A526" s="14" t="s">
        <v>6</v>
      </c>
      <c r="B526">
        <v>1</v>
      </c>
    </row>
    <row r="527" spans="1:2" x14ac:dyDescent="0.35">
      <c r="A527" s="2" t="s">
        <v>38</v>
      </c>
      <c r="B527">
        <v>5</v>
      </c>
    </row>
    <row r="528" spans="1:2" x14ac:dyDescent="0.35">
      <c r="A528" s="13" t="s">
        <v>35</v>
      </c>
      <c r="B528">
        <v>5</v>
      </c>
    </row>
    <row r="529" spans="1:2" x14ac:dyDescent="0.35">
      <c r="A529" s="14" t="s">
        <v>0</v>
      </c>
      <c r="B529">
        <v>1</v>
      </c>
    </row>
    <row r="530" spans="1:2" x14ac:dyDescent="0.35">
      <c r="A530" s="14" t="s">
        <v>3</v>
      </c>
      <c r="B530">
        <v>1</v>
      </c>
    </row>
    <row r="531" spans="1:2" x14ac:dyDescent="0.35">
      <c r="A531" s="14" t="s">
        <v>5</v>
      </c>
      <c r="B531">
        <v>1</v>
      </c>
    </row>
    <row r="532" spans="1:2" x14ac:dyDescent="0.35">
      <c r="A532" s="14" t="s">
        <v>428</v>
      </c>
      <c r="B532">
        <v>1</v>
      </c>
    </row>
    <row r="533" spans="1:2" x14ac:dyDescent="0.35">
      <c r="A533" s="14" t="s">
        <v>6</v>
      </c>
      <c r="B533">
        <v>1</v>
      </c>
    </row>
    <row r="534" spans="1:2" x14ac:dyDescent="0.35">
      <c r="A534" s="2" t="s">
        <v>487</v>
      </c>
      <c r="B534">
        <v>5</v>
      </c>
    </row>
    <row r="535" spans="1:2" x14ac:dyDescent="0.35">
      <c r="A535" s="13" t="s">
        <v>488</v>
      </c>
      <c r="B535">
        <v>5</v>
      </c>
    </row>
    <row r="536" spans="1:2" x14ac:dyDescent="0.35">
      <c r="A536" s="14" t="s">
        <v>3</v>
      </c>
      <c r="B536">
        <v>5</v>
      </c>
    </row>
    <row r="537" spans="1:2" x14ac:dyDescent="0.35">
      <c r="A537" s="2" t="s">
        <v>80</v>
      </c>
      <c r="B537">
        <v>5</v>
      </c>
    </row>
    <row r="538" spans="1:2" x14ac:dyDescent="0.35">
      <c r="A538" s="13" t="s">
        <v>81</v>
      </c>
      <c r="B538">
        <v>5</v>
      </c>
    </row>
    <row r="539" spans="1:2" x14ac:dyDescent="0.35">
      <c r="A539" s="14" t="s">
        <v>0</v>
      </c>
      <c r="B539">
        <v>1</v>
      </c>
    </row>
    <row r="540" spans="1:2" x14ac:dyDescent="0.35">
      <c r="A540" s="14" t="s">
        <v>1</v>
      </c>
      <c r="B540">
        <v>1</v>
      </c>
    </row>
    <row r="541" spans="1:2" x14ac:dyDescent="0.35">
      <c r="A541" s="14" t="s">
        <v>2</v>
      </c>
      <c r="B541">
        <v>1</v>
      </c>
    </row>
    <row r="542" spans="1:2" x14ac:dyDescent="0.35">
      <c r="A542" s="14" t="s">
        <v>4</v>
      </c>
      <c r="B542">
        <v>1</v>
      </c>
    </row>
    <row r="543" spans="1:2" x14ac:dyDescent="0.35">
      <c r="A543" s="14" t="s">
        <v>6</v>
      </c>
      <c r="B543">
        <v>1</v>
      </c>
    </row>
    <row r="544" spans="1:2" x14ac:dyDescent="0.35">
      <c r="A544" s="2" t="s">
        <v>544</v>
      </c>
      <c r="B544">
        <v>5</v>
      </c>
    </row>
    <row r="545" spans="1:2" x14ac:dyDescent="0.35">
      <c r="A545" s="13" t="s">
        <v>545</v>
      </c>
      <c r="B545">
        <v>5</v>
      </c>
    </row>
    <row r="546" spans="1:2" x14ac:dyDescent="0.35">
      <c r="A546" s="14" t="s">
        <v>3</v>
      </c>
      <c r="B546">
        <v>5</v>
      </c>
    </row>
    <row r="547" spans="1:2" x14ac:dyDescent="0.35">
      <c r="A547" s="2" t="s">
        <v>432</v>
      </c>
      <c r="B547">
        <v>5</v>
      </c>
    </row>
    <row r="548" spans="1:2" x14ac:dyDescent="0.35">
      <c r="A548" s="13" t="s">
        <v>87</v>
      </c>
      <c r="B548">
        <v>5</v>
      </c>
    </row>
    <row r="549" spans="1:2" x14ac:dyDescent="0.35">
      <c r="A549" s="14" t="s">
        <v>428</v>
      </c>
      <c r="B549">
        <v>5</v>
      </c>
    </row>
    <row r="550" spans="1:2" x14ac:dyDescent="0.35">
      <c r="A550" s="2" t="s">
        <v>395</v>
      </c>
      <c r="B550">
        <v>4</v>
      </c>
    </row>
    <row r="551" spans="1:2" x14ac:dyDescent="0.35">
      <c r="A551" s="13" t="s">
        <v>396</v>
      </c>
      <c r="B551">
        <v>4</v>
      </c>
    </row>
    <row r="552" spans="1:2" x14ac:dyDescent="0.35">
      <c r="A552" s="14" t="s">
        <v>3</v>
      </c>
      <c r="B552">
        <v>4</v>
      </c>
    </row>
    <row r="553" spans="1:2" x14ac:dyDescent="0.35">
      <c r="A553" s="2" t="s">
        <v>30</v>
      </c>
      <c r="B553">
        <v>4</v>
      </c>
    </row>
    <row r="554" spans="1:2" x14ac:dyDescent="0.35">
      <c r="A554" s="13" t="s">
        <v>31</v>
      </c>
      <c r="B554">
        <v>4</v>
      </c>
    </row>
    <row r="555" spans="1:2" x14ac:dyDescent="0.35">
      <c r="A555" s="14" t="s">
        <v>3</v>
      </c>
      <c r="B555">
        <v>1</v>
      </c>
    </row>
    <row r="556" spans="1:2" x14ac:dyDescent="0.35">
      <c r="A556" s="14" t="s">
        <v>5</v>
      </c>
      <c r="B556">
        <v>1</v>
      </c>
    </row>
    <row r="557" spans="1:2" x14ac:dyDescent="0.35">
      <c r="A557" s="14" t="s">
        <v>428</v>
      </c>
      <c r="B557">
        <v>1</v>
      </c>
    </row>
    <row r="558" spans="1:2" x14ac:dyDescent="0.35">
      <c r="A558" s="14" t="s">
        <v>7</v>
      </c>
      <c r="B558">
        <v>1</v>
      </c>
    </row>
    <row r="559" spans="1:2" x14ac:dyDescent="0.35">
      <c r="A559" s="2" t="s">
        <v>524</v>
      </c>
      <c r="B559">
        <v>4</v>
      </c>
    </row>
    <row r="560" spans="1:2" x14ac:dyDescent="0.35">
      <c r="A560" s="13" t="s">
        <v>525</v>
      </c>
      <c r="B560">
        <v>4</v>
      </c>
    </row>
    <row r="561" spans="1:2" x14ac:dyDescent="0.35">
      <c r="A561" s="14" t="s">
        <v>3</v>
      </c>
      <c r="B561">
        <v>4</v>
      </c>
    </row>
    <row r="562" spans="1:2" x14ac:dyDescent="0.35">
      <c r="A562" s="2" t="s">
        <v>526</v>
      </c>
      <c r="B562">
        <v>4</v>
      </c>
    </row>
    <row r="563" spans="1:2" x14ac:dyDescent="0.35">
      <c r="A563" s="13" t="s">
        <v>527</v>
      </c>
      <c r="B563">
        <v>4</v>
      </c>
    </row>
    <row r="564" spans="1:2" x14ac:dyDescent="0.35">
      <c r="A564" s="14" t="s">
        <v>3</v>
      </c>
      <c r="B564">
        <v>4</v>
      </c>
    </row>
    <row r="565" spans="1:2" x14ac:dyDescent="0.35">
      <c r="A565" s="2" t="s">
        <v>532</v>
      </c>
      <c r="B565">
        <v>4</v>
      </c>
    </row>
    <row r="566" spans="1:2" x14ac:dyDescent="0.35">
      <c r="A566" s="13" t="s">
        <v>533</v>
      </c>
      <c r="B566">
        <v>4</v>
      </c>
    </row>
    <row r="567" spans="1:2" x14ac:dyDescent="0.35">
      <c r="A567" s="14" t="s">
        <v>3</v>
      </c>
      <c r="B567">
        <v>4</v>
      </c>
    </row>
    <row r="568" spans="1:2" x14ac:dyDescent="0.35">
      <c r="A568" s="2" t="s">
        <v>289</v>
      </c>
      <c r="B568">
        <v>4</v>
      </c>
    </row>
    <row r="569" spans="1:2" x14ac:dyDescent="0.35">
      <c r="A569" s="13" t="s">
        <v>290</v>
      </c>
      <c r="B569">
        <v>4</v>
      </c>
    </row>
    <row r="570" spans="1:2" x14ac:dyDescent="0.35">
      <c r="A570" s="14" t="s">
        <v>603</v>
      </c>
      <c r="B570">
        <v>4</v>
      </c>
    </row>
    <row r="571" spans="1:2" x14ac:dyDescent="0.35">
      <c r="A571" s="2" t="s">
        <v>84</v>
      </c>
      <c r="B571">
        <v>4</v>
      </c>
    </row>
    <row r="572" spans="1:2" x14ac:dyDescent="0.35">
      <c r="A572" s="13" t="s">
        <v>85</v>
      </c>
      <c r="B572">
        <v>4</v>
      </c>
    </row>
    <row r="573" spans="1:2" x14ac:dyDescent="0.35">
      <c r="A573" s="14" t="s">
        <v>0</v>
      </c>
      <c r="B573">
        <v>2</v>
      </c>
    </row>
    <row r="574" spans="1:2" x14ac:dyDescent="0.35">
      <c r="A574" s="14" t="s">
        <v>1</v>
      </c>
      <c r="B574">
        <v>2</v>
      </c>
    </row>
    <row r="575" spans="1:2" x14ac:dyDescent="0.35">
      <c r="A575" s="2" t="s">
        <v>576</v>
      </c>
      <c r="B575">
        <v>4</v>
      </c>
    </row>
    <row r="576" spans="1:2" x14ac:dyDescent="0.35">
      <c r="A576" s="13" t="s">
        <v>517</v>
      </c>
      <c r="B576">
        <v>4</v>
      </c>
    </row>
    <row r="577" spans="1:2" x14ac:dyDescent="0.35">
      <c r="A577" s="14" t="s">
        <v>3</v>
      </c>
      <c r="B577">
        <v>4</v>
      </c>
    </row>
    <row r="578" spans="1:2" x14ac:dyDescent="0.35">
      <c r="A578" s="2" t="s">
        <v>489</v>
      </c>
      <c r="B578">
        <v>4</v>
      </c>
    </row>
    <row r="579" spans="1:2" x14ac:dyDescent="0.35">
      <c r="A579" s="13" t="s">
        <v>490</v>
      </c>
      <c r="B579">
        <v>4</v>
      </c>
    </row>
    <row r="580" spans="1:2" x14ac:dyDescent="0.35">
      <c r="A580" s="14" t="s">
        <v>3</v>
      </c>
      <c r="B580">
        <v>4</v>
      </c>
    </row>
    <row r="581" spans="1:2" x14ac:dyDescent="0.35">
      <c r="A581" s="2" t="s">
        <v>518</v>
      </c>
      <c r="B581">
        <v>4</v>
      </c>
    </row>
    <row r="582" spans="1:2" x14ac:dyDescent="0.35">
      <c r="A582" s="13" t="s">
        <v>519</v>
      </c>
      <c r="B582">
        <v>4</v>
      </c>
    </row>
    <row r="583" spans="1:2" x14ac:dyDescent="0.35">
      <c r="A583" s="14" t="s">
        <v>3</v>
      </c>
      <c r="B583">
        <v>4</v>
      </c>
    </row>
    <row r="584" spans="1:2" x14ac:dyDescent="0.35">
      <c r="A584" s="2" t="s">
        <v>555</v>
      </c>
      <c r="B584">
        <v>4</v>
      </c>
    </row>
    <row r="585" spans="1:2" x14ac:dyDescent="0.35">
      <c r="A585" s="13" t="s">
        <v>556</v>
      </c>
      <c r="B585">
        <v>4</v>
      </c>
    </row>
    <row r="586" spans="1:2" x14ac:dyDescent="0.35">
      <c r="A586" s="14" t="s">
        <v>3</v>
      </c>
      <c r="B586">
        <v>4</v>
      </c>
    </row>
    <row r="587" spans="1:2" x14ac:dyDescent="0.35">
      <c r="A587" s="2" t="s">
        <v>552</v>
      </c>
      <c r="B587">
        <v>4</v>
      </c>
    </row>
    <row r="588" spans="1:2" x14ac:dyDescent="0.35">
      <c r="A588" s="13" t="s">
        <v>553</v>
      </c>
      <c r="B588">
        <v>4</v>
      </c>
    </row>
    <row r="589" spans="1:2" x14ac:dyDescent="0.35">
      <c r="A589" s="14" t="s">
        <v>3</v>
      </c>
      <c r="B589">
        <v>4</v>
      </c>
    </row>
    <row r="590" spans="1:2" x14ac:dyDescent="0.35">
      <c r="A590" s="2" t="s">
        <v>134</v>
      </c>
      <c r="B590">
        <v>4</v>
      </c>
    </row>
    <row r="591" spans="1:2" x14ac:dyDescent="0.35">
      <c r="A591" s="13" t="s">
        <v>135</v>
      </c>
      <c r="B591">
        <v>4</v>
      </c>
    </row>
    <row r="592" spans="1:2" x14ac:dyDescent="0.35">
      <c r="A592" s="14" t="s">
        <v>4</v>
      </c>
      <c r="B592">
        <v>4</v>
      </c>
    </row>
    <row r="593" spans="1:2" x14ac:dyDescent="0.35">
      <c r="A593" s="2" t="s">
        <v>520</v>
      </c>
      <c r="B593">
        <v>4</v>
      </c>
    </row>
    <row r="594" spans="1:2" x14ac:dyDescent="0.35">
      <c r="A594" s="13" t="s">
        <v>521</v>
      </c>
      <c r="B594">
        <v>4</v>
      </c>
    </row>
    <row r="595" spans="1:2" x14ac:dyDescent="0.35">
      <c r="A595" s="14" t="s">
        <v>3</v>
      </c>
      <c r="B595">
        <v>4</v>
      </c>
    </row>
    <row r="596" spans="1:2" x14ac:dyDescent="0.35">
      <c r="A596" s="2" t="s">
        <v>528</v>
      </c>
      <c r="B596">
        <v>4</v>
      </c>
    </row>
    <row r="597" spans="1:2" x14ac:dyDescent="0.35">
      <c r="A597" s="13" t="s">
        <v>529</v>
      </c>
      <c r="B597">
        <v>4</v>
      </c>
    </row>
    <row r="598" spans="1:2" x14ac:dyDescent="0.35">
      <c r="A598" s="14" t="s">
        <v>3</v>
      </c>
      <c r="B598">
        <v>4</v>
      </c>
    </row>
    <row r="599" spans="1:2" x14ac:dyDescent="0.35">
      <c r="A599" s="2" t="s">
        <v>522</v>
      </c>
      <c r="B599">
        <v>4</v>
      </c>
    </row>
    <row r="600" spans="1:2" x14ac:dyDescent="0.35">
      <c r="A600" s="13" t="s">
        <v>523</v>
      </c>
      <c r="B600">
        <v>4</v>
      </c>
    </row>
    <row r="601" spans="1:2" x14ac:dyDescent="0.35">
      <c r="A601" s="14" t="s">
        <v>3</v>
      </c>
      <c r="B601">
        <v>4</v>
      </c>
    </row>
    <row r="602" spans="1:2" x14ac:dyDescent="0.35">
      <c r="A602" s="2" t="s">
        <v>291</v>
      </c>
      <c r="B602">
        <v>4</v>
      </c>
    </row>
    <row r="603" spans="1:2" x14ac:dyDescent="0.35">
      <c r="A603" s="13" t="s">
        <v>292</v>
      </c>
      <c r="B603">
        <v>4</v>
      </c>
    </row>
    <row r="604" spans="1:2" x14ac:dyDescent="0.35">
      <c r="A604" s="14" t="s">
        <v>603</v>
      </c>
      <c r="B604">
        <v>4</v>
      </c>
    </row>
    <row r="605" spans="1:2" x14ac:dyDescent="0.35">
      <c r="A605" s="2" t="s">
        <v>155</v>
      </c>
      <c r="B605">
        <v>4</v>
      </c>
    </row>
    <row r="606" spans="1:2" x14ac:dyDescent="0.35">
      <c r="A606" s="13" t="s">
        <v>156</v>
      </c>
      <c r="B606">
        <v>4</v>
      </c>
    </row>
    <row r="607" spans="1:2" x14ac:dyDescent="0.35">
      <c r="A607" s="14" t="s">
        <v>7</v>
      </c>
      <c r="B607">
        <v>4</v>
      </c>
    </row>
    <row r="608" spans="1:2" x14ac:dyDescent="0.35">
      <c r="A608" s="2" t="s">
        <v>458</v>
      </c>
      <c r="B608">
        <v>4</v>
      </c>
    </row>
    <row r="609" spans="1:2" x14ac:dyDescent="0.35">
      <c r="A609" s="13" t="s">
        <v>459</v>
      </c>
      <c r="B609">
        <v>4</v>
      </c>
    </row>
    <row r="610" spans="1:2" x14ac:dyDescent="0.35">
      <c r="A610" s="14" t="s">
        <v>0</v>
      </c>
      <c r="B610">
        <v>3</v>
      </c>
    </row>
    <row r="611" spans="1:2" x14ac:dyDescent="0.35">
      <c r="A611" s="14" t="s">
        <v>3</v>
      </c>
      <c r="B611">
        <v>1</v>
      </c>
    </row>
    <row r="612" spans="1:2" x14ac:dyDescent="0.35">
      <c r="A612" s="2" t="s">
        <v>498</v>
      </c>
      <c r="B612">
        <v>4</v>
      </c>
    </row>
    <row r="613" spans="1:2" x14ac:dyDescent="0.35">
      <c r="A613" s="13" t="s">
        <v>499</v>
      </c>
      <c r="B613">
        <v>4</v>
      </c>
    </row>
    <row r="614" spans="1:2" x14ac:dyDescent="0.35">
      <c r="A614" s="14" t="s">
        <v>3</v>
      </c>
      <c r="B614">
        <v>4</v>
      </c>
    </row>
    <row r="615" spans="1:2" x14ac:dyDescent="0.35">
      <c r="A615" s="2" t="s">
        <v>27</v>
      </c>
      <c r="B615">
        <v>4</v>
      </c>
    </row>
    <row r="616" spans="1:2" x14ac:dyDescent="0.35">
      <c r="A616" s="13" t="s">
        <v>28</v>
      </c>
      <c r="B616">
        <v>4</v>
      </c>
    </row>
    <row r="617" spans="1:2" x14ac:dyDescent="0.35">
      <c r="A617" s="14" t="s">
        <v>3</v>
      </c>
      <c r="B617">
        <v>1</v>
      </c>
    </row>
    <row r="618" spans="1:2" x14ac:dyDescent="0.35">
      <c r="A618" s="14" t="s">
        <v>5</v>
      </c>
      <c r="B618">
        <v>1</v>
      </c>
    </row>
    <row r="619" spans="1:2" x14ac:dyDescent="0.35">
      <c r="A619" s="14" t="s">
        <v>428</v>
      </c>
      <c r="B619">
        <v>1</v>
      </c>
    </row>
    <row r="620" spans="1:2" x14ac:dyDescent="0.35">
      <c r="A620" s="14" t="s">
        <v>7</v>
      </c>
      <c r="B620">
        <v>1</v>
      </c>
    </row>
    <row r="621" spans="1:2" x14ac:dyDescent="0.35">
      <c r="A621" s="2" t="s">
        <v>497</v>
      </c>
      <c r="B621">
        <v>4</v>
      </c>
    </row>
    <row r="622" spans="1:2" x14ac:dyDescent="0.35">
      <c r="A622" s="13" t="s">
        <v>492</v>
      </c>
      <c r="B622">
        <v>4</v>
      </c>
    </row>
    <row r="623" spans="1:2" x14ac:dyDescent="0.35">
      <c r="A623" s="14" t="s">
        <v>3</v>
      </c>
      <c r="B623">
        <v>4</v>
      </c>
    </row>
    <row r="624" spans="1:2" x14ac:dyDescent="0.35">
      <c r="A624" s="2" t="s">
        <v>178</v>
      </c>
      <c r="B624">
        <v>4</v>
      </c>
    </row>
    <row r="625" spans="1:2" x14ac:dyDescent="0.35">
      <c r="A625" s="13" t="s">
        <v>48</v>
      </c>
      <c r="B625">
        <v>4</v>
      </c>
    </row>
    <row r="626" spans="1:2" x14ac:dyDescent="0.35">
      <c r="A626" s="14" t="s">
        <v>0</v>
      </c>
      <c r="B626">
        <v>4</v>
      </c>
    </row>
    <row r="627" spans="1:2" x14ac:dyDescent="0.35">
      <c r="A627" s="2" t="s">
        <v>173</v>
      </c>
      <c r="B627">
        <v>3</v>
      </c>
    </row>
    <row r="628" spans="1:2" x14ac:dyDescent="0.35">
      <c r="A628" s="13" t="s">
        <v>28</v>
      </c>
      <c r="B628">
        <v>3</v>
      </c>
    </row>
    <row r="629" spans="1:2" x14ac:dyDescent="0.35">
      <c r="A629" s="14" t="s">
        <v>0</v>
      </c>
      <c r="B629">
        <v>1</v>
      </c>
    </row>
    <row r="630" spans="1:2" x14ac:dyDescent="0.35">
      <c r="A630" s="14" t="s">
        <v>1</v>
      </c>
      <c r="B630">
        <v>1</v>
      </c>
    </row>
    <row r="631" spans="1:2" x14ac:dyDescent="0.35">
      <c r="A631" s="14" t="s">
        <v>6</v>
      </c>
      <c r="B631">
        <v>1</v>
      </c>
    </row>
    <row r="632" spans="1:2" x14ac:dyDescent="0.35">
      <c r="A632" s="2" t="s">
        <v>355</v>
      </c>
      <c r="B632">
        <v>3</v>
      </c>
    </row>
    <row r="633" spans="1:2" x14ac:dyDescent="0.35">
      <c r="A633" s="13" t="s">
        <v>356</v>
      </c>
      <c r="B633">
        <v>3</v>
      </c>
    </row>
    <row r="634" spans="1:2" x14ac:dyDescent="0.35">
      <c r="A634" s="14" t="s">
        <v>603</v>
      </c>
      <c r="B634">
        <v>3</v>
      </c>
    </row>
    <row r="635" spans="1:2" x14ac:dyDescent="0.35">
      <c r="A635" s="2" t="s">
        <v>592</v>
      </c>
      <c r="B635">
        <v>3</v>
      </c>
    </row>
    <row r="636" spans="1:2" x14ac:dyDescent="0.35">
      <c r="A636" s="13" t="s">
        <v>593</v>
      </c>
      <c r="B636">
        <v>3</v>
      </c>
    </row>
    <row r="637" spans="1:2" x14ac:dyDescent="0.35">
      <c r="A637" s="14" t="s">
        <v>3</v>
      </c>
      <c r="B637">
        <v>3</v>
      </c>
    </row>
    <row r="638" spans="1:2" x14ac:dyDescent="0.35">
      <c r="A638" s="2" t="s">
        <v>303</v>
      </c>
      <c r="B638">
        <v>3</v>
      </c>
    </row>
    <row r="639" spans="1:2" x14ac:dyDescent="0.35">
      <c r="A639" s="13" t="s">
        <v>304</v>
      </c>
      <c r="B639">
        <v>3</v>
      </c>
    </row>
    <row r="640" spans="1:2" x14ac:dyDescent="0.35">
      <c r="A640" s="14" t="s">
        <v>603</v>
      </c>
      <c r="B640">
        <v>3</v>
      </c>
    </row>
    <row r="641" spans="1:2" x14ac:dyDescent="0.35">
      <c r="A641" s="2" t="s">
        <v>281</v>
      </c>
      <c r="B641">
        <v>3</v>
      </c>
    </row>
    <row r="642" spans="1:2" x14ac:dyDescent="0.35">
      <c r="A642" s="13" t="s">
        <v>282</v>
      </c>
      <c r="B642">
        <v>3</v>
      </c>
    </row>
    <row r="643" spans="1:2" x14ac:dyDescent="0.35">
      <c r="A643" s="14" t="s">
        <v>3</v>
      </c>
      <c r="B643">
        <v>1</v>
      </c>
    </row>
    <row r="644" spans="1:2" x14ac:dyDescent="0.35">
      <c r="A644" s="14" t="s">
        <v>603</v>
      </c>
      <c r="B644">
        <v>2</v>
      </c>
    </row>
    <row r="645" spans="1:2" x14ac:dyDescent="0.35">
      <c r="A645" s="2" t="s">
        <v>309</v>
      </c>
      <c r="B645">
        <v>3</v>
      </c>
    </row>
    <row r="646" spans="1:2" x14ac:dyDescent="0.35">
      <c r="A646" s="13" t="s">
        <v>310</v>
      </c>
      <c r="B646">
        <v>3</v>
      </c>
    </row>
    <row r="647" spans="1:2" x14ac:dyDescent="0.35">
      <c r="A647" s="14" t="s">
        <v>603</v>
      </c>
      <c r="B647">
        <v>3</v>
      </c>
    </row>
    <row r="648" spans="1:2" x14ac:dyDescent="0.35">
      <c r="A648" s="2" t="s">
        <v>297</v>
      </c>
      <c r="B648">
        <v>3</v>
      </c>
    </row>
    <row r="649" spans="1:2" x14ac:dyDescent="0.35">
      <c r="A649" s="13" t="s">
        <v>298</v>
      </c>
      <c r="B649">
        <v>3</v>
      </c>
    </row>
    <row r="650" spans="1:2" x14ac:dyDescent="0.35">
      <c r="A650" s="14" t="s">
        <v>603</v>
      </c>
      <c r="B650">
        <v>3</v>
      </c>
    </row>
    <row r="651" spans="1:2" x14ac:dyDescent="0.35">
      <c r="A651" s="2" t="s">
        <v>311</v>
      </c>
      <c r="B651">
        <v>3</v>
      </c>
    </row>
    <row r="652" spans="1:2" x14ac:dyDescent="0.35">
      <c r="A652" s="13" t="s">
        <v>312</v>
      </c>
      <c r="B652">
        <v>3</v>
      </c>
    </row>
    <row r="653" spans="1:2" x14ac:dyDescent="0.35">
      <c r="A653" s="14" t="s">
        <v>603</v>
      </c>
      <c r="B653">
        <v>3</v>
      </c>
    </row>
    <row r="654" spans="1:2" x14ac:dyDescent="0.35">
      <c r="A654" s="2" t="s">
        <v>351</v>
      </c>
      <c r="B654">
        <v>3</v>
      </c>
    </row>
    <row r="655" spans="1:2" x14ac:dyDescent="0.35">
      <c r="A655" s="13" t="s">
        <v>352</v>
      </c>
      <c r="B655">
        <v>3</v>
      </c>
    </row>
    <row r="656" spans="1:2" x14ac:dyDescent="0.35">
      <c r="A656" s="14" t="s">
        <v>603</v>
      </c>
      <c r="B656">
        <v>3</v>
      </c>
    </row>
    <row r="657" spans="1:2" x14ac:dyDescent="0.35">
      <c r="A657" s="2" t="s">
        <v>112</v>
      </c>
      <c r="B657">
        <v>3</v>
      </c>
    </row>
    <row r="658" spans="1:2" x14ac:dyDescent="0.35">
      <c r="A658" s="13" t="s">
        <v>113</v>
      </c>
      <c r="B658">
        <v>3</v>
      </c>
    </row>
    <row r="659" spans="1:2" x14ac:dyDescent="0.35">
      <c r="A659" s="14" t="s">
        <v>2</v>
      </c>
      <c r="B659">
        <v>3</v>
      </c>
    </row>
    <row r="660" spans="1:2" x14ac:dyDescent="0.35">
      <c r="A660" s="2" t="s">
        <v>558</v>
      </c>
      <c r="B660">
        <v>3</v>
      </c>
    </row>
    <row r="661" spans="1:2" x14ac:dyDescent="0.35">
      <c r="A661" s="13" t="s">
        <v>559</v>
      </c>
      <c r="B661">
        <v>3</v>
      </c>
    </row>
    <row r="662" spans="1:2" x14ac:dyDescent="0.35">
      <c r="A662" s="14" t="s">
        <v>3</v>
      </c>
      <c r="B662">
        <v>3</v>
      </c>
    </row>
    <row r="663" spans="1:2" x14ac:dyDescent="0.35">
      <c r="A663" s="2" t="s">
        <v>534</v>
      </c>
      <c r="B663">
        <v>3</v>
      </c>
    </row>
    <row r="664" spans="1:2" x14ac:dyDescent="0.35">
      <c r="A664" s="13" t="s">
        <v>535</v>
      </c>
      <c r="B664">
        <v>3</v>
      </c>
    </row>
    <row r="665" spans="1:2" x14ac:dyDescent="0.35">
      <c r="A665" s="14" t="s">
        <v>3</v>
      </c>
      <c r="B665">
        <v>3</v>
      </c>
    </row>
    <row r="666" spans="1:2" x14ac:dyDescent="0.35">
      <c r="A666" s="2" t="s">
        <v>293</v>
      </c>
      <c r="B666">
        <v>3</v>
      </c>
    </row>
    <row r="667" spans="1:2" x14ac:dyDescent="0.35">
      <c r="A667" s="13" t="s">
        <v>294</v>
      </c>
      <c r="B667">
        <v>3</v>
      </c>
    </row>
    <row r="668" spans="1:2" x14ac:dyDescent="0.35">
      <c r="A668" s="14" t="s">
        <v>603</v>
      </c>
      <c r="B668">
        <v>3</v>
      </c>
    </row>
    <row r="669" spans="1:2" x14ac:dyDescent="0.35">
      <c r="A669" s="2" t="s">
        <v>317</v>
      </c>
      <c r="B669">
        <v>3</v>
      </c>
    </row>
    <row r="670" spans="1:2" x14ac:dyDescent="0.35">
      <c r="A670" s="13" t="s">
        <v>318</v>
      </c>
      <c r="B670">
        <v>3</v>
      </c>
    </row>
    <row r="671" spans="1:2" x14ac:dyDescent="0.35">
      <c r="A671" s="14" t="s">
        <v>603</v>
      </c>
      <c r="B671">
        <v>3</v>
      </c>
    </row>
    <row r="672" spans="1:2" x14ac:dyDescent="0.35">
      <c r="A672" s="2" t="s">
        <v>174</v>
      </c>
      <c r="B672">
        <v>3</v>
      </c>
    </row>
    <row r="673" spans="1:2" x14ac:dyDescent="0.35">
      <c r="A673" s="13" t="s">
        <v>31</v>
      </c>
      <c r="B673">
        <v>3</v>
      </c>
    </row>
    <row r="674" spans="1:2" x14ac:dyDescent="0.35">
      <c r="A674" s="14" t="s">
        <v>0</v>
      </c>
      <c r="B674">
        <v>1</v>
      </c>
    </row>
    <row r="675" spans="1:2" x14ac:dyDescent="0.35">
      <c r="A675" s="14" t="s">
        <v>1</v>
      </c>
      <c r="B675">
        <v>1</v>
      </c>
    </row>
    <row r="676" spans="1:2" x14ac:dyDescent="0.35">
      <c r="A676" s="14" t="s">
        <v>6</v>
      </c>
      <c r="B676">
        <v>1</v>
      </c>
    </row>
    <row r="677" spans="1:2" x14ac:dyDescent="0.35">
      <c r="A677" s="2" t="s">
        <v>564</v>
      </c>
      <c r="B677">
        <v>3</v>
      </c>
    </row>
    <row r="678" spans="1:2" x14ac:dyDescent="0.35">
      <c r="A678" s="13" t="s">
        <v>565</v>
      </c>
      <c r="B678">
        <v>3</v>
      </c>
    </row>
    <row r="679" spans="1:2" x14ac:dyDescent="0.35">
      <c r="A679" s="14" t="s">
        <v>3</v>
      </c>
      <c r="B679">
        <v>3</v>
      </c>
    </row>
    <row r="680" spans="1:2" x14ac:dyDescent="0.35">
      <c r="A680" s="2" t="s">
        <v>36</v>
      </c>
      <c r="B680">
        <v>3</v>
      </c>
    </row>
    <row r="681" spans="1:2" x14ac:dyDescent="0.35">
      <c r="A681" s="13" t="s">
        <v>37</v>
      </c>
      <c r="B681">
        <v>3</v>
      </c>
    </row>
    <row r="682" spans="1:2" x14ac:dyDescent="0.35">
      <c r="A682" s="14" t="s">
        <v>3</v>
      </c>
      <c r="B682">
        <v>1</v>
      </c>
    </row>
    <row r="683" spans="1:2" x14ac:dyDescent="0.35">
      <c r="A683" s="14" t="s">
        <v>5</v>
      </c>
      <c r="B683">
        <v>1</v>
      </c>
    </row>
    <row r="684" spans="1:2" x14ac:dyDescent="0.35">
      <c r="A684" s="14" t="s">
        <v>428</v>
      </c>
      <c r="B684">
        <v>1</v>
      </c>
    </row>
    <row r="685" spans="1:2" x14ac:dyDescent="0.35">
      <c r="A685" s="2" t="s">
        <v>329</v>
      </c>
      <c r="B685">
        <v>3</v>
      </c>
    </row>
    <row r="686" spans="1:2" x14ac:dyDescent="0.35">
      <c r="A686" s="13" t="s">
        <v>330</v>
      </c>
      <c r="B686">
        <v>3</v>
      </c>
    </row>
    <row r="687" spans="1:2" x14ac:dyDescent="0.35">
      <c r="A687" s="14" t="s">
        <v>603</v>
      </c>
      <c r="B687">
        <v>3</v>
      </c>
    </row>
    <row r="688" spans="1:2" x14ac:dyDescent="0.35">
      <c r="A688" s="2" t="s">
        <v>349</v>
      </c>
      <c r="B688">
        <v>3</v>
      </c>
    </row>
    <row r="689" spans="1:2" x14ac:dyDescent="0.35">
      <c r="A689" s="13" t="s">
        <v>350</v>
      </c>
      <c r="B689">
        <v>3</v>
      </c>
    </row>
    <row r="690" spans="1:2" x14ac:dyDescent="0.35">
      <c r="A690" s="14" t="s">
        <v>603</v>
      </c>
      <c r="B690">
        <v>3</v>
      </c>
    </row>
    <row r="691" spans="1:2" x14ac:dyDescent="0.35">
      <c r="A691" s="2" t="s">
        <v>590</v>
      </c>
      <c r="B691">
        <v>3</v>
      </c>
    </row>
    <row r="692" spans="1:2" x14ac:dyDescent="0.35">
      <c r="A692" s="13" t="s">
        <v>591</v>
      </c>
      <c r="B692">
        <v>3</v>
      </c>
    </row>
    <row r="693" spans="1:2" x14ac:dyDescent="0.35">
      <c r="A693" s="14" t="s">
        <v>3</v>
      </c>
      <c r="B693">
        <v>3</v>
      </c>
    </row>
    <row r="694" spans="1:2" x14ac:dyDescent="0.35">
      <c r="A694" s="2" t="s">
        <v>353</v>
      </c>
      <c r="B694">
        <v>3</v>
      </c>
    </row>
    <row r="695" spans="1:2" x14ac:dyDescent="0.35">
      <c r="A695" s="13" t="s">
        <v>354</v>
      </c>
      <c r="B695">
        <v>3</v>
      </c>
    </row>
    <row r="696" spans="1:2" x14ac:dyDescent="0.35">
      <c r="A696" s="14" t="s">
        <v>603</v>
      </c>
      <c r="B696">
        <v>3</v>
      </c>
    </row>
    <row r="697" spans="1:2" x14ac:dyDescent="0.35">
      <c r="A697" s="2" t="s">
        <v>179</v>
      </c>
      <c r="B697">
        <v>3</v>
      </c>
    </row>
    <row r="698" spans="1:2" x14ac:dyDescent="0.35">
      <c r="A698" s="13" t="s">
        <v>61</v>
      </c>
      <c r="B698">
        <v>3</v>
      </c>
    </row>
    <row r="699" spans="1:2" x14ac:dyDescent="0.35">
      <c r="A699" s="14" t="s">
        <v>0</v>
      </c>
      <c r="B699">
        <v>3</v>
      </c>
    </row>
    <row r="700" spans="1:2" x14ac:dyDescent="0.35">
      <c r="A700" s="2" t="s">
        <v>538</v>
      </c>
      <c r="B700">
        <v>3</v>
      </c>
    </row>
    <row r="701" spans="1:2" x14ac:dyDescent="0.35">
      <c r="A701" s="13" t="s">
        <v>539</v>
      </c>
      <c r="B701">
        <v>3</v>
      </c>
    </row>
    <row r="702" spans="1:2" x14ac:dyDescent="0.35">
      <c r="A702" s="14" t="s">
        <v>3</v>
      </c>
      <c r="B702">
        <v>3</v>
      </c>
    </row>
    <row r="703" spans="1:2" x14ac:dyDescent="0.35">
      <c r="A703" s="2" t="s">
        <v>430</v>
      </c>
      <c r="B703">
        <v>3</v>
      </c>
    </row>
    <row r="704" spans="1:2" x14ac:dyDescent="0.35">
      <c r="A704" s="13" t="s">
        <v>431</v>
      </c>
      <c r="B704">
        <v>3</v>
      </c>
    </row>
    <row r="705" spans="1:2" x14ac:dyDescent="0.35">
      <c r="A705" s="14" t="s">
        <v>428</v>
      </c>
      <c r="B705">
        <v>3</v>
      </c>
    </row>
    <row r="706" spans="1:2" x14ac:dyDescent="0.35">
      <c r="A706" s="2" t="s">
        <v>319</v>
      </c>
      <c r="B706">
        <v>2</v>
      </c>
    </row>
    <row r="707" spans="1:2" x14ac:dyDescent="0.35">
      <c r="A707" s="13" t="s">
        <v>320</v>
      </c>
      <c r="B707">
        <v>2</v>
      </c>
    </row>
    <row r="708" spans="1:2" x14ac:dyDescent="0.35">
      <c r="A708" s="14" t="s">
        <v>603</v>
      </c>
      <c r="B708">
        <v>2</v>
      </c>
    </row>
    <row r="709" spans="1:2" x14ac:dyDescent="0.35">
      <c r="A709" s="2" t="s">
        <v>493</v>
      </c>
      <c r="B709">
        <v>2</v>
      </c>
    </row>
    <row r="710" spans="1:2" x14ac:dyDescent="0.35">
      <c r="A710" s="13" t="s">
        <v>494</v>
      </c>
      <c r="B710">
        <v>2</v>
      </c>
    </row>
    <row r="711" spans="1:2" x14ac:dyDescent="0.35">
      <c r="A711" s="14" t="s">
        <v>3</v>
      </c>
      <c r="B711">
        <v>2</v>
      </c>
    </row>
    <row r="712" spans="1:2" x14ac:dyDescent="0.35">
      <c r="A712" s="2" t="s">
        <v>335</v>
      </c>
      <c r="B712">
        <v>2</v>
      </c>
    </row>
    <row r="713" spans="1:2" x14ac:dyDescent="0.35">
      <c r="A713" s="13" t="s">
        <v>336</v>
      </c>
      <c r="B713">
        <v>2</v>
      </c>
    </row>
    <row r="714" spans="1:2" x14ac:dyDescent="0.35">
      <c r="A714" s="14" t="s">
        <v>603</v>
      </c>
      <c r="B714">
        <v>2</v>
      </c>
    </row>
    <row r="715" spans="1:2" x14ac:dyDescent="0.35">
      <c r="A715" s="2" t="s">
        <v>357</v>
      </c>
      <c r="B715">
        <v>2</v>
      </c>
    </row>
    <row r="716" spans="1:2" x14ac:dyDescent="0.35">
      <c r="A716" s="13" t="s">
        <v>358</v>
      </c>
      <c r="B716">
        <v>2</v>
      </c>
    </row>
    <row r="717" spans="1:2" x14ac:dyDescent="0.35">
      <c r="A717" s="14" t="s">
        <v>603</v>
      </c>
      <c r="B717">
        <v>2</v>
      </c>
    </row>
    <row r="718" spans="1:2" x14ac:dyDescent="0.35">
      <c r="A718" s="2" t="s">
        <v>506</v>
      </c>
      <c r="B718">
        <v>2</v>
      </c>
    </row>
    <row r="719" spans="1:2" x14ac:dyDescent="0.35">
      <c r="A719" s="13" t="s">
        <v>507</v>
      </c>
      <c r="B719">
        <v>2</v>
      </c>
    </row>
    <row r="720" spans="1:2" x14ac:dyDescent="0.35">
      <c r="A720" s="14" t="s">
        <v>3</v>
      </c>
      <c r="B720">
        <v>2</v>
      </c>
    </row>
    <row r="721" spans="1:2" x14ac:dyDescent="0.35">
      <c r="A721" s="2" t="s">
        <v>417</v>
      </c>
      <c r="B721">
        <v>2</v>
      </c>
    </row>
    <row r="722" spans="1:2" x14ac:dyDescent="0.35">
      <c r="A722" s="13" t="s">
        <v>217</v>
      </c>
      <c r="B722">
        <v>2</v>
      </c>
    </row>
    <row r="723" spans="1:2" x14ac:dyDescent="0.35">
      <c r="A723" s="14" t="s">
        <v>3</v>
      </c>
      <c r="B723">
        <v>2</v>
      </c>
    </row>
    <row r="724" spans="1:2" x14ac:dyDescent="0.35">
      <c r="A724" s="2" t="s">
        <v>343</v>
      </c>
      <c r="B724">
        <v>2</v>
      </c>
    </row>
    <row r="725" spans="1:2" x14ac:dyDescent="0.35">
      <c r="A725" s="13" t="s">
        <v>344</v>
      </c>
      <c r="B725">
        <v>2</v>
      </c>
    </row>
    <row r="726" spans="1:2" x14ac:dyDescent="0.35">
      <c r="A726" s="14" t="s">
        <v>603</v>
      </c>
      <c r="B726">
        <v>2</v>
      </c>
    </row>
    <row r="727" spans="1:2" x14ac:dyDescent="0.35">
      <c r="A727" s="2" t="s">
        <v>380</v>
      </c>
      <c r="B727">
        <v>2</v>
      </c>
    </row>
    <row r="728" spans="1:2" x14ac:dyDescent="0.35">
      <c r="A728" s="13" t="s">
        <v>381</v>
      </c>
      <c r="B728">
        <v>2</v>
      </c>
    </row>
    <row r="729" spans="1:2" x14ac:dyDescent="0.35">
      <c r="A729" s="14" t="s">
        <v>2</v>
      </c>
      <c r="B729">
        <v>2</v>
      </c>
    </row>
    <row r="730" spans="1:2" x14ac:dyDescent="0.35">
      <c r="A730" s="2" t="s">
        <v>321</v>
      </c>
      <c r="B730">
        <v>2</v>
      </c>
    </row>
    <row r="731" spans="1:2" x14ac:dyDescent="0.35">
      <c r="A731" s="13" t="s">
        <v>322</v>
      </c>
      <c r="B731">
        <v>2</v>
      </c>
    </row>
    <row r="732" spans="1:2" x14ac:dyDescent="0.35">
      <c r="A732" s="14" t="s">
        <v>603</v>
      </c>
      <c r="B732">
        <v>2</v>
      </c>
    </row>
    <row r="733" spans="1:2" x14ac:dyDescent="0.35">
      <c r="A733" s="2" t="s">
        <v>60</v>
      </c>
      <c r="B733">
        <v>2</v>
      </c>
    </row>
    <row r="734" spans="1:2" x14ac:dyDescent="0.35">
      <c r="A734" s="13" t="s">
        <v>61</v>
      </c>
      <c r="B734">
        <v>2</v>
      </c>
    </row>
    <row r="735" spans="1:2" x14ac:dyDescent="0.35">
      <c r="A735" s="14" t="s">
        <v>5</v>
      </c>
      <c r="B735">
        <v>2</v>
      </c>
    </row>
    <row r="736" spans="1:2" x14ac:dyDescent="0.35">
      <c r="A736" s="2" t="s">
        <v>502</v>
      </c>
      <c r="B736">
        <v>2</v>
      </c>
    </row>
    <row r="737" spans="1:2" x14ac:dyDescent="0.35">
      <c r="A737" s="13" t="s">
        <v>503</v>
      </c>
      <c r="B737">
        <v>2</v>
      </c>
    </row>
    <row r="738" spans="1:2" x14ac:dyDescent="0.35">
      <c r="A738" s="14" t="s">
        <v>3</v>
      </c>
      <c r="B738">
        <v>2</v>
      </c>
    </row>
    <row r="739" spans="1:2" x14ac:dyDescent="0.35">
      <c r="A739" s="2" t="s">
        <v>307</v>
      </c>
      <c r="B739">
        <v>2</v>
      </c>
    </row>
    <row r="740" spans="1:2" x14ac:dyDescent="0.35">
      <c r="A740" s="13" t="s">
        <v>308</v>
      </c>
      <c r="B740">
        <v>2</v>
      </c>
    </row>
    <row r="741" spans="1:2" x14ac:dyDescent="0.35">
      <c r="A741" s="14" t="s">
        <v>603</v>
      </c>
      <c r="B741">
        <v>2</v>
      </c>
    </row>
    <row r="742" spans="1:2" x14ac:dyDescent="0.35">
      <c r="A742" s="2" t="s">
        <v>49</v>
      </c>
      <c r="B742">
        <v>2</v>
      </c>
    </row>
    <row r="743" spans="1:2" x14ac:dyDescent="0.35">
      <c r="A743" s="13" t="s">
        <v>50</v>
      </c>
      <c r="B743">
        <v>2</v>
      </c>
    </row>
    <row r="744" spans="1:2" x14ac:dyDescent="0.35">
      <c r="A744" s="14" t="s">
        <v>3</v>
      </c>
      <c r="B744">
        <v>2</v>
      </c>
    </row>
    <row r="745" spans="1:2" x14ac:dyDescent="0.35">
      <c r="A745" s="2" t="s">
        <v>139</v>
      </c>
      <c r="B745">
        <v>2</v>
      </c>
    </row>
    <row r="746" spans="1:2" x14ac:dyDescent="0.35">
      <c r="A746" s="13" t="s">
        <v>140</v>
      </c>
      <c r="B746">
        <v>2</v>
      </c>
    </row>
    <row r="747" spans="1:2" x14ac:dyDescent="0.35">
      <c r="A747" s="14" t="s">
        <v>5</v>
      </c>
      <c r="B747">
        <v>2</v>
      </c>
    </row>
    <row r="748" spans="1:2" x14ac:dyDescent="0.35">
      <c r="A748" s="2" t="s">
        <v>313</v>
      </c>
      <c r="B748">
        <v>2</v>
      </c>
    </row>
    <row r="749" spans="1:2" x14ac:dyDescent="0.35">
      <c r="A749" s="13" t="s">
        <v>314</v>
      </c>
      <c r="B749">
        <v>2</v>
      </c>
    </row>
    <row r="750" spans="1:2" x14ac:dyDescent="0.35">
      <c r="A750" s="14" t="s">
        <v>603</v>
      </c>
      <c r="B750">
        <v>2</v>
      </c>
    </row>
    <row r="751" spans="1:2" x14ac:dyDescent="0.35">
      <c r="A751" s="2" t="s">
        <v>287</v>
      </c>
      <c r="B751">
        <v>2</v>
      </c>
    </row>
    <row r="752" spans="1:2" x14ac:dyDescent="0.35">
      <c r="A752" s="13" t="s">
        <v>288</v>
      </c>
      <c r="B752">
        <v>2</v>
      </c>
    </row>
    <row r="753" spans="1:2" x14ac:dyDescent="0.35">
      <c r="A753" s="14" t="s">
        <v>603</v>
      </c>
      <c r="B753">
        <v>2</v>
      </c>
    </row>
    <row r="754" spans="1:2" x14ac:dyDescent="0.35">
      <c r="A754" s="2" t="s">
        <v>259</v>
      </c>
      <c r="B754">
        <v>2</v>
      </c>
    </row>
    <row r="755" spans="1:2" x14ac:dyDescent="0.35">
      <c r="A755" s="13" t="s">
        <v>260</v>
      </c>
      <c r="B755">
        <v>2</v>
      </c>
    </row>
    <row r="756" spans="1:2" x14ac:dyDescent="0.35">
      <c r="A756" s="14" t="s">
        <v>603</v>
      </c>
      <c r="B756">
        <v>2</v>
      </c>
    </row>
    <row r="757" spans="1:2" x14ac:dyDescent="0.35">
      <c r="A757" s="2" t="s">
        <v>117</v>
      </c>
      <c r="B757">
        <v>2</v>
      </c>
    </row>
    <row r="758" spans="1:2" x14ac:dyDescent="0.35">
      <c r="A758" s="13" t="s">
        <v>118</v>
      </c>
      <c r="B758">
        <v>2</v>
      </c>
    </row>
    <row r="759" spans="1:2" x14ac:dyDescent="0.35">
      <c r="A759" s="14" t="s">
        <v>3</v>
      </c>
      <c r="B759">
        <v>1</v>
      </c>
    </row>
    <row r="760" spans="1:2" x14ac:dyDescent="0.35">
      <c r="A760" s="14" t="s">
        <v>7</v>
      </c>
      <c r="B760">
        <v>1</v>
      </c>
    </row>
    <row r="761" spans="1:2" x14ac:dyDescent="0.35">
      <c r="A761" s="2" t="s">
        <v>175</v>
      </c>
      <c r="B761">
        <v>2</v>
      </c>
    </row>
    <row r="762" spans="1:2" x14ac:dyDescent="0.35">
      <c r="A762" s="13" t="s">
        <v>37</v>
      </c>
      <c r="B762">
        <v>2</v>
      </c>
    </row>
    <row r="763" spans="1:2" x14ac:dyDescent="0.35">
      <c r="A763" s="14" t="s">
        <v>0</v>
      </c>
      <c r="B763">
        <v>1</v>
      </c>
    </row>
    <row r="764" spans="1:2" x14ac:dyDescent="0.35">
      <c r="A764" s="14" t="s">
        <v>6</v>
      </c>
      <c r="B764">
        <v>1</v>
      </c>
    </row>
    <row r="765" spans="1:2" x14ac:dyDescent="0.35">
      <c r="A765" s="2" t="s">
        <v>577</v>
      </c>
      <c r="B765">
        <v>2</v>
      </c>
    </row>
    <row r="766" spans="1:2" x14ac:dyDescent="0.35">
      <c r="A766" s="13" t="s">
        <v>515</v>
      </c>
      <c r="B766">
        <v>2</v>
      </c>
    </row>
    <row r="767" spans="1:2" x14ac:dyDescent="0.35">
      <c r="A767" s="14" t="s">
        <v>3</v>
      </c>
      <c r="B767">
        <v>2</v>
      </c>
    </row>
    <row r="768" spans="1:2" x14ac:dyDescent="0.35">
      <c r="A768" s="2" t="s">
        <v>91</v>
      </c>
      <c r="B768">
        <v>2</v>
      </c>
    </row>
    <row r="769" spans="1:2" x14ac:dyDescent="0.35">
      <c r="A769" s="13" t="s">
        <v>92</v>
      </c>
      <c r="B769">
        <v>2</v>
      </c>
    </row>
    <row r="770" spans="1:2" x14ac:dyDescent="0.35">
      <c r="A770" s="14" t="s">
        <v>2</v>
      </c>
      <c r="B770">
        <v>2</v>
      </c>
    </row>
    <row r="771" spans="1:2" x14ac:dyDescent="0.35">
      <c r="A771" s="2" t="s">
        <v>305</v>
      </c>
      <c r="B771">
        <v>2</v>
      </c>
    </row>
    <row r="772" spans="1:2" x14ac:dyDescent="0.35">
      <c r="A772" s="13" t="s">
        <v>306</v>
      </c>
      <c r="B772">
        <v>2</v>
      </c>
    </row>
    <row r="773" spans="1:2" x14ac:dyDescent="0.35">
      <c r="A773" s="14" t="s">
        <v>603</v>
      </c>
      <c r="B773">
        <v>2</v>
      </c>
    </row>
    <row r="774" spans="1:2" x14ac:dyDescent="0.35">
      <c r="A774" s="2" t="s">
        <v>315</v>
      </c>
      <c r="B774">
        <v>2</v>
      </c>
    </row>
    <row r="775" spans="1:2" x14ac:dyDescent="0.35">
      <c r="A775" s="13" t="s">
        <v>316</v>
      </c>
      <c r="B775">
        <v>2</v>
      </c>
    </row>
    <row r="776" spans="1:2" x14ac:dyDescent="0.35">
      <c r="A776" s="14" t="s">
        <v>603</v>
      </c>
      <c r="B776">
        <v>2</v>
      </c>
    </row>
    <row r="777" spans="1:2" x14ac:dyDescent="0.35">
      <c r="A777" s="2" t="s">
        <v>439</v>
      </c>
      <c r="B777">
        <v>2</v>
      </c>
    </row>
    <row r="778" spans="1:2" x14ac:dyDescent="0.35">
      <c r="A778" s="13" t="s">
        <v>98</v>
      </c>
      <c r="B778">
        <v>2</v>
      </c>
    </row>
    <row r="779" spans="1:2" x14ac:dyDescent="0.35">
      <c r="A779" s="14" t="s">
        <v>428</v>
      </c>
      <c r="B779">
        <v>2</v>
      </c>
    </row>
    <row r="780" spans="1:2" x14ac:dyDescent="0.35">
      <c r="A780" s="2" t="s">
        <v>364</v>
      </c>
      <c r="B780">
        <v>2</v>
      </c>
    </row>
    <row r="781" spans="1:2" x14ac:dyDescent="0.35">
      <c r="A781" s="13" t="s">
        <v>365</v>
      </c>
      <c r="B781">
        <v>2</v>
      </c>
    </row>
    <row r="782" spans="1:2" x14ac:dyDescent="0.35">
      <c r="A782" s="14" t="s">
        <v>603</v>
      </c>
      <c r="B782">
        <v>2</v>
      </c>
    </row>
    <row r="783" spans="1:2" x14ac:dyDescent="0.35">
      <c r="A783" s="2" t="s">
        <v>578</v>
      </c>
      <c r="B783">
        <v>2</v>
      </c>
    </row>
    <row r="784" spans="1:2" x14ac:dyDescent="0.35">
      <c r="A784" s="13" t="s">
        <v>579</v>
      </c>
      <c r="B784">
        <v>2</v>
      </c>
    </row>
    <row r="785" spans="1:2" x14ac:dyDescent="0.35">
      <c r="A785" s="14" t="s">
        <v>3</v>
      </c>
      <c r="B785">
        <v>2</v>
      </c>
    </row>
    <row r="786" spans="1:2" x14ac:dyDescent="0.35">
      <c r="A786" s="2" t="s">
        <v>237</v>
      </c>
      <c r="B786">
        <v>2</v>
      </c>
    </row>
    <row r="787" spans="1:2" x14ac:dyDescent="0.35">
      <c r="A787" s="13" t="s">
        <v>238</v>
      </c>
      <c r="B787">
        <v>2</v>
      </c>
    </row>
    <row r="788" spans="1:2" x14ac:dyDescent="0.35">
      <c r="A788" s="14" t="s">
        <v>1</v>
      </c>
      <c r="B788">
        <v>2</v>
      </c>
    </row>
    <row r="789" spans="1:2" x14ac:dyDescent="0.35">
      <c r="A789" s="2" t="s">
        <v>251</v>
      </c>
      <c r="B789">
        <v>2</v>
      </c>
    </row>
    <row r="790" spans="1:2" x14ac:dyDescent="0.35">
      <c r="A790" s="13" t="s">
        <v>115</v>
      </c>
      <c r="B790">
        <v>2</v>
      </c>
    </row>
    <row r="791" spans="1:2" x14ac:dyDescent="0.35">
      <c r="A791" s="14" t="s">
        <v>7</v>
      </c>
      <c r="B791">
        <v>2</v>
      </c>
    </row>
    <row r="792" spans="1:2" x14ac:dyDescent="0.35">
      <c r="A792" s="2" t="s">
        <v>382</v>
      </c>
      <c r="B792">
        <v>2</v>
      </c>
    </row>
    <row r="793" spans="1:2" x14ac:dyDescent="0.35">
      <c r="A793" s="13" t="s">
        <v>383</v>
      </c>
      <c r="B793">
        <v>2</v>
      </c>
    </row>
    <row r="794" spans="1:2" x14ac:dyDescent="0.35">
      <c r="A794" s="14" t="s">
        <v>2</v>
      </c>
      <c r="B794">
        <v>2</v>
      </c>
    </row>
    <row r="795" spans="1:2" x14ac:dyDescent="0.35">
      <c r="A795" s="2" t="s">
        <v>337</v>
      </c>
      <c r="B795">
        <v>2</v>
      </c>
    </row>
    <row r="796" spans="1:2" x14ac:dyDescent="0.35">
      <c r="A796" s="13" t="s">
        <v>338</v>
      </c>
      <c r="B796">
        <v>2</v>
      </c>
    </row>
    <row r="797" spans="1:2" x14ac:dyDescent="0.35">
      <c r="A797" s="14" t="s">
        <v>603</v>
      </c>
      <c r="B797">
        <v>2</v>
      </c>
    </row>
    <row r="798" spans="1:2" x14ac:dyDescent="0.35">
      <c r="A798" s="2" t="s">
        <v>43</v>
      </c>
      <c r="B798">
        <v>2</v>
      </c>
    </row>
    <row r="799" spans="1:2" x14ac:dyDescent="0.35">
      <c r="A799" s="13" t="s">
        <v>44</v>
      </c>
      <c r="B799">
        <v>2</v>
      </c>
    </row>
    <row r="800" spans="1:2" x14ac:dyDescent="0.35">
      <c r="A800" s="14" t="s">
        <v>2</v>
      </c>
      <c r="B800">
        <v>2</v>
      </c>
    </row>
    <row r="801" spans="1:2" x14ac:dyDescent="0.35">
      <c r="A801" s="2" t="s">
        <v>339</v>
      </c>
      <c r="B801">
        <v>2</v>
      </c>
    </row>
    <row r="802" spans="1:2" x14ac:dyDescent="0.35">
      <c r="A802" s="13" t="s">
        <v>340</v>
      </c>
      <c r="B802">
        <v>2</v>
      </c>
    </row>
    <row r="803" spans="1:2" x14ac:dyDescent="0.35">
      <c r="A803" s="14" t="s">
        <v>603</v>
      </c>
      <c r="B803">
        <v>2</v>
      </c>
    </row>
    <row r="804" spans="1:2" x14ac:dyDescent="0.35">
      <c r="A804" s="2" t="s">
        <v>447</v>
      </c>
      <c r="B804">
        <v>2</v>
      </c>
    </row>
    <row r="805" spans="1:2" x14ac:dyDescent="0.35">
      <c r="A805" s="13" t="s">
        <v>446</v>
      </c>
      <c r="B805">
        <v>2</v>
      </c>
    </row>
    <row r="806" spans="1:2" x14ac:dyDescent="0.35">
      <c r="A806" s="14" t="s">
        <v>428</v>
      </c>
      <c r="B806">
        <v>2</v>
      </c>
    </row>
    <row r="807" spans="1:2" x14ac:dyDescent="0.35">
      <c r="A807" s="2" t="s">
        <v>566</v>
      </c>
      <c r="B807">
        <v>1</v>
      </c>
    </row>
    <row r="808" spans="1:2" x14ac:dyDescent="0.35">
      <c r="A808" s="13" t="s">
        <v>567</v>
      </c>
      <c r="B808">
        <v>1</v>
      </c>
    </row>
    <row r="809" spans="1:2" x14ac:dyDescent="0.35">
      <c r="A809" s="14" t="s">
        <v>3</v>
      </c>
      <c r="B809">
        <v>1</v>
      </c>
    </row>
    <row r="810" spans="1:2" x14ac:dyDescent="0.35">
      <c r="A810" s="2" t="s">
        <v>277</v>
      </c>
      <c r="B810">
        <v>1</v>
      </c>
    </row>
    <row r="811" spans="1:2" x14ac:dyDescent="0.35">
      <c r="A811" s="13" t="s">
        <v>278</v>
      </c>
      <c r="B811">
        <v>1</v>
      </c>
    </row>
    <row r="812" spans="1:2" x14ac:dyDescent="0.35">
      <c r="A812" s="14" t="s">
        <v>603</v>
      </c>
      <c r="B812">
        <v>1</v>
      </c>
    </row>
    <row r="813" spans="1:2" x14ac:dyDescent="0.35">
      <c r="A813" s="2" t="s">
        <v>275</v>
      </c>
      <c r="B813">
        <v>1</v>
      </c>
    </row>
    <row r="814" spans="1:2" x14ac:dyDescent="0.35">
      <c r="A814" s="13" t="s">
        <v>276</v>
      </c>
      <c r="B814">
        <v>1</v>
      </c>
    </row>
    <row r="815" spans="1:2" x14ac:dyDescent="0.35">
      <c r="A815" s="14" t="s">
        <v>603</v>
      </c>
      <c r="B815">
        <v>1</v>
      </c>
    </row>
    <row r="816" spans="1:2" x14ac:dyDescent="0.35">
      <c r="A816" s="2" t="s">
        <v>266</v>
      </c>
      <c r="B816">
        <v>1</v>
      </c>
    </row>
    <row r="817" spans="1:2" x14ac:dyDescent="0.35">
      <c r="A817" s="13" t="s">
        <v>267</v>
      </c>
      <c r="B817">
        <v>1</v>
      </c>
    </row>
    <row r="818" spans="1:2" x14ac:dyDescent="0.35">
      <c r="A818" s="14" t="s">
        <v>603</v>
      </c>
      <c r="B818">
        <v>1</v>
      </c>
    </row>
    <row r="819" spans="1:2" x14ac:dyDescent="0.35">
      <c r="A819" s="2" t="s">
        <v>508</v>
      </c>
      <c r="B819">
        <v>1</v>
      </c>
    </row>
    <row r="820" spans="1:2" x14ac:dyDescent="0.35">
      <c r="A820" s="13" t="s">
        <v>509</v>
      </c>
      <c r="B820">
        <v>1</v>
      </c>
    </row>
    <row r="821" spans="1:2" x14ac:dyDescent="0.35">
      <c r="A821" s="14" t="s">
        <v>3</v>
      </c>
      <c r="B821">
        <v>1</v>
      </c>
    </row>
    <row r="822" spans="1:2" x14ac:dyDescent="0.35">
      <c r="A822" s="2" t="s">
        <v>325</v>
      </c>
      <c r="B822">
        <v>1</v>
      </c>
    </row>
    <row r="823" spans="1:2" x14ac:dyDescent="0.35">
      <c r="A823" s="13" t="s">
        <v>326</v>
      </c>
      <c r="B823">
        <v>1</v>
      </c>
    </row>
    <row r="824" spans="1:2" x14ac:dyDescent="0.35">
      <c r="A824" s="14" t="s">
        <v>603</v>
      </c>
      <c r="B824">
        <v>1</v>
      </c>
    </row>
    <row r="825" spans="1:2" x14ac:dyDescent="0.35">
      <c r="A825" s="2" t="s">
        <v>271</v>
      </c>
      <c r="B825">
        <v>1</v>
      </c>
    </row>
    <row r="826" spans="1:2" x14ac:dyDescent="0.35">
      <c r="A826" s="13" t="s">
        <v>272</v>
      </c>
      <c r="B826">
        <v>1</v>
      </c>
    </row>
    <row r="827" spans="1:2" x14ac:dyDescent="0.35">
      <c r="A827" s="14" t="s">
        <v>603</v>
      </c>
      <c r="B827">
        <v>1</v>
      </c>
    </row>
    <row r="828" spans="1:2" x14ac:dyDescent="0.35">
      <c r="A828" s="2" t="s">
        <v>269</v>
      </c>
      <c r="B828">
        <v>1</v>
      </c>
    </row>
    <row r="829" spans="1:2" x14ac:dyDescent="0.35">
      <c r="A829" s="13" t="s">
        <v>270</v>
      </c>
      <c r="B829">
        <v>1</v>
      </c>
    </row>
    <row r="830" spans="1:2" x14ac:dyDescent="0.35">
      <c r="A830" s="14" t="s">
        <v>603</v>
      </c>
      <c r="B830">
        <v>1</v>
      </c>
    </row>
    <row r="831" spans="1:2" x14ac:dyDescent="0.35">
      <c r="A831" s="2" t="s">
        <v>456</v>
      </c>
      <c r="B831">
        <v>1</v>
      </c>
    </row>
    <row r="832" spans="1:2" x14ac:dyDescent="0.35">
      <c r="A832" s="13" t="s">
        <v>457</v>
      </c>
      <c r="B832">
        <v>1</v>
      </c>
    </row>
    <row r="833" spans="1:2" x14ac:dyDescent="0.35">
      <c r="A833" s="14" t="s">
        <v>0</v>
      </c>
      <c r="B833">
        <v>1</v>
      </c>
    </row>
    <row r="834" spans="1:2" x14ac:dyDescent="0.35">
      <c r="A834" s="2" t="s">
        <v>104</v>
      </c>
      <c r="B834">
        <v>1</v>
      </c>
    </row>
    <row r="835" spans="1:2" x14ac:dyDescent="0.35">
      <c r="A835" s="13" t="s">
        <v>105</v>
      </c>
      <c r="B835">
        <v>1</v>
      </c>
    </row>
    <row r="836" spans="1:2" x14ac:dyDescent="0.35">
      <c r="A836" s="14" t="s">
        <v>2</v>
      </c>
      <c r="B836">
        <v>1</v>
      </c>
    </row>
    <row r="837" spans="1:2" x14ac:dyDescent="0.35">
      <c r="A837" s="2" t="s">
        <v>580</v>
      </c>
      <c r="B837">
        <v>1</v>
      </c>
    </row>
    <row r="838" spans="1:2" x14ac:dyDescent="0.35">
      <c r="A838" s="13" t="s">
        <v>581</v>
      </c>
      <c r="B838">
        <v>1</v>
      </c>
    </row>
    <row r="839" spans="1:2" x14ac:dyDescent="0.35">
      <c r="A839" s="14" t="s">
        <v>3</v>
      </c>
      <c r="B839">
        <v>1</v>
      </c>
    </row>
    <row r="840" spans="1:2" x14ac:dyDescent="0.35">
      <c r="A840" s="2" t="s">
        <v>331</v>
      </c>
      <c r="B840">
        <v>1</v>
      </c>
    </row>
    <row r="841" spans="1:2" x14ac:dyDescent="0.35">
      <c r="A841" s="13" t="s">
        <v>332</v>
      </c>
      <c r="B841">
        <v>1</v>
      </c>
    </row>
    <row r="842" spans="1:2" x14ac:dyDescent="0.35">
      <c r="A842" s="14" t="s">
        <v>603</v>
      </c>
      <c r="B842">
        <v>1</v>
      </c>
    </row>
    <row r="843" spans="1:2" x14ac:dyDescent="0.35">
      <c r="A843" s="2" t="s">
        <v>433</v>
      </c>
      <c r="B843">
        <v>1</v>
      </c>
    </row>
    <row r="844" spans="1:2" x14ac:dyDescent="0.35">
      <c r="A844" s="13" t="s">
        <v>434</v>
      </c>
      <c r="B844">
        <v>1</v>
      </c>
    </row>
    <row r="845" spans="1:2" x14ac:dyDescent="0.35">
      <c r="A845" s="14" t="s">
        <v>428</v>
      </c>
      <c r="B845">
        <v>1</v>
      </c>
    </row>
    <row r="846" spans="1:2" x14ac:dyDescent="0.35">
      <c r="A846" s="2" t="s">
        <v>333</v>
      </c>
      <c r="B846">
        <v>1</v>
      </c>
    </row>
    <row r="847" spans="1:2" x14ac:dyDescent="0.35">
      <c r="A847" s="13" t="s">
        <v>334</v>
      </c>
      <c r="B847">
        <v>1</v>
      </c>
    </row>
    <row r="848" spans="1:2" x14ac:dyDescent="0.35">
      <c r="A848" s="14" t="s">
        <v>603</v>
      </c>
      <c r="B848">
        <v>1</v>
      </c>
    </row>
    <row r="849" spans="1:2" x14ac:dyDescent="0.35">
      <c r="A849" s="2" t="s">
        <v>550</v>
      </c>
      <c r="B849">
        <v>1</v>
      </c>
    </row>
    <row r="850" spans="1:2" x14ac:dyDescent="0.35">
      <c r="A850" s="13" t="s">
        <v>551</v>
      </c>
      <c r="B850">
        <v>1</v>
      </c>
    </row>
    <row r="851" spans="1:2" x14ac:dyDescent="0.35">
      <c r="A851" s="14" t="s">
        <v>3</v>
      </c>
      <c r="B851">
        <v>1</v>
      </c>
    </row>
    <row r="852" spans="1:2" x14ac:dyDescent="0.35">
      <c r="A852" s="2" t="s">
        <v>295</v>
      </c>
      <c r="B852">
        <v>1</v>
      </c>
    </row>
    <row r="853" spans="1:2" x14ac:dyDescent="0.35">
      <c r="A853" s="13" t="s">
        <v>296</v>
      </c>
      <c r="B853">
        <v>1</v>
      </c>
    </row>
    <row r="854" spans="1:2" x14ac:dyDescent="0.35">
      <c r="A854" s="14" t="s">
        <v>603</v>
      </c>
      <c r="B854">
        <v>1</v>
      </c>
    </row>
    <row r="855" spans="1:2" x14ac:dyDescent="0.35">
      <c r="A855" s="2" t="s">
        <v>176</v>
      </c>
      <c r="B855">
        <v>1</v>
      </c>
    </row>
    <row r="856" spans="1:2" x14ac:dyDescent="0.35">
      <c r="A856" s="13" t="s">
        <v>44</v>
      </c>
      <c r="B856">
        <v>1</v>
      </c>
    </row>
    <row r="857" spans="1:2" x14ac:dyDescent="0.35">
      <c r="A857" s="14" t="s">
        <v>0</v>
      </c>
      <c r="B857">
        <v>1</v>
      </c>
    </row>
    <row r="858" spans="1:2" x14ac:dyDescent="0.35">
      <c r="A858" s="2" t="s">
        <v>548</v>
      </c>
      <c r="B858">
        <v>1</v>
      </c>
    </row>
    <row r="859" spans="1:2" x14ac:dyDescent="0.35">
      <c r="A859" s="13" t="s">
        <v>549</v>
      </c>
      <c r="B859">
        <v>1</v>
      </c>
    </row>
    <row r="860" spans="1:2" x14ac:dyDescent="0.35">
      <c r="A860" s="14" t="s">
        <v>3</v>
      </c>
      <c r="B860">
        <v>1</v>
      </c>
    </row>
    <row r="861" spans="1:2" x14ac:dyDescent="0.35">
      <c r="A861" s="2" t="s">
        <v>262</v>
      </c>
      <c r="B861">
        <v>1</v>
      </c>
    </row>
    <row r="862" spans="1:2" x14ac:dyDescent="0.35">
      <c r="A862" s="13" t="s">
        <v>75</v>
      </c>
      <c r="B862">
        <v>1</v>
      </c>
    </row>
    <row r="863" spans="1:2" x14ac:dyDescent="0.35">
      <c r="A863" s="14" t="s">
        <v>603</v>
      </c>
      <c r="B863">
        <v>1</v>
      </c>
    </row>
    <row r="864" spans="1:2" x14ac:dyDescent="0.35">
      <c r="A864" s="2" t="s">
        <v>495</v>
      </c>
      <c r="B864">
        <v>1</v>
      </c>
    </row>
    <row r="865" spans="1:2" x14ac:dyDescent="0.35">
      <c r="A865" s="13" t="s">
        <v>496</v>
      </c>
      <c r="B865">
        <v>1</v>
      </c>
    </row>
    <row r="866" spans="1:2" x14ac:dyDescent="0.35">
      <c r="A866" s="14" t="s">
        <v>3</v>
      </c>
      <c r="B866">
        <v>1</v>
      </c>
    </row>
    <row r="867" spans="1:2" x14ac:dyDescent="0.35">
      <c r="A867" s="2" t="s">
        <v>530</v>
      </c>
      <c r="B867">
        <v>1</v>
      </c>
    </row>
    <row r="868" spans="1:2" x14ac:dyDescent="0.35">
      <c r="A868" s="13" t="s">
        <v>531</v>
      </c>
      <c r="B868">
        <v>1</v>
      </c>
    </row>
    <row r="869" spans="1:2" x14ac:dyDescent="0.35">
      <c r="A869" s="14" t="s">
        <v>3</v>
      </c>
      <c r="B869">
        <v>1</v>
      </c>
    </row>
    <row r="870" spans="1:2" x14ac:dyDescent="0.35">
      <c r="A870" s="2" t="s">
        <v>568</v>
      </c>
      <c r="B870">
        <v>1</v>
      </c>
    </row>
    <row r="871" spans="1:2" x14ac:dyDescent="0.35">
      <c r="A871" s="13" t="s">
        <v>569</v>
      </c>
      <c r="B871">
        <v>1</v>
      </c>
    </row>
    <row r="872" spans="1:2" x14ac:dyDescent="0.35">
      <c r="A872" s="14" t="s">
        <v>3</v>
      </c>
      <c r="B872">
        <v>1</v>
      </c>
    </row>
    <row r="873" spans="1:2" x14ac:dyDescent="0.35">
      <c r="A873" s="2" t="s">
        <v>279</v>
      </c>
      <c r="B873">
        <v>1</v>
      </c>
    </row>
    <row r="874" spans="1:2" x14ac:dyDescent="0.35">
      <c r="A874" s="13" t="s">
        <v>280</v>
      </c>
      <c r="B874">
        <v>1</v>
      </c>
    </row>
    <row r="875" spans="1:2" x14ac:dyDescent="0.35">
      <c r="A875" s="14" t="s">
        <v>603</v>
      </c>
      <c r="B875">
        <v>1</v>
      </c>
    </row>
    <row r="876" spans="1:2" x14ac:dyDescent="0.35">
      <c r="A876" s="2" t="s">
        <v>504</v>
      </c>
      <c r="B876">
        <v>1</v>
      </c>
    </row>
    <row r="877" spans="1:2" x14ac:dyDescent="0.35">
      <c r="A877" s="13" t="s">
        <v>505</v>
      </c>
      <c r="B877">
        <v>1</v>
      </c>
    </row>
    <row r="878" spans="1:2" x14ac:dyDescent="0.35">
      <c r="A878" s="14" t="s">
        <v>3</v>
      </c>
      <c r="B878">
        <v>1</v>
      </c>
    </row>
    <row r="879" spans="1:2" x14ac:dyDescent="0.35">
      <c r="A879" s="2" t="s">
        <v>125</v>
      </c>
      <c r="B879">
        <v>1</v>
      </c>
    </row>
    <row r="880" spans="1:2" x14ac:dyDescent="0.35">
      <c r="A880" s="13" t="s">
        <v>126</v>
      </c>
      <c r="B880">
        <v>1</v>
      </c>
    </row>
    <row r="881" spans="1:2" x14ac:dyDescent="0.35">
      <c r="A881" s="14" t="s">
        <v>4</v>
      </c>
      <c r="B881">
        <v>1</v>
      </c>
    </row>
    <row r="882" spans="1:2" x14ac:dyDescent="0.35">
      <c r="A882" s="2" t="s">
        <v>157</v>
      </c>
      <c r="B882">
        <v>1</v>
      </c>
    </row>
    <row r="883" spans="1:2" x14ac:dyDescent="0.35">
      <c r="A883" s="13" t="s">
        <v>158</v>
      </c>
      <c r="B883">
        <v>1</v>
      </c>
    </row>
    <row r="884" spans="1:2" x14ac:dyDescent="0.35">
      <c r="A884" s="14" t="s">
        <v>604</v>
      </c>
      <c r="B884">
        <v>1</v>
      </c>
    </row>
    <row r="885" spans="1:2" x14ac:dyDescent="0.35">
      <c r="A885" s="2" t="s">
        <v>442</v>
      </c>
      <c r="B885">
        <v>1</v>
      </c>
    </row>
    <row r="886" spans="1:2" x14ac:dyDescent="0.35">
      <c r="A886" s="13" t="s">
        <v>443</v>
      </c>
      <c r="B886">
        <v>1</v>
      </c>
    </row>
    <row r="887" spans="1:2" x14ac:dyDescent="0.35">
      <c r="A887" s="14" t="s">
        <v>428</v>
      </c>
      <c r="B887">
        <v>1</v>
      </c>
    </row>
    <row r="888" spans="1:2" x14ac:dyDescent="0.35">
      <c r="A888" s="2" t="s">
        <v>121</v>
      </c>
      <c r="B888">
        <v>1</v>
      </c>
    </row>
    <row r="889" spans="1:2" x14ac:dyDescent="0.35">
      <c r="A889" s="13" t="s">
        <v>122</v>
      </c>
      <c r="B889">
        <v>1</v>
      </c>
    </row>
    <row r="890" spans="1:2" x14ac:dyDescent="0.35">
      <c r="A890" s="14" t="s">
        <v>3</v>
      </c>
      <c r="B890">
        <v>1</v>
      </c>
    </row>
    <row r="891" spans="1:2" x14ac:dyDescent="0.35">
      <c r="A891" s="2" t="s">
        <v>588</v>
      </c>
      <c r="B891">
        <v>1</v>
      </c>
    </row>
    <row r="892" spans="1:2" x14ac:dyDescent="0.35">
      <c r="A892" s="13" t="s">
        <v>589</v>
      </c>
      <c r="B892">
        <v>1</v>
      </c>
    </row>
    <row r="893" spans="1:2" x14ac:dyDescent="0.35">
      <c r="A893" s="14" t="s">
        <v>3</v>
      </c>
      <c r="B893">
        <v>1</v>
      </c>
    </row>
    <row r="894" spans="1:2" x14ac:dyDescent="0.35">
      <c r="A894" s="2" t="s">
        <v>546</v>
      </c>
      <c r="B894">
        <v>1</v>
      </c>
    </row>
    <row r="895" spans="1:2" x14ac:dyDescent="0.35">
      <c r="A895" s="13" t="s">
        <v>547</v>
      </c>
      <c r="B895">
        <v>1</v>
      </c>
    </row>
    <row r="896" spans="1:2" x14ac:dyDescent="0.35">
      <c r="A896" s="14" t="s">
        <v>3</v>
      </c>
      <c r="B896">
        <v>1</v>
      </c>
    </row>
    <row r="897" spans="1:2" x14ac:dyDescent="0.35">
      <c r="A897" s="2" t="s">
        <v>341</v>
      </c>
      <c r="B897">
        <v>1</v>
      </c>
    </row>
    <row r="898" spans="1:2" x14ac:dyDescent="0.35">
      <c r="A898" s="13" t="s">
        <v>342</v>
      </c>
      <c r="B898">
        <v>1</v>
      </c>
    </row>
    <row r="899" spans="1:2" x14ac:dyDescent="0.35">
      <c r="A899" s="14" t="s">
        <v>603</v>
      </c>
      <c r="B899">
        <v>1</v>
      </c>
    </row>
    <row r="900" spans="1:2" x14ac:dyDescent="0.35">
      <c r="A900" s="2" t="s">
        <v>171</v>
      </c>
      <c r="B900">
        <v>1</v>
      </c>
    </row>
    <row r="901" spans="1:2" x14ac:dyDescent="0.35">
      <c r="A901" s="13" t="s">
        <v>172</v>
      </c>
      <c r="B901">
        <v>1</v>
      </c>
    </row>
    <row r="902" spans="1:2" x14ac:dyDescent="0.35">
      <c r="A902" s="14" t="s">
        <v>604</v>
      </c>
      <c r="B902">
        <v>1</v>
      </c>
    </row>
    <row r="903" spans="1:2" x14ac:dyDescent="0.35">
      <c r="A903" s="2" t="s">
        <v>165</v>
      </c>
      <c r="B903">
        <v>1</v>
      </c>
    </row>
    <row r="904" spans="1:2" x14ac:dyDescent="0.35">
      <c r="A904" s="13" t="s">
        <v>166</v>
      </c>
      <c r="B904">
        <v>1</v>
      </c>
    </row>
    <row r="905" spans="1:2" x14ac:dyDescent="0.35">
      <c r="A905" s="14" t="s">
        <v>604</v>
      </c>
      <c r="B905">
        <v>1</v>
      </c>
    </row>
    <row r="906" spans="1:2" x14ac:dyDescent="0.35">
      <c r="A906" s="2" t="s">
        <v>595</v>
      </c>
      <c r="B906">
        <v>1</v>
      </c>
    </row>
    <row r="907" spans="1:2" x14ac:dyDescent="0.35">
      <c r="A907" s="13" t="s">
        <v>596</v>
      </c>
      <c r="B907">
        <v>1</v>
      </c>
    </row>
    <row r="908" spans="1:2" x14ac:dyDescent="0.35">
      <c r="A908" s="14" t="s">
        <v>4</v>
      </c>
      <c r="B908">
        <v>1</v>
      </c>
    </row>
    <row r="909" spans="1:2" x14ac:dyDescent="0.35">
      <c r="A909" s="2" t="s">
        <v>152</v>
      </c>
      <c r="B909">
        <v>1</v>
      </c>
    </row>
    <row r="910" spans="1:2" x14ac:dyDescent="0.35">
      <c r="A910" s="13" t="s">
        <v>153</v>
      </c>
      <c r="B910">
        <v>1</v>
      </c>
    </row>
    <row r="911" spans="1:2" x14ac:dyDescent="0.35">
      <c r="A911" s="14" t="s">
        <v>6</v>
      </c>
      <c r="B911">
        <v>1</v>
      </c>
    </row>
    <row r="912" spans="1:2" x14ac:dyDescent="0.35">
      <c r="A912" s="2" t="s">
        <v>536</v>
      </c>
      <c r="B912">
        <v>1</v>
      </c>
    </row>
    <row r="913" spans="1:2" x14ac:dyDescent="0.35">
      <c r="A913" s="13" t="s">
        <v>537</v>
      </c>
      <c r="B913">
        <v>1</v>
      </c>
    </row>
    <row r="914" spans="1:2" x14ac:dyDescent="0.35">
      <c r="A914" s="14" t="s">
        <v>3</v>
      </c>
      <c r="B914">
        <v>1</v>
      </c>
    </row>
    <row r="915" spans="1:2" x14ac:dyDescent="0.35">
      <c r="A915" s="2" t="s">
        <v>572</v>
      </c>
      <c r="B915">
        <v>1</v>
      </c>
    </row>
    <row r="916" spans="1:2" x14ac:dyDescent="0.35">
      <c r="A916" s="13" t="s">
        <v>573</v>
      </c>
      <c r="B916">
        <v>1</v>
      </c>
    </row>
    <row r="917" spans="1:2" x14ac:dyDescent="0.35">
      <c r="A917" s="14" t="s">
        <v>3</v>
      </c>
      <c r="B917">
        <v>1</v>
      </c>
    </row>
    <row r="918" spans="1:2" x14ac:dyDescent="0.35">
      <c r="A918" s="2" t="s">
        <v>582</v>
      </c>
      <c r="B918">
        <v>1</v>
      </c>
    </row>
    <row r="919" spans="1:2" x14ac:dyDescent="0.35">
      <c r="A919" s="13" t="s">
        <v>583</v>
      </c>
      <c r="B919">
        <v>1</v>
      </c>
    </row>
    <row r="920" spans="1:2" x14ac:dyDescent="0.35">
      <c r="A920" s="14" t="s">
        <v>3</v>
      </c>
      <c r="B920">
        <v>1</v>
      </c>
    </row>
    <row r="921" spans="1:2" x14ac:dyDescent="0.35">
      <c r="A921" s="2" t="s">
        <v>435</v>
      </c>
      <c r="B921">
        <v>1</v>
      </c>
    </row>
    <row r="922" spans="1:2" x14ac:dyDescent="0.35">
      <c r="A922" s="13" t="s">
        <v>51</v>
      </c>
      <c r="B922">
        <v>1</v>
      </c>
    </row>
    <row r="923" spans="1:2" x14ac:dyDescent="0.35">
      <c r="A923" s="14" t="s">
        <v>428</v>
      </c>
      <c r="B923">
        <v>1</v>
      </c>
    </row>
    <row r="924" spans="1:2" x14ac:dyDescent="0.35">
      <c r="A924" s="2" t="s">
        <v>161</v>
      </c>
      <c r="B924">
        <v>1</v>
      </c>
    </row>
    <row r="925" spans="1:2" x14ac:dyDescent="0.35">
      <c r="A925" s="13" t="s">
        <v>162</v>
      </c>
      <c r="B925">
        <v>1</v>
      </c>
    </row>
    <row r="926" spans="1:2" x14ac:dyDescent="0.35">
      <c r="A926" s="14" t="s">
        <v>604</v>
      </c>
      <c r="B926">
        <v>1</v>
      </c>
    </row>
    <row r="927" spans="1:2" x14ac:dyDescent="0.35">
      <c r="A927" s="2" t="s">
        <v>273</v>
      </c>
      <c r="B927">
        <v>1</v>
      </c>
    </row>
    <row r="928" spans="1:2" x14ac:dyDescent="0.35">
      <c r="A928" s="13" t="s">
        <v>274</v>
      </c>
      <c r="B928">
        <v>1</v>
      </c>
    </row>
    <row r="929" spans="1:2" x14ac:dyDescent="0.35">
      <c r="A929" s="14" t="s">
        <v>603</v>
      </c>
      <c r="B929">
        <v>1</v>
      </c>
    </row>
    <row r="930" spans="1:2" x14ac:dyDescent="0.35">
      <c r="A930" s="2" t="s">
        <v>403</v>
      </c>
      <c r="B930">
        <v>1</v>
      </c>
    </row>
    <row r="931" spans="1:2" x14ac:dyDescent="0.35">
      <c r="A931" s="13" t="s">
        <v>404</v>
      </c>
      <c r="B931">
        <v>1</v>
      </c>
    </row>
    <row r="932" spans="1:2" x14ac:dyDescent="0.35">
      <c r="A932" s="14" t="s">
        <v>3</v>
      </c>
      <c r="B932">
        <v>1</v>
      </c>
    </row>
    <row r="933" spans="1:2" x14ac:dyDescent="0.35">
      <c r="A933" s="2" t="s">
        <v>347</v>
      </c>
      <c r="B933">
        <v>1</v>
      </c>
    </row>
    <row r="934" spans="1:2" x14ac:dyDescent="0.35">
      <c r="A934" s="13" t="s">
        <v>348</v>
      </c>
      <c r="B934">
        <v>1</v>
      </c>
    </row>
    <row r="935" spans="1:2" x14ac:dyDescent="0.35">
      <c r="A935" s="14" t="s">
        <v>603</v>
      </c>
      <c r="B935">
        <v>1</v>
      </c>
    </row>
    <row r="936" spans="1:2" x14ac:dyDescent="0.35">
      <c r="A936" s="2" t="s">
        <v>586</v>
      </c>
      <c r="B936">
        <v>1</v>
      </c>
    </row>
    <row r="937" spans="1:2" x14ac:dyDescent="0.35">
      <c r="A937" s="13" t="s">
        <v>587</v>
      </c>
      <c r="B937">
        <v>1</v>
      </c>
    </row>
    <row r="938" spans="1:2" x14ac:dyDescent="0.35">
      <c r="A938" s="14" t="s">
        <v>3</v>
      </c>
      <c r="B938">
        <v>1</v>
      </c>
    </row>
    <row r="939" spans="1:2" x14ac:dyDescent="0.35">
      <c r="A939" s="2" t="s">
        <v>540</v>
      </c>
      <c r="B939">
        <v>1</v>
      </c>
    </row>
    <row r="940" spans="1:2" x14ac:dyDescent="0.35">
      <c r="A940" s="13" t="s">
        <v>541</v>
      </c>
      <c r="B940">
        <v>1</v>
      </c>
    </row>
    <row r="941" spans="1:2" x14ac:dyDescent="0.35">
      <c r="A941" s="14" t="s">
        <v>3</v>
      </c>
      <c r="B941">
        <v>1</v>
      </c>
    </row>
    <row r="942" spans="1:2" x14ac:dyDescent="0.35">
      <c r="A942" s="2" t="s">
        <v>256</v>
      </c>
      <c r="B942">
        <v>1</v>
      </c>
    </row>
    <row r="943" spans="1:2" x14ac:dyDescent="0.35">
      <c r="A943" s="13" t="s">
        <v>257</v>
      </c>
      <c r="B943">
        <v>1</v>
      </c>
    </row>
    <row r="944" spans="1:2" x14ac:dyDescent="0.35">
      <c r="A944" s="14" t="s">
        <v>2</v>
      </c>
      <c r="B944">
        <v>0</v>
      </c>
    </row>
    <row r="945" spans="1:2" x14ac:dyDescent="0.35">
      <c r="A945" s="14" t="s">
        <v>7</v>
      </c>
      <c r="B945">
        <v>1</v>
      </c>
    </row>
    <row r="946" spans="1:2" x14ac:dyDescent="0.35">
      <c r="A946" s="2" t="s">
        <v>110</v>
      </c>
      <c r="B946">
        <v>1</v>
      </c>
    </row>
    <row r="947" spans="1:2" x14ac:dyDescent="0.35">
      <c r="A947" s="13" t="s">
        <v>111</v>
      </c>
      <c r="B947">
        <v>1</v>
      </c>
    </row>
    <row r="948" spans="1:2" x14ac:dyDescent="0.35">
      <c r="A948" s="14" t="s">
        <v>2</v>
      </c>
      <c r="B948">
        <v>1</v>
      </c>
    </row>
    <row r="949" spans="1:2" x14ac:dyDescent="0.35">
      <c r="A949" s="2" t="s">
        <v>405</v>
      </c>
      <c r="B949">
        <v>1</v>
      </c>
    </row>
    <row r="950" spans="1:2" x14ac:dyDescent="0.35">
      <c r="A950" s="13" t="s">
        <v>406</v>
      </c>
      <c r="B950">
        <v>1</v>
      </c>
    </row>
    <row r="951" spans="1:2" x14ac:dyDescent="0.35">
      <c r="A951" s="14" t="s">
        <v>3</v>
      </c>
      <c r="B951">
        <v>1</v>
      </c>
    </row>
    <row r="952" spans="1:2" x14ac:dyDescent="0.35">
      <c r="A952" s="2" t="s">
        <v>132</v>
      </c>
      <c r="B952">
        <v>1</v>
      </c>
    </row>
    <row r="953" spans="1:2" x14ac:dyDescent="0.35">
      <c r="A953" s="13" t="s">
        <v>133</v>
      </c>
      <c r="B953">
        <v>1</v>
      </c>
    </row>
    <row r="954" spans="1:2" x14ac:dyDescent="0.35">
      <c r="A954" s="14" t="s">
        <v>4</v>
      </c>
      <c r="B954">
        <v>1</v>
      </c>
    </row>
    <row r="955" spans="1:2" x14ac:dyDescent="0.35">
      <c r="A955" s="2" t="s">
        <v>123</v>
      </c>
      <c r="B955">
        <v>1</v>
      </c>
    </row>
    <row r="956" spans="1:2" x14ac:dyDescent="0.35">
      <c r="A956" s="13" t="s">
        <v>124</v>
      </c>
      <c r="B956">
        <v>1</v>
      </c>
    </row>
    <row r="957" spans="1:2" x14ac:dyDescent="0.35">
      <c r="A957" s="14" t="s">
        <v>4</v>
      </c>
      <c r="B957">
        <v>1</v>
      </c>
    </row>
    <row r="958" spans="1:2" x14ac:dyDescent="0.35">
      <c r="A958" s="2" t="s">
        <v>584</v>
      </c>
      <c r="B958">
        <v>1</v>
      </c>
    </row>
    <row r="959" spans="1:2" x14ac:dyDescent="0.35">
      <c r="A959" s="13" t="s">
        <v>585</v>
      </c>
      <c r="B959">
        <v>1</v>
      </c>
    </row>
    <row r="960" spans="1:2" x14ac:dyDescent="0.35">
      <c r="A960" s="14" t="s">
        <v>3</v>
      </c>
      <c r="B960">
        <v>1</v>
      </c>
    </row>
    <row r="961" spans="1:2" x14ac:dyDescent="0.35">
      <c r="A961" s="2" t="s">
        <v>421</v>
      </c>
      <c r="B961">
        <v>1</v>
      </c>
    </row>
    <row r="962" spans="1:2" x14ac:dyDescent="0.35">
      <c r="A962" s="13" t="s">
        <v>422</v>
      </c>
      <c r="B962">
        <v>1</v>
      </c>
    </row>
    <row r="963" spans="1:2" x14ac:dyDescent="0.35">
      <c r="A963" s="14" t="s">
        <v>3</v>
      </c>
      <c r="B963">
        <v>1</v>
      </c>
    </row>
    <row r="964" spans="1:2" x14ac:dyDescent="0.35">
      <c r="A964" s="2" t="s">
        <v>384</v>
      </c>
      <c r="B964">
        <v>0</v>
      </c>
    </row>
    <row r="965" spans="1:2" x14ac:dyDescent="0.35">
      <c r="A965" s="13" t="s">
        <v>385</v>
      </c>
      <c r="B965">
        <v>0</v>
      </c>
    </row>
    <row r="966" spans="1:2" x14ac:dyDescent="0.35">
      <c r="A966" s="14" t="s">
        <v>3</v>
      </c>
      <c r="B966">
        <v>0</v>
      </c>
    </row>
    <row r="967" spans="1:2" x14ac:dyDescent="0.35">
      <c r="A967" s="2" t="s">
        <v>213</v>
      </c>
      <c r="B967">
        <v>0</v>
      </c>
    </row>
    <row r="968" spans="1:2" x14ac:dyDescent="0.35">
      <c r="A968" s="13" t="s">
        <v>214</v>
      </c>
      <c r="B968">
        <v>0</v>
      </c>
    </row>
    <row r="969" spans="1:2" x14ac:dyDescent="0.35">
      <c r="A969" s="14" t="s">
        <v>0</v>
      </c>
      <c r="B969">
        <v>0</v>
      </c>
    </row>
    <row r="970" spans="1:2" x14ac:dyDescent="0.35">
      <c r="A970" s="14" t="s">
        <v>1</v>
      </c>
      <c r="B970">
        <v>0</v>
      </c>
    </row>
    <row r="971" spans="1:2" x14ac:dyDescent="0.35">
      <c r="A971" s="14" t="s">
        <v>4</v>
      </c>
      <c r="B971">
        <v>0</v>
      </c>
    </row>
    <row r="972" spans="1:2" x14ac:dyDescent="0.35">
      <c r="A972" s="14" t="s">
        <v>6</v>
      </c>
      <c r="B972">
        <v>0</v>
      </c>
    </row>
    <row r="973" spans="1:2" x14ac:dyDescent="0.35">
      <c r="A973" s="2" t="s">
        <v>378</v>
      </c>
      <c r="B973">
        <v>0</v>
      </c>
    </row>
    <row r="974" spans="1:2" x14ac:dyDescent="0.35">
      <c r="A974" s="13" t="s">
        <v>379</v>
      </c>
      <c r="B974">
        <v>0</v>
      </c>
    </row>
    <row r="975" spans="1:2" x14ac:dyDescent="0.35">
      <c r="A975" s="14" t="s">
        <v>2</v>
      </c>
      <c r="B975">
        <v>0</v>
      </c>
    </row>
    <row r="976" spans="1:2" x14ac:dyDescent="0.35">
      <c r="A976" s="2" t="s">
        <v>209</v>
      </c>
      <c r="B976">
        <v>0</v>
      </c>
    </row>
    <row r="977" spans="1:2" x14ac:dyDescent="0.35">
      <c r="A977" s="13" t="s">
        <v>210</v>
      </c>
      <c r="B977">
        <v>0</v>
      </c>
    </row>
    <row r="978" spans="1:2" x14ac:dyDescent="0.35">
      <c r="A978" s="14" t="s">
        <v>0</v>
      </c>
      <c r="B978">
        <v>0</v>
      </c>
    </row>
    <row r="979" spans="1:2" x14ac:dyDescent="0.35">
      <c r="A979" s="14" t="s">
        <v>1</v>
      </c>
      <c r="B979">
        <v>0</v>
      </c>
    </row>
    <row r="980" spans="1:2" x14ac:dyDescent="0.35">
      <c r="A980" s="14" t="s">
        <v>2</v>
      </c>
      <c r="B980">
        <v>0</v>
      </c>
    </row>
    <row r="981" spans="1:2" x14ac:dyDescent="0.35">
      <c r="A981" s="14" t="s">
        <v>4</v>
      </c>
      <c r="B981">
        <v>0</v>
      </c>
    </row>
    <row r="982" spans="1:2" x14ac:dyDescent="0.35">
      <c r="A982" s="14" t="s">
        <v>5</v>
      </c>
      <c r="B982">
        <v>0</v>
      </c>
    </row>
    <row r="983" spans="1:2" x14ac:dyDescent="0.35">
      <c r="A983" s="14" t="s">
        <v>428</v>
      </c>
      <c r="B983">
        <v>0</v>
      </c>
    </row>
    <row r="984" spans="1:2" x14ac:dyDescent="0.35">
      <c r="A984" s="14" t="s">
        <v>6</v>
      </c>
      <c r="B984">
        <v>0</v>
      </c>
    </row>
    <row r="985" spans="1:2" x14ac:dyDescent="0.35">
      <c r="A985" s="14" t="s">
        <v>7</v>
      </c>
      <c r="B985">
        <v>0</v>
      </c>
    </row>
    <row r="986" spans="1:2" x14ac:dyDescent="0.35">
      <c r="A986" s="2" t="s">
        <v>235</v>
      </c>
      <c r="B986">
        <v>0</v>
      </c>
    </row>
    <row r="987" spans="1:2" x14ac:dyDescent="0.35">
      <c r="A987" s="13" t="s">
        <v>236</v>
      </c>
      <c r="B987">
        <v>0</v>
      </c>
    </row>
    <row r="988" spans="1:2" x14ac:dyDescent="0.35">
      <c r="A988" s="14" t="s">
        <v>1</v>
      </c>
      <c r="B988">
        <v>0</v>
      </c>
    </row>
    <row r="989" spans="1:2" x14ac:dyDescent="0.35">
      <c r="A989" s="14" t="s">
        <v>4</v>
      </c>
      <c r="B989">
        <v>0</v>
      </c>
    </row>
    <row r="990" spans="1:2" x14ac:dyDescent="0.35">
      <c r="A990" s="14" t="s">
        <v>428</v>
      </c>
      <c r="B990">
        <v>0</v>
      </c>
    </row>
    <row r="991" spans="1:2" x14ac:dyDescent="0.35">
      <c r="A991" s="14" t="s">
        <v>6</v>
      </c>
      <c r="B991">
        <v>0</v>
      </c>
    </row>
    <row r="992" spans="1:2" x14ac:dyDescent="0.35">
      <c r="A992" s="2" t="s">
        <v>99</v>
      </c>
      <c r="B992">
        <v>0</v>
      </c>
    </row>
    <row r="993" spans="1:2" x14ac:dyDescent="0.35">
      <c r="A993" s="13" t="s">
        <v>201</v>
      </c>
      <c r="B993">
        <v>0</v>
      </c>
    </row>
    <row r="994" spans="1:2" x14ac:dyDescent="0.35">
      <c r="A994" s="14" t="s">
        <v>0</v>
      </c>
      <c r="B994">
        <v>0</v>
      </c>
    </row>
    <row r="995" spans="1:2" x14ac:dyDescent="0.35">
      <c r="A995" s="14" t="s">
        <v>2</v>
      </c>
      <c r="B995">
        <v>0</v>
      </c>
    </row>
    <row r="996" spans="1:2" x14ac:dyDescent="0.35">
      <c r="A996" s="14" t="s">
        <v>428</v>
      </c>
      <c r="B996">
        <v>0</v>
      </c>
    </row>
    <row r="997" spans="1:2" x14ac:dyDescent="0.35">
      <c r="A997" s="14" t="s">
        <v>6</v>
      </c>
      <c r="B997">
        <v>0</v>
      </c>
    </row>
    <row r="998" spans="1:2" x14ac:dyDescent="0.35">
      <c r="A998" s="2" t="s">
        <v>415</v>
      </c>
      <c r="B998">
        <v>0</v>
      </c>
    </row>
    <row r="999" spans="1:2" x14ac:dyDescent="0.35">
      <c r="A999" s="13" t="s">
        <v>416</v>
      </c>
      <c r="B999">
        <v>0</v>
      </c>
    </row>
    <row r="1000" spans="1:2" x14ac:dyDescent="0.35">
      <c r="A1000" s="14" t="s">
        <v>3</v>
      </c>
      <c r="B1000">
        <v>0</v>
      </c>
    </row>
    <row r="1001" spans="1:2" x14ac:dyDescent="0.35">
      <c r="A1001" s="2" t="s">
        <v>202</v>
      </c>
      <c r="B1001">
        <v>0</v>
      </c>
    </row>
    <row r="1002" spans="1:2" x14ac:dyDescent="0.35">
      <c r="A1002" s="13" t="s">
        <v>203</v>
      </c>
      <c r="B1002">
        <v>0</v>
      </c>
    </row>
    <row r="1003" spans="1:2" x14ac:dyDescent="0.35">
      <c r="A1003" s="14" t="s">
        <v>0</v>
      </c>
      <c r="B1003">
        <v>0</v>
      </c>
    </row>
    <row r="1004" spans="1:2" x14ac:dyDescent="0.35">
      <c r="A1004" s="14" t="s">
        <v>1</v>
      </c>
      <c r="B1004">
        <v>0</v>
      </c>
    </row>
    <row r="1005" spans="1:2" x14ac:dyDescent="0.35">
      <c r="A1005" s="14" t="s">
        <v>3</v>
      </c>
      <c r="B1005">
        <v>0</v>
      </c>
    </row>
    <row r="1006" spans="1:2" x14ac:dyDescent="0.35">
      <c r="A1006" s="14" t="s">
        <v>4</v>
      </c>
      <c r="B1006">
        <v>0</v>
      </c>
    </row>
    <row r="1007" spans="1:2" x14ac:dyDescent="0.35">
      <c r="A1007" s="14" t="s">
        <v>428</v>
      </c>
      <c r="B1007">
        <v>0</v>
      </c>
    </row>
    <row r="1008" spans="1:2" x14ac:dyDescent="0.35">
      <c r="A1008" s="14" t="s">
        <v>6</v>
      </c>
      <c r="B1008">
        <v>0</v>
      </c>
    </row>
    <row r="1009" spans="1:2" x14ac:dyDescent="0.35">
      <c r="A1009" s="14" t="s">
        <v>7</v>
      </c>
      <c r="B1009">
        <v>0</v>
      </c>
    </row>
    <row r="1010" spans="1:2" x14ac:dyDescent="0.35">
      <c r="A1010" s="2" t="s">
        <v>401</v>
      </c>
      <c r="B1010">
        <v>0</v>
      </c>
    </row>
    <row r="1011" spans="1:2" x14ac:dyDescent="0.35">
      <c r="A1011" s="13" t="s">
        <v>402</v>
      </c>
      <c r="B1011">
        <v>0</v>
      </c>
    </row>
    <row r="1012" spans="1:2" x14ac:dyDescent="0.35">
      <c r="A1012" s="14" t="s">
        <v>3</v>
      </c>
      <c r="B1012">
        <v>0</v>
      </c>
    </row>
    <row r="1013" spans="1:2" x14ac:dyDescent="0.35">
      <c r="A1013" s="2" t="s">
        <v>425</v>
      </c>
      <c r="B1013">
        <v>0</v>
      </c>
    </row>
    <row r="1014" spans="1:2" x14ac:dyDescent="0.35">
      <c r="A1014" s="13" t="s">
        <v>426</v>
      </c>
      <c r="B1014">
        <v>0</v>
      </c>
    </row>
    <row r="1015" spans="1:2" x14ac:dyDescent="0.35">
      <c r="A1015" s="14" t="s">
        <v>3</v>
      </c>
      <c r="B1015">
        <v>0</v>
      </c>
    </row>
    <row r="1016" spans="1:2" x14ac:dyDescent="0.35">
      <c r="A1016" s="2" t="s">
        <v>252</v>
      </c>
      <c r="B1016">
        <v>0</v>
      </c>
    </row>
    <row r="1017" spans="1:2" x14ac:dyDescent="0.35">
      <c r="A1017" s="13" t="s">
        <v>253</v>
      </c>
      <c r="B1017">
        <v>0</v>
      </c>
    </row>
    <row r="1018" spans="1:2" x14ac:dyDescent="0.35">
      <c r="A1018" s="14" t="s">
        <v>7</v>
      </c>
      <c r="B1018">
        <v>0</v>
      </c>
    </row>
    <row r="1019" spans="1:2" x14ac:dyDescent="0.35">
      <c r="A1019" s="2" t="s">
        <v>226</v>
      </c>
      <c r="B1019">
        <v>0</v>
      </c>
    </row>
    <row r="1020" spans="1:2" x14ac:dyDescent="0.35">
      <c r="A1020" s="13" t="s">
        <v>227</v>
      </c>
      <c r="B1020">
        <v>0</v>
      </c>
    </row>
    <row r="1021" spans="1:2" x14ac:dyDescent="0.35">
      <c r="A1021" s="14" t="s">
        <v>0</v>
      </c>
      <c r="B1021">
        <v>0</v>
      </c>
    </row>
    <row r="1022" spans="1:2" x14ac:dyDescent="0.35">
      <c r="A1022" s="14" t="s">
        <v>428</v>
      </c>
      <c r="B1022">
        <v>0</v>
      </c>
    </row>
    <row r="1023" spans="1:2" x14ac:dyDescent="0.35">
      <c r="A1023" s="2" t="s">
        <v>606</v>
      </c>
    </row>
    <row r="1024" spans="1:2" x14ac:dyDescent="0.35">
      <c r="A1024" s="13" t="s">
        <v>606</v>
      </c>
    </row>
    <row r="1025" spans="1:2" x14ac:dyDescent="0.35">
      <c r="A1025" s="14" t="s">
        <v>603</v>
      </c>
    </row>
    <row r="1026" spans="1:2" x14ac:dyDescent="0.35">
      <c r="A1026" s="14" t="s">
        <v>606</v>
      </c>
    </row>
    <row r="1027" spans="1:2" x14ac:dyDescent="0.35">
      <c r="A1027" s="2" t="s">
        <v>249</v>
      </c>
      <c r="B1027">
        <v>0</v>
      </c>
    </row>
    <row r="1028" spans="1:2" x14ac:dyDescent="0.35">
      <c r="A1028" s="13" t="s">
        <v>250</v>
      </c>
      <c r="B1028">
        <v>0</v>
      </c>
    </row>
    <row r="1029" spans="1:2" x14ac:dyDescent="0.35">
      <c r="A1029" s="14" t="s">
        <v>6</v>
      </c>
      <c r="B1029">
        <v>0</v>
      </c>
    </row>
    <row r="1030" spans="1:2" x14ac:dyDescent="0.35">
      <c r="A1030" s="2" t="s">
        <v>222</v>
      </c>
      <c r="B1030">
        <v>0</v>
      </c>
    </row>
    <row r="1031" spans="1:2" x14ac:dyDescent="0.35">
      <c r="A1031" s="13" t="s">
        <v>223</v>
      </c>
      <c r="B1031">
        <v>0</v>
      </c>
    </row>
    <row r="1032" spans="1:2" x14ac:dyDescent="0.35">
      <c r="A1032" s="14" t="s">
        <v>0</v>
      </c>
      <c r="B1032">
        <v>0</v>
      </c>
    </row>
    <row r="1033" spans="1:2" x14ac:dyDescent="0.35">
      <c r="A1033" s="2" t="s">
        <v>607</v>
      </c>
      <c r="B1033">
        <v>75368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A824-A277-4722-A8CE-F135A31E21A4}">
  <dimension ref="A1:K783"/>
  <sheetViews>
    <sheetView workbookViewId="0">
      <pane ySplit="1" topLeftCell="A2" activePane="bottomLeft" state="frozen"/>
      <selection pane="bottomLeft" activeCell="K783" sqref="K783"/>
    </sheetView>
  </sheetViews>
  <sheetFormatPr defaultRowHeight="14.5" x14ac:dyDescent="0.35"/>
  <cols>
    <col min="1" max="1" width="17.7265625" bestFit="1" customWidth="1"/>
    <col min="2" max="2" width="9.81640625" bestFit="1" customWidth="1"/>
    <col min="3" max="3" width="10.1796875" bestFit="1" customWidth="1"/>
    <col min="4" max="4" width="16.81640625" bestFit="1" customWidth="1"/>
    <col min="5" max="5" width="15.7265625" bestFit="1" customWidth="1"/>
    <col min="6" max="6" width="20.7265625" bestFit="1" customWidth="1"/>
    <col min="7" max="7" width="16.81640625" bestFit="1" customWidth="1"/>
    <col min="8" max="8" width="15.81640625" bestFit="1" customWidth="1"/>
    <col min="9" max="9" width="11.81640625" bestFit="1" customWidth="1"/>
    <col min="10" max="10" width="14.7265625" customWidth="1"/>
    <col min="11" max="11" width="11.7265625" customWidth="1"/>
  </cols>
  <sheetData>
    <row r="1" spans="1:11" x14ac:dyDescent="0.35">
      <c r="A1" s="10" t="s">
        <v>600</v>
      </c>
      <c r="B1" s="10" t="s">
        <v>597</v>
      </c>
      <c r="C1" s="10" t="s">
        <v>10</v>
      </c>
      <c r="D1" s="10" t="s">
        <v>20</v>
      </c>
      <c r="E1" s="10" t="s">
        <v>21</v>
      </c>
      <c r="F1" s="10" t="s">
        <v>23</v>
      </c>
      <c r="G1" s="10" t="s">
        <v>22</v>
      </c>
      <c r="H1" s="10" t="s">
        <v>181</v>
      </c>
      <c r="I1" s="10" t="s">
        <v>602</v>
      </c>
      <c r="J1" s="10" t="s">
        <v>609</v>
      </c>
      <c r="K1" s="10" t="s">
        <v>610</v>
      </c>
    </row>
    <row r="2" spans="1:11" x14ac:dyDescent="0.35">
      <c r="A2" t="s">
        <v>11</v>
      </c>
      <c r="B2" t="s">
        <v>598</v>
      </c>
      <c r="C2" t="s">
        <v>12</v>
      </c>
      <c r="D2" t="s">
        <v>24</v>
      </c>
      <c r="E2" t="s">
        <v>25</v>
      </c>
      <c r="F2" s="11">
        <v>100</v>
      </c>
      <c r="G2" t="s">
        <v>26</v>
      </c>
      <c r="I2" t="s">
        <v>0</v>
      </c>
      <c r="J2" s="15">
        <f>BIA!I2</f>
        <v>0</v>
      </c>
      <c r="K2" s="15">
        <f>BIA!J2</f>
        <v>0</v>
      </c>
    </row>
    <row r="3" spans="1:11" x14ac:dyDescent="0.35">
      <c r="A3" t="s">
        <v>11</v>
      </c>
      <c r="B3" t="s">
        <v>598</v>
      </c>
      <c r="C3" t="s">
        <v>13</v>
      </c>
      <c r="D3" t="s">
        <v>173</v>
      </c>
      <c r="E3" t="s">
        <v>28</v>
      </c>
      <c r="F3" s="11">
        <v>1</v>
      </c>
      <c r="G3" t="s">
        <v>88</v>
      </c>
      <c r="I3" t="s">
        <v>0</v>
      </c>
      <c r="J3" s="15">
        <f>BIA!I3</f>
        <v>0</v>
      </c>
      <c r="K3" s="15">
        <f>BIA!J3</f>
        <v>0</v>
      </c>
    </row>
    <row r="4" spans="1:11" x14ac:dyDescent="0.35">
      <c r="A4" t="s">
        <v>11</v>
      </c>
      <c r="B4" t="s">
        <v>598</v>
      </c>
      <c r="C4" t="s">
        <v>13</v>
      </c>
      <c r="D4" t="s">
        <v>174</v>
      </c>
      <c r="E4" t="s">
        <v>31</v>
      </c>
      <c r="F4" s="11">
        <v>1</v>
      </c>
      <c r="G4" t="s">
        <v>88</v>
      </c>
      <c r="I4" t="s">
        <v>0</v>
      </c>
      <c r="J4" s="15">
        <f>BIA!I4</f>
        <v>0</v>
      </c>
      <c r="K4" s="15">
        <f>BIA!J4</f>
        <v>0</v>
      </c>
    </row>
    <row r="5" spans="1:11" x14ac:dyDescent="0.35">
      <c r="A5" t="s">
        <v>11</v>
      </c>
      <c r="B5" t="s">
        <v>598</v>
      </c>
      <c r="C5" t="s">
        <v>13</v>
      </c>
      <c r="D5" t="s">
        <v>32</v>
      </c>
      <c r="E5" t="s">
        <v>33</v>
      </c>
      <c r="F5" s="11">
        <v>1</v>
      </c>
      <c r="G5" t="s">
        <v>29</v>
      </c>
      <c r="I5" t="s">
        <v>0</v>
      </c>
      <c r="J5" s="15">
        <f>BIA!I5</f>
        <v>0</v>
      </c>
      <c r="K5" s="15">
        <f>BIA!J5</f>
        <v>0</v>
      </c>
    </row>
    <row r="6" spans="1:11" x14ac:dyDescent="0.35">
      <c r="A6" t="s">
        <v>11</v>
      </c>
      <c r="B6" t="s">
        <v>598</v>
      </c>
      <c r="C6" t="s">
        <v>13</v>
      </c>
      <c r="D6" t="s">
        <v>34</v>
      </c>
      <c r="E6" t="s">
        <v>35</v>
      </c>
      <c r="F6" s="11">
        <v>1</v>
      </c>
      <c r="G6" t="s">
        <v>26</v>
      </c>
      <c r="I6" t="s">
        <v>0</v>
      </c>
      <c r="J6" s="15">
        <f>BIA!I6</f>
        <v>0</v>
      </c>
      <c r="K6" s="15">
        <f>BIA!J6</f>
        <v>0</v>
      </c>
    </row>
    <row r="7" spans="1:11" x14ac:dyDescent="0.35">
      <c r="A7" t="s">
        <v>11</v>
      </c>
      <c r="B7" t="s">
        <v>598</v>
      </c>
      <c r="C7" t="s">
        <v>14</v>
      </c>
      <c r="D7" t="s">
        <v>38</v>
      </c>
      <c r="E7" t="s">
        <v>35</v>
      </c>
      <c r="F7" s="11">
        <v>1</v>
      </c>
      <c r="G7" t="s">
        <v>26</v>
      </c>
      <c r="I7" t="s">
        <v>0</v>
      </c>
      <c r="J7" s="15">
        <f>BIA!I7</f>
        <v>0</v>
      </c>
      <c r="K7" s="15">
        <f>BIA!J7</f>
        <v>0</v>
      </c>
    </row>
    <row r="8" spans="1:11" x14ac:dyDescent="0.35">
      <c r="A8" t="s">
        <v>11</v>
      </c>
      <c r="B8" t="s">
        <v>598</v>
      </c>
      <c r="C8" t="s">
        <v>14</v>
      </c>
      <c r="D8" t="s">
        <v>175</v>
      </c>
      <c r="E8" t="s">
        <v>37</v>
      </c>
      <c r="F8" s="11">
        <v>1</v>
      </c>
      <c r="G8" t="s">
        <v>88</v>
      </c>
      <c r="I8" t="s">
        <v>0</v>
      </c>
      <c r="J8" s="15">
        <f>BIA!I8</f>
        <v>0</v>
      </c>
      <c r="K8" s="15">
        <f>BIA!J8</f>
        <v>0</v>
      </c>
    </row>
    <row r="9" spans="1:11" x14ac:dyDescent="0.35">
      <c r="A9" t="s">
        <v>15</v>
      </c>
      <c r="B9" t="s">
        <v>598</v>
      </c>
      <c r="C9" t="s">
        <v>16</v>
      </c>
      <c r="D9" t="s">
        <v>41</v>
      </c>
      <c r="E9" t="s">
        <v>42</v>
      </c>
      <c r="F9" s="11">
        <v>1</v>
      </c>
      <c r="G9" t="s">
        <v>26</v>
      </c>
      <c r="I9" t="s">
        <v>0</v>
      </c>
      <c r="J9" s="15">
        <f>BIA!I9</f>
        <v>0</v>
      </c>
      <c r="K9" s="15">
        <f>BIA!J9</f>
        <v>0</v>
      </c>
    </row>
    <row r="10" spans="1:11" x14ac:dyDescent="0.35">
      <c r="A10" t="s">
        <v>15</v>
      </c>
      <c r="B10" t="s">
        <v>598</v>
      </c>
      <c r="C10" t="s">
        <v>16</v>
      </c>
      <c r="D10" t="s">
        <v>154</v>
      </c>
      <c r="E10" t="s">
        <v>40</v>
      </c>
      <c r="F10" s="11">
        <v>19</v>
      </c>
      <c r="G10" t="s">
        <v>88</v>
      </c>
      <c r="I10" t="s">
        <v>0</v>
      </c>
      <c r="J10" s="15">
        <f>BIA!I10</f>
        <v>0</v>
      </c>
      <c r="K10" s="15">
        <f>BIA!J10</f>
        <v>0</v>
      </c>
    </row>
    <row r="11" spans="1:11" x14ac:dyDescent="0.35">
      <c r="A11" t="s">
        <v>15</v>
      </c>
      <c r="B11" t="s">
        <v>598</v>
      </c>
      <c r="C11" t="s">
        <v>16</v>
      </c>
      <c r="D11" t="s">
        <v>176</v>
      </c>
      <c r="E11" t="s">
        <v>44</v>
      </c>
      <c r="F11" s="11">
        <v>1</v>
      </c>
      <c r="G11" t="s">
        <v>88</v>
      </c>
      <c r="I11" t="s">
        <v>0</v>
      </c>
      <c r="J11" s="15">
        <f>BIA!I11</f>
        <v>0</v>
      </c>
      <c r="K11" s="15">
        <f>BIA!J11</f>
        <v>0</v>
      </c>
    </row>
    <row r="12" spans="1:11" x14ac:dyDescent="0.35">
      <c r="A12" t="s">
        <v>17</v>
      </c>
      <c r="B12" t="s">
        <v>598</v>
      </c>
      <c r="C12" t="s">
        <v>18</v>
      </c>
      <c r="D12" t="s">
        <v>177</v>
      </c>
      <c r="E12" t="s">
        <v>50</v>
      </c>
      <c r="F12" s="11">
        <v>7</v>
      </c>
      <c r="G12" t="s">
        <v>88</v>
      </c>
      <c r="I12" t="s">
        <v>0</v>
      </c>
      <c r="J12" s="15">
        <f>BIA!I12</f>
        <v>0</v>
      </c>
      <c r="K12" s="15">
        <f>BIA!J12</f>
        <v>0</v>
      </c>
    </row>
    <row r="13" spans="1:11" x14ac:dyDescent="0.35">
      <c r="A13" t="s">
        <v>17</v>
      </c>
      <c r="B13" t="s">
        <v>598</v>
      </c>
      <c r="C13" t="s">
        <v>18</v>
      </c>
      <c r="D13" t="s">
        <v>136</v>
      </c>
      <c r="E13" t="s">
        <v>46</v>
      </c>
      <c r="F13" s="11">
        <v>24</v>
      </c>
      <c r="G13" t="s">
        <v>88</v>
      </c>
      <c r="I13" t="s">
        <v>0</v>
      </c>
      <c r="J13" s="15">
        <f>BIA!I13</f>
        <v>0</v>
      </c>
      <c r="K13" s="15">
        <f>BIA!J13</f>
        <v>0</v>
      </c>
    </row>
    <row r="14" spans="1:11" x14ac:dyDescent="0.35">
      <c r="A14" t="s">
        <v>17</v>
      </c>
      <c r="B14" t="s">
        <v>598</v>
      </c>
      <c r="C14" t="s">
        <v>18</v>
      </c>
      <c r="D14" t="s">
        <v>178</v>
      </c>
      <c r="E14" t="s">
        <v>48</v>
      </c>
      <c r="F14" s="11">
        <v>4</v>
      </c>
      <c r="G14" t="s">
        <v>88</v>
      </c>
      <c r="I14" t="s">
        <v>0</v>
      </c>
      <c r="J14" s="15">
        <f>BIA!I14</f>
        <v>0</v>
      </c>
      <c r="K14" s="15">
        <f>BIA!J14</f>
        <v>0</v>
      </c>
    </row>
    <row r="15" spans="1:11" x14ac:dyDescent="0.35">
      <c r="A15" t="s">
        <v>17</v>
      </c>
      <c r="B15" t="s">
        <v>598</v>
      </c>
      <c r="C15" t="s">
        <v>18</v>
      </c>
      <c r="D15" t="s">
        <v>137</v>
      </c>
      <c r="E15" t="s">
        <v>51</v>
      </c>
      <c r="F15" s="11">
        <v>3</v>
      </c>
      <c r="G15" t="s">
        <v>88</v>
      </c>
      <c r="I15" t="s">
        <v>0</v>
      </c>
      <c r="J15" s="15">
        <f>BIA!I15</f>
        <v>0</v>
      </c>
      <c r="K15" s="15">
        <f>BIA!J15</f>
        <v>0</v>
      </c>
    </row>
    <row r="16" spans="1:11" x14ac:dyDescent="0.35">
      <c r="A16" t="s">
        <v>17</v>
      </c>
      <c r="B16" t="s">
        <v>598</v>
      </c>
      <c r="C16" t="s">
        <v>18</v>
      </c>
      <c r="D16" t="s">
        <v>138</v>
      </c>
      <c r="E16" t="s">
        <v>53</v>
      </c>
      <c r="F16" s="11">
        <v>90</v>
      </c>
      <c r="G16" t="s">
        <v>88</v>
      </c>
      <c r="I16" t="s">
        <v>0</v>
      </c>
      <c r="J16" s="15">
        <f>BIA!I16</f>
        <v>0</v>
      </c>
      <c r="K16" s="15">
        <f>BIA!J16</f>
        <v>0</v>
      </c>
    </row>
    <row r="17" spans="1:11" x14ac:dyDescent="0.35">
      <c r="A17" t="s">
        <v>17</v>
      </c>
      <c r="B17" t="s">
        <v>598</v>
      </c>
      <c r="C17" t="s">
        <v>18</v>
      </c>
      <c r="D17" t="s">
        <v>141</v>
      </c>
      <c r="E17" t="s">
        <v>54</v>
      </c>
      <c r="F17" s="11">
        <v>5</v>
      </c>
      <c r="G17" t="s">
        <v>88</v>
      </c>
      <c r="I17" t="s">
        <v>0</v>
      </c>
      <c r="J17" s="15">
        <f>BIA!I17</f>
        <v>0</v>
      </c>
      <c r="K17" s="15">
        <f>BIA!J17</f>
        <v>0</v>
      </c>
    </row>
    <row r="18" spans="1:11" x14ac:dyDescent="0.35">
      <c r="A18" t="s">
        <v>17</v>
      </c>
      <c r="B18" t="s">
        <v>598</v>
      </c>
      <c r="C18" t="s">
        <v>18</v>
      </c>
      <c r="D18" t="s">
        <v>144</v>
      </c>
      <c r="E18" t="s">
        <v>55</v>
      </c>
      <c r="F18" s="11">
        <v>13</v>
      </c>
      <c r="G18" t="s">
        <v>88</v>
      </c>
      <c r="I18" t="s">
        <v>0</v>
      </c>
      <c r="J18" s="15">
        <f>BIA!I18</f>
        <v>0</v>
      </c>
      <c r="K18" s="15">
        <f>BIA!J18</f>
        <v>0</v>
      </c>
    </row>
    <row r="19" spans="1:11" x14ac:dyDescent="0.35">
      <c r="A19" t="s">
        <v>17</v>
      </c>
      <c r="B19" t="s">
        <v>598</v>
      </c>
      <c r="C19" t="s">
        <v>18</v>
      </c>
      <c r="D19" t="s">
        <v>58</v>
      </c>
      <c r="E19" t="s">
        <v>59</v>
      </c>
      <c r="F19" s="11">
        <v>1</v>
      </c>
      <c r="G19" t="s">
        <v>26</v>
      </c>
      <c r="I19" t="s">
        <v>0</v>
      </c>
      <c r="J19" s="15">
        <f>BIA!I19</f>
        <v>0</v>
      </c>
      <c r="K19" s="15">
        <f>BIA!J19</f>
        <v>0</v>
      </c>
    </row>
    <row r="20" spans="1:11" x14ac:dyDescent="0.35">
      <c r="A20" t="s">
        <v>17</v>
      </c>
      <c r="B20" t="s">
        <v>598</v>
      </c>
      <c r="C20" t="s">
        <v>18</v>
      </c>
      <c r="D20" t="s">
        <v>179</v>
      </c>
      <c r="E20" t="s">
        <v>61</v>
      </c>
      <c r="F20" s="11">
        <v>3</v>
      </c>
      <c r="G20" t="s">
        <v>88</v>
      </c>
      <c r="I20" t="s">
        <v>0</v>
      </c>
      <c r="J20" s="15">
        <f>BIA!I20</f>
        <v>0</v>
      </c>
      <c r="K20" s="15">
        <f>BIA!J20</f>
        <v>0</v>
      </c>
    </row>
    <row r="21" spans="1:11" x14ac:dyDescent="0.35">
      <c r="A21" t="s">
        <v>17</v>
      </c>
      <c r="B21" t="s">
        <v>598</v>
      </c>
      <c r="C21" t="s">
        <v>18</v>
      </c>
      <c r="D21" t="s">
        <v>180</v>
      </c>
      <c r="E21" t="s">
        <v>57</v>
      </c>
      <c r="F21" s="11">
        <v>1</v>
      </c>
      <c r="G21" t="s">
        <v>88</v>
      </c>
      <c r="I21" t="s">
        <v>0</v>
      </c>
      <c r="J21" s="15">
        <f>BIA!I21</f>
        <v>0</v>
      </c>
      <c r="K21" s="15">
        <f>BIA!J21</f>
        <v>0</v>
      </c>
    </row>
    <row r="22" spans="1:11" x14ac:dyDescent="0.35">
      <c r="A22" t="s">
        <v>17</v>
      </c>
      <c r="B22" t="s">
        <v>598</v>
      </c>
      <c r="C22" t="s">
        <v>19</v>
      </c>
      <c r="D22" t="s">
        <v>147</v>
      </c>
      <c r="E22" t="s">
        <v>19</v>
      </c>
      <c r="F22" s="11">
        <v>150</v>
      </c>
      <c r="G22" t="s">
        <v>88</v>
      </c>
      <c r="I22" t="s">
        <v>0</v>
      </c>
      <c r="J22" s="15">
        <f>BIA!I22</f>
        <v>0</v>
      </c>
      <c r="K22" s="15">
        <f>BIA!J22</f>
        <v>0</v>
      </c>
    </row>
    <row r="23" spans="1:11" x14ac:dyDescent="0.35">
      <c r="A23" t="s">
        <v>17</v>
      </c>
      <c r="B23" t="s">
        <v>598</v>
      </c>
      <c r="C23" t="s">
        <v>19</v>
      </c>
      <c r="D23" t="s">
        <v>63</v>
      </c>
      <c r="E23" t="s">
        <v>64</v>
      </c>
      <c r="F23" s="11">
        <v>1</v>
      </c>
      <c r="G23" t="s">
        <v>26</v>
      </c>
      <c r="I23" t="s">
        <v>0</v>
      </c>
      <c r="J23" s="15">
        <f>BIA!I23</f>
        <v>0</v>
      </c>
      <c r="K23" s="15">
        <f>BIA!J23</f>
        <v>0</v>
      </c>
    </row>
    <row r="24" spans="1:11" x14ac:dyDescent="0.35">
      <c r="A24" t="s">
        <v>65</v>
      </c>
      <c r="B24" t="s">
        <v>598</v>
      </c>
      <c r="C24" t="s">
        <v>66</v>
      </c>
      <c r="D24" t="s">
        <v>67</v>
      </c>
      <c r="E24" t="s">
        <v>68</v>
      </c>
      <c r="F24" s="11">
        <v>1</v>
      </c>
      <c r="I24" t="s">
        <v>0</v>
      </c>
      <c r="J24" s="15">
        <f>BIA!I24</f>
        <v>0</v>
      </c>
      <c r="K24" s="15">
        <f>BIA!J24</f>
        <v>0</v>
      </c>
    </row>
    <row r="25" spans="1:11" x14ac:dyDescent="0.35">
      <c r="A25" t="s">
        <v>65</v>
      </c>
      <c r="B25" t="s">
        <v>598</v>
      </c>
      <c r="C25" t="s">
        <v>66</v>
      </c>
      <c r="D25" t="s">
        <v>69</v>
      </c>
      <c r="E25" t="s">
        <v>70</v>
      </c>
      <c r="F25" s="11">
        <v>100</v>
      </c>
      <c r="I25" t="s">
        <v>0</v>
      </c>
      <c r="J25" s="15">
        <f>BIA!I25</f>
        <v>0</v>
      </c>
      <c r="K25" s="15">
        <f>BIA!J25</f>
        <v>0</v>
      </c>
    </row>
    <row r="26" spans="1:11" x14ac:dyDescent="0.35">
      <c r="A26" t="s">
        <v>65</v>
      </c>
      <c r="B26" t="s">
        <v>598</v>
      </c>
      <c r="C26" t="s">
        <v>71</v>
      </c>
      <c r="D26" t="s">
        <v>72</v>
      </c>
      <c r="E26" t="s">
        <v>73</v>
      </c>
      <c r="F26" s="11">
        <v>100</v>
      </c>
      <c r="I26" t="s">
        <v>0</v>
      </c>
      <c r="J26" s="15">
        <f>BIA!I26</f>
        <v>0</v>
      </c>
      <c r="K26" s="15">
        <f>BIA!J26</f>
        <v>0</v>
      </c>
    </row>
    <row r="27" spans="1:11" x14ac:dyDescent="0.35">
      <c r="A27" t="s">
        <v>65</v>
      </c>
      <c r="B27" t="s">
        <v>598</v>
      </c>
      <c r="C27" t="s">
        <v>71</v>
      </c>
      <c r="D27" t="s">
        <v>74</v>
      </c>
      <c r="E27" t="s">
        <v>75</v>
      </c>
      <c r="F27" s="11">
        <v>1</v>
      </c>
      <c r="I27" t="s">
        <v>0</v>
      </c>
      <c r="J27" s="15">
        <f>BIA!I27</f>
        <v>0</v>
      </c>
      <c r="K27" s="15">
        <f>BIA!J27</f>
        <v>0</v>
      </c>
    </row>
    <row r="28" spans="1:11" x14ac:dyDescent="0.35">
      <c r="A28" t="s">
        <v>65</v>
      </c>
      <c r="B28" t="s">
        <v>598</v>
      </c>
      <c r="C28" t="s">
        <v>71</v>
      </c>
      <c r="D28" t="s">
        <v>76</v>
      </c>
      <c r="E28" t="s">
        <v>77</v>
      </c>
      <c r="F28" s="11">
        <v>100</v>
      </c>
      <c r="I28" t="s">
        <v>0</v>
      </c>
      <c r="J28" s="15">
        <f>BIA!I28</f>
        <v>0</v>
      </c>
      <c r="K28" s="15">
        <f>BIA!J28</f>
        <v>0</v>
      </c>
    </row>
    <row r="29" spans="1:11" x14ac:dyDescent="0.35">
      <c r="A29" t="s">
        <v>78</v>
      </c>
      <c r="B29" t="s">
        <v>598</v>
      </c>
      <c r="C29" t="s">
        <v>79</v>
      </c>
      <c r="D29" t="s">
        <v>80</v>
      </c>
      <c r="E29" t="s">
        <v>81</v>
      </c>
      <c r="F29" s="11">
        <v>1</v>
      </c>
      <c r="I29" t="s">
        <v>0</v>
      </c>
      <c r="J29" s="15">
        <f>BIA!I29</f>
        <v>0</v>
      </c>
      <c r="K29" s="15">
        <f>BIA!J29</f>
        <v>0</v>
      </c>
    </row>
    <row r="30" spans="1:11" x14ac:dyDescent="0.35">
      <c r="A30" t="s">
        <v>78</v>
      </c>
      <c r="B30" t="s">
        <v>598</v>
      </c>
      <c r="C30" t="s">
        <v>79</v>
      </c>
      <c r="D30" t="s">
        <v>82</v>
      </c>
      <c r="E30" t="s">
        <v>83</v>
      </c>
      <c r="F30" s="11">
        <v>15</v>
      </c>
      <c r="I30" t="s">
        <v>0</v>
      </c>
      <c r="J30" s="15">
        <f>BIA!I30</f>
        <v>0</v>
      </c>
      <c r="K30" s="15">
        <f>BIA!J30</f>
        <v>0</v>
      </c>
    </row>
    <row r="31" spans="1:11" x14ac:dyDescent="0.35">
      <c r="A31" t="s">
        <v>78</v>
      </c>
      <c r="B31" t="s">
        <v>598</v>
      </c>
      <c r="C31" t="s">
        <v>79</v>
      </c>
      <c r="D31" t="s">
        <v>84</v>
      </c>
      <c r="E31" t="s">
        <v>85</v>
      </c>
      <c r="F31" s="11">
        <v>2</v>
      </c>
      <c r="I31" t="s">
        <v>0</v>
      </c>
      <c r="J31" s="15">
        <f>BIA!I31</f>
        <v>0</v>
      </c>
      <c r="K31" s="15">
        <f>BIA!J31</f>
        <v>0</v>
      </c>
    </row>
    <row r="32" spans="1:11" x14ac:dyDescent="0.35">
      <c r="A32" t="s">
        <v>182</v>
      </c>
      <c r="B32" t="s">
        <v>599</v>
      </c>
      <c r="C32" t="s">
        <v>183</v>
      </c>
      <c r="D32" t="s">
        <v>184</v>
      </c>
      <c r="E32" t="s">
        <v>185</v>
      </c>
      <c r="F32" s="11">
        <v>110</v>
      </c>
      <c r="H32" t="s">
        <v>186</v>
      </c>
      <c r="I32" t="s">
        <v>0</v>
      </c>
      <c r="J32" s="15">
        <f>BIA!I32</f>
        <v>0</v>
      </c>
      <c r="K32" s="15">
        <f>BIA!J32</f>
        <v>0</v>
      </c>
    </row>
    <row r="33" spans="1:11" x14ac:dyDescent="0.35">
      <c r="A33" t="s">
        <v>182</v>
      </c>
      <c r="B33" t="s">
        <v>599</v>
      </c>
      <c r="C33" t="s">
        <v>183</v>
      </c>
      <c r="D33" t="s">
        <v>187</v>
      </c>
      <c r="E33" t="s">
        <v>188</v>
      </c>
      <c r="F33" s="11">
        <v>242</v>
      </c>
      <c r="H33" t="s">
        <v>186</v>
      </c>
      <c r="I33" t="s">
        <v>0</v>
      </c>
      <c r="J33" s="15">
        <f>BIA!I33</f>
        <v>0</v>
      </c>
      <c r="K33" s="15">
        <f>BIA!J33</f>
        <v>0</v>
      </c>
    </row>
    <row r="34" spans="1:11" x14ac:dyDescent="0.35">
      <c r="A34" t="s">
        <v>182</v>
      </c>
      <c r="B34" t="s">
        <v>599</v>
      </c>
      <c r="C34" t="s">
        <v>189</v>
      </c>
      <c r="D34" t="s">
        <v>190</v>
      </c>
      <c r="E34" t="s">
        <v>191</v>
      </c>
      <c r="F34" s="11">
        <v>14</v>
      </c>
      <c r="H34" t="s">
        <v>192</v>
      </c>
      <c r="I34" t="s">
        <v>0</v>
      </c>
      <c r="J34" s="15">
        <f>BIA!I34</f>
        <v>0</v>
      </c>
      <c r="K34" s="15">
        <f>BIA!J34</f>
        <v>0</v>
      </c>
    </row>
    <row r="35" spans="1:11" x14ac:dyDescent="0.35">
      <c r="A35" t="s">
        <v>182</v>
      </c>
      <c r="B35" t="s">
        <v>599</v>
      </c>
      <c r="C35" t="s">
        <v>189</v>
      </c>
      <c r="D35" t="s">
        <v>193</v>
      </c>
      <c r="E35" t="s">
        <v>194</v>
      </c>
      <c r="F35" s="11">
        <v>669</v>
      </c>
      <c r="H35" t="s">
        <v>192</v>
      </c>
      <c r="I35" t="s">
        <v>0</v>
      </c>
      <c r="J35" s="15">
        <f>BIA!I35</f>
        <v>0</v>
      </c>
      <c r="K35" s="15">
        <f>BIA!J35</f>
        <v>0</v>
      </c>
    </row>
    <row r="36" spans="1:11" x14ac:dyDescent="0.35">
      <c r="A36" t="s">
        <v>182</v>
      </c>
      <c r="B36" t="s">
        <v>599</v>
      </c>
      <c r="C36" t="s">
        <v>195</v>
      </c>
      <c r="D36" t="s">
        <v>196</v>
      </c>
      <c r="E36" t="s">
        <v>197</v>
      </c>
      <c r="F36" s="11">
        <v>57</v>
      </c>
      <c r="H36" t="s">
        <v>192</v>
      </c>
      <c r="I36" t="s">
        <v>0</v>
      </c>
      <c r="J36" s="15">
        <f>BIA!I36</f>
        <v>0</v>
      </c>
      <c r="K36" s="15">
        <f>BIA!J36</f>
        <v>0</v>
      </c>
    </row>
    <row r="37" spans="1:11" x14ac:dyDescent="0.35">
      <c r="A37" t="s">
        <v>182</v>
      </c>
      <c r="B37" t="s">
        <v>599</v>
      </c>
      <c r="C37" t="s">
        <v>198</v>
      </c>
      <c r="D37" t="s">
        <v>199</v>
      </c>
      <c r="E37" t="s">
        <v>200</v>
      </c>
      <c r="F37" s="11">
        <v>1</v>
      </c>
      <c r="H37" t="s">
        <v>186</v>
      </c>
      <c r="I37" t="s">
        <v>0</v>
      </c>
      <c r="J37" s="15">
        <f>BIA!I37</f>
        <v>0</v>
      </c>
      <c r="K37" s="15">
        <f>BIA!J37</f>
        <v>0</v>
      </c>
    </row>
    <row r="38" spans="1:11" x14ac:dyDescent="0.35">
      <c r="A38" t="s">
        <v>182</v>
      </c>
      <c r="B38" t="s">
        <v>599</v>
      </c>
      <c r="C38" t="s">
        <v>198</v>
      </c>
      <c r="D38" t="s">
        <v>99</v>
      </c>
      <c r="E38" t="s">
        <v>201</v>
      </c>
      <c r="F38" s="11">
        <v>0</v>
      </c>
      <c r="H38" t="s">
        <v>186</v>
      </c>
      <c r="I38" t="s">
        <v>0</v>
      </c>
      <c r="J38" s="15">
        <f>BIA!I38</f>
        <v>0</v>
      </c>
      <c r="K38" s="15">
        <f>BIA!J38</f>
        <v>0</v>
      </c>
    </row>
    <row r="39" spans="1:11" x14ac:dyDescent="0.35">
      <c r="A39" t="s">
        <v>182</v>
      </c>
      <c r="B39" t="s">
        <v>599</v>
      </c>
      <c r="C39" t="s">
        <v>198</v>
      </c>
      <c r="D39" t="s">
        <v>202</v>
      </c>
      <c r="E39" t="s">
        <v>203</v>
      </c>
      <c r="F39" s="11">
        <v>0</v>
      </c>
      <c r="H39" t="s">
        <v>186</v>
      </c>
      <c r="I39" t="s">
        <v>0</v>
      </c>
      <c r="J39" s="15">
        <f>BIA!I39</f>
        <v>0</v>
      </c>
      <c r="K39" s="15">
        <f>BIA!J39</f>
        <v>0</v>
      </c>
    </row>
    <row r="40" spans="1:11" x14ac:dyDescent="0.35">
      <c r="A40" t="s">
        <v>182</v>
      </c>
      <c r="B40" t="s">
        <v>599</v>
      </c>
      <c r="C40" t="s">
        <v>204</v>
      </c>
      <c r="D40" t="s">
        <v>205</v>
      </c>
      <c r="E40" t="s">
        <v>206</v>
      </c>
      <c r="F40" s="11">
        <v>163</v>
      </c>
      <c r="H40" t="s">
        <v>186</v>
      </c>
      <c r="I40" t="s">
        <v>0</v>
      </c>
      <c r="J40" s="15">
        <f>BIA!I40</f>
        <v>0</v>
      </c>
      <c r="K40" s="15">
        <f>BIA!J40</f>
        <v>0</v>
      </c>
    </row>
    <row r="41" spans="1:11" x14ac:dyDescent="0.35">
      <c r="A41" t="s">
        <v>182</v>
      </c>
      <c r="B41" t="s">
        <v>599</v>
      </c>
      <c r="C41" t="s">
        <v>204</v>
      </c>
      <c r="D41" t="s">
        <v>207</v>
      </c>
      <c r="E41" t="s">
        <v>208</v>
      </c>
      <c r="F41" s="11">
        <v>222</v>
      </c>
      <c r="H41" t="s">
        <v>186</v>
      </c>
      <c r="I41" t="s">
        <v>0</v>
      </c>
      <c r="J41" s="15">
        <f>BIA!I41</f>
        <v>0</v>
      </c>
      <c r="K41" s="15">
        <f>BIA!J41</f>
        <v>0</v>
      </c>
    </row>
    <row r="42" spans="1:11" x14ac:dyDescent="0.35">
      <c r="A42" t="s">
        <v>182</v>
      </c>
      <c r="B42" t="s">
        <v>599</v>
      </c>
      <c r="C42" t="s">
        <v>204</v>
      </c>
      <c r="D42" t="s">
        <v>209</v>
      </c>
      <c r="E42" t="s">
        <v>210</v>
      </c>
      <c r="F42" s="11">
        <v>0</v>
      </c>
      <c r="H42" t="s">
        <v>186</v>
      </c>
      <c r="I42" t="s">
        <v>0</v>
      </c>
      <c r="J42" s="15">
        <f>BIA!I42</f>
        <v>0</v>
      </c>
      <c r="K42" s="15">
        <f>BIA!J42</f>
        <v>0</v>
      </c>
    </row>
    <row r="43" spans="1:11" x14ac:dyDescent="0.35">
      <c r="A43" t="s">
        <v>182</v>
      </c>
      <c r="B43" t="s">
        <v>599</v>
      </c>
      <c r="C43" t="s">
        <v>204</v>
      </c>
      <c r="D43" t="s">
        <v>202</v>
      </c>
      <c r="E43" t="s">
        <v>203</v>
      </c>
      <c r="F43" s="11">
        <v>0</v>
      </c>
      <c r="H43" t="s">
        <v>186</v>
      </c>
      <c r="I43" t="s">
        <v>0</v>
      </c>
      <c r="J43" s="15">
        <f>BIA!I43</f>
        <v>0</v>
      </c>
      <c r="K43" s="15">
        <f>BIA!J43</f>
        <v>0</v>
      </c>
    </row>
    <row r="44" spans="1:11" x14ac:dyDescent="0.35">
      <c r="A44" t="s">
        <v>211</v>
      </c>
      <c r="B44" t="s">
        <v>599</v>
      </c>
      <c r="C44" t="s">
        <v>212</v>
      </c>
      <c r="D44" t="s">
        <v>213</v>
      </c>
      <c r="E44" t="s">
        <v>214</v>
      </c>
      <c r="F44" s="11">
        <v>0</v>
      </c>
      <c r="H44" t="s">
        <v>215</v>
      </c>
      <c r="I44" t="s">
        <v>0</v>
      </c>
      <c r="J44" s="15">
        <f>BIA!I44</f>
        <v>0</v>
      </c>
      <c r="K44" s="15">
        <f>BIA!J44</f>
        <v>0</v>
      </c>
    </row>
    <row r="45" spans="1:11" x14ac:dyDescent="0.35">
      <c r="A45" t="s">
        <v>211</v>
      </c>
      <c r="B45" t="s">
        <v>599</v>
      </c>
      <c r="C45" t="s">
        <v>212</v>
      </c>
      <c r="D45" t="s">
        <v>216</v>
      </c>
      <c r="E45" t="s">
        <v>217</v>
      </c>
      <c r="F45" s="11">
        <v>13</v>
      </c>
      <c r="H45" t="s">
        <v>215</v>
      </c>
      <c r="I45" t="s">
        <v>0</v>
      </c>
      <c r="J45" s="15">
        <f>BIA!I45</f>
        <v>0</v>
      </c>
      <c r="K45" s="15">
        <f>BIA!J45</f>
        <v>0</v>
      </c>
    </row>
    <row r="46" spans="1:11" x14ac:dyDescent="0.35">
      <c r="A46" t="s">
        <v>211</v>
      </c>
      <c r="B46" t="s">
        <v>599</v>
      </c>
      <c r="C46" t="s">
        <v>212</v>
      </c>
      <c r="D46" t="s">
        <v>218</v>
      </c>
      <c r="E46" t="s">
        <v>219</v>
      </c>
      <c r="F46" s="11">
        <v>174</v>
      </c>
      <c r="H46" t="s">
        <v>215</v>
      </c>
      <c r="I46" t="s">
        <v>0</v>
      </c>
      <c r="J46" s="15">
        <f>BIA!I46</f>
        <v>0</v>
      </c>
      <c r="K46" s="15">
        <f>BIA!J46</f>
        <v>0</v>
      </c>
    </row>
    <row r="47" spans="1:11" x14ac:dyDescent="0.35">
      <c r="A47" t="s">
        <v>211</v>
      </c>
      <c r="B47" t="s">
        <v>599</v>
      </c>
      <c r="C47" t="s">
        <v>212</v>
      </c>
      <c r="D47" t="s">
        <v>202</v>
      </c>
      <c r="E47" t="s">
        <v>203</v>
      </c>
      <c r="F47" s="11">
        <v>0</v>
      </c>
      <c r="H47" t="s">
        <v>215</v>
      </c>
      <c r="I47" t="s">
        <v>0</v>
      </c>
      <c r="J47" s="15">
        <f>BIA!I47</f>
        <v>0</v>
      </c>
      <c r="K47" s="15">
        <f>BIA!J47</f>
        <v>0</v>
      </c>
    </row>
    <row r="48" spans="1:11" x14ac:dyDescent="0.35">
      <c r="A48" t="s">
        <v>220</v>
      </c>
      <c r="B48" t="s">
        <v>599</v>
      </c>
      <c r="C48" t="s">
        <v>221</v>
      </c>
      <c r="D48" t="s">
        <v>222</v>
      </c>
      <c r="E48" t="s">
        <v>223</v>
      </c>
      <c r="F48" s="11">
        <v>0</v>
      </c>
      <c r="H48" t="s">
        <v>224</v>
      </c>
      <c r="I48" t="s">
        <v>0</v>
      </c>
      <c r="J48" s="15">
        <f>BIA!I48</f>
        <v>0</v>
      </c>
      <c r="K48" s="15">
        <f>BIA!J48</f>
        <v>0</v>
      </c>
    </row>
    <row r="49" spans="1:11" x14ac:dyDescent="0.35">
      <c r="A49" t="s">
        <v>220</v>
      </c>
      <c r="B49" t="s">
        <v>599</v>
      </c>
      <c r="C49" t="s">
        <v>221</v>
      </c>
      <c r="D49" t="s">
        <v>202</v>
      </c>
      <c r="E49" t="s">
        <v>203</v>
      </c>
      <c r="F49" s="11">
        <v>0</v>
      </c>
      <c r="H49" t="s">
        <v>224</v>
      </c>
      <c r="I49" t="s">
        <v>0</v>
      </c>
      <c r="J49" s="15">
        <f>BIA!I49</f>
        <v>0</v>
      </c>
      <c r="K49" s="15">
        <f>BIA!J49</f>
        <v>0</v>
      </c>
    </row>
    <row r="50" spans="1:11" x14ac:dyDescent="0.35">
      <c r="A50" t="s">
        <v>220</v>
      </c>
      <c r="B50" t="s">
        <v>599</v>
      </c>
      <c r="C50" t="s">
        <v>225</v>
      </c>
      <c r="D50" t="s">
        <v>226</v>
      </c>
      <c r="E50" t="s">
        <v>227</v>
      </c>
      <c r="F50" s="11">
        <v>0</v>
      </c>
      <c r="H50" t="s">
        <v>228</v>
      </c>
      <c r="I50" t="s">
        <v>0</v>
      </c>
      <c r="J50" s="15">
        <f>BIA!I50</f>
        <v>0</v>
      </c>
      <c r="K50" s="15">
        <f>BIA!J50</f>
        <v>0</v>
      </c>
    </row>
    <row r="51" spans="1:11" x14ac:dyDescent="0.35">
      <c r="A51" t="s">
        <v>220</v>
      </c>
      <c r="B51" t="s">
        <v>599</v>
      </c>
      <c r="C51" t="s">
        <v>225</v>
      </c>
      <c r="D51" t="s">
        <v>202</v>
      </c>
      <c r="E51" t="s">
        <v>203</v>
      </c>
      <c r="F51" s="11">
        <v>0</v>
      </c>
      <c r="H51" t="s">
        <v>228</v>
      </c>
      <c r="I51" t="s">
        <v>0</v>
      </c>
      <c r="J51" s="15">
        <f>BIA!I51</f>
        <v>0</v>
      </c>
      <c r="K51" s="15">
        <f>BIA!J51</f>
        <v>0</v>
      </c>
    </row>
    <row r="52" spans="1:11" x14ac:dyDescent="0.35">
      <c r="A52" s="2" t="s">
        <v>448</v>
      </c>
      <c r="B52" t="s">
        <v>599</v>
      </c>
      <c r="D52" s="2" t="s">
        <v>452</v>
      </c>
      <c r="E52" s="2" t="s">
        <v>453</v>
      </c>
      <c r="F52" s="11">
        <v>42</v>
      </c>
      <c r="I52" t="s">
        <v>0</v>
      </c>
      <c r="J52" s="15">
        <f>BIA!I52</f>
        <v>0</v>
      </c>
      <c r="K52" s="15">
        <f>BIA!J52</f>
        <v>0</v>
      </c>
    </row>
    <row r="53" spans="1:11" x14ac:dyDescent="0.35">
      <c r="A53" s="2" t="s">
        <v>448</v>
      </c>
      <c r="B53" t="s">
        <v>599</v>
      </c>
      <c r="D53" s="2" t="s">
        <v>452</v>
      </c>
      <c r="E53" s="2" t="s">
        <v>453</v>
      </c>
      <c r="F53" s="11">
        <v>42</v>
      </c>
      <c r="I53" t="s">
        <v>0</v>
      </c>
      <c r="J53" s="15">
        <f>BIA!I53</f>
        <v>0</v>
      </c>
      <c r="K53" s="15">
        <f>BIA!J53</f>
        <v>0</v>
      </c>
    </row>
    <row r="54" spans="1:11" x14ac:dyDescent="0.35">
      <c r="A54" s="2" t="s">
        <v>449</v>
      </c>
      <c r="B54" t="s">
        <v>599</v>
      </c>
      <c r="D54" s="2" t="s">
        <v>454</v>
      </c>
      <c r="E54" s="2" t="s">
        <v>455</v>
      </c>
      <c r="F54" s="11">
        <v>1</v>
      </c>
      <c r="I54" t="s">
        <v>0</v>
      </c>
      <c r="J54" s="15">
        <f>BIA!I54</f>
        <v>0</v>
      </c>
      <c r="K54" s="15">
        <f>BIA!J54</f>
        <v>0</v>
      </c>
    </row>
    <row r="55" spans="1:11" x14ac:dyDescent="0.35">
      <c r="A55" s="2" t="s">
        <v>450</v>
      </c>
      <c r="B55" t="s">
        <v>599</v>
      </c>
      <c r="D55" s="2" t="s">
        <v>456</v>
      </c>
      <c r="E55" s="2" t="s">
        <v>457</v>
      </c>
      <c r="F55" s="11">
        <v>1</v>
      </c>
      <c r="I55" t="s">
        <v>0</v>
      </c>
      <c r="J55" s="15">
        <f>BIA!I55</f>
        <v>0</v>
      </c>
      <c r="K55" s="15">
        <f>BIA!J55</f>
        <v>0</v>
      </c>
    </row>
    <row r="56" spans="1:11" x14ac:dyDescent="0.35">
      <c r="A56" s="2" t="s">
        <v>451</v>
      </c>
      <c r="B56" t="s">
        <v>599</v>
      </c>
      <c r="D56" s="2" t="s">
        <v>458</v>
      </c>
      <c r="E56" s="2" t="s">
        <v>459</v>
      </c>
      <c r="F56" s="11">
        <v>1</v>
      </c>
      <c r="I56" t="s">
        <v>0</v>
      </c>
      <c r="J56" s="15">
        <f>BIA!I56</f>
        <v>0</v>
      </c>
      <c r="K56" s="15">
        <f>BIA!J56</f>
        <v>0</v>
      </c>
    </row>
    <row r="57" spans="1:11" x14ac:dyDescent="0.35">
      <c r="A57" s="2" t="s">
        <v>451</v>
      </c>
      <c r="B57" t="s">
        <v>599</v>
      </c>
      <c r="D57" s="2" t="s">
        <v>458</v>
      </c>
      <c r="E57" s="2" t="s">
        <v>459</v>
      </c>
      <c r="F57" s="11">
        <v>1</v>
      </c>
      <c r="I57" t="s">
        <v>0</v>
      </c>
      <c r="J57" s="15">
        <f>BIA!I57</f>
        <v>0</v>
      </c>
      <c r="K57" s="15">
        <f>BIA!J57</f>
        <v>0</v>
      </c>
    </row>
    <row r="58" spans="1:11" x14ac:dyDescent="0.35">
      <c r="A58" s="2" t="s">
        <v>451</v>
      </c>
      <c r="B58" t="s">
        <v>599</v>
      </c>
      <c r="D58" s="2" t="s">
        <v>458</v>
      </c>
      <c r="E58" s="2" t="s">
        <v>459</v>
      </c>
      <c r="F58" s="11">
        <v>1</v>
      </c>
      <c r="I58" t="s">
        <v>0</v>
      </c>
      <c r="J58" s="15">
        <f>BIA!I58</f>
        <v>0</v>
      </c>
      <c r="K58" s="15">
        <f>BIA!J58</f>
        <v>0</v>
      </c>
    </row>
    <row r="59" spans="1:11" x14ac:dyDescent="0.35">
      <c r="A59" t="s">
        <v>11</v>
      </c>
      <c r="B59" t="s">
        <v>598</v>
      </c>
      <c r="C59" t="s">
        <v>12</v>
      </c>
      <c r="D59" t="s">
        <v>24</v>
      </c>
      <c r="E59" t="s">
        <v>25</v>
      </c>
      <c r="F59" s="11">
        <v>100</v>
      </c>
      <c r="G59" t="s">
        <v>26</v>
      </c>
      <c r="I59" t="s">
        <v>1</v>
      </c>
      <c r="J59" s="15">
        <f>BIE!I2</f>
        <v>0</v>
      </c>
      <c r="K59" s="15">
        <f>BIE!J2</f>
        <v>0</v>
      </c>
    </row>
    <row r="60" spans="1:11" x14ac:dyDescent="0.35">
      <c r="A60" t="s">
        <v>11</v>
      </c>
      <c r="B60" t="s">
        <v>598</v>
      </c>
      <c r="C60" t="s">
        <v>13</v>
      </c>
      <c r="D60" t="s">
        <v>173</v>
      </c>
      <c r="E60" t="s">
        <v>28</v>
      </c>
      <c r="F60" s="11">
        <v>1</v>
      </c>
      <c r="G60" t="s">
        <v>88</v>
      </c>
      <c r="I60" t="s">
        <v>1</v>
      </c>
      <c r="J60" s="15">
        <f>BIE!I3</f>
        <v>0</v>
      </c>
      <c r="K60" s="15">
        <f>BIE!J3</f>
        <v>0</v>
      </c>
    </row>
    <row r="61" spans="1:11" x14ac:dyDescent="0.35">
      <c r="A61" t="s">
        <v>11</v>
      </c>
      <c r="B61" t="s">
        <v>598</v>
      </c>
      <c r="C61" t="s">
        <v>13</v>
      </c>
      <c r="D61" t="s">
        <v>174</v>
      </c>
      <c r="E61" t="s">
        <v>31</v>
      </c>
      <c r="F61" s="11">
        <v>1</v>
      </c>
      <c r="G61" t="s">
        <v>88</v>
      </c>
      <c r="I61" t="s">
        <v>1</v>
      </c>
      <c r="J61" s="15">
        <f>BIE!I4</f>
        <v>0</v>
      </c>
      <c r="K61" s="15">
        <f>BIE!J4</f>
        <v>0</v>
      </c>
    </row>
    <row r="62" spans="1:11" x14ac:dyDescent="0.35">
      <c r="A62" t="s">
        <v>11</v>
      </c>
      <c r="B62" t="s">
        <v>598</v>
      </c>
      <c r="C62" t="s">
        <v>13</v>
      </c>
      <c r="D62" t="s">
        <v>32</v>
      </c>
      <c r="E62" t="s">
        <v>33</v>
      </c>
      <c r="F62" s="11">
        <v>1</v>
      </c>
      <c r="G62" t="s">
        <v>29</v>
      </c>
      <c r="I62" t="s">
        <v>1</v>
      </c>
      <c r="J62" s="15">
        <f>BIE!I5</f>
        <v>0</v>
      </c>
      <c r="K62" s="15">
        <f>BIE!J5</f>
        <v>0</v>
      </c>
    </row>
    <row r="63" spans="1:11" x14ac:dyDescent="0.35">
      <c r="A63" t="s">
        <v>11</v>
      </c>
      <c r="B63" t="s">
        <v>598</v>
      </c>
      <c r="C63" t="s">
        <v>13</v>
      </c>
      <c r="D63" t="s">
        <v>34</v>
      </c>
      <c r="E63" t="s">
        <v>35</v>
      </c>
      <c r="F63" s="11">
        <v>1</v>
      </c>
      <c r="G63" t="s">
        <v>26</v>
      </c>
      <c r="I63" t="s">
        <v>1</v>
      </c>
      <c r="J63" s="15">
        <f>BIE!I6</f>
        <v>0</v>
      </c>
      <c r="K63" s="15">
        <f>BIE!J6</f>
        <v>0</v>
      </c>
    </row>
    <row r="64" spans="1:11" x14ac:dyDescent="0.35">
      <c r="A64" t="s">
        <v>17</v>
      </c>
      <c r="B64" t="s">
        <v>598</v>
      </c>
      <c r="C64" t="s">
        <v>18</v>
      </c>
      <c r="D64" t="s">
        <v>86</v>
      </c>
      <c r="E64" t="s">
        <v>87</v>
      </c>
      <c r="F64" s="11">
        <v>5</v>
      </c>
      <c r="G64" t="s">
        <v>88</v>
      </c>
      <c r="I64" t="s">
        <v>1</v>
      </c>
      <c r="J64" s="15">
        <f>BIE!I7</f>
        <v>0</v>
      </c>
      <c r="K64" s="15">
        <f>BIE!J7</f>
        <v>0</v>
      </c>
    </row>
    <row r="65" spans="1:11" x14ac:dyDescent="0.35">
      <c r="A65" t="s">
        <v>17</v>
      </c>
      <c r="B65" t="s">
        <v>598</v>
      </c>
      <c r="C65" t="s">
        <v>18</v>
      </c>
      <c r="D65" t="s">
        <v>137</v>
      </c>
      <c r="E65" t="s">
        <v>51</v>
      </c>
      <c r="F65" s="11">
        <v>83</v>
      </c>
      <c r="G65" t="s">
        <v>88</v>
      </c>
      <c r="I65" t="s">
        <v>1</v>
      </c>
      <c r="J65" s="15">
        <f>BIE!I8</f>
        <v>0</v>
      </c>
      <c r="K65" s="15">
        <f>BIE!J8</f>
        <v>0</v>
      </c>
    </row>
    <row r="66" spans="1:11" x14ac:dyDescent="0.35">
      <c r="A66" t="s">
        <v>17</v>
      </c>
      <c r="B66" t="s">
        <v>598</v>
      </c>
      <c r="C66" t="s">
        <v>18</v>
      </c>
      <c r="D66" t="s">
        <v>144</v>
      </c>
      <c r="E66" t="s">
        <v>55</v>
      </c>
      <c r="F66" s="11">
        <v>2</v>
      </c>
      <c r="G66" t="s">
        <v>88</v>
      </c>
      <c r="I66" t="s">
        <v>1</v>
      </c>
      <c r="J66" s="15">
        <f>BIE!I9</f>
        <v>0</v>
      </c>
      <c r="K66" s="15">
        <f>BIE!J9</f>
        <v>0</v>
      </c>
    </row>
    <row r="67" spans="1:11" x14ac:dyDescent="0.35">
      <c r="A67" t="s">
        <v>17</v>
      </c>
      <c r="B67" t="s">
        <v>598</v>
      </c>
      <c r="C67" t="s">
        <v>18</v>
      </c>
      <c r="D67" t="s">
        <v>58</v>
      </c>
      <c r="E67" t="s">
        <v>59</v>
      </c>
      <c r="F67" s="11">
        <v>1</v>
      </c>
      <c r="G67" t="s">
        <v>26</v>
      </c>
      <c r="I67" t="s">
        <v>1</v>
      </c>
      <c r="J67" s="15">
        <f>BIE!I10</f>
        <v>0</v>
      </c>
      <c r="K67" s="15">
        <f>BIE!J10</f>
        <v>0</v>
      </c>
    </row>
    <row r="68" spans="1:11" x14ac:dyDescent="0.35">
      <c r="A68" t="s">
        <v>65</v>
      </c>
      <c r="B68" t="s">
        <v>598</v>
      </c>
      <c r="C68" t="s">
        <v>66</v>
      </c>
      <c r="D68" t="s">
        <v>67</v>
      </c>
      <c r="E68" t="s">
        <v>68</v>
      </c>
      <c r="F68" s="11">
        <v>1</v>
      </c>
      <c r="I68" t="s">
        <v>1</v>
      </c>
      <c r="J68" s="15">
        <f>BIE!I11</f>
        <v>0</v>
      </c>
      <c r="K68" s="15">
        <f>BIE!J11</f>
        <v>0</v>
      </c>
    </row>
    <row r="69" spans="1:11" x14ac:dyDescent="0.35">
      <c r="A69" t="s">
        <v>65</v>
      </c>
      <c r="B69" t="s">
        <v>598</v>
      </c>
      <c r="C69" t="s">
        <v>66</v>
      </c>
      <c r="D69" t="s">
        <v>69</v>
      </c>
      <c r="E69" t="s">
        <v>70</v>
      </c>
      <c r="F69" s="11">
        <v>100</v>
      </c>
      <c r="I69" t="s">
        <v>1</v>
      </c>
      <c r="J69" s="15">
        <f>BIE!I12</f>
        <v>0</v>
      </c>
      <c r="K69" s="15">
        <f>BIE!J12</f>
        <v>0</v>
      </c>
    </row>
    <row r="70" spans="1:11" x14ac:dyDescent="0.35">
      <c r="A70" t="s">
        <v>65</v>
      </c>
      <c r="B70" t="s">
        <v>598</v>
      </c>
      <c r="C70" t="s">
        <v>71</v>
      </c>
      <c r="D70" t="s">
        <v>72</v>
      </c>
      <c r="E70" t="s">
        <v>73</v>
      </c>
      <c r="F70" s="11">
        <v>100</v>
      </c>
      <c r="I70" t="s">
        <v>1</v>
      </c>
      <c r="J70" s="15">
        <f>BIE!I13</f>
        <v>0</v>
      </c>
      <c r="K70" s="15">
        <f>BIE!J13</f>
        <v>0</v>
      </c>
    </row>
    <row r="71" spans="1:11" x14ac:dyDescent="0.35">
      <c r="A71" t="s">
        <v>65</v>
      </c>
      <c r="B71" t="s">
        <v>598</v>
      </c>
      <c r="C71" t="s">
        <v>71</v>
      </c>
      <c r="D71" t="s">
        <v>74</v>
      </c>
      <c r="E71" t="s">
        <v>75</v>
      </c>
      <c r="F71" s="11">
        <v>1</v>
      </c>
      <c r="I71" t="s">
        <v>1</v>
      </c>
      <c r="J71" s="15">
        <f>BIE!I14</f>
        <v>0</v>
      </c>
      <c r="K71" s="15">
        <f>BIE!J14</f>
        <v>0</v>
      </c>
    </row>
    <row r="72" spans="1:11" x14ac:dyDescent="0.35">
      <c r="A72" t="s">
        <v>78</v>
      </c>
      <c r="B72" t="s">
        <v>598</v>
      </c>
      <c r="C72" t="s">
        <v>79</v>
      </c>
      <c r="D72" t="s">
        <v>80</v>
      </c>
      <c r="E72" t="s">
        <v>81</v>
      </c>
      <c r="F72" s="11">
        <v>1</v>
      </c>
      <c r="I72" t="s">
        <v>1</v>
      </c>
      <c r="J72" s="15">
        <f>BIE!I15</f>
        <v>0</v>
      </c>
      <c r="K72" s="15">
        <f>BIE!J15</f>
        <v>0</v>
      </c>
    </row>
    <row r="73" spans="1:11" x14ac:dyDescent="0.35">
      <c r="A73" t="s">
        <v>78</v>
      </c>
      <c r="B73" t="s">
        <v>598</v>
      </c>
      <c r="C73" t="s">
        <v>79</v>
      </c>
      <c r="D73" t="s">
        <v>84</v>
      </c>
      <c r="E73" t="s">
        <v>85</v>
      </c>
      <c r="F73" s="11">
        <v>2</v>
      </c>
      <c r="I73" t="s">
        <v>1</v>
      </c>
      <c r="J73" s="15">
        <f>BIE!I16</f>
        <v>0</v>
      </c>
      <c r="K73" s="15">
        <f>BIE!J16</f>
        <v>0</v>
      </c>
    </row>
    <row r="74" spans="1:11" x14ac:dyDescent="0.35">
      <c r="A74" t="s">
        <v>211</v>
      </c>
      <c r="B74" t="s">
        <v>599</v>
      </c>
      <c r="C74" t="s">
        <v>212</v>
      </c>
      <c r="D74" t="s">
        <v>213</v>
      </c>
      <c r="E74" t="s">
        <v>214</v>
      </c>
      <c r="F74">
        <v>0</v>
      </c>
      <c r="H74" t="s">
        <v>215</v>
      </c>
      <c r="I74" t="s">
        <v>1</v>
      </c>
      <c r="J74" s="15">
        <f>BIE!I17</f>
        <v>0</v>
      </c>
      <c r="K74" s="15">
        <f>BIE!J17</f>
        <v>0</v>
      </c>
    </row>
    <row r="75" spans="1:11" x14ac:dyDescent="0.35">
      <c r="A75" t="s">
        <v>211</v>
      </c>
      <c r="B75" t="s">
        <v>599</v>
      </c>
      <c r="C75" t="s">
        <v>212</v>
      </c>
      <c r="D75" t="s">
        <v>218</v>
      </c>
      <c r="E75" t="s">
        <v>219</v>
      </c>
      <c r="F75">
        <v>52</v>
      </c>
      <c r="H75" t="s">
        <v>215</v>
      </c>
      <c r="I75" t="s">
        <v>1</v>
      </c>
      <c r="J75" s="15">
        <f>BIE!I18</f>
        <v>0</v>
      </c>
      <c r="K75" s="15">
        <f>BIE!J18</f>
        <v>0</v>
      </c>
    </row>
    <row r="76" spans="1:11" x14ac:dyDescent="0.35">
      <c r="A76" t="s">
        <v>211</v>
      </c>
      <c r="B76" t="s">
        <v>599</v>
      </c>
      <c r="C76" t="s">
        <v>212</v>
      </c>
      <c r="D76" t="s">
        <v>233</v>
      </c>
      <c r="E76" t="s">
        <v>234</v>
      </c>
      <c r="F76">
        <v>2</v>
      </c>
      <c r="H76" t="s">
        <v>215</v>
      </c>
      <c r="I76" t="s">
        <v>1</v>
      </c>
      <c r="J76" s="15">
        <f>BIE!I19</f>
        <v>0</v>
      </c>
      <c r="K76" s="15">
        <f>BIE!J19</f>
        <v>0</v>
      </c>
    </row>
    <row r="77" spans="1:11" x14ac:dyDescent="0.35">
      <c r="A77" t="s">
        <v>211</v>
      </c>
      <c r="B77" t="s">
        <v>599</v>
      </c>
      <c r="C77" t="s">
        <v>212</v>
      </c>
      <c r="D77" t="s">
        <v>202</v>
      </c>
      <c r="E77" t="s">
        <v>203</v>
      </c>
      <c r="F77">
        <v>0</v>
      </c>
      <c r="H77" t="s">
        <v>215</v>
      </c>
      <c r="I77" t="s">
        <v>1</v>
      </c>
      <c r="J77" s="15">
        <f>BIE!I20</f>
        <v>0</v>
      </c>
      <c r="K77" s="15">
        <f>BIE!J20</f>
        <v>0</v>
      </c>
    </row>
    <row r="78" spans="1:11" x14ac:dyDescent="0.35">
      <c r="A78" t="s">
        <v>220</v>
      </c>
      <c r="B78" t="s">
        <v>599</v>
      </c>
      <c r="C78" t="s">
        <v>221</v>
      </c>
      <c r="D78" t="s">
        <v>235</v>
      </c>
      <c r="E78" t="s">
        <v>236</v>
      </c>
      <c r="F78">
        <v>0</v>
      </c>
      <c r="H78" t="s">
        <v>215</v>
      </c>
      <c r="I78" t="s">
        <v>1</v>
      </c>
      <c r="J78" s="15">
        <f>BIE!I21</f>
        <v>0</v>
      </c>
      <c r="K78" s="15">
        <f>BIE!J21</f>
        <v>0</v>
      </c>
    </row>
    <row r="79" spans="1:11" x14ac:dyDescent="0.35">
      <c r="A79" t="s">
        <v>220</v>
      </c>
      <c r="B79" t="s">
        <v>599</v>
      </c>
      <c r="C79" t="s">
        <v>221</v>
      </c>
      <c r="D79" t="s">
        <v>237</v>
      </c>
      <c r="E79" t="s">
        <v>238</v>
      </c>
      <c r="F79">
        <v>2</v>
      </c>
      <c r="H79" t="s">
        <v>215</v>
      </c>
      <c r="I79" t="s">
        <v>1</v>
      </c>
      <c r="J79" s="15">
        <f>BIE!I22</f>
        <v>0</v>
      </c>
      <c r="K79" s="15">
        <f>BIE!J22</f>
        <v>0</v>
      </c>
    </row>
    <row r="80" spans="1:11" x14ac:dyDescent="0.35">
      <c r="A80" t="s">
        <v>220</v>
      </c>
      <c r="B80" t="s">
        <v>599</v>
      </c>
      <c r="C80" t="s">
        <v>221</v>
      </c>
      <c r="D80" t="s">
        <v>202</v>
      </c>
      <c r="E80" t="s">
        <v>203</v>
      </c>
      <c r="F80">
        <v>0</v>
      </c>
      <c r="H80" t="s">
        <v>215</v>
      </c>
      <c r="I80" t="s">
        <v>1</v>
      </c>
      <c r="J80" s="15">
        <f>BIE!I23</f>
        <v>0</v>
      </c>
      <c r="K80" s="15">
        <f>BIE!J23</f>
        <v>0</v>
      </c>
    </row>
    <row r="81" spans="1:11" x14ac:dyDescent="0.35">
      <c r="A81" t="s">
        <v>182</v>
      </c>
      <c r="B81" t="s">
        <v>599</v>
      </c>
      <c r="C81" t="s">
        <v>183</v>
      </c>
      <c r="D81" t="s">
        <v>184</v>
      </c>
      <c r="E81" t="s">
        <v>185</v>
      </c>
      <c r="F81">
        <v>4</v>
      </c>
      <c r="H81" t="s">
        <v>186</v>
      </c>
      <c r="I81" t="s">
        <v>1</v>
      </c>
      <c r="J81" s="15">
        <f>BIE!I24</f>
        <v>0</v>
      </c>
      <c r="K81" s="15">
        <f>BIE!J24</f>
        <v>0</v>
      </c>
    </row>
    <row r="82" spans="1:11" x14ac:dyDescent="0.35">
      <c r="A82" t="s">
        <v>182</v>
      </c>
      <c r="B82" t="s">
        <v>599</v>
      </c>
      <c r="C82" t="s">
        <v>183</v>
      </c>
      <c r="D82" t="s">
        <v>187</v>
      </c>
      <c r="E82" t="s">
        <v>188</v>
      </c>
      <c r="F82">
        <v>1361</v>
      </c>
      <c r="H82" t="s">
        <v>186</v>
      </c>
      <c r="I82" t="s">
        <v>1</v>
      </c>
      <c r="J82" s="15">
        <f>BIE!I25</f>
        <v>0</v>
      </c>
      <c r="K82" s="15">
        <f>BIE!J25</f>
        <v>0</v>
      </c>
    </row>
    <row r="83" spans="1:11" x14ac:dyDescent="0.35">
      <c r="A83" t="s">
        <v>182</v>
      </c>
      <c r="B83" t="s">
        <v>599</v>
      </c>
      <c r="C83" t="s">
        <v>183</v>
      </c>
      <c r="D83" t="s">
        <v>229</v>
      </c>
      <c r="E83" t="s">
        <v>230</v>
      </c>
      <c r="F83">
        <v>10</v>
      </c>
      <c r="H83" t="s">
        <v>186</v>
      </c>
      <c r="I83" t="s">
        <v>1</v>
      </c>
      <c r="J83" s="15">
        <f>BIE!I26</f>
        <v>0</v>
      </c>
      <c r="K83" s="15">
        <f>BIE!J26</f>
        <v>0</v>
      </c>
    </row>
    <row r="84" spans="1:11" x14ac:dyDescent="0.35">
      <c r="A84" t="s">
        <v>182</v>
      </c>
      <c r="B84" t="s">
        <v>599</v>
      </c>
      <c r="C84" t="s">
        <v>189</v>
      </c>
      <c r="D84" t="s">
        <v>231</v>
      </c>
      <c r="E84" t="s">
        <v>232</v>
      </c>
      <c r="F84">
        <v>1</v>
      </c>
      <c r="H84" t="s">
        <v>192</v>
      </c>
      <c r="I84" t="s">
        <v>1</v>
      </c>
      <c r="J84" s="15">
        <f>BIE!I27</f>
        <v>0</v>
      </c>
      <c r="K84" s="15">
        <f>BIE!J27</f>
        <v>0</v>
      </c>
    </row>
    <row r="85" spans="1:11" x14ac:dyDescent="0.35">
      <c r="A85" t="s">
        <v>182</v>
      </c>
      <c r="B85" t="s">
        <v>599</v>
      </c>
      <c r="C85" t="s">
        <v>189</v>
      </c>
      <c r="D85" t="s">
        <v>193</v>
      </c>
      <c r="E85" t="s">
        <v>194</v>
      </c>
      <c r="F85">
        <v>37</v>
      </c>
      <c r="H85" t="s">
        <v>192</v>
      </c>
      <c r="I85" t="s">
        <v>1</v>
      </c>
      <c r="J85" s="15">
        <f>BIE!I28</f>
        <v>0</v>
      </c>
      <c r="K85" s="15">
        <f>BIE!J28</f>
        <v>0</v>
      </c>
    </row>
    <row r="86" spans="1:11" x14ac:dyDescent="0.35">
      <c r="A86" t="s">
        <v>182</v>
      </c>
      <c r="B86" t="s">
        <v>599</v>
      </c>
      <c r="C86" t="s">
        <v>198</v>
      </c>
      <c r="D86" t="s">
        <v>199</v>
      </c>
      <c r="E86" t="s">
        <v>200</v>
      </c>
      <c r="F86">
        <v>70</v>
      </c>
      <c r="H86" t="s">
        <v>192</v>
      </c>
      <c r="I86" t="s">
        <v>1</v>
      </c>
      <c r="J86" s="15">
        <f>BIE!I29</f>
        <v>0</v>
      </c>
      <c r="K86" s="15">
        <f>BIE!J29</f>
        <v>0</v>
      </c>
    </row>
    <row r="87" spans="1:11" x14ac:dyDescent="0.35">
      <c r="A87" t="s">
        <v>182</v>
      </c>
      <c r="B87" t="s">
        <v>599</v>
      </c>
      <c r="C87" t="s">
        <v>204</v>
      </c>
      <c r="D87" t="s">
        <v>205</v>
      </c>
      <c r="E87" t="s">
        <v>206</v>
      </c>
      <c r="F87">
        <v>2</v>
      </c>
      <c r="H87" t="s">
        <v>186</v>
      </c>
      <c r="I87" t="s">
        <v>1</v>
      </c>
      <c r="J87" s="15">
        <f>BIE!I30</f>
        <v>0</v>
      </c>
      <c r="K87" s="15">
        <f>BIE!J30</f>
        <v>0</v>
      </c>
    </row>
    <row r="88" spans="1:11" x14ac:dyDescent="0.35">
      <c r="A88" t="s">
        <v>182</v>
      </c>
      <c r="B88" t="s">
        <v>599</v>
      </c>
      <c r="C88" t="s">
        <v>204</v>
      </c>
      <c r="D88" t="s">
        <v>207</v>
      </c>
      <c r="E88" t="s">
        <v>208</v>
      </c>
      <c r="F88">
        <v>1019</v>
      </c>
      <c r="H88" t="s">
        <v>186</v>
      </c>
      <c r="I88" t="s">
        <v>1</v>
      </c>
      <c r="J88" s="15">
        <f>BIE!I31</f>
        <v>0</v>
      </c>
      <c r="K88" s="15">
        <f>BIE!J31</f>
        <v>0</v>
      </c>
    </row>
    <row r="89" spans="1:11" x14ac:dyDescent="0.35">
      <c r="A89" t="s">
        <v>182</v>
      </c>
      <c r="B89" t="s">
        <v>599</v>
      </c>
      <c r="C89" t="s">
        <v>204</v>
      </c>
      <c r="D89" t="s">
        <v>209</v>
      </c>
      <c r="E89" t="s">
        <v>210</v>
      </c>
      <c r="F89">
        <v>0</v>
      </c>
      <c r="H89" t="s">
        <v>186</v>
      </c>
      <c r="I89" t="s">
        <v>1</v>
      </c>
      <c r="J89" s="15">
        <f>BIE!I32</f>
        <v>0</v>
      </c>
      <c r="K89" s="15">
        <f>BIE!J32</f>
        <v>0</v>
      </c>
    </row>
    <row r="90" spans="1:11" x14ac:dyDescent="0.35">
      <c r="A90" t="s">
        <v>182</v>
      </c>
      <c r="B90" t="s">
        <v>599</v>
      </c>
      <c r="C90" t="s">
        <v>204</v>
      </c>
      <c r="D90" t="s">
        <v>202</v>
      </c>
      <c r="E90" t="s">
        <v>203</v>
      </c>
      <c r="F90">
        <v>0</v>
      </c>
      <c r="H90" t="s">
        <v>186</v>
      </c>
      <c r="I90" t="s">
        <v>1</v>
      </c>
      <c r="J90" s="15">
        <f>BIE!I33</f>
        <v>0</v>
      </c>
      <c r="K90" s="15">
        <f>BIE!J33</f>
        <v>0</v>
      </c>
    </row>
    <row r="91" spans="1:11" x14ac:dyDescent="0.35">
      <c r="A91" t="s">
        <v>11</v>
      </c>
      <c r="B91" t="s">
        <v>598</v>
      </c>
      <c r="C91" t="s">
        <v>12</v>
      </c>
      <c r="D91" t="s">
        <v>24</v>
      </c>
      <c r="E91" t="s">
        <v>25</v>
      </c>
      <c r="F91">
        <v>1985</v>
      </c>
      <c r="G91" t="s">
        <v>26</v>
      </c>
      <c r="I91" t="s">
        <v>2</v>
      </c>
      <c r="J91" s="15">
        <f>BLM!I2</f>
        <v>0</v>
      </c>
      <c r="K91" s="15">
        <f>BLM!J2</f>
        <v>0</v>
      </c>
    </row>
    <row r="92" spans="1:11" x14ac:dyDescent="0.35">
      <c r="A92" t="s">
        <v>11</v>
      </c>
      <c r="B92" t="s">
        <v>598</v>
      </c>
      <c r="C92" t="s">
        <v>12</v>
      </c>
      <c r="D92" t="s">
        <v>89</v>
      </c>
      <c r="E92" t="s">
        <v>90</v>
      </c>
      <c r="F92">
        <v>92</v>
      </c>
      <c r="G92" t="s">
        <v>26</v>
      </c>
      <c r="I92" t="s">
        <v>2</v>
      </c>
      <c r="J92" s="15">
        <f>BLM!I3</f>
        <v>0</v>
      </c>
      <c r="K92" s="15">
        <f>BLM!J3</f>
        <v>0</v>
      </c>
    </row>
    <row r="93" spans="1:11" x14ac:dyDescent="0.35">
      <c r="A93" t="s">
        <v>11</v>
      </c>
      <c r="B93" t="s">
        <v>598</v>
      </c>
      <c r="C93" t="s">
        <v>12</v>
      </c>
      <c r="D93" t="s">
        <v>91</v>
      </c>
      <c r="E93" t="s">
        <v>92</v>
      </c>
      <c r="F93">
        <v>2</v>
      </c>
      <c r="G93" t="s">
        <v>26</v>
      </c>
      <c r="I93" t="s">
        <v>2</v>
      </c>
      <c r="J93" s="15">
        <f>BLM!I4</f>
        <v>0</v>
      </c>
      <c r="K93" s="15">
        <f>BLM!J4</f>
        <v>0</v>
      </c>
    </row>
    <row r="94" spans="1:11" x14ac:dyDescent="0.35">
      <c r="A94" t="s">
        <v>15</v>
      </c>
      <c r="B94" t="s">
        <v>598</v>
      </c>
      <c r="C94" t="s">
        <v>16</v>
      </c>
      <c r="D94" t="s">
        <v>39</v>
      </c>
      <c r="E94" t="s">
        <v>40</v>
      </c>
      <c r="F94">
        <v>22</v>
      </c>
      <c r="G94" t="s">
        <v>29</v>
      </c>
      <c r="I94" t="s">
        <v>2</v>
      </c>
      <c r="J94" s="15">
        <f>BLM!I5</f>
        <v>0</v>
      </c>
      <c r="K94" s="15">
        <f>BLM!J5</f>
        <v>0</v>
      </c>
    </row>
    <row r="95" spans="1:11" x14ac:dyDescent="0.35">
      <c r="A95" t="s">
        <v>15</v>
      </c>
      <c r="B95" t="s">
        <v>598</v>
      </c>
      <c r="C95" t="s">
        <v>16</v>
      </c>
      <c r="D95" t="s">
        <v>41</v>
      </c>
      <c r="E95" t="s">
        <v>42</v>
      </c>
      <c r="F95">
        <v>1</v>
      </c>
      <c r="G95" t="s">
        <v>26</v>
      </c>
      <c r="I95" t="s">
        <v>2</v>
      </c>
      <c r="J95" s="15">
        <f>BLM!I6</f>
        <v>0</v>
      </c>
      <c r="K95" s="15">
        <f>BLM!J6</f>
        <v>0</v>
      </c>
    </row>
    <row r="96" spans="1:11" x14ac:dyDescent="0.35">
      <c r="A96" t="s">
        <v>15</v>
      </c>
      <c r="B96" t="s">
        <v>598</v>
      </c>
      <c r="C96" t="s">
        <v>16</v>
      </c>
      <c r="D96" t="s">
        <v>93</v>
      </c>
      <c r="E96" t="s">
        <v>94</v>
      </c>
      <c r="F96">
        <v>2</v>
      </c>
      <c r="G96" t="s">
        <v>29</v>
      </c>
      <c r="I96" t="s">
        <v>2</v>
      </c>
      <c r="J96" s="15">
        <f>BLM!I7</f>
        <v>0</v>
      </c>
      <c r="K96" s="15">
        <f>BLM!J7</f>
        <v>0</v>
      </c>
    </row>
    <row r="97" spans="1:11" x14ac:dyDescent="0.35">
      <c r="A97" t="s">
        <v>15</v>
      </c>
      <c r="B97" t="s">
        <v>598</v>
      </c>
      <c r="C97" t="s">
        <v>16</v>
      </c>
      <c r="D97" t="s">
        <v>43</v>
      </c>
      <c r="E97" t="s">
        <v>44</v>
      </c>
      <c r="F97">
        <v>2</v>
      </c>
      <c r="G97" t="s">
        <v>29</v>
      </c>
      <c r="I97" t="s">
        <v>2</v>
      </c>
      <c r="J97" s="15">
        <f>BLM!I8</f>
        <v>0</v>
      </c>
      <c r="K97" s="15">
        <f>BLM!J8</f>
        <v>0</v>
      </c>
    </row>
    <row r="98" spans="1:11" x14ac:dyDescent="0.35">
      <c r="A98" t="s">
        <v>17</v>
      </c>
      <c r="B98" t="s">
        <v>598</v>
      </c>
      <c r="C98" t="s">
        <v>18</v>
      </c>
      <c r="D98" t="s">
        <v>45</v>
      </c>
      <c r="E98" t="s">
        <v>46</v>
      </c>
      <c r="F98">
        <v>168</v>
      </c>
      <c r="G98" t="s">
        <v>29</v>
      </c>
      <c r="I98" t="s">
        <v>2</v>
      </c>
      <c r="J98" s="15">
        <f>BLM!I9</f>
        <v>0</v>
      </c>
      <c r="K98" s="15">
        <f>BLM!J9</f>
        <v>0</v>
      </c>
    </row>
    <row r="99" spans="1:11" x14ac:dyDescent="0.35">
      <c r="A99" t="s">
        <v>17</v>
      </c>
      <c r="B99" t="s">
        <v>598</v>
      </c>
      <c r="C99" t="s">
        <v>18</v>
      </c>
      <c r="D99" t="s">
        <v>47</v>
      </c>
      <c r="E99" t="s">
        <v>48</v>
      </c>
      <c r="F99">
        <v>1</v>
      </c>
      <c r="G99" t="s">
        <v>29</v>
      </c>
      <c r="I99" t="s">
        <v>2</v>
      </c>
      <c r="J99" s="15">
        <f>BLM!I10</f>
        <v>0</v>
      </c>
      <c r="K99" s="15">
        <f>BLM!J10</f>
        <v>0</v>
      </c>
    </row>
    <row r="100" spans="1:11" x14ac:dyDescent="0.35">
      <c r="A100" t="s">
        <v>17</v>
      </c>
      <c r="B100" t="s">
        <v>598</v>
      </c>
      <c r="C100" t="s">
        <v>18</v>
      </c>
      <c r="D100" t="s">
        <v>52</v>
      </c>
      <c r="E100" t="s">
        <v>53</v>
      </c>
      <c r="F100">
        <v>475</v>
      </c>
      <c r="G100" t="s">
        <v>29</v>
      </c>
      <c r="I100" t="s">
        <v>2</v>
      </c>
      <c r="J100" s="15">
        <f>BLM!I11</f>
        <v>0</v>
      </c>
      <c r="K100" s="15">
        <f>BLM!J11</f>
        <v>0</v>
      </c>
    </row>
    <row r="101" spans="1:11" x14ac:dyDescent="0.35">
      <c r="A101" t="s">
        <v>17</v>
      </c>
      <c r="B101" t="s">
        <v>598</v>
      </c>
      <c r="C101" t="s">
        <v>18</v>
      </c>
      <c r="D101" t="s">
        <v>95</v>
      </c>
      <c r="E101" t="s">
        <v>96</v>
      </c>
      <c r="F101">
        <v>24</v>
      </c>
      <c r="G101" t="s">
        <v>29</v>
      </c>
      <c r="I101" t="s">
        <v>2</v>
      </c>
      <c r="J101" s="15">
        <f>BLM!I12</f>
        <v>0</v>
      </c>
      <c r="K101" s="15">
        <f>BLM!J12</f>
        <v>0</v>
      </c>
    </row>
    <row r="102" spans="1:11" x14ac:dyDescent="0.35">
      <c r="A102" t="s">
        <v>17</v>
      </c>
      <c r="B102" t="s">
        <v>598</v>
      </c>
      <c r="C102" t="s">
        <v>18</v>
      </c>
      <c r="D102" t="s">
        <v>58</v>
      </c>
      <c r="E102" t="s">
        <v>59</v>
      </c>
      <c r="F102">
        <v>1</v>
      </c>
      <c r="G102" t="s">
        <v>26</v>
      </c>
      <c r="I102" t="s">
        <v>2</v>
      </c>
      <c r="J102" s="15">
        <f>BLM!I13</f>
        <v>0</v>
      </c>
      <c r="K102" s="15">
        <f>BLM!J13</f>
        <v>0</v>
      </c>
    </row>
    <row r="103" spans="1:11" x14ac:dyDescent="0.35">
      <c r="A103" t="s">
        <v>17</v>
      </c>
      <c r="B103" t="s">
        <v>598</v>
      </c>
      <c r="C103" t="s">
        <v>18</v>
      </c>
      <c r="D103" t="s">
        <v>97</v>
      </c>
      <c r="E103" t="s">
        <v>98</v>
      </c>
      <c r="F103">
        <v>5</v>
      </c>
      <c r="G103" t="s">
        <v>29</v>
      </c>
      <c r="I103" t="s">
        <v>2</v>
      </c>
      <c r="J103" s="15">
        <f>BLM!I14</f>
        <v>0</v>
      </c>
      <c r="K103" s="15">
        <f>BLM!J14</f>
        <v>0</v>
      </c>
    </row>
    <row r="104" spans="1:11" x14ac:dyDescent="0.35">
      <c r="A104" t="s">
        <v>100</v>
      </c>
      <c r="B104" t="s">
        <v>598</v>
      </c>
      <c r="C104" t="s">
        <v>101</v>
      </c>
      <c r="D104" t="s">
        <v>102</v>
      </c>
      <c r="E104" t="s">
        <v>103</v>
      </c>
      <c r="F104">
        <v>3000</v>
      </c>
      <c r="I104" t="s">
        <v>2</v>
      </c>
      <c r="J104" s="15">
        <f>BLM!I15</f>
        <v>0</v>
      </c>
      <c r="K104" s="15">
        <f>BLM!J15</f>
        <v>0</v>
      </c>
    </row>
    <row r="105" spans="1:11" x14ac:dyDescent="0.35">
      <c r="A105" t="s">
        <v>100</v>
      </c>
      <c r="B105" t="s">
        <v>598</v>
      </c>
      <c r="C105" t="s">
        <v>101</v>
      </c>
      <c r="D105" t="s">
        <v>104</v>
      </c>
      <c r="E105" t="s">
        <v>105</v>
      </c>
      <c r="F105">
        <v>1</v>
      </c>
      <c r="I105" t="s">
        <v>2</v>
      </c>
      <c r="J105" s="15">
        <f>BLM!I16</f>
        <v>0</v>
      </c>
      <c r="K105" s="15">
        <f>BLM!J16</f>
        <v>0</v>
      </c>
    </row>
    <row r="106" spans="1:11" x14ac:dyDescent="0.35">
      <c r="A106" t="s">
        <v>100</v>
      </c>
      <c r="B106" t="s">
        <v>598</v>
      </c>
      <c r="C106" t="s">
        <v>101</v>
      </c>
      <c r="D106" t="s">
        <v>106</v>
      </c>
      <c r="E106" t="s">
        <v>107</v>
      </c>
      <c r="F106">
        <v>100</v>
      </c>
      <c r="I106" t="s">
        <v>2</v>
      </c>
      <c r="J106" s="15">
        <f>BLM!I17</f>
        <v>0</v>
      </c>
      <c r="K106" s="15">
        <f>BLM!J17</f>
        <v>0</v>
      </c>
    </row>
    <row r="107" spans="1:11" x14ac:dyDescent="0.35">
      <c r="A107" t="s">
        <v>65</v>
      </c>
      <c r="B107" t="s">
        <v>598</v>
      </c>
      <c r="C107" t="s">
        <v>66</v>
      </c>
      <c r="D107" t="s">
        <v>67</v>
      </c>
      <c r="E107" t="s">
        <v>68</v>
      </c>
      <c r="F107">
        <v>1</v>
      </c>
      <c r="I107" t="s">
        <v>2</v>
      </c>
      <c r="J107" s="15">
        <f>BLM!I18</f>
        <v>0</v>
      </c>
      <c r="K107" s="15">
        <f>BLM!J18</f>
        <v>0</v>
      </c>
    </row>
    <row r="108" spans="1:11" x14ac:dyDescent="0.35">
      <c r="A108" t="s">
        <v>65</v>
      </c>
      <c r="B108" t="s">
        <v>598</v>
      </c>
      <c r="C108" t="s">
        <v>66</v>
      </c>
      <c r="D108" t="s">
        <v>69</v>
      </c>
      <c r="E108" t="s">
        <v>70</v>
      </c>
      <c r="F108">
        <v>210</v>
      </c>
      <c r="I108" t="s">
        <v>2</v>
      </c>
      <c r="J108" s="15">
        <f>BLM!I19</f>
        <v>0</v>
      </c>
      <c r="K108" s="15">
        <f>BLM!J19</f>
        <v>0</v>
      </c>
    </row>
    <row r="109" spans="1:11" x14ac:dyDescent="0.35">
      <c r="A109" t="s">
        <v>65</v>
      </c>
      <c r="B109" t="s">
        <v>598</v>
      </c>
      <c r="C109" t="s">
        <v>71</v>
      </c>
      <c r="D109" t="s">
        <v>72</v>
      </c>
      <c r="E109" t="s">
        <v>73</v>
      </c>
      <c r="F109">
        <v>100</v>
      </c>
      <c r="I109" t="s">
        <v>2</v>
      </c>
      <c r="J109" s="15">
        <f>BLM!I20</f>
        <v>0</v>
      </c>
      <c r="K109" s="15">
        <f>BLM!J20</f>
        <v>0</v>
      </c>
    </row>
    <row r="110" spans="1:11" x14ac:dyDescent="0.35">
      <c r="A110" t="s">
        <v>65</v>
      </c>
      <c r="B110" t="s">
        <v>598</v>
      </c>
      <c r="C110" t="s">
        <v>71</v>
      </c>
      <c r="D110" t="s">
        <v>74</v>
      </c>
      <c r="E110" t="s">
        <v>75</v>
      </c>
      <c r="F110">
        <v>1</v>
      </c>
      <c r="I110" t="s">
        <v>2</v>
      </c>
      <c r="J110" s="15">
        <f>BLM!I21</f>
        <v>0</v>
      </c>
      <c r="K110" s="15">
        <f>BLM!J21</f>
        <v>0</v>
      </c>
    </row>
    <row r="111" spans="1:11" x14ac:dyDescent="0.35">
      <c r="A111" t="s">
        <v>65</v>
      </c>
      <c r="B111" t="s">
        <v>598</v>
      </c>
      <c r="C111" t="s">
        <v>71</v>
      </c>
      <c r="D111" t="s">
        <v>108</v>
      </c>
      <c r="E111" t="s">
        <v>109</v>
      </c>
      <c r="F111">
        <v>300</v>
      </c>
      <c r="I111" t="s">
        <v>2</v>
      </c>
      <c r="J111" s="15">
        <f>BLM!I22</f>
        <v>0</v>
      </c>
      <c r="K111" s="15">
        <f>BLM!J22</f>
        <v>0</v>
      </c>
    </row>
    <row r="112" spans="1:11" x14ac:dyDescent="0.35">
      <c r="A112" t="s">
        <v>65</v>
      </c>
      <c r="B112" t="s">
        <v>598</v>
      </c>
      <c r="C112" t="s">
        <v>71</v>
      </c>
      <c r="D112" t="s">
        <v>76</v>
      </c>
      <c r="E112" t="s">
        <v>77</v>
      </c>
      <c r="F112">
        <v>3200</v>
      </c>
      <c r="I112" t="s">
        <v>2</v>
      </c>
      <c r="J112" s="15">
        <f>BLM!I23</f>
        <v>0</v>
      </c>
      <c r="K112" s="15">
        <f>BLM!J23</f>
        <v>0</v>
      </c>
    </row>
    <row r="113" spans="1:11" x14ac:dyDescent="0.35">
      <c r="A113" t="s">
        <v>78</v>
      </c>
      <c r="B113" t="s">
        <v>598</v>
      </c>
      <c r="C113" t="s">
        <v>79</v>
      </c>
      <c r="D113" t="s">
        <v>80</v>
      </c>
      <c r="E113" t="s">
        <v>81</v>
      </c>
      <c r="F113">
        <v>1</v>
      </c>
      <c r="I113" t="s">
        <v>2</v>
      </c>
      <c r="J113" s="15">
        <f>BLM!I24</f>
        <v>0</v>
      </c>
      <c r="K113" s="15">
        <f>BLM!J24</f>
        <v>0</v>
      </c>
    </row>
    <row r="114" spans="1:11" x14ac:dyDescent="0.35">
      <c r="A114" t="s">
        <v>78</v>
      </c>
      <c r="B114" t="s">
        <v>598</v>
      </c>
      <c r="C114" t="s">
        <v>79</v>
      </c>
      <c r="D114" t="s">
        <v>110</v>
      </c>
      <c r="E114" t="s">
        <v>111</v>
      </c>
      <c r="F114">
        <v>1</v>
      </c>
      <c r="I114" t="s">
        <v>2</v>
      </c>
      <c r="J114" s="15">
        <f>BLM!I25</f>
        <v>0</v>
      </c>
      <c r="K114" s="15">
        <f>BLM!J25</f>
        <v>0</v>
      </c>
    </row>
    <row r="115" spans="1:11" x14ac:dyDescent="0.35">
      <c r="A115" t="s">
        <v>78</v>
      </c>
      <c r="B115" t="s">
        <v>598</v>
      </c>
      <c r="C115" t="s">
        <v>79</v>
      </c>
      <c r="D115" t="s">
        <v>112</v>
      </c>
      <c r="E115" t="s">
        <v>113</v>
      </c>
      <c r="F115">
        <v>3</v>
      </c>
      <c r="I115" t="s">
        <v>2</v>
      </c>
      <c r="J115" s="15">
        <f>BLM!I26</f>
        <v>0</v>
      </c>
      <c r="K115" s="15">
        <f>BLM!J26</f>
        <v>0</v>
      </c>
    </row>
    <row r="116" spans="1:11" x14ac:dyDescent="0.35">
      <c r="A116" t="s">
        <v>182</v>
      </c>
      <c r="B116" t="s">
        <v>599</v>
      </c>
      <c r="C116" t="s">
        <v>183</v>
      </c>
      <c r="D116" t="s">
        <v>184</v>
      </c>
      <c r="E116" t="s">
        <v>185</v>
      </c>
      <c r="F116">
        <v>50</v>
      </c>
      <c r="I116" t="s">
        <v>2</v>
      </c>
      <c r="J116" s="15">
        <f>BLM!I27</f>
        <v>0</v>
      </c>
      <c r="K116" s="15">
        <f>BLM!J27</f>
        <v>0</v>
      </c>
    </row>
    <row r="117" spans="1:11" x14ac:dyDescent="0.35">
      <c r="A117" t="s">
        <v>182</v>
      </c>
      <c r="B117" t="s">
        <v>599</v>
      </c>
      <c r="C117" t="s">
        <v>183</v>
      </c>
      <c r="D117" t="s">
        <v>187</v>
      </c>
      <c r="E117" t="s">
        <v>188</v>
      </c>
      <c r="F117">
        <v>31</v>
      </c>
      <c r="I117" t="s">
        <v>2</v>
      </c>
      <c r="J117" s="15">
        <f>BLM!I28</f>
        <v>0</v>
      </c>
      <c r="K117" s="15">
        <f>BLM!J28</f>
        <v>0</v>
      </c>
    </row>
    <row r="118" spans="1:11" x14ac:dyDescent="0.35">
      <c r="A118" t="s">
        <v>182</v>
      </c>
      <c r="B118" t="s">
        <v>599</v>
      </c>
      <c r="C118" t="s">
        <v>183</v>
      </c>
      <c r="D118" t="s">
        <v>229</v>
      </c>
      <c r="E118" t="s">
        <v>230</v>
      </c>
      <c r="F118">
        <v>76</v>
      </c>
      <c r="I118" t="s">
        <v>2</v>
      </c>
      <c r="J118" s="15">
        <f>BLM!I29</f>
        <v>0</v>
      </c>
      <c r="K118" s="15">
        <f>BLM!J29</f>
        <v>0</v>
      </c>
    </row>
    <row r="119" spans="1:11" x14ac:dyDescent="0.35">
      <c r="A119" t="s">
        <v>182</v>
      </c>
      <c r="B119" t="s">
        <v>599</v>
      </c>
      <c r="C119" t="s">
        <v>183</v>
      </c>
      <c r="D119" t="s">
        <v>239</v>
      </c>
      <c r="E119" t="s">
        <v>240</v>
      </c>
      <c r="F119">
        <v>38</v>
      </c>
      <c r="I119" t="s">
        <v>2</v>
      </c>
      <c r="J119" s="15">
        <f>BLM!I30</f>
        <v>0</v>
      </c>
      <c r="K119" s="15">
        <f>BLM!J30</f>
        <v>0</v>
      </c>
    </row>
    <row r="120" spans="1:11" x14ac:dyDescent="0.35">
      <c r="A120" t="s">
        <v>182</v>
      </c>
      <c r="B120" t="s">
        <v>599</v>
      </c>
      <c r="C120" t="s">
        <v>189</v>
      </c>
      <c r="D120" t="s">
        <v>231</v>
      </c>
      <c r="E120" t="s">
        <v>232</v>
      </c>
      <c r="F120">
        <v>6</v>
      </c>
      <c r="I120" t="s">
        <v>2</v>
      </c>
      <c r="J120" s="15">
        <f>BLM!I31</f>
        <v>0</v>
      </c>
      <c r="K120" s="15">
        <f>BLM!J31</f>
        <v>0</v>
      </c>
    </row>
    <row r="121" spans="1:11" x14ac:dyDescent="0.35">
      <c r="A121" t="s">
        <v>182</v>
      </c>
      <c r="B121" t="s">
        <v>599</v>
      </c>
      <c r="C121" t="s">
        <v>189</v>
      </c>
      <c r="D121" t="s">
        <v>190</v>
      </c>
      <c r="E121" t="s">
        <v>191</v>
      </c>
      <c r="F121">
        <v>12</v>
      </c>
      <c r="I121" t="s">
        <v>2</v>
      </c>
      <c r="J121" s="15">
        <f>BLM!I32</f>
        <v>0</v>
      </c>
      <c r="K121" s="15">
        <f>BLM!J32</f>
        <v>0</v>
      </c>
    </row>
    <row r="122" spans="1:11" x14ac:dyDescent="0.35">
      <c r="A122" t="s">
        <v>182</v>
      </c>
      <c r="B122" t="s">
        <v>599</v>
      </c>
      <c r="C122" t="s">
        <v>189</v>
      </c>
      <c r="D122" t="s">
        <v>193</v>
      </c>
      <c r="E122" t="s">
        <v>194</v>
      </c>
      <c r="F122">
        <v>43</v>
      </c>
      <c r="I122" t="s">
        <v>2</v>
      </c>
      <c r="J122" s="15">
        <f>BLM!I33</f>
        <v>0</v>
      </c>
      <c r="K122" s="15">
        <f>BLM!J33</f>
        <v>0</v>
      </c>
    </row>
    <row r="123" spans="1:11" x14ac:dyDescent="0.35">
      <c r="A123" t="s">
        <v>182</v>
      </c>
      <c r="B123" t="s">
        <v>599</v>
      </c>
      <c r="C123" t="s">
        <v>195</v>
      </c>
      <c r="D123" t="s">
        <v>196</v>
      </c>
      <c r="E123" t="s">
        <v>197</v>
      </c>
      <c r="F123">
        <v>4</v>
      </c>
      <c r="I123" t="s">
        <v>2</v>
      </c>
      <c r="J123" s="15">
        <f>BLM!I34</f>
        <v>0</v>
      </c>
      <c r="K123" s="15">
        <f>BLM!J34</f>
        <v>0</v>
      </c>
    </row>
    <row r="124" spans="1:11" x14ac:dyDescent="0.35">
      <c r="A124" t="s">
        <v>182</v>
      </c>
      <c r="B124" t="s">
        <v>599</v>
      </c>
      <c r="C124" t="s">
        <v>195</v>
      </c>
      <c r="D124" t="s">
        <v>366</v>
      </c>
      <c r="E124" t="s">
        <v>367</v>
      </c>
      <c r="F124">
        <v>58</v>
      </c>
      <c r="I124" t="s">
        <v>2</v>
      </c>
      <c r="J124" s="15">
        <f>BLM!I35</f>
        <v>0</v>
      </c>
      <c r="K124" s="15">
        <f>BLM!J35</f>
        <v>0</v>
      </c>
    </row>
    <row r="125" spans="1:11" x14ac:dyDescent="0.35">
      <c r="A125" t="s">
        <v>182</v>
      </c>
      <c r="B125" t="s">
        <v>599</v>
      </c>
      <c r="C125" t="s">
        <v>195</v>
      </c>
      <c r="D125" t="s">
        <v>368</v>
      </c>
      <c r="E125" t="s">
        <v>369</v>
      </c>
      <c r="F125">
        <v>7</v>
      </c>
      <c r="I125" t="s">
        <v>2</v>
      </c>
      <c r="J125" s="15">
        <f>BLM!I36</f>
        <v>0</v>
      </c>
      <c r="K125" s="15">
        <f>BLM!J36</f>
        <v>0</v>
      </c>
    </row>
    <row r="126" spans="1:11" x14ac:dyDescent="0.35">
      <c r="A126" t="s">
        <v>182</v>
      </c>
      <c r="B126" t="s">
        <v>599</v>
      </c>
      <c r="C126" t="s">
        <v>198</v>
      </c>
      <c r="D126" t="s">
        <v>199</v>
      </c>
      <c r="E126" t="s">
        <v>200</v>
      </c>
      <c r="F126">
        <v>2</v>
      </c>
      <c r="I126" t="s">
        <v>2</v>
      </c>
      <c r="J126" s="15">
        <f>BLM!I37</f>
        <v>0</v>
      </c>
      <c r="K126" s="15">
        <f>BLM!J37</f>
        <v>0</v>
      </c>
    </row>
    <row r="127" spans="1:11" x14ac:dyDescent="0.35">
      <c r="A127" t="s">
        <v>182</v>
      </c>
      <c r="B127" t="s">
        <v>599</v>
      </c>
      <c r="C127" t="s">
        <v>198</v>
      </c>
      <c r="D127" t="s">
        <v>370</v>
      </c>
      <c r="E127" t="s">
        <v>371</v>
      </c>
      <c r="F127">
        <v>56</v>
      </c>
      <c r="I127" t="s">
        <v>2</v>
      </c>
      <c r="J127" s="15">
        <f>BLM!I38</f>
        <v>0</v>
      </c>
      <c r="K127" s="15">
        <f>BLM!J38</f>
        <v>0</v>
      </c>
    </row>
    <row r="128" spans="1:11" x14ac:dyDescent="0.35">
      <c r="A128" t="s">
        <v>182</v>
      </c>
      <c r="B128" t="s">
        <v>599</v>
      </c>
      <c r="C128" t="s">
        <v>198</v>
      </c>
      <c r="D128" t="s">
        <v>99</v>
      </c>
      <c r="E128" t="s">
        <v>201</v>
      </c>
      <c r="F128">
        <v>0</v>
      </c>
      <c r="I128" t="s">
        <v>2</v>
      </c>
      <c r="J128" s="15">
        <f>BLM!I39</f>
        <v>0</v>
      </c>
      <c r="K128" s="15">
        <f>BLM!J39</f>
        <v>0</v>
      </c>
    </row>
    <row r="129" spans="1:11" x14ac:dyDescent="0.35">
      <c r="A129" t="s">
        <v>182</v>
      </c>
      <c r="B129" t="s">
        <v>599</v>
      </c>
      <c r="C129" t="s">
        <v>204</v>
      </c>
      <c r="D129" t="s">
        <v>209</v>
      </c>
      <c r="E129" t="s">
        <v>210</v>
      </c>
      <c r="F129">
        <v>0</v>
      </c>
      <c r="I129" t="s">
        <v>2</v>
      </c>
      <c r="J129" s="15">
        <f>BLM!I40</f>
        <v>0</v>
      </c>
      <c r="K129" s="15">
        <f>BLM!J40</f>
        <v>0</v>
      </c>
    </row>
    <row r="130" spans="1:11" x14ac:dyDescent="0.35">
      <c r="A130" t="s">
        <v>182</v>
      </c>
      <c r="B130" t="s">
        <v>599</v>
      </c>
      <c r="C130" t="s">
        <v>204</v>
      </c>
      <c r="D130" t="s">
        <v>245</v>
      </c>
      <c r="E130" t="s">
        <v>246</v>
      </c>
      <c r="F130">
        <v>1298</v>
      </c>
      <c r="I130" t="s">
        <v>2</v>
      </c>
      <c r="J130" s="15">
        <f>BLM!I41</f>
        <v>0</v>
      </c>
      <c r="K130" s="15">
        <f>BLM!J41</f>
        <v>0</v>
      </c>
    </row>
    <row r="131" spans="1:11" x14ac:dyDescent="0.35">
      <c r="A131" t="s">
        <v>182</v>
      </c>
      <c r="B131" t="s">
        <v>599</v>
      </c>
      <c r="C131" t="s">
        <v>204</v>
      </c>
      <c r="D131" t="s">
        <v>207</v>
      </c>
      <c r="E131" t="s">
        <v>208</v>
      </c>
      <c r="F131">
        <v>934</v>
      </c>
      <c r="I131" t="s">
        <v>2</v>
      </c>
      <c r="J131" s="15">
        <f>BLM!I42</f>
        <v>0</v>
      </c>
      <c r="K131" s="15">
        <f>BLM!J42</f>
        <v>0</v>
      </c>
    </row>
    <row r="132" spans="1:11" x14ac:dyDescent="0.35">
      <c r="A132" t="s">
        <v>211</v>
      </c>
      <c r="B132" t="s">
        <v>599</v>
      </c>
      <c r="C132" t="s">
        <v>212</v>
      </c>
      <c r="D132" t="s">
        <v>372</v>
      </c>
      <c r="E132" t="s">
        <v>373</v>
      </c>
      <c r="F132">
        <v>40</v>
      </c>
      <c r="I132" t="s">
        <v>2</v>
      </c>
      <c r="J132" s="15">
        <f>BLM!I43</f>
        <v>0</v>
      </c>
      <c r="K132" s="15">
        <f>BLM!J43</f>
        <v>0</v>
      </c>
    </row>
    <row r="133" spans="1:11" x14ac:dyDescent="0.35">
      <c r="A133" t="s">
        <v>211</v>
      </c>
      <c r="B133" t="s">
        <v>599</v>
      </c>
      <c r="C133" t="s">
        <v>212</v>
      </c>
      <c r="D133" t="s">
        <v>374</v>
      </c>
      <c r="E133" t="s">
        <v>375</v>
      </c>
      <c r="F133">
        <v>8</v>
      </c>
      <c r="I133" t="s">
        <v>2</v>
      </c>
      <c r="J133" s="15">
        <f>BLM!I44</f>
        <v>0</v>
      </c>
      <c r="K133" s="15">
        <f>BLM!J44</f>
        <v>0</v>
      </c>
    </row>
    <row r="134" spans="1:11" x14ac:dyDescent="0.35">
      <c r="A134" t="s">
        <v>211</v>
      </c>
      <c r="B134" t="s">
        <v>599</v>
      </c>
      <c r="C134" t="s">
        <v>212</v>
      </c>
      <c r="D134" t="s">
        <v>376</v>
      </c>
      <c r="E134" t="s">
        <v>377</v>
      </c>
      <c r="F134">
        <v>11</v>
      </c>
      <c r="I134" t="s">
        <v>2</v>
      </c>
      <c r="J134" s="15">
        <f>BLM!I45</f>
        <v>0</v>
      </c>
      <c r="K134" s="15">
        <f>BLM!J45</f>
        <v>0</v>
      </c>
    </row>
    <row r="135" spans="1:11" x14ac:dyDescent="0.35">
      <c r="A135" t="s">
        <v>211</v>
      </c>
      <c r="B135" t="s">
        <v>599</v>
      </c>
      <c r="C135" t="s">
        <v>212</v>
      </c>
      <c r="D135" t="s">
        <v>378</v>
      </c>
      <c r="E135" t="s">
        <v>379</v>
      </c>
      <c r="F135">
        <v>0</v>
      </c>
      <c r="I135" t="s">
        <v>2</v>
      </c>
      <c r="J135" s="15">
        <f>BLM!I46</f>
        <v>0</v>
      </c>
      <c r="K135" s="15">
        <f>BLM!J46</f>
        <v>0</v>
      </c>
    </row>
    <row r="136" spans="1:11" x14ac:dyDescent="0.35">
      <c r="A136" t="s">
        <v>220</v>
      </c>
      <c r="B136" t="s">
        <v>599</v>
      </c>
      <c r="C136" t="s">
        <v>221</v>
      </c>
      <c r="D136" t="s">
        <v>256</v>
      </c>
      <c r="E136" t="s">
        <v>257</v>
      </c>
      <c r="F136">
        <v>0</v>
      </c>
      <c r="I136" t="s">
        <v>2</v>
      </c>
      <c r="J136" s="15">
        <f>BLM!I47</f>
        <v>0</v>
      </c>
      <c r="K136" s="15">
        <f>BLM!J47</f>
        <v>0</v>
      </c>
    </row>
    <row r="137" spans="1:11" x14ac:dyDescent="0.35">
      <c r="A137" t="s">
        <v>220</v>
      </c>
      <c r="B137" t="s">
        <v>599</v>
      </c>
      <c r="C137" t="s">
        <v>221</v>
      </c>
      <c r="D137" t="s">
        <v>380</v>
      </c>
      <c r="E137" t="s">
        <v>381</v>
      </c>
      <c r="F137">
        <v>2</v>
      </c>
      <c r="I137" t="s">
        <v>2</v>
      </c>
      <c r="J137" s="15">
        <f>BLM!I48</f>
        <v>0</v>
      </c>
      <c r="K137" s="15">
        <f>BLM!J48</f>
        <v>0</v>
      </c>
    </row>
    <row r="138" spans="1:11" x14ac:dyDescent="0.35">
      <c r="A138" t="s">
        <v>220</v>
      </c>
      <c r="B138" t="s">
        <v>599</v>
      </c>
      <c r="C138" t="s">
        <v>221</v>
      </c>
      <c r="D138" t="s">
        <v>382</v>
      </c>
      <c r="E138" t="s">
        <v>383</v>
      </c>
      <c r="F138">
        <v>2</v>
      </c>
      <c r="I138" t="s">
        <v>2</v>
      </c>
      <c r="J138" s="15">
        <f>BLM!I49</f>
        <v>0</v>
      </c>
      <c r="K138" s="15">
        <f>BLM!J49</f>
        <v>0</v>
      </c>
    </row>
    <row r="139" spans="1:11" x14ac:dyDescent="0.35">
      <c r="A139" s="2" t="s">
        <v>449</v>
      </c>
      <c r="B139" t="s">
        <v>599</v>
      </c>
      <c r="C139" s="2"/>
      <c r="D139" s="2" t="s">
        <v>454</v>
      </c>
      <c r="E139" s="2" t="s">
        <v>455</v>
      </c>
      <c r="F139" s="2">
        <v>1</v>
      </c>
      <c r="I139" t="s">
        <v>2</v>
      </c>
      <c r="J139" s="15">
        <f>BLM!I50</f>
        <v>0</v>
      </c>
      <c r="K139" s="15">
        <f>BLM!J50</f>
        <v>0</v>
      </c>
    </row>
    <row r="140" spans="1:11" x14ac:dyDescent="0.35">
      <c r="A140" s="2" t="s">
        <v>449</v>
      </c>
      <c r="B140" t="s">
        <v>599</v>
      </c>
      <c r="C140" s="2"/>
      <c r="D140" s="2" t="s">
        <v>454</v>
      </c>
      <c r="E140" s="2" t="s">
        <v>455</v>
      </c>
      <c r="F140" s="2">
        <v>1</v>
      </c>
      <c r="I140" t="s">
        <v>2</v>
      </c>
      <c r="J140" s="15">
        <f>BLM!I51</f>
        <v>0</v>
      </c>
      <c r="K140" s="15">
        <f>BLM!J51</f>
        <v>0</v>
      </c>
    </row>
    <row r="141" spans="1:11" x14ac:dyDescent="0.35">
      <c r="A141" s="2" t="s">
        <v>449</v>
      </c>
      <c r="B141" t="s">
        <v>599</v>
      </c>
      <c r="C141" s="2"/>
      <c r="D141" s="2" t="s">
        <v>454</v>
      </c>
      <c r="E141" s="2" t="s">
        <v>455</v>
      </c>
      <c r="F141" s="2">
        <v>1</v>
      </c>
      <c r="I141" t="s">
        <v>2</v>
      </c>
      <c r="J141" s="15">
        <f>BLM!I52</f>
        <v>0</v>
      </c>
      <c r="K141" s="15">
        <f>BLM!J52</f>
        <v>0</v>
      </c>
    </row>
    <row r="142" spans="1:11" x14ac:dyDescent="0.35">
      <c r="A142" s="2" t="s">
        <v>449</v>
      </c>
      <c r="B142" t="s">
        <v>599</v>
      </c>
      <c r="C142" s="2"/>
      <c r="D142" s="2" t="s">
        <v>454</v>
      </c>
      <c r="E142" s="2" t="s">
        <v>455</v>
      </c>
      <c r="F142" s="2">
        <v>1</v>
      </c>
      <c r="I142" t="s">
        <v>2</v>
      </c>
      <c r="J142" s="15">
        <f>BLM!I53</f>
        <v>0</v>
      </c>
      <c r="K142" s="15">
        <f>BLM!J53</f>
        <v>0</v>
      </c>
    </row>
    <row r="143" spans="1:11" x14ac:dyDescent="0.35">
      <c r="A143" s="2" t="s">
        <v>449</v>
      </c>
      <c r="B143" t="s">
        <v>599</v>
      </c>
      <c r="C143" s="2"/>
      <c r="D143" s="2" t="s">
        <v>454</v>
      </c>
      <c r="E143" s="2" t="s">
        <v>455</v>
      </c>
      <c r="F143" s="2">
        <v>1</v>
      </c>
      <c r="I143" t="s">
        <v>2</v>
      </c>
      <c r="J143" s="15">
        <f>BLM!I54</f>
        <v>0</v>
      </c>
      <c r="K143" s="15">
        <f>BLM!J54</f>
        <v>0</v>
      </c>
    </row>
    <row r="144" spans="1:11" x14ac:dyDescent="0.35">
      <c r="A144" s="2" t="s">
        <v>449</v>
      </c>
      <c r="B144" t="s">
        <v>599</v>
      </c>
      <c r="C144" s="2"/>
      <c r="D144" s="2" t="s">
        <v>454</v>
      </c>
      <c r="E144" s="2" t="s">
        <v>455</v>
      </c>
      <c r="F144" s="2">
        <v>1</v>
      </c>
      <c r="I144" t="s">
        <v>2</v>
      </c>
      <c r="J144" s="15">
        <f>BLM!I55</f>
        <v>0</v>
      </c>
      <c r="K144" s="15">
        <f>BLM!J55</f>
        <v>0</v>
      </c>
    </row>
    <row r="145" spans="1:11" x14ac:dyDescent="0.35">
      <c r="A145" s="2" t="s">
        <v>449</v>
      </c>
      <c r="B145" t="s">
        <v>599</v>
      </c>
      <c r="C145" s="2"/>
      <c r="D145" s="2" t="s">
        <v>454</v>
      </c>
      <c r="E145" s="2" t="s">
        <v>455</v>
      </c>
      <c r="F145" s="2">
        <v>1</v>
      </c>
      <c r="I145" t="s">
        <v>2</v>
      </c>
      <c r="J145" s="15">
        <f>BLM!I56</f>
        <v>0</v>
      </c>
      <c r="K145" s="15">
        <f>BLM!J56</f>
        <v>0</v>
      </c>
    </row>
    <row r="146" spans="1:11" x14ac:dyDescent="0.35">
      <c r="A146" s="2" t="s">
        <v>449</v>
      </c>
      <c r="B146" t="s">
        <v>599</v>
      </c>
      <c r="C146" s="2"/>
      <c r="D146" s="2" t="s">
        <v>454</v>
      </c>
      <c r="E146" s="2" t="s">
        <v>455</v>
      </c>
      <c r="F146" s="2">
        <v>1</v>
      </c>
      <c r="I146" t="s">
        <v>2</v>
      </c>
      <c r="J146" s="15">
        <f>BLM!I57</f>
        <v>0</v>
      </c>
      <c r="K146" s="15">
        <f>BLM!J57</f>
        <v>0</v>
      </c>
    </row>
    <row r="147" spans="1:11" x14ac:dyDescent="0.35">
      <c r="A147" s="2" t="s">
        <v>449</v>
      </c>
      <c r="B147" t="s">
        <v>599</v>
      </c>
      <c r="C147" s="2"/>
      <c r="D147" s="2" t="s">
        <v>454</v>
      </c>
      <c r="E147" s="2" t="s">
        <v>455</v>
      </c>
      <c r="F147" s="2">
        <v>1</v>
      </c>
      <c r="I147" t="s">
        <v>2</v>
      </c>
      <c r="J147" s="15">
        <f>BLM!I58</f>
        <v>0</v>
      </c>
      <c r="K147" s="15">
        <f>BLM!J58</f>
        <v>0</v>
      </c>
    </row>
    <row r="148" spans="1:11" x14ac:dyDescent="0.35">
      <c r="A148" s="2" t="s">
        <v>449</v>
      </c>
      <c r="B148" t="s">
        <v>599</v>
      </c>
      <c r="C148" s="2"/>
      <c r="D148" s="2" t="s">
        <v>454</v>
      </c>
      <c r="E148" s="2" t="s">
        <v>455</v>
      </c>
      <c r="F148" s="2">
        <v>1</v>
      </c>
      <c r="I148" t="s">
        <v>2</v>
      </c>
      <c r="J148" s="15">
        <f>BLM!I59</f>
        <v>0</v>
      </c>
      <c r="K148" s="15">
        <f>BLM!J59</f>
        <v>0</v>
      </c>
    </row>
    <row r="149" spans="1:11" x14ac:dyDescent="0.35">
      <c r="A149" s="2" t="s">
        <v>449</v>
      </c>
      <c r="B149" t="s">
        <v>599</v>
      </c>
      <c r="C149" s="2"/>
      <c r="D149" s="2" t="s">
        <v>454</v>
      </c>
      <c r="E149" s="2" t="s">
        <v>455</v>
      </c>
      <c r="F149" s="2">
        <v>1</v>
      </c>
      <c r="I149" t="s">
        <v>2</v>
      </c>
      <c r="J149" s="15">
        <f>BLM!I60</f>
        <v>0</v>
      </c>
      <c r="K149" s="15">
        <f>BLM!J60</f>
        <v>0</v>
      </c>
    </row>
    <row r="150" spans="1:11" x14ac:dyDescent="0.35">
      <c r="A150" s="2" t="s">
        <v>449</v>
      </c>
      <c r="B150" t="s">
        <v>599</v>
      </c>
      <c r="C150" s="2"/>
      <c r="D150" s="2" t="s">
        <v>454</v>
      </c>
      <c r="E150" s="2" t="s">
        <v>455</v>
      </c>
      <c r="F150" s="2">
        <v>1</v>
      </c>
      <c r="I150" t="s">
        <v>2</v>
      </c>
      <c r="J150" s="15">
        <f>BLM!I61</f>
        <v>0</v>
      </c>
      <c r="K150" s="15">
        <f>BLM!J61</f>
        <v>0</v>
      </c>
    </row>
    <row r="151" spans="1:11" x14ac:dyDescent="0.35">
      <c r="A151" t="s">
        <v>11</v>
      </c>
      <c r="B151" t="s">
        <v>598</v>
      </c>
      <c r="C151" t="s">
        <v>12</v>
      </c>
      <c r="D151" t="s">
        <v>24</v>
      </c>
      <c r="E151" t="s">
        <v>25</v>
      </c>
      <c r="F151">
        <v>100</v>
      </c>
      <c r="G151" t="s">
        <v>26</v>
      </c>
      <c r="I151" t="s">
        <v>3</v>
      </c>
      <c r="J151" s="15">
        <f>BOR!I2</f>
        <v>0</v>
      </c>
      <c r="K151" s="15">
        <f>BOR!J2</f>
        <v>0</v>
      </c>
    </row>
    <row r="152" spans="1:11" x14ac:dyDescent="0.35">
      <c r="A152" t="s">
        <v>11</v>
      </c>
      <c r="B152" t="s">
        <v>598</v>
      </c>
      <c r="C152" t="s">
        <v>13</v>
      </c>
      <c r="D152" t="s">
        <v>27</v>
      </c>
      <c r="E152" t="s">
        <v>28</v>
      </c>
      <c r="F152">
        <v>1</v>
      </c>
      <c r="G152" t="s">
        <v>29</v>
      </c>
      <c r="I152" t="s">
        <v>3</v>
      </c>
      <c r="J152" s="15">
        <f>BOR!I3</f>
        <v>0</v>
      </c>
      <c r="K152" s="15">
        <f>BOR!J3</f>
        <v>0</v>
      </c>
    </row>
    <row r="153" spans="1:11" x14ac:dyDescent="0.35">
      <c r="A153" t="s">
        <v>11</v>
      </c>
      <c r="B153" t="s">
        <v>598</v>
      </c>
      <c r="C153" t="s">
        <v>13</v>
      </c>
      <c r="D153" t="s">
        <v>30</v>
      </c>
      <c r="E153" t="s">
        <v>31</v>
      </c>
      <c r="F153">
        <v>1</v>
      </c>
      <c r="G153" t="s">
        <v>29</v>
      </c>
      <c r="I153" t="s">
        <v>3</v>
      </c>
      <c r="J153" s="15">
        <f>BOR!I4</f>
        <v>0</v>
      </c>
      <c r="K153" s="15">
        <f>BOR!J4</f>
        <v>0</v>
      </c>
    </row>
    <row r="154" spans="1:11" x14ac:dyDescent="0.35">
      <c r="A154" t="s">
        <v>11</v>
      </c>
      <c r="B154" t="s">
        <v>598</v>
      </c>
      <c r="C154" t="s">
        <v>13</v>
      </c>
      <c r="D154" t="s">
        <v>32</v>
      </c>
      <c r="E154" t="s">
        <v>33</v>
      </c>
      <c r="F154">
        <v>1</v>
      </c>
      <c r="G154" t="s">
        <v>29</v>
      </c>
      <c r="I154" t="s">
        <v>3</v>
      </c>
      <c r="J154" s="15">
        <f>BOR!I5</f>
        <v>0</v>
      </c>
      <c r="K154" s="15">
        <f>BOR!J5</f>
        <v>0</v>
      </c>
    </row>
    <row r="155" spans="1:11" x14ac:dyDescent="0.35">
      <c r="A155" t="s">
        <v>11</v>
      </c>
      <c r="B155" t="s">
        <v>598</v>
      </c>
      <c r="C155" t="s">
        <v>13</v>
      </c>
      <c r="D155" t="s">
        <v>34</v>
      </c>
      <c r="E155" t="s">
        <v>35</v>
      </c>
      <c r="F155">
        <v>1</v>
      </c>
      <c r="G155" t="s">
        <v>26</v>
      </c>
      <c r="I155" t="s">
        <v>3</v>
      </c>
      <c r="J155" s="15">
        <f>BOR!I6</f>
        <v>0</v>
      </c>
      <c r="K155" s="15">
        <f>BOR!J6</f>
        <v>0</v>
      </c>
    </row>
    <row r="156" spans="1:11" x14ac:dyDescent="0.35">
      <c r="A156" t="s">
        <v>11</v>
      </c>
      <c r="B156" t="s">
        <v>598</v>
      </c>
      <c r="C156" t="s">
        <v>14</v>
      </c>
      <c r="D156" t="s">
        <v>36</v>
      </c>
      <c r="E156" t="s">
        <v>37</v>
      </c>
      <c r="F156">
        <v>1</v>
      </c>
      <c r="G156" t="s">
        <v>29</v>
      </c>
      <c r="I156" t="s">
        <v>3</v>
      </c>
      <c r="J156" s="15">
        <f>BOR!I7</f>
        <v>0</v>
      </c>
      <c r="K156" s="15">
        <f>BOR!J7</f>
        <v>0</v>
      </c>
    </row>
    <row r="157" spans="1:11" x14ac:dyDescent="0.35">
      <c r="A157" t="s">
        <v>11</v>
      </c>
      <c r="B157" t="s">
        <v>598</v>
      </c>
      <c r="C157" t="s">
        <v>14</v>
      </c>
      <c r="D157" t="s">
        <v>38</v>
      </c>
      <c r="E157" t="s">
        <v>35</v>
      </c>
      <c r="F157">
        <v>1</v>
      </c>
      <c r="G157" t="s">
        <v>26</v>
      </c>
      <c r="I157" t="s">
        <v>3</v>
      </c>
      <c r="J157" s="15">
        <f>BOR!I8</f>
        <v>0</v>
      </c>
      <c r="K157" s="15">
        <f>BOR!J8</f>
        <v>0</v>
      </c>
    </row>
    <row r="158" spans="1:11" x14ac:dyDescent="0.35">
      <c r="A158" t="s">
        <v>15</v>
      </c>
      <c r="B158" t="s">
        <v>598</v>
      </c>
      <c r="C158" t="s">
        <v>16</v>
      </c>
      <c r="D158" t="s">
        <v>39</v>
      </c>
      <c r="E158" t="s">
        <v>40</v>
      </c>
      <c r="F158">
        <v>11</v>
      </c>
      <c r="G158" t="s">
        <v>29</v>
      </c>
      <c r="I158" t="s">
        <v>3</v>
      </c>
      <c r="J158" s="15">
        <f>BOR!I9</f>
        <v>0</v>
      </c>
      <c r="K158" s="15">
        <f>BOR!J9</f>
        <v>0</v>
      </c>
    </row>
    <row r="159" spans="1:11" x14ac:dyDescent="0.35">
      <c r="A159" t="s">
        <v>15</v>
      </c>
      <c r="B159" t="s">
        <v>598</v>
      </c>
      <c r="C159" t="s">
        <v>16</v>
      </c>
      <c r="D159" t="s">
        <v>41</v>
      </c>
      <c r="E159" t="s">
        <v>42</v>
      </c>
      <c r="F159">
        <v>1</v>
      </c>
      <c r="G159" t="s">
        <v>26</v>
      </c>
      <c r="I159" t="s">
        <v>3</v>
      </c>
      <c r="J159" s="15">
        <f>BOR!I10</f>
        <v>0</v>
      </c>
      <c r="K159" s="15">
        <f>BOR!J10</f>
        <v>0</v>
      </c>
    </row>
    <row r="160" spans="1:11" x14ac:dyDescent="0.35">
      <c r="A160" t="s">
        <v>15</v>
      </c>
      <c r="B160" t="s">
        <v>598</v>
      </c>
      <c r="C160" t="s">
        <v>16</v>
      </c>
      <c r="D160" t="s">
        <v>93</v>
      </c>
      <c r="E160" t="s">
        <v>94</v>
      </c>
      <c r="F160">
        <v>2</v>
      </c>
      <c r="G160" t="s">
        <v>29</v>
      </c>
      <c r="I160" t="s">
        <v>3</v>
      </c>
      <c r="J160" s="15">
        <f>BOR!I11</f>
        <v>0</v>
      </c>
      <c r="K160" s="15">
        <f>BOR!J11</f>
        <v>0</v>
      </c>
    </row>
    <row r="161" spans="1:11" x14ac:dyDescent="0.35">
      <c r="A161" t="s">
        <v>17</v>
      </c>
      <c r="B161" t="s">
        <v>598</v>
      </c>
      <c r="C161" t="s">
        <v>18</v>
      </c>
      <c r="D161" t="s">
        <v>45</v>
      </c>
      <c r="E161" t="s">
        <v>46</v>
      </c>
      <c r="F161">
        <v>113</v>
      </c>
      <c r="G161" t="s">
        <v>29</v>
      </c>
      <c r="I161" t="s">
        <v>3</v>
      </c>
      <c r="J161" s="15">
        <f>BOR!I12</f>
        <v>0</v>
      </c>
      <c r="K161" s="15">
        <f>BOR!J12</f>
        <v>0</v>
      </c>
    </row>
    <row r="162" spans="1:11" x14ac:dyDescent="0.35">
      <c r="A162" t="s">
        <v>17</v>
      </c>
      <c r="B162" t="s">
        <v>598</v>
      </c>
      <c r="C162" t="s">
        <v>18</v>
      </c>
      <c r="D162" t="s">
        <v>114</v>
      </c>
      <c r="E162" t="s">
        <v>115</v>
      </c>
      <c r="F162">
        <v>6</v>
      </c>
      <c r="G162" t="s">
        <v>29</v>
      </c>
      <c r="I162" t="s">
        <v>3</v>
      </c>
      <c r="J162" s="15">
        <f>BOR!I13</f>
        <v>0</v>
      </c>
      <c r="K162" s="15">
        <f>BOR!J13</f>
        <v>0</v>
      </c>
    </row>
    <row r="163" spans="1:11" x14ac:dyDescent="0.35">
      <c r="A163" t="s">
        <v>17</v>
      </c>
      <c r="B163" t="s">
        <v>598</v>
      </c>
      <c r="C163" t="s">
        <v>18</v>
      </c>
      <c r="D163" t="s">
        <v>47</v>
      </c>
      <c r="E163" t="s">
        <v>48</v>
      </c>
      <c r="F163">
        <v>27</v>
      </c>
      <c r="G163" t="s">
        <v>29</v>
      </c>
      <c r="I163" t="s">
        <v>3</v>
      </c>
      <c r="J163" s="15">
        <f>BOR!I14</f>
        <v>0</v>
      </c>
      <c r="K163" s="15">
        <f>BOR!J14</f>
        <v>0</v>
      </c>
    </row>
    <row r="164" spans="1:11" x14ac:dyDescent="0.35">
      <c r="A164" t="s">
        <v>17</v>
      </c>
      <c r="B164" t="s">
        <v>598</v>
      </c>
      <c r="C164" t="s">
        <v>18</v>
      </c>
      <c r="D164" t="s">
        <v>49</v>
      </c>
      <c r="E164" t="s">
        <v>50</v>
      </c>
      <c r="F164">
        <v>2</v>
      </c>
      <c r="G164" t="s">
        <v>29</v>
      </c>
      <c r="I164" t="s">
        <v>3</v>
      </c>
      <c r="J164" s="15">
        <f>BOR!I15</f>
        <v>0</v>
      </c>
      <c r="K164" s="15">
        <f>BOR!J15</f>
        <v>0</v>
      </c>
    </row>
    <row r="165" spans="1:11" x14ac:dyDescent="0.35">
      <c r="A165" t="s">
        <v>17</v>
      </c>
      <c r="B165" t="s">
        <v>598</v>
      </c>
      <c r="C165" t="s">
        <v>18</v>
      </c>
      <c r="D165" t="s">
        <v>52</v>
      </c>
      <c r="E165" t="s">
        <v>53</v>
      </c>
      <c r="F165">
        <v>185</v>
      </c>
      <c r="G165" t="s">
        <v>29</v>
      </c>
      <c r="I165" t="s">
        <v>3</v>
      </c>
      <c r="J165" s="15">
        <f>BOR!I16</f>
        <v>0</v>
      </c>
      <c r="K165" s="15">
        <f>BOR!J16</f>
        <v>0</v>
      </c>
    </row>
    <row r="166" spans="1:11" x14ac:dyDescent="0.35">
      <c r="A166" t="s">
        <v>17</v>
      </c>
      <c r="B166" t="s">
        <v>598</v>
      </c>
      <c r="C166" t="s">
        <v>18</v>
      </c>
      <c r="D166" t="s">
        <v>95</v>
      </c>
      <c r="E166" t="s">
        <v>96</v>
      </c>
      <c r="F166">
        <v>111</v>
      </c>
      <c r="G166" t="s">
        <v>29</v>
      </c>
      <c r="I166" t="s">
        <v>3</v>
      </c>
      <c r="J166" s="15">
        <f>BOR!I17</f>
        <v>0</v>
      </c>
      <c r="K166" s="15">
        <f>BOR!J17</f>
        <v>0</v>
      </c>
    </row>
    <row r="167" spans="1:11" x14ac:dyDescent="0.35">
      <c r="A167" t="s">
        <v>17</v>
      </c>
      <c r="B167" t="s">
        <v>598</v>
      </c>
      <c r="C167" t="s">
        <v>18</v>
      </c>
      <c r="D167" t="s">
        <v>56</v>
      </c>
      <c r="E167" t="s">
        <v>57</v>
      </c>
      <c r="F167">
        <v>16</v>
      </c>
      <c r="G167" t="s">
        <v>29</v>
      </c>
      <c r="I167" t="s">
        <v>3</v>
      </c>
      <c r="J167" s="15">
        <f>BOR!I18</f>
        <v>0</v>
      </c>
      <c r="K167" s="15">
        <f>BOR!J18</f>
        <v>0</v>
      </c>
    </row>
    <row r="168" spans="1:11" x14ac:dyDescent="0.35">
      <c r="A168" t="s">
        <v>17</v>
      </c>
      <c r="B168" t="s">
        <v>598</v>
      </c>
      <c r="C168" t="s">
        <v>18</v>
      </c>
      <c r="D168" t="s">
        <v>58</v>
      </c>
      <c r="E168" t="s">
        <v>59</v>
      </c>
      <c r="F168">
        <v>1</v>
      </c>
      <c r="G168" t="s">
        <v>26</v>
      </c>
      <c r="I168" t="s">
        <v>3</v>
      </c>
      <c r="J168" s="15">
        <f>BOR!I19</f>
        <v>0</v>
      </c>
      <c r="K168" s="15">
        <f>BOR!J19</f>
        <v>0</v>
      </c>
    </row>
    <row r="169" spans="1:11" x14ac:dyDescent="0.35">
      <c r="A169" t="s">
        <v>17</v>
      </c>
      <c r="B169" t="s">
        <v>598</v>
      </c>
      <c r="C169" t="s">
        <v>116</v>
      </c>
      <c r="D169" t="s">
        <v>117</v>
      </c>
      <c r="E169" t="s">
        <v>118</v>
      </c>
      <c r="F169">
        <v>1</v>
      </c>
      <c r="G169" t="s">
        <v>26</v>
      </c>
      <c r="I169" t="s">
        <v>3</v>
      </c>
      <c r="J169" s="15">
        <f>BOR!I20</f>
        <v>0</v>
      </c>
      <c r="K169" s="15">
        <f>BOR!J20</f>
        <v>0</v>
      </c>
    </row>
    <row r="170" spans="1:11" x14ac:dyDescent="0.35">
      <c r="A170" t="s">
        <v>17</v>
      </c>
      <c r="B170" t="s">
        <v>598</v>
      </c>
      <c r="C170" t="s">
        <v>116</v>
      </c>
      <c r="D170" t="s">
        <v>119</v>
      </c>
      <c r="E170" t="s">
        <v>120</v>
      </c>
      <c r="F170">
        <v>22</v>
      </c>
      <c r="G170" t="s">
        <v>29</v>
      </c>
      <c r="I170" t="s">
        <v>3</v>
      </c>
      <c r="J170" s="15">
        <f>BOR!I21</f>
        <v>0</v>
      </c>
      <c r="K170" s="15">
        <f>BOR!J21</f>
        <v>0</v>
      </c>
    </row>
    <row r="171" spans="1:11" x14ac:dyDescent="0.35">
      <c r="A171" t="s">
        <v>17</v>
      </c>
      <c r="B171" t="s">
        <v>598</v>
      </c>
      <c r="C171" t="s">
        <v>116</v>
      </c>
      <c r="D171" t="s">
        <v>121</v>
      </c>
      <c r="E171" t="s">
        <v>122</v>
      </c>
      <c r="F171">
        <v>1</v>
      </c>
      <c r="G171" t="s">
        <v>29</v>
      </c>
      <c r="I171" t="s">
        <v>3</v>
      </c>
      <c r="J171" s="15">
        <f>BOR!I22</f>
        <v>0</v>
      </c>
      <c r="K171" s="15">
        <f>BOR!J22</f>
        <v>0</v>
      </c>
    </row>
    <row r="172" spans="1:11" x14ac:dyDescent="0.35">
      <c r="A172" t="s">
        <v>17</v>
      </c>
      <c r="B172" t="s">
        <v>598</v>
      </c>
      <c r="C172" t="s">
        <v>19</v>
      </c>
      <c r="D172" t="s">
        <v>62</v>
      </c>
      <c r="E172" t="s">
        <v>19</v>
      </c>
      <c r="F172">
        <v>345</v>
      </c>
      <c r="G172" t="s">
        <v>29</v>
      </c>
      <c r="I172" t="s">
        <v>3</v>
      </c>
      <c r="J172" s="15">
        <f>BOR!I23</f>
        <v>0</v>
      </c>
      <c r="K172" s="15">
        <f>BOR!J23</f>
        <v>0</v>
      </c>
    </row>
    <row r="173" spans="1:11" x14ac:dyDescent="0.35">
      <c r="A173" t="s">
        <v>17</v>
      </c>
      <c r="B173" t="s">
        <v>598</v>
      </c>
      <c r="C173" t="s">
        <v>19</v>
      </c>
      <c r="D173" t="s">
        <v>63</v>
      </c>
      <c r="E173" t="s">
        <v>64</v>
      </c>
      <c r="F173">
        <v>1</v>
      </c>
      <c r="G173" t="s">
        <v>26</v>
      </c>
      <c r="I173" t="s">
        <v>3</v>
      </c>
      <c r="J173" s="15">
        <f>BOR!I24</f>
        <v>0</v>
      </c>
      <c r="K173" s="15">
        <f>BOR!J24</f>
        <v>0</v>
      </c>
    </row>
    <row r="174" spans="1:11" x14ac:dyDescent="0.35">
      <c r="A174" t="s">
        <v>65</v>
      </c>
      <c r="B174" t="s">
        <v>598</v>
      </c>
      <c r="C174" t="s">
        <v>66</v>
      </c>
      <c r="D174" t="s">
        <v>67</v>
      </c>
      <c r="E174" t="s">
        <v>68</v>
      </c>
      <c r="F174">
        <v>1</v>
      </c>
      <c r="I174" t="s">
        <v>3</v>
      </c>
      <c r="J174" s="15">
        <f>BOR!I25</f>
        <v>0</v>
      </c>
      <c r="K174" s="15">
        <f>BOR!J25</f>
        <v>0</v>
      </c>
    </row>
    <row r="175" spans="1:11" x14ac:dyDescent="0.35">
      <c r="A175" t="s">
        <v>65</v>
      </c>
      <c r="B175" t="s">
        <v>598</v>
      </c>
      <c r="C175" t="s">
        <v>66</v>
      </c>
      <c r="D175" t="s">
        <v>69</v>
      </c>
      <c r="E175" t="s">
        <v>70</v>
      </c>
      <c r="F175">
        <v>100</v>
      </c>
      <c r="I175" t="s">
        <v>3</v>
      </c>
      <c r="J175" s="15">
        <f>BOR!I26</f>
        <v>0</v>
      </c>
      <c r="K175" s="15">
        <f>BOR!J26</f>
        <v>0</v>
      </c>
    </row>
    <row r="176" spans="1:11" x14ac:dyDescent="0.35">
      <c r="A176" t="s">
        <v>65</v>
      </c>
      <c r="B176" t="s">
        <v>598</v>
      </c>
      <c r="C176" t="s">
        <v>71</v>
      </c>
      <c r="D176" t="s">
        <v>72</v>
      </c>
      <c r="E176" t="s">
        <v>73</v>
      </c>
      <c r="F176">
        <v>840</v>
      </c>
      <c r="I176" t="s">
        <v>3</v>
      </c>
      <c r="J176" s="15">
        <f>BOR!I27</f>
        <v>0</v>
      </c>
      <c r="K176" s="15">
        <f>BOR!J27</f>
        <v>0</v>
      </c>
    </row>
    <row r="177" spans="1:11" x14ac:dyDescent="0.35">
      <c r="A177" t="s">
        <v>65</v>
      </c>
      <c r="B177" t="s">
        <v>598</v>
      </c>
      <c r="C177" t="s">
        <v>71</v>
      </c>
      <c r="D177" t="s">
        <v>74</v>
      </c>
      <c r="E177" t="s">
        <v>75</v>
      </c>
      <c r="F177">
        <v>1</v>
      </c>
      <c r="I177" t="s">
        <v>3</v>
      </c>
      <c r="J177" s="15">
        <f>BOR!I28</f>
        <v>0</v>
      </c>
      <c r="K177" s="15">
        <f>BOR!J28</f>
        <v>0</v>
      </c>
    </row>
    <row r="178" spans="1:11" x14ac:dyDescent="0.35">
      <c r="A178" t="s">
        <v>65</v>
      </c>
      <c r="B178" t="s">
        <v>598</v>
      </c>
      <c r="C178" t="s">
        <v>71</v>
      </c>
      <c r="D178" t="s">
        <v>108</v>
      </c>
      <c r="E178" t="s">
        <v>109</v>
      </c>
      <c r="F178">
        <v>740</v>
      </c>
      <c r="I178" t="s">
        <v>3</v>
      </c>
      <c r="J178" s="15">
        <f>BOR!I29</f>
        <v>0</v>
      </c>
      <c r="K178" s="15">
        <f>BOR!J29</f>
        <v>0</v>
      </c>
    </row>
    <row r="179" spans="1:11" x14ac:dyDescent="0.35">
      <c r="A179" t="s">
        <v>65</v>
      </c>
      <c r="B179" t="s">
        <v>598</v>
      </c>
      <c r="C179" t="s">
        <v>71</v>
      </c>
      <c r="D179" t="s">
        <v>76</v>
      </c>
      <c r="E179" t="s">
        <v>77</v>
      </c>
      <c r="F179">
        <v>2300</v>
      </c>
      <c r="I179" t="s">
        <v>3</v>
      </c>
      <c r="J179" s="15">
        <f>BOR!I30</f>
        <v>0</v>
      </c>
      <c r="K179" s="15">
        <f>BOR!J30</f>
        <v>0</v>
      </c>
    </row>
    <row r="180" spans="1:11" x14ac:dyDescent="0.35">
      <c r="A180" t="s">
        <v>182</v>
      </c>
      <c r="B180" t="s">
        <v>599</v>
      </c>
      <c r="C180" t="s">
        <v>183</v>
      </c>
      <c r="D180" t="s">
        <v>384</v>
      </c>
      <c r="E180" t="s">
        <v>385</v>
      </c>
      <c r="F180">
        <v>0</v>
      </c>
      <c r="H180" t="s">
        <v>386</v>
      </c>
      <c r="I180" t="s">
        <v>3</v>
      </c>
      <c r="J180" s="15">
        <f>BOR!I31</f>
        <v>0</v>
      </c>
      <c r="K180" s="15">
        <f>BOR!J31</f>
        <v>0</v>
      </c>
    </row>
    <row r="181" spans="1:11" x14ac:dyDescent="0.35">
      <c r="A181" t="s">
        <v>182</v>
      </c>
      <c r="B181" t="s">
        <v>599</v>
      </c>
      <c r="C181" t="s">
        <v>183</v>
      </c>
      <c r="D181" t="s">
        <v>387</v>
      </c>
      <c r="E181" t="s">
        <v>388</v>
      </c>
      <c r="F181">
        <v>11</v>
      </c>
      <c r="H181" t="s">
        <v>386</v>
      </c>
      <c r="I181" t="s">
        <v>3</v>
      </c>
      <c r="J181" s="15">
        <f>BOR!I32</f>
        <v>0</v>
      </c>
      <c r="K181" s="15">
        <f>BOR!J32</f>
        <v>0</v>
      </c>
    </row>
    <row r="182" spans="1:11" x14ac:dyDescent="0.35">
      <c r="A182" t="s">
        <v>182</v>
      </c>
      <c r="B182" t="s">
        <v>599</v>
      </c>
      <c r="C182" t="s">
        <v>183</v>
      </c>
      <c r="D182" t="s">
        <v>389</v>
      </c>
      <c r="E182" t="s">
        <v>390</v>
      </c>
      <c r="F182">
        <v>1322</v>
      </c>
      <c r="H182" t="s">
        <v>386</v>
      </c>
      <c r="I182" t="s">
        <v>3</v>
      </c>
      <c r="J182" s="15">
        <f>BOR!I33</f>
        <v>0</v>
      </c>
      <c r="K182" s="15">
        <f>BOR!J33</f>
        <v>0</v>
      </c>
    </row>
    <row r="183" spans="1:11" x14ac:dyDescent="0.35">
      <c r="A183" t="s">
        <v>182</v>
      </c>
      <c r="B183" t="s">
        <v>599</v>
      </c>
      <c r="C183" t="s">
        <v>183</v>
      </c>
      <c r="D183" t="s">
        <v>391</v>
      </c>
      <c r="E183" t="s">
        <v>392</v>
      </c>
      <c r="F183">
        <v>25</v>
      </c>
      <c r="H183" t="s">
        <v>386</v>
      </c>
      <c r="I183" t="s">
        <v>3</v>
      </c>
      <c r="J183" s="15">
        <f>BOR!I34</f>
        <v>0</v>
      </c>
      <c r="K183" s="15">
        <f>BOR!J34</f>
        <v>0</v>
      </c>
    </row>
    <row r="184" spans="1:11" x14ac:dyDescent="0.35">
      <c r="A184" t="s">
        <v>182</v>
      </c>
      <c r="B184" t="s">
        <v>599</v>
      </c>
      <c r="C184" t="s">
        <v>183</v>
      </c>
      <c r="D184" t="s">
        <v>202</v>
      </c>
      <c r="E184" t="s">
        <v>203</v>
      </c>
      <c r="F184">
        <v>0</v>
      </c>
      <c r="H184" t="s">
        <v>386</v>
      </c>
      <c r="I184" t="s">
        <v>3</v>
      </c>
      <c r="J184" s="15">
        <f>BOR!I35</f>
        <v>0</v>
      </c>
      <c r="K184" s="15">
        <f>BOR!J35</f>
        <v>0</v>
      </c>
    </row>
    <row r="185" spans="1:11" x14ac:dyDescent="0.35">
      <c r="A185" t="s">
        <v>182</v>
      </c>
      <c r="B185" t="s">
        <v>599</v>
      </c>
      <c r="C185" t="s">
        <v>183</v>
      </c>
      <c r="D185" t="s">
        <v>393</v>
      </c>
      <c r="E185" t="s">
        <v>394</v>
      </c>
      <c r="F185">
        <v>21</v>
      </c>
      <c r="H185" t="s">
        <v>386</v>
      </c>
      <c r="I185" t="s">
        <v>3</v>
      </c>
      <c r="J185" s="15">
        <f>BOR!I36</f>
        <v>0</v>
      </c>
      <c r="K185" s="15">
        <f>BOR!J36</f>
        <v>0</v>
      </c>
    </row>
    <row r="186" spans="1:11" x14ac:dyDescent="0.35">
      <c r="A186" t="s">
        <v>182</v>
      </c>
      <c r="B186" t="s">
        <v>599</v>
      </c>
      <c r="C186" t="s">
        <v>189</v>
      </c>
      <c r="D186" t="s">
        <v>395</v>
      </c>
      <c r="E186" t="s">
        <v>396</v>
      </c>
      <c r="F186">
        <v>4</v>
      </c>
      <c r="H186" t="s">
        <v>192</v>
      </c>
      <c r="I186" t="s">
        <v>3</v>
      </c>
      <c r="J186" s="15">
        <f>BOR!I37</f>
        <v>0</v>
      </c>
      <c r="K186" s="15">
        <f>BOR!J37</f>
        <v>0</v>
      </c>
    </row>
    <row r="187" spans="1:11" x14ac:dyDescent="0.35">
      <c r="A187" t="s">
        <v>182</v>
      </c>
      <c r="B187" t="s">
        <v>599</v>
      </c>
      <c r="C187" t="s">
        <v>189</v>
      </c>
      <c r="D187" t="s">
        <v>397</v>
      </c>
      <c r="E187" t="s">
        <v>398</v>
      </c>
      <c r="F187">
        <v>68</v>
      </c>
      <c r="H187" t="s">
        <v>192</v>
      </c>
      <c r="I187" t="s">
        <v>3</v>
      </c>
      <c r="J187" s="15">
        <f>BOR!I38</f>
        <v>0</v>
      </c>
      <c r="K187" s="15">
        <f>BOR!J38</f>
        <v>0</v>
      </c>
    </row>
    <row r="188" spans="1:11" x14ac:dyDescent="0.35">
      <c r="A188" t="s">
        <v>182</v>
      </c>
      <c r="B188" t="s">
        <v>599</v>
      </c>
      <c r="C188" t="s">
        <v>189</v>
      </c>
      <c r="D188" t="s">
        <v>399</v>
      </c>
      <c r="E188" t="s">
        <v>400</v>
      </c>
      <c r="F188">
        <v>70</v>
      </c>
      <c r="H188" t="s">
        <v>192</v>
      </c>
      <c r="I188" t="s">
        <v>3</v>
      </c>
      <c r="J188" s="15">
        <f>BOR!I39</f>
        <v>0</v>
      </c>
      <c r="K188" s="15">
        <f>BOR!J39</f>
        <v>0</v>
      </c>
    </row>
    <row r="189" spans="1:11" x14ac:dyDescent="0.35">
      <c r="A189" t="s">
        <v>182</v>
      </c>
      <c r="B189" t="s">
        <v>599</v>
      </c>
      <c r="C189" t="s">
        <v>195</v>
      </c>
      <c r="D189" t="s">
        <v>196</v>
      </c>
      <c r="E189" t="s">
        <v>197</v>
      </c>
      <c r="F189">
        <v>9</v>
      </c>
      <c r="H189" t="s">
        <v>192</v>
      </c>
      <c r="I189" t="s">
        <v>3</v>
      </c>
      <c r="J189" s="15">
        <f>BOR!I40</f>
        <v>0</v>
      </c>
      <c r="K189" s="15">
        <f>BOR!J40</f>
        <v>0</v>
      </c>
    </row>
    <row r="190" spans="1:11" x14ac:dyDescent="0.35">
      <c r="A190" t="s">
        <v>182</v>
      </c>
      <c r="B190" t="s">
        <v>599</v>
      </c>
      <c r="C190" t="s">
        <v>198</v>
      </c>
      <c r="D190" t="s">
        <v>401</v>
      </c>
      <c r="E190" t="s">
        <v>402</v>
      </c>
      <c r="F190">
        <v>0</v>
      </c>
      <c r="H190" t="s">
        <v>386</v>
      </c>
      <c r="I190" t="s">
        <v>3</v>
      </c>
      <c r="J190" s="15">
        <f>BOR!I41</f>
        <v>0</v>
      </c>
      <c r="K190" s="15">
        <f>BOR!J41</f>
        <v>0</v>
      </c>
    </row>
    <row r="191" spans="1:11" x14ac:dyDescent="0.35">
      <c r="A191" t="s">
        <v>182</v>
      </c>
      <c r="B191" t="s">
        <v>599</v>
      </c>
      <c r="C191" t="s">
        <v>198</v>
      </c>
      <c r="D191" t="s">
        <v>403</v>
      </c>
      <c r="E191" t="s">
        <v>404</v>
      </c>
      <c r="F191">
        <v>1</v>
      </c>
      <c r="H191" t="s">
        <v>386</v>
      </c>
      <c r="I191" t="s">
        <v>3</v>
      </c>
      <c r="J191" s="15">
        <f>BOR!I42</f>
        <v>0</v>
      </c>
      <c r="K191" s="15">
        <f>BOR!J42</f>
        <v>0</v>
      </c>
    </row>
    <row r="192" spans="1:11" x14ac:dyDescent="0.35">
      <c r="A192" t="s">
        <v>182</v>
      </c>
      <c r="B192" t="s">
        <v>599</v>
      </c>
      <c r="C192" t="s">
        <v>198</v>
      </c>
      <c r="D192" t="s">
        <v>405</v>
      </c>
      <c r="E192" t="s">
        <v>406</v>
      </c>
      <c r="F192">
        <v>1</v>
      </c>
      <c r="H192" t="s">
        <v>386</v>
      </c>
      <c r="I192" t="s">
        <v>3</v>
      </c>
      <c r="J192" s="15">
        <f>BOR!I43</f>
        <v>0</v>
      </c>
      <c r="K192" s="15">
        <f>BOR!J43</f>
        <v>0</v>
      </c>
    </row>
    <row r="193" spans="1:11" x14ac:dyDescent="0.35">
      <c r="A193" t="s">
        <v>182</v>
      </c>
      <c r="B193" t="s">
        <v>599</v>
      </c>
      <c r="C193" t="s">
        <v>198</v>
      </c>
      <c r="D193" t="s">
        <v>407</v>
      </c>
      <c r="E193" t="s">
        <v>408</v>
      </c>
      <c r="F193">
        <v>9</v>
      </c>
      <c r="H193" t="s">
        <v>386</v>
      </c>
      <c r="I193" t="s">
        <v>3</v>
      </c>
      <c r="J193" s="15">
        <f>BOR!I44</f>
        <v>0</v>
      </c>
      <c r="K193" s="15">
        <f>BOR!J44</f>
        <v>0</v>
      </c>
    </row>
    <row r="194" spans="1:11" x14ac:dyDescent="0.35">
      <c r="A194" t="s">
        <v>182</v>
      </c>
      <c r="B194" t="s">
        <v>599</v>
      </c>
      <c r="C194" t="s">
        <v>198</v>
      </c>
      <c r="D194" t="s">
        <v>202</v>
      </c>
      <c r="E194" t="s">
        <v>203</v>
      </c>
      <c r="F194">
        <v>0</v>
      </c>
      <c r="H194" t="s">
        <v>386</v>
      </c>
      <c r="I194" t="s">
        <v>3</v>
      </c>
      <c r="J194" s="15">
        <f>BOR!I45</f>
        <v>0</v>
      </c>
      <c r="K194" s="15">
        <f>BOR!J45</f>
        <v>0</v>
      </c>
    </row>
    <row r="195" spans="1:11" x14ac:dyDescent="0.35">
      <c r="A195" t="s">
        <v>182</v>
      </c>
      <c r="B195" t="s">
        <v>599</v>
      </c>
      <c r="C195" t="s">
        <v>204</v>
      </c>
      <c r="D195" t="s">
        <v>409</v>
      </c>
      <c r="E195" t="s">
        <v>410</v>
      </c>
      <c r="F195">
        <v>355</v>
      </c>
      <c r="H195" t="s">
        <v>386</v>
      </c>
      <c r="I195" t="s">
        <v>3</v>
      </c>
      <c r="J195" s="15">
        <f>BOR!I46</f>
        <v>0</v>
      </c>
      <c r="K195" s="15">
        <f>BOR!J46</f>
        <v>0</v>
      </c>
    </row>
    <row r="196" spans="1:11" x14ac:dyDescent="0.35">
      <c r="A196" t="s">
        <v>182</v>
      </c>
      <c r="B196" t="s">
        <v>599</v>
      </c>
      <c r="C196" t="s">
        <v>204</v>
      </c>
      <c r="D196" t="s">
        <v>411</v>
      </c>
      <c r="E196" t="s">
        <v>412</v>
      </c>
      <c r="F196">
        <v>450</v>
      </c>
      <c r="H196" t="s">
        <v>386</v>
      </c>
      <c r="I196" t="s">
        <v>3</v>
      </c>
      <c r="J196" s="15">
        <f>BOR!I47</f>
        <v>0</v>
      </c>
      <c r="K196" s="15">
        <f>BOR!J47</f>
        <v>0</v>
      </c>
    </row>
    <row r="197" spans="1:11" x14ac:dyDescent="0.35">
      <c r="A197" t="s">
        <v>182</v>
      </c>
      <c r="B197" t="s">
        <v>599</v>
      </c>
      <c r="C197" t="s">
        <v>204</v>
      </c>
      <c r="D197" t="s">
        <v>413</v>
      </c>
      <c r="E197" t="s">
        <v>414</v>
      </c>
      <c r="F197">
        <v>6057</v>
      </c>
      <c r="H197" t="s">
        <v>386</v>
      </c>
      <c r="I197" t="s">
        <v>3</v>
      </c>
      <c r="J197" s="15">
        <f>BOR!I48</f>
        <v>0</v>
      </c>
      <c r="K197" s="15">
        <f>BOR!J48</f>
        <v>0</v>
      </c>
    </row>
    <row r="198" spans="1:11" x14ac:dyDescent="0.35">
      <c r="A198" t="s">
        <v>182</v>
      </c>
      <c r="B198" t="s">
        <v>599</v>
      </c>
      <c r="C198" t="s">
        <v>204</v>
      </c>
      <c r="D198" t="s">
        <v>415</v>
      </c>
      <c r="E198" t="s">
        <v>416</v>
      </c>
      <c r="F198">
        <v>0</v>
      </c>
      <c r="H198" t="s">
        <v>386</v>
      </c>
      <c r="I198" t="s">
        <v>3</v>
      </c>
      <c r="J198" s="15">
        <f>BOR!I49</f>
        <v>0</v>
      </c>
      <c r="K198" s="15">
        <f>BOR!J49</f>
        <v>0</v>
      </c>
    </row>
    <row r="199" spans="1:11" x14ac:dyDescent="0.35">
      <c r="A199" t="s">
        <v>182</v>
      </c>
      <c r="B199" t="s">
        <v>599</v>
      </c>
      <c r="C199" t="s">
        <v>204</v>
      </c>
      <c r="D199" t="s">
        <v>202</v>
      </c>
      <c r="E199" t="s">
        <v>203</v>
      </c>
      <c r="F199">
        <v>0</v>
      </c>
      <c r="H199" t="s">
        <v>386</v>
      </c>
      <c r="I199" t="s">
        <v>3</v>
      </c>
      <c r="J199" s="15">
        <f>BOR!I50</f>
        <v>0</v>
      </c>
      <c r="K199" s="15">
        <f>BOR!J50</f>
        <v>0</v>
      </c>
    </row>
    <row r="200" spans="1:11" x14ac:dyDescent="0.35">
      <c r="A200" t="s">
        <v>211</v>
      </c>
      <c r="B200" t="s">
        <v>599</v>
      </c>
      <c r="C200" t="s">
        <v>212</v>
      </c>
      <c r="D200" t="s">
        <v>417</v>
      </c>
      <c r="E200" t="s">
        <v>217</v>
      </c>
      <c r="F200">
        <v>2</v>
      </c>
      <c r="H200" t="s">
        <v>418</v>
      </c>
      <c r="I200" t="s">
        <v>3</v>
      </c>
      <c r="J200" s="15">
        <f>BOR!I51</f>
        <v>0</v>
      </c>
      <c r="K200" s="15">
        <f>BOR!J51</f>
        <v>0</v>
      </c>
    </row>
    <row r="201" spans="1:11" x14ac:dyDescent="0.35">
      <c r="A201" t="s">
        <v>211</v>
      </c>
      <c r="B201" t="s">
        <v>599</v>
      </c>
      <c r="C201" t="s">
        <v>212</v>
      </c>
      <c r="D201" t="s">
        <v>419</v>
      </c>
      <c r="E201" t="s">
        <v>420</v>
      </c>
      <c r="F201">
        <v>42</v>
      </c>
      <c r="H201" t="s">
        <v>418</v>
      </c>
      <c r="I201" t="s">
        <v>3</v>
      </c>
      <c r="J201" s="15">
        <f>BOR!I52</f>
        <v>0</v>
      </c>
      <c r="K201" s="15">
        <f>BOR!J52</f>
        <v>0</v>
      </c>
    </row>
    <row r="202" spans="1:11" x14ac:dyDescent="0.35">
      <c r="A202" t="s">
        <v>220</v>
      </c>
      <c r="B202" t="s">
        <v>599</v>
      </c>
      <c r="C202" t="s">
        <v>221</v>
      </c>
      <c r="D202" t="s">
        <v>421</v>
      </c>
      <c r="E202" t="s">
        <v>422</v>
      </c>
      <c r="F202">
        <v>1</v>
      </c>
      <c r="H202" t="s">
        <v>418</v>
      </c>
      <c r="I202" t="s">
        <v>3</v>
      </c>
      <c r="J202" s="15">
        <f>BOR!I53</f>
        <v>0</v>
      </c>
      <c r="K202" s="15">
        <f>BOR!J53</f>
        <v>0</v>
      </c>
    </row>
    <row r="203" spans="1:11" x14ac:dyDescent="0.35">
      <c r="A203" t="s">
        <v>220</v>
      </c>
      <c r="B203" t="s">
        <v>599</v>
      </c>
      <c r="C203" t="s">
        <v>221</v>
      </c>
      <c r="D203" t="s">
        <v>423</v>
      </c>
      <c r="E203" t="s">
        <v>424</v>
      </c>
      <c r="F203">
        <v>33</v>
      </c>
      <c r="H203" t="s">
        <v>418</v>
      </c>
      <c r="I203" t="s">
        <v>3</v>
      </c>
      <c r="J203" s="15">
        <f>BOR!I54</f>
        <v>0</v>
      </c>
      <c r="K203" s="15">
        <f>BOR!J54</f>
        <v>0</v>
      </c>
    </row>
    <row r="204" spans="1:11" x14ac:dyDescent="0.35">
      <c r="A204" t="s">
        <v>220</v>
      </c>
      <c r="B204" t="s">
        <v>599</v>
      </c>
      <c r="C204" t="s">
        <v>221</v>
      </c>
      <c r="D204" t="s">
        <v>425</v>
      </c>
      <c r="E204" t="s">
        <v>426</v>
      </c>
      <c r="F204">
        <v>0</v>
      </c>
      <c r="H204" t="s">
        <v>418</v>
      </c>
      <c r="I204" t="s">
        <v>3</v>
      </c>
      <c r="J204" s="15">
        <f>BOR!I55</f>
        <v>0</v>
      </c>
      <c r="K204" s="15">
        <f>BOR!J55</f>
        <v>0</v>
      </c>
    </row>
    <row r="205" spans="1:11" x14ac:dyDescent="0.35">
      <c r="A205" t="s">
        <v>220</v>
      </c>
      <c r="B205" t="s">
        <v>599</v>
      </c>
      <c r="C205" t="s">
        <v>221</v>
      </c>
      <c r="D205" t="s">
        <v>202</v>
      </c>
      <c r="E205" t="s">
        <v>203</v>
      </c>
      <c r="F205">
        <v>0</v>
      </c>
      <c r="H205" t="s">
        <v>418</v>
      </c>
      <c r="I205" t="s">
        <v>3</v>
      </c>
      <c r="J205" s="15">
        <f>BOR!I56</f>
        <v>0</v>
      </c>
      <c r="K205" s="15">
        <f>BOR!J56</f>
        <v>0</v>
      </c>
    </row>
    <row r="206" spans="1:11" x14ac:dyDescent="0.35">
      <c r="A206" t="s">
        <v>460</v>
      </c>
      <c r="B206" t="s">
        <v>599</v>
      </c>
      <c r="D206" t="s">
        <v>487</v>
      </c>
      <c r="E206" t="s">
        <v>488</v>
      </c>
      <c r="F206">
        <v>1</v>
      </c>
      <c r="I206" t="s">
        <v>3</v>
      </c>
      <c r="J206" s="15">
        <f>BOR!I57</f>
        <v>0</v>
      </c>
      <c r="K206" s="15">
        <f>BOR!J57</f>
        <v>0</v>
      </c>
    </row>
    <row r="207" spans="1:11" x14ac:dyDescent="0.35">
      <c r="B207" t="s">
        <v>599</v>
      </c>
      <c r="D207" t="s">
        <v>489</v>
      </c>
      <c r="E207" t="s">
        <v>490</v>
      </c>
      <c r="F207">
        <v>1</v>
      </c>
      <c r="I207" t="s">
        <v>3</v>
      </c>
      <c r="J207" s="15">
        <f>BOR!I58</f>
        <v>0</v>
      </c>
      <c r="K207" s="15">
        <f>BOR!J58</f>
        <v>0</v>
      </c>
    </row>
    <row r="208" spans="1:11" x14ac:dyDescent="0.35">
      <c r="A208" t="s">
        <v>460</v>
      </c>
      <c r="B208" t="s">
        <v>599</v>
      </c>
      <c r="D208" t="s">
        <v>487</v>
      </c>
      <c r="E208" t="s">
        <v>488</v>
      </c>
      <c r="F208">
        <v>1</v>
      </c>
      <c r="I208" t="s">
        <v>3</v>
      </c>
      <c r="J208" s="15">
        <f>BOR!I59</f>
        <v>0</v>
      </c>
      <c r="K208" s="15">
        <f>BOR!J59</f>
        <v>0</v>
      </c>
    </row>
    <row r="209" spans="1:11" x14ac:dyDescent="0.35">
      <c r="B209" t="s">
        <v>599</v>
      </c>
      <c r="D209" t="s">
        <v>489</v>
      </c>
      <c r="E209" t="s">
        <v>490</v>
      </c>
      <c r="F209">
        <v>1</v>
      </c>
      <c r="I209" t="s">
        <v>3</v>
      </c>
      <c r="J209" s="15">
        <f>BOR!I60</f>
        <v>0</v>
      </c>
      <c r="K209" s="15">
        <f>BOR!J60</f>
        <v>0</v>
      </c>
    </row>
    <row r="210" spans="1:11" x14ac:dyDescent="0.35">
      <c r="A210" t="s">
        <v>460</v>
      </c>
      <c r="B210" t="s">
        <v>599</v>
      </c>
      <c r="D210" t="s">
        <v>487</v>
      </c>
      <c r="E210" t="s">
        <v>488</v>
      </c>
      <c r="F210">
        <v>1</v>
      </c>
      <c r="I210" t="s">
        <v>3</v>
      </c>
      <c r="J210" s="15">
        <f>BOR!I61</f>
        <v>0</v>
      </c>
      <c r="K210" s="15">
        <f>BOR!J61</f>
        <v>0</v>
      </c>
    </row>
    <row r="211" spans="1:11" x14ac:dyDescent="0.35">
      <c r="B211" t="s">
        <v>599</v>
      </c>
      <c r="D211" t="s">
        <v>489</v>
      </c>
      <c r="E211" t="s">
        <v>490</v>
      </c>
      <c r="F211">
        <v>1</v>
      </c>
      <c r="I211" t="s">
        <v>3</v>
      </c>
      <c r="J211" s="15">
        <f>BOR!I62</f>
        <v>0</v>
      </c>
      <c r="K211" s="15">
        <f>BOR!J62</f>
        <v>0</v>
      </c>
    </row>
    <row r="212" spans="1:11" x14ac:dyDescent="0.35">
      <c r="A212" t="s">
        <v>460</v>
      </c>
      <c r="B212" t="s">
        <v>599</v>
      </c>
      <c r="D212" t="s">
        <v>487</v>
      </c>
      <c r="E212" t="s">
        <v>488</v>
      </c>
      <c r="F212">
        <v>1</v>
      </c>
      <c r="I212" t="s">
        <v>3</v>
      </c>
      <c r="J212" s="15">
        <f>BOR!I63</f>
        <v>0</v>
      </c>
      <c r="K212" s="15">
        <f>BOR!J63</f>
        <v>0</v>
      </c>
    </row>
    <row r="213" spans="1:11" x14ac:dyDescent="0.35">
      <c r="B213" t="s">
        <v>599</v>
      </c>
      <c r="D213" t="s">
        <v>489</v>
      </c>
      <c r="E213" t="s">
        <v>490</v>
      </c>
      <c r="F213">
        <v>1</v>
      </c>
      <c r="I213" t="s">
        <v>3</v>
      </c>
      <c r="J213" s="15">
        <f>BOR!I64</f>
        <v>0</v>
      </c>
      <c r="K213" s="15">
        <f>BOR!J64</f>
        <v>0</v>
      </c>
    </row>
    <row r="214" spans="1:11" x14ac:dyDescent="0.35">
      <c r="A214" t="s">
        <v>461</v>
      </c>
      <c r="B214" t="s">
        <v>599</v>
      </c>
      <c r="D214" t="s">
        <v>491</v>
      </c>
      <c r="E214" t="s">
        <v>492</v>
      </c>
      <c r="F214">
        <v>1</v>
      </c>
      <c r="I214" t="s">
        <v>3</v>
      </c>
      <c r="J214" s="15">
        <f>BOR!I65</f>
        <v>0</v>
      </c>
      <c r="K214" s="15">
        <f>BOR!J65</f>
        <v>0</v>
      </c>
    </row>
    <row r="215" spans="1:11" x14ac:dyDescent="0.35">
      <c r="A215" t="s">
        <v>461</v>
      </c>
      <c r="B215" t="s">
        <v>599</v>
      </c>
      <c r="D215" t="s">
        <v>491</v>
      </c>
      <c r="E215" t="s">
        <v>492</v>
      </c>
      <c r="F215">
        <v>1</v>
      </c>
      <c r="I215" t="s">
        <v>3</v>
      </c>
      <c r="J215" s="15">
        <f>BOR!I66</f>
        <v>0</v>
      </c>
      <c r="K215" s="15">
        <f>BOR!J66</f>
        <v>0</v>
      </c>
    </row>
    <row r="216" spans="1:11" x14ac:dyDescent="0.35">
      <c r="A216" t="s">
        <v>461</v>
      </c>
      <c r="B216" t="s">
        <v>599</v>
      </c>
      <c r="D216" t="s">
        <v>491</v>
      </c>
      <c r="E216" t="s">
        <v>492</v>
      </c>
      <c r="F216">
        <v>1</v>
      </c>
      <c r="I216" t="s">
        <v>3</v>
      </c>
      <c r="J216" s="15">
        <f>BOR!I67</f>
        <v>0</v>
      </c>
      <c r="K216" s="15">
        <f>BOR!J67</f>
        <v>0</v>
      </c>
    </row>
    <row r="217" spans="1:11" x14ac:dyDescent="0.35">
      <c r="A217" t="s">
        <v>461</v>
      </c>
      <c r="B217" t="s">
        <v>599</v>
      </c>
      <c r="D217" t="s">
        <v>491</v>
      </c>
      <c r="E217" t="s">
        <v>492</v>
      </c>
      <c r="F217">
        <v>1</v>
      </c>
      <c r="I217" t="s">
        <v>3</v>
      </c>
      <c r="J217" s="15">
        <f>BOR!I68</f>
        <v>0</v>
      </c>
      <c r="K217" s="15">
        <f>BOR!J68</f>
        <v>0</v>
      </c>
    </row>
    <row r="218" spans="1:11" x14ac:dyDescent="0.35">
      <c r="A218" t="s">
        <v>462</v>
      </c>
      <c r="B218" t="s">
        <v>599</v>
      </c>
      <c r="D218" t="s">
        <v>493</v>
      </c>
      <c r="E218" t="s">
        <v>494</v>
      </c>
      <c r="F218">
        <v>1</v>
      </c>
      <c r="I218" t="s">
        <v>3</v>
      </c>
      <c r="J218" s="15">
        <f>BOR!I69</f>
        <v>0</v>
      </c>
      <c r="K218" s="15">
        <f>BOR!J69</f>
        <v>0</v>
      </c>
    </row>
    <row r="219" spans="1:11" x14ac:dyDescent="0.35">
      <c r="A219" t="s">
        <v>460</v>
      </c>
      <c r="B219" t="s">
        <v>599</v>
      </c>
      <c r="D219" t="s">
        <v>495</v>
      </c>
      <c r="E219" t="s">
        <v>496</v>
      </c>
      <c r="F219">
        <v>1</v>
      </c>
      <c r="I219" t="s">
        <v>3</v>
      </c>
      <c r="J219" s="15">
        <f>BOR!I70</f>
        <v>0</v>
      </c>
      <c r="K219" s="15">
        <f>BOR!J70</f>
        <v>0</v>
      </c>
    </row>
    <row r="220" spans="1:11" x14ac:dyDescent="0.35">
      <c r="B220" t="s">
        <v>599</v>
      </c>
      <c r="D220" t="s">
        <v>493</v>
      </c>
      <c r="E220" t="s">
        <v>494</v>
      </c>
      <c r="F220">
        <v>1</v>
      </c>
      <c r="I220" t="s">
        <v>3</v>
      </c>
      <c r="J220" s="15">
        <f>BOR!I71</f>
        <v>0</v>
      </c>
      <c r="K220" s="15">
        <f>BOR!J71</f>
        <v>0</v>
      </c>
    </row>
    <row r="221" spans="1:11" x14ac:dyDescent="0.35">
      <c r="A221" t="s">
        <v>461</v>
      </c>
      <c r="B221" t="s">
        <v>599</v>
      </c>
      <c r="D221" t="s">
        <v>497</v>
      </c>
      <c r="E221" t="s">
        <v>492</v>
      </c>
      <c r="F221">
        <v>1</v>
      </c>
      <c r="I221" t="s">
        <v>3</v>
      </c>
      <c r="J221" s="15">
        <f>BOR!I72</f>
        <v>0</v>
      </c>
      <c r="K221" s="15">
        <f>BOR!J72</f>
        <v>0</v>
      </c>
    </row>
    <row r="222" spans="1:11" x14ac:dyDescent="0.35">
      <c r="A222" t="s">
        <v>461</v>
      </c>
      <c r="B222" t="s">
        <v>599</v>
      </c>
      <c r="D222" t="s">
        <v>497</v>
      </c>
      <c r="E222" t="s">
        <v>492</v>
      </c>
      <c r="F222">
        <v>1</v>
      </c>
      <c r="I222" t="s">
        <v>3</v>
      </c>
      <c r="J222" s="15">
        <f>BOR!I73</f>
        <v>0</v>
      </c>
      <c r="K222" s="15">
        <f>BOR!J73</f>
        <v>0</v>
      </c>
    </row>
    <row r="223" spans="1:11" x14ac:dyDescent="0.35">
      <c r="A223" t="s">
        <v>461</v>
      </c>
      <c r="B223" t="s">
        <v>599</v>
      </c>
      <c r="D223" t="s">
        <v>497</v>
      </c>
      <c r="E223" t="s">
        <v>492</v>
      </c>
      <c r="F223">
        <v>1</v>
      </c>
      <c r="I223" t="s">
        <v>3</v>
      </c>
      <c r="J223" s="15">
        <f>BOR!I74</f>
        <v>0</v>
      </c>
      <c r="K223" s="15">
        <f>BOR!J74</f>
        <v>0</v>
      </c>
    </row>
    <row r="224" spans="1:11" x14ac:dyDescent="0.35">
      <c r="A224" t="s">
        <v>461</v>
      </c>
      <c r="B224" t="s">
        <v>599</v>
      </c>
      <c r="D224" t="s">
        <v>497</v>
      </c>
      <c r="E224" t="s">
        <v>492</v>
      </c>
      <c r="F224">
        <v>1</v>
      </c>
      <c r="I224" t="s">
        <v>3</v>
      </c>
      <c r="J224" s="15">
        <f>BOR!I75</f>
        <v>0</v>
      </c>
      <c r="K224" s="15">
        <f>BOR!J75</f>
        <v>0</v>
      </c>
    </row>
    <row r="225" spans="1:11" x14ac:dyDescent="0.35">
      <c r="A225" t="s">
        <v>463</v>
      </c>
      <c r="B225" t="s">
        <v>599</v>
      </c>
      <c r="D225" t="s">
        <v>498</v>
      </c>
      <c r="E225" t="s">
        <v>499</v>
      </c>
      <c r="F225">
        <v>1</v>
      </c>
      <c r="I225" t="s">
        <v>3</v>
      </c>
      <c r="J225" s="15">
        <f>BOR!I76</f>
        <v>0</v>
      </c>
      <c r="K225" s="15">
        <f>BOR!J76</f>
        <v>0</v>
      </c>
    </row>
    <row r="226" spans="1:11" x14ac:dyDescent="0.35">
      <c r="A226" t="s">
        <v>463</v>
      </c>
      <c r="B226" t="s">
        <v>599</v>
      </c>
      <c r="D226" t="s">
        <v>498</v>
      </c>
      <c r="E226" t="s">
        <v>499</v>
      </c>
      <c r="F226">
        <v>1</v>
      </c>
      <c r="I226" t="s">
        <v>3</v>
      </c>
      <c r="J226" s="15">
        <f>BOR!I77</f>
        <v>0</v>
      </c>
      <c r="K226" s="15">
        <f>BOR!J77</f>
        <v>0</v>
      </c>
    </row>
    <row r="227" spans="1:11" x14ac:dyDescent="0.35">
      <c r="A227" t="s">
        <v>464</v>
      </c>
      <c r="B227" t="s">
        <v>599</v>
      </c>
      <c r="D227" t="s">
        <v>500</v>
      </c>
      <c r="E227" t="s">
        <v>501</v>
      </c>
      <c r="F227">
        <v>1</v>
      </c>
      <c r="I227" t="s">
        <v>3</v>
      </c>
      <c r="J227" s="15">
        <f>BOR!I78</f>
        <v>0</v>
      </c>
      <c r="K227" s="15">
        <f>BOR!J78</f>
        <v>0</v>
      </c>
    </row>
    <row r="228" spans="1:11" x14ac:dyDescent="0.35">
      <c r="A228" t="s">
        <v>464</v>
      </c>
      <c r="B228" t="s">
        <v>599</v>
      </c>
      <c r="D228" t="s">
        <v>500</v>
      </c>
      <c r="E228" t="s">
        <v>501</v>
      </c>
      <c r="F228">
        <v>1</v>
      </c>
      <c r="I228" t="s">
        <v>3</v>
      </c>
      <c r="J228" s="15">
        <f>BOR!I79</f>
        <v>0</v>
      </c>
      <c r="K228" s="15">
        <f>BOR!J79</f>
        <v>0</v>
      </c>
    </row>
    <row r="229" spans="1:11" x14ac:dyDescent="0.35">
      <c r="A229" t="s">
        <v>464</v>
      </c>
      <c r="B229" t="s">
        <v>599</v>
      </c>
      <c r="D229" t="s">
        <v>500</v>
      </c>
      <c r="E229" t="s">
        <v>501</v>
      </c>
      <c r="F229">
        <v>1</v>
      </c>
      <c r="I229" t="s">
        <v>3</v>
      </c>
      <c r="J229" s="15">
        <f>BOR!I80</f>
        <v>0</v>
      </c>
      <c r="K229" s="15">
        <f>BOR!J80</f>
        <v>0</v>
      </c>
    </row>
    <row r="230" spans="1:11" x14ac:dyDescent="0.35">
      <c r="A230" t="s">
        <v>464</v>
      </c>
      <c r="B230" t="s">
        <v>599</v>
      </c>
      <c r="D230" t="s">
        <v>500</v>
      </c>
      <c r="E230" t="s">
        <v>501</v>
      </c>
      <c r="F230">
        <v>1</v>
      </c>
      <c r="I230" t="s">
        <v>3</v>
      </c>
      <c r="J230" s="15">
        <f>BOR!I81</f>
        <v>0</v>
      </c>
      <c r="K230" s="15">
        <f>BOR!J81</f>
        <v>0</v>
      </c>
    </row>
    <row r="231" spans="1:11" x14ac:dyDescent="0.35">
      <c r="A231" t="s">
        <v>464</v>
      </c>
      <c r="B231" t="s">
        <v>599</v>
      </c>
      <c r="D231" t="s">
        <v>500</v>
      </c>
      <c r="E231" t="s">
        <v>501</v>
      </c>
      <c r="F231">
        <v>1</v>
      </c>
      <c r="I231" t="s">
        <v>3</v>
      </c>
      <c r="J231" s="15">
        <f>BOR!I82</f>
        <v>0</v>
      </c>
      <c r="K231" s="15">
        <f>BOR!J82</f>
        <v>0</v>
      </c>
    </row>
    <row r="232" spans="1:11" x14ac:dyDescent="0.35">
      <c r="A232" t="s">
        <v>464</v>
      </c>
      <c r="B232" t="s">
        <v>599</v>
      </c>
      <c r="D232" t="s">
        <v>500</v>
      </c>
      <c r="E232" t="s">
        <v>501</v>
      </c>
      <c r="F232">
        <v>1</v>
      </c>
      <c r="I232" t="s">
        <v>3</v>
      </c>
      <c r="J232" s="15">
        <f>BOR!I83</f>
        <v>0</v>
      </c>
      <c r="K232" s="15">
        <f>BOR!J83</f>
        <v>0</v>
      </c>
    </row>
    <row r="233" spans="1:11" x14ac:dyDescent="0.35">
      <c r="A233" t="s">
        <v>464</v>
      </c>
      <c r="B233" t="s">
        <v>599</v>
      </c>
      <c r="D233" t="s">
        <v>500</v>
      </c>
      <c r="E233" t="s">
        <v>501</v>
      </c>
      <c r="F233">
        <v>1</v>
      </c>
      <c r="I233" t="s">
        <v>3</v>
      </c>
      <c r="J233" s="15">
        <f>BOR!I84</f>
        <v>0</v>
      </c>
      <c r="K233" s="15">
        <f>BOR!J84</f>
        <v>0</v>
      </c>
    </row>
    <row r="234" spans="1:11" x14ac:dyDescent="0.35">
      <c r="A234" t="s">
        <v>464</v>
      </c>
      <c r="B234" t="s">
        <v>599</v>
      </c>
      <c r="D234" t="s">
        <v>500</v>
      </c>
      <c r="E234" t="s">
        <v>501</v>
      </c>
      <c r="F234">
        <v>1</v>
      </c>
      <c r="I234" t="s">
        <v>3</v>
      </c>
      <c r="J234" s="15">
        <f>BOR!I85</f>
        <v>0</v>
      </c>
      <c r="K234" s="15">
        <f>BOR!J85</f>
        <v>0</v>
      </c>
    </row>
    <row r="235" spans="1:11" x14ac:dyDescent="0.35">
      <c r="A235" t="s">
        <v>464</v>
      </c>
      <c r="B235" t="s">
        <v>599</v>
      </c>
      <c r="D235" t="s">
        <v>500</v>
      </c>
      <c r="E235" t="s">
        <v>501</v>
      </c>
      <c r="F235">
        <v>1</v>
      </c>
      <c r="I235" t="s">
        <v>3</v>
      </c>
      <c r="J235" s="15">
        <f>BOR!I86</f>
        <v>0</v>
      </c>
      <c r="K235" s="15">
        <f>BOR!J86</f>
        <v>0</v>
      </c>
    </row>
    <row r="236" spans="1:11" x14ac:dyDescent="0.35">
      <c r="A236" t="s">
        <v>464</v>
      </c>
      <c r="B236" t="s">
        <v>599</v>
      </c>
      <c r="D236" t="s">
        <v>500</v>
      </c>
      <c r="E236" t="s">
        <v>501</v>
      </c>
      <c r="F236">
        <v>1</v>
      </c>
      <c r="I236" t="s">
        <v>3</v>
      </c>
      <c r="J236" s="15">
        <f>BOR!I87</f>
        <v>0</v>
      </c>
      <c r="K236" s="15">
        <f>BOR!J87</f>
        <v>0</v>
      </c>
    </row>
    <row r="237" spans="1:11" x14ac:dyDescent="0.35">
      <c r="A237" t="s">
        <v>463</v>
      </c>
      <c r="B237" t="s">
        <v>599</v>
      </c>
      <c r="D237" t="s">
        <v>498</v>
      </c>
      <c r="E237" t="s">
        <v>499</v>
      </c>
      <c r="F237">
        <v>1</v>
      </c>
      <c r="I237" t="s">
        <v>3</v>
      </c>
      <c r="J237" s="15">
        <f>BOR!I88</f>
        <v>0</v>
      </c>
      <c r="K237" s="15">
        <f>BOR!J88</f>
        <v>0</v>
      </c>
    </row>
    <row r="238" spans="1:11" x14ac:dyDescent="0.35">
      <c r="A238" t="s">
        <v>463</v>
      </c>
      <c r="B238" t="s">
        <v>599</v>
      </c>
      <c r="D238" t="s">
        <v>498</v>
      </c>
      <c r="E238" t="s">
        <v>499</v>
      </c>
      <c r="F238">
        <v>1</v>
      </c>
      <c r="I238" t="s">
        <v>3</v>
      </c>
      <c r="J238" s="15">
        <f>BOR!I89</f>
        <v>0</v>
      </c>
      <c r="K238" s="15">
        <f>BOR!J89</f>
        <v>0</v>
      </c>
    </row>
    <row r="239" spans="1:11" x14ac:dyDescent="0.35">
      <c r="A239" t="s">
        <v>464</v>
      </c>
      <c r="B239" t="s">
        <v>599</v>
      </c>
      <c r="D239" t="s">
        <v>500</v>
      </c>
      <c r="E239" t="s">
        <v>501</v>
      </c>
      <c r="F239">
        <v>1</v>
      </c>
      <c r="I239" t="s">
        <v>3</v>
      </c>
      <c r="J239" s="15">
        <f>BOR!I90</f>
        <v>0</v>
      </c>
      <c r="K239" s="15">
        <f>BOR!J90</f>
        <v>0</v>
      </c>
    </row>
    <row r="240" spans="1:11" x14ac:dyDescent="0.35">
      <c r="A240" t="s">
        <v>464</v>
      </c>
      <c r="B240" t="s">
        <v>599</v>
      </c>
      <c r="D240" t="s">
        <v>500</v>
      </c>
      <c r="E240" t="s">
        <v>501</v>
      </c>
      <c r="F240">
        <v>1</v>
      </c>
      <c r="I240" t="s">
        <v>3</v>
      </c>
      <c r="J240" s="15">
        <f>BOR!I91</f>
        <v>0</v>
      </c>
      <c r="K240" s="15">
        <f>BOR!J91</f>
        <v>0</v>
      </c>
    </row>
    <row r="241" spans="1:11" x14ac:dyDescent="0.35">
      <c r="A241" t="s">
        <v>464</v>
      </c>
      <c r="B241" t="s">
        <v>599</v>
      </c>
      <c r="D241" t="s">
        <v>500</v>
      </c>
      <c r="E241" t="s">
        <v>501</v>
      </c>
      <c r="F241">
        <v>1</v>
      </c>
      <c r="I241" t="s">
        <v>3</v>
      </c>
      <c r="J241" s="15">
        <f>BOR!I92</f>
        <v>0</v>
      </c>
      <c r="K241" s="15">
        <f>BOR!J92</f>
        <v>0</v>
      </c>
    </row>
    <row r="242" spans="1:11" x14ac:dyDescent="0.35">
      <c r="A242" t="s">
        <v>464</v>
      </c>
      <c r="B242" t="s">
        <v>599</v>
      </c>
      <c r="D242" t="s">
        <v>500</v>
      </c>
      <c r="E242" t="s">
        <v>501</v>
      </c>
      <c r="F242">
        <v>1</v>
      </c>
      <c r="I242" t="s">
        <v>3</v>
      </c>
      <c r="J242" s="15">
        <f>BOR!I93</f>
        <v>0</v>
      </c>
      <c r="K242" s="15">
        <f>BOR!J93</f>
        <v>0</v>
      </c>
    </row>
    <row r="243" spans="1:11" x14ac:dyDescent="0.35">
      <c r="A243" t="s">
        <v>464</v>
      </c>
      <c r="B243" t="s">
        <v>599</v>
      </c>
      <c r="D243" t="s">
        <v>500</v>
      </c>
      <c r="E243" t="s">
        <v>501</v>
      </c>
      <c r="F243">
        <v>1</v>
      </c>
      <c r="I243" t="s">
        <v>3</v>
      </c>
      <c r="J243" s="15">
        <f>BOR!I94</f>
        <v>0</v>
      </c>
      <c r="K243" s="15">
        <f>BOR!J94</f>
        <v>0</v>
      </c>
    </row>
    <row r="244" spans="1:11" x14ac:dyDescent="0.35">
      <c r="A244" t="s">
        <v>464</v>
      </c>
      <c r="B244" t="s">
        <v>599</v>
      </c>
      <c r="D244" t="s">
        <v>500</v>
      </c>
      <c r="E244" t="s">
        <v>501</v>
      </c>
      <c r="F244">
        <v>1</v>
      </c>
      <c r="I244" t="s">
        <v>3</v>
      </c>
      <c r="J244" s="15">
        <f>BOR!I95</f>
        <v>0</v>
      </c>
      <c r="K244" s="15">
        <f>BOR!J95</f>
        <v>0</v>
      </c>
    </row>
    <row r="245" spans="1:11" x14ac:dyDescent="0.35">
      <c r="A245" t="s">
        <v>464</v>
      </c>
      <c r="B245" t="s">
        <v>599</v>
      </c>
      <c r="D245" t="s">
        <v>500</v>
      </c>
      <c r="E245" t="s">
        <v>501</v>
      </c>
      <c r="F245">
        <v>1</v>
      </c>
      <c r="I245" t="s">
        <v>3</v>
      </c>
      <c r="J245" s="15">
        <f>BOR!I96</f>
        <v>0</v>
      </c>
      <c r="K245" s="15">
        <f>BOR!J96</f>
        <v>0</v>
      </c>
    </row>
    <row r="246" spans="1:11" x14ac:dyDescent="0.35">
      <c r="A246" t="s">
        <v>464</v>
      </c>
      <c r="B246" t="s">
        <v>599</v>
      </c>
      <c r="D246" t="s">
        <v>500</v>
      </c>
      <c r="E246" t="s">
        <v>501</v>
      </c>
      <c r="F246">
        <v>1</v>
      </c>
      <c r="I246" t="s">
        <v>3</v>
      </c>
      <c r="J246" s="15">
        <f>BOR!I97</f>
        <v>0</v>
      </c>
      <c r="K246" s="15">
        <f>BOR!J97</f>
        <v>0</v>
      </c>
    </row>
    <row r="247" spans="1:11" x14ac:dyDescent="0.35">
      <c r="A247" t="s">
        <v>464</v>
      </c>
      <c r="B247" t="s">
        <v>599</v>
      </c>
      <c r="D247" t="s">
        <v>500</v>
      </c>
      <c r="E247" t="s">
        <v>501</v>
      </c>
      <c r="F247">
        <v>1</v>
      </c>
      <c r="I247" t="s">
        <v>3</v>
      </c>
      <c r="J247" s="15">
        <f>BOR!I98</f>
        <v>0</v>
      </c>
      <c r="K247" s="15">
        <f>BOR!J98</f>
        <v>0</v>
      </c>
    </row>
    <row r="248" spans="1:11" x14ac:dyDescent="0.35">
      <c r="A248" t="s">
        <v>464</v>
      </c>
      <c r="B248" t="s">
        <v>599</v>
      </c>
      <c r="D248" t="s">
        <v>500</v>
      </c>
      <c r="E248" t="s">
        <v>501</v>
      </c>
      <c r="F248">
        <v>1</v>
      </c>
      <c r="I248" t="s">
        <v>3</v>
      </c>
      <c r="J248" s="15">
        <f>BOR!I99</f>
        <v>0</v>
      </c>
      <c r="K248" s="15">
        <f>BOR!J99</f>
        <v>0</v>
      </c>
    </row>
    <row r="249" spans="1:11" x14ac:dyDescent="0.35">
      <c r="A249" t="s">
        <v>465</v>
      </c>
      <c r="B249" t="s">
        <v>599</v>
      </c>
      <c r="D249" t="s">
        <v>502</v>
      </c>
      <c r="E249" t="s">
        <v>503</v>
      </c>
      <c r="F249">
        <v>1</v>
      </c>
      <c r="I249" t="s">
        <v>3</v>
      </c>
      <c r="J249" s="15">
        <f>BOR!I100</f>
        <v>0</v>
      </c>
      <c r="K249" s="15">
        <f>BOR!J100</f>
        <v>0</v>
      </c>
    </row>
    <row r="250" spans="1:11" x14ac:dyDescent="0.35">
      <c r="A250" t="s">
        <v>466</v>
      </c>
      <c r="B250" t="s">
        <v>599</v>
      </c>
      <c r="D250" t="s">
        <v>504</v>
      </c>
      <c r="E250" t="s">
        <v>505</v>
      </c>
      <c r="F250">
        <v>1</v>
      </c>
      <c r="I250" t="s">
        <v>3</v>
      </c>
      <c r="J250" s="15">
        <f>BOR!I101</f>
        <v>0</v>
      </c>
      <c r="K250" s="15">
        <f>BOR!J101</f>
        <v>0</v>
      </c>
    </row>
    <row r="251" spans="1:11" x14ac:dyDescent="0.35">
      <c r="A251" t="s">
        <v>467</v>
      </c>
      <c r="B251" t="s">
        <v>599</v>
      </c>
      <c r="D251" t="s">
        <v>502</v>
      </c>
      <c r="E251" t="s">
        <v>503</v>
      </c>
      <c r="F251">
        <v>1</v>
      </c>
      <c r="I251" t="s">
        <v>3</v>
      </c>
      <c r="J251" s="15">
        <f>BOR!I102</f>
        <v>0</v>
      </c>
      <c r="K251" s="15">
        <f>BOR!J102</f>
        <v>0</v>
      </c>
    </row>
    <row r="252" spans="1:11" x14ac:dyDescent="0.35">
      <c r="A252" t="s">
        <v>468</v>
      </c>
      <c r="B252" t="s">
        <v>599</v>
      </c>
      <c r="D252" t="s">
        <v>506</v>
      </c>
      <c r="E252" t="s">
        <v>507</v>
      </c>
      <c r="F252">
        <v>1</v>
      </c>
      <c r="I252" t="s">
        <v>3</v>
      </c>
      <c r="J252" s="15">
        <f>BOR!I103</f>
        <v>0</v>
      </c>
      <c r="K252" s="15">
        <f>BOR!J103</f>
        <v>0</v>
      </c>
    </row>
    <row r="253" spans="1:11" x14ac:dyDescent="0.35">
      <c r="A253" t="s">
        <v>460</v>
      </c>
      <c r="B253" t="s">
        <v>599</v>
      </c>
      <c r="D253" t="s">
        <v>487</v>
      </c>
      <c r="E253" t="s">
        <v>488</v>
      </c>
      <c r="F253">
        <v>1</v>
      </c>
      <c r="I253" t="s">
        <v>3</v>
      </c>
      <c r="J253" s="15">
        <f>BOR!I104</f>
        <v>0</v>
      </c>
      <c r="K253" s="15">
        <f>BOR!J104</f>
        <v>0</v>
      </c>
    </row>
    <row r="254" spans="1:11" x14ac:dyDescent="0.35">
      <c r="B254" t="s">
        <v>599</v>
      </c>
      <c r="D254" t="s">
        <v>506</v>
      </c>
      <c r="E254" t="s">
        <v>507</v>
      </c>
      <c r="F254">
        <v>1</v>
      </c>
      <c r="I254" t="s">
        <v>3</v>
      </c>
      <c r="J254" s="15">
        <f>BOR!I105</f>
        <v>0</v>
      </c>
      <c r="K254" s="15">
        <f>BOR!J105</f>
        <v>0</v>
      </c>
    </row>
    <row r="255" spans="1:11" x14ac:dyDescent="0.35">
      <c r="A255" t="s">
        <v>469</v>
      </c>
      <c r="B255" t="s">
        <v>599</v>
      </c>
      <c r="D255" t="s">
        <v>508</v>
      </c>
      <c r="E255" t="s">
        <v>509</v>
      </c>
      <c r="F255">
        <v>1</v>
      </c>
      <c r="I255" t="s">
        <v>3</v>
      </c>
      <c r="J255" s="15">
        <f>BOR!I106</f>
        <v>0</v>
      </c>
      <c r="K255" s="15">
        <f>BOR!J106</f>
        <v>0</v>
      </c>
    </row>
    <row r="256" spans="1:11" x14ac:dyDescent="0.35">
      <c r="A256" t="s">
        <v>470</v>
      </c>
      <c r="B256" t="s">
        <v>599</v>
      </c>
      <c r="D256" t="s">
        <v>510</v>
      </c>
      <c r="E256" t="s">
        <v>511</v>
      </c>
      <c r="F256">
        <v>1</v>
      </c>
      <c r="I256" t="s">
        <v>3</v>
      </c>
      <c r="J256" s="15">
        <f>BOR!I107</f>
        <v>0</v>
      </c>
      <c r="K256" s="15">
        <f>BOR!J107</f>
        <v>0</v>
      </c>
    </row>
    <row r="257" spans="1:11" x14ac:dyDescent="0.35">
      <c r="A257" t="s">
        <v>470</v>
      </c>
      <c r="B257" t="s">
        <v>599</v>
      </c>
      <c r="D257" t="s">
        <v>510</v>
      </c>
      <c r="E257" t="s">
        <v>511</v>
      </c>
      <c r="F257">
        <v>1</v>
      </c>
      <c r="I257" t="s">
        <v>3</v>
      </c>
      <c r="J257" s="15">
        <f>BOR!I108</f>
        <v>0</v>
      </c>
      <c r="K257" s="15">
        <f>BOR!J108</f>
        <v>0</v>
      </c>
    </row>
    <row r="258" spans="1:11" x14ac:dyDescent="0.35">
      <c r="A258" t="s">
        <v>470</v>
      </c>
      <c r="B258" t="s">
        <v>599</v>
      </c>
      <c r="D258" t="s">
        <v>510</v>
      </c>
      <c r="E258" t="s">
        <v>511</v>
      </c>
      <c r="F258">
        <v>1</v>
      </c>
      <c r="I258" t="s">
        <v>3</v>
      </c>
      <c r="J258" s="15">
        <f>BOR!I109</f>
        <v>0</v>
      </c>
      <c r="K258" s="15">
        <f>BOR!J109</f>
        <v>0</v>
      </c>
    </row>
    <row r="259" spans="1:11" x14ac:dyDescent="0.35">
      <c r="A259" t="s">
        <v>470</v>
      </c>
      <c r="B259" t="s">
        <v>599</v>
      </c>
      <c r="D259" t="s">
        <v>510</v>
      </c>
      <c r="E259" t="s">
        <v>511</v>
      </c>
      <c r="F259">
        <v>1</v>
      </c>
      <c r="I259" t="s">
        <v>3</v>
      </c>
      <c r="J259" s="15">
        <f>BOR!I110</f>
        <v>0</v>
      </c>
      <c r="K259" s="15">
        <f>BOR!J110</f>
        <v>0</v>
      </c>
    </row>
    <row r="260" spans="1:11" x14ac:dyDescent="0.35">
      <c r="A260" t="s">
        <v>470</v>
      </c>
      <c r="B260" t="s">
        <v>599</v>
      </c>
      <c r="D260" t="s">
        <v>510</v>
      </c>
      <c r="E260" t="s">
        <v>511</v>
      </c>
      <c r="F260">
        <v>1</v>
      </c>
      <c r="I260" t="s">
        <v>3</v>
      </c>
      <c r="J260" s="15">
        <f>BOR!I111</f>
        <v>0</v>
      </c>
      <c r="K260" s="15">
        <f>BOR!J111</f>
        <v>0</v>
      </c>
    </row>
    <row r="261" spans="1:11" x14ac:dyDescent="0.35">
      <c r="A261" t="s">
        <v>470</v>
      </c>
      <c r="B261" t="s">
        <v>599</v>
      </c>
      <c r="D261" t="s">
        <v>510</v>
      </c>
      <c r="E261" t="s">
        <v>511</v>
      </c>
      <c r="F261">
        <v>1</v>
      </c>
      <c r="I261" t="s">
        <v>3</v>
      </c>
      <c r="J261" s="15">
        <f>BOR!I112</f>
        <v>0</v>
      </c>
      <c r="K261" s="15">
        <f>BOR!J112</f>
        <v>0</v>
      </c>
    </row>
    <row r="262" spans="1:11" x14ac:dyDescent="0.35">
      <c r="A262" t="s">
        <v>471</v>
      </c>
      <c r="B262" t="s">
        <v>599</v>
      </c>
      <c r="D262" t="s">
        <v>512</v>
      </c>
      <c r="E262" t="s">
        <v>513</v>
      </c>
      <c r="F262">
        <v>1</v>
      </c>
      <c r="I262" t="s">
        <v>3</v>
      </c>
      <c r="J262" s="15">
        <f>BOR!I113</f>
        <v>0</v>
      </c>
      <c r="K262" s="15">
        <f>BOR!J113</f>
        <v>0</v>
      </c>
    </row>
    <row r="263" spans="1:11" x14ac:dyDescent="0.35">
      <c r="A263" t="s">
        <v>471</v>
      </c>
      <c r="B263" t="s">
        <v>599</v>
      </c>
      <c r="D263" t="s">
        <v>512</v>
      </c>
      <c r="E263" t="s">
        <v>513</v>
      </c>
      <c r="F263">
        <v>1</v>
      </c>
      <c r="I263" t="s">
        <v>3</v>
      </c>
      <c r="J263" s="15">
        <f>BOR!I114</f>
        <v>0</v>
      </c>
      <c r="K263" s="15">
        <f>BOR!J114</f>
        <v>0</v>
      </c>
    </row>
    <row r="264" spans="1:11" x14ac:dyDescent="0.35">
      <c r="A264" t="s">
        <v>471</v>
      </c>
      <c r="B264" t="s">
        <v>599</v>
      </c>
      <c r="D264" t="s">
        <v>512</v>
      </c>
      <c r="E264" t="s">
        <v>513</v>
      </c>
      <c r="F264">
        <v>1</v>
      </c>
      <c r="I264" t="s">
        <v>3</v>
      </c>
      <c r="J264" s="15">
        <f>BOR!I115</f>
        <v>0</v>
      </c>
      <c r="K264" s="15">
        <f>BOR!J115</f>
        <v>0</v>
      </c>
    </row>
    <row r="265" spans="1:11" x14ac:dyDescent="0.35">
      <c r="A265" t="s">
        <v>471</v>
      </c>
      <c r="B265" t="s">
        <v>599</v>
      </c>
      <c r="D265" t="s">
        <v>512</v>
      </c>
      <c r="E265" t="s">
        <v>513</v>
      </c>
      <c r="F265">
        <v>1</v>
      </c>
      <c r="I265" t="s">
        <v>3</v>
      </c>
      <c r="J265" s="15">
        <f>BOR!I116</f>
        <v>0</v>
      </c>
      <c r="K265" s="15">
        <f>BOR!J116</f>
        <v>0</v>
      </c>
    </row>
    <row r="266" spans="1:11" x14ac:dyDescent="0.35">
      <c r="A266" t="s">
        <v>471</v>
      </c>
      <c r="B266" t="s">
        <v>599</v>
      </c>
      <c r="D266" t="s">
        <v>512</v>
      </c>
      <c r="E266" t="s">
        <v>513</v>
      </c>
      <c r="F266">
        <v>1</v>
      </c>
      <c r="I266" t="s">
        <v>3</v>
      </c>
      <c r="J266" s="15">
        <f>BOR!I117</f>
        <v>0</v>
      </c>
      <c r="K266" s="15">
        <f>BOR!J117</f>
        <v>0</v>
      </c>
    </row>
    <row r="267" spans="1:11" x14ac:dyDescent="0.35">
      <c r="A267" t="s">
        <v>471</v>
      </c>
      <c r="B267" t="s">
        <v>599</v>
      </c>
      <c r="D267" t="s">
        <v>512</v>
      </c>
      <c r="E267" t="s">
        <v>513</v>
      </c>
      <c r="F267">
        <v>1</v>
      </c>
      <c r="I267" t="s">
        <v>3</v>
      </c>
      <c r="J267" s="15">
        <f>BOR!I118</f>
        <v>0</v>
      </c>
      <c r="K267" s="15">
        <f>BOR!J118</f>
        <v>0</v>
      </c>
    </row>
    <row r="268" spans="1:11" x14ac:dyDescent="0.35">
      <c r="A268" t="s">
        <v>472</v>
      </c>
      <c r="B268" t="s">
        <v>599</v>
      </c>
      <c r="D268" t="s">
        <v>514</v>
      </c>
      <c r="E268" t="s">
        <v>515</v>
      </c>
      <c r="F268">
        <v>1</v>
      </c>
      <c r="I268" t="s">
        <v>3</v>
      </c>
      <c r="J268" s="15">
        <f>BOR!I119</f>
        <v>0</v>
      </c>
      <c r="K268" s="15">
        <f>BOR!J119</f>
        <v>0</v>
      </c>
    </row>
    <row r="269" spans="1:11" x14ac:dyDescent="0.35">
      <c r="A269" t="s">
        <v>472</v>
      </c>
      <c r="B269" t="s">
        <v>599</v>
      </c>
      <c r="D269" t="s">
        <v>514</v>
      </c>
      <c r="E269" t="s">
        <v>515</v>
      </c>
      <c r="F269">
        <v>1</v>
      </c>
      <c r="I269" t="s">
        <v>3</v>
      </c>
      <c r="J269" s="15">
        <f>BOR!I120</f>
        <v>0</v>
      </c>
      <c r="K269" s="15">
        <f>BOR!J120</f>
        <v>0</v>
      </c>
    </row>
    <row r="270" spans="1:11" x14ac:dyDescent="0.35">
      <c r="A270" t="s">
        <v>472</v>
      </c>
      <c r="B270" t="s">
        <v>599</v>
      </c>
      <c r="D270" t="s">
        <v>514</v>
      </c>
      <c r="E270" t="s">
        <v>515</v>
      </c>
      <c r="F270">
        <v>1</v>
      </c>
      <c r="I270" t="s">
        <v>3</v>
      </c>
      <c r="J270" s="15">
        <f>BOR!I121</f>
        <v>0</v>
      </c>
      <c r="K270" s="15">
        <f>BOR!J121</f>
        <v>0</v>
      </c>
    </row>
    <row r="271" spans="1:11" x14ac:dyDescent="0.35">
      <c r="A271" t="s">
        <v>472</v>
      </c>
      <c r="B271" t="s">
        <v>599</v>
      </c>
      <c r="D271" t="s">
        <v>514</v>
      </c>
      <c r="E271" t="s">
        <v>515</v>
      </c>
      <c r="F271">
        <v>1</v>
      </c>
      <c r="I271" t="s">
        <v>3</v>
      </c>
      <c r="J271" s="15">
        <f>BOR!I122</f>
        <v>0</v>
      </c>
      <c r="K271" s="15">
        <f>BOR!J122</f>
        <v>0</v>
      </c>
    </row>
    <row r="272" spans="1:11" x14ac:dyDescent="0.35">
      <c r="A272" t="s">
        <v>472</v>
      </c>
      <c r="B272" t="s">
        <v>599</v>
      </c>
      <c r="D272" t="s">
        <v>514</v>
      </c>
      <c r="E272" t="s">
        <v>515</v>
      </c>
      <c r="F272">
        <v>1</v>
      </c>
      <c r="I272" t="s">
        <v>3</v>
      </c>
      <c r="J272" s="15">
        <f>BOR!I123</f>
        <v>0</v>
      </c>
      <c r="K272" s="15">
        <f>BOR!J123</f>
        <v>0</v>
      </c>
    </row>
    <row r="273" spans="1:11" x14ac:dyDescent="0.35">
      <c r="A273" t="s">
        <v>472</v>
      </c>
      <c r="B273" t="s">
        <v>599</v>
      </c>
      <c r="D273" t="s">
        <v>514</v>
      </c>
      <c r="E273" t="s">
        <v>515</v>
      </c>
      <c r="F273">
        <v>1</v>
      </c>
      <c r="I273" t="s">
        <v>3</v>
      </c>
      <c r="J273" s="15">
        <f>BOR!I124</f>
        <v>0</v>
      </c>
      <c r="K273" s="15">
        <f>BOR!J124</f>
        <v>0</v>
      </c>
    </row>
    <row r="274" spans="1:11" x14ac:dyDescent="0.35">
      <c r="A274" t="s">
        <v>472</v>
      </c>
      <c r="B274" t="s">
        <v>599</v>
      </c>
      <c r="D274" t="s">
        <v>514</v>
      </c>
      <c r="E274" t="s">
        <v>515</v>
      </c>
      <c r="F274">
        <v>1</v>
      </c>
      <c r="I274" t="s">
        <v>3</v>
      </c>
      <c r="J274" s="15">
        <f>BOR!I125</f>
        <v>0</v>
      </c>
      <c r="K274" s="15">
        <f>BOR!J125</f>
        <v>0</v>
      </c>
    </row>
    <row r="275" spans="1:11" x14ac:dyDescent="0.35">
      <c r="A275" t="s">
        <v>472</v>
      </c>
      <c r="B275" t="s">
        <v>599</v>
      </c>
      <c r="D275" t="s">
        <v>514</v>
      </c>
      <c r="E275" t="s">
        <v>515</v>
      </c>
      <c r="F275">
        <v>1</v>
      </c>
      <c r="I275" t="s">
        <v>3</v>
      </c>
      <c r="J275" s="15">
        <f>BOR!I126</f>
        <v>0</v>
      </c>
      <c r="K275" s="15">
        <f>BOR!J126</f>
        <v>0</v>
      </c>
    </row>
    <row r="276" spans="1:11" x14ac:dyDescent="0.35">
      <c r="A276" t="s">
        <v>472</v>
      </c>
      <c r="B276" t="s">
        <v>599</v>
      </c>
      <c r="D276" t="s">
        <v>514</v>
      </c>
      <c r="E276" t="s">
        <v>515</v>
      </c>
      <c r="F276">
        <v>1</v>
      </c>
      <c r="I276" t="s">
        <v>3</v>
      </c>
      <c r="J276" s="15">
        <f>BOR!I127</f>
        <v>0</v>
      </c>
      <c r="K276" s="15">
        <f>BOR!J127</f>
        <v>0</v>
      </c>
    </row>
    <row r="277" spans="1:11" x14ac:dyDescent="0.35">
      <c r="A277" t="s">
        <v>472</v>
      </c>
      <c r="B277" t="s">
        <v>599</v>
      </c>
      <c r="D277" t="s">
        <v>514</v>
      </c>
      <c r="E277" t="s">
        <v>515</v>
      </c>
      <c r="F277">
        <v>1</v>
      </c>
      <c r="I277" t="s">
        <v>3</v>
      </c>
      <c r="J277" s="15">
        <f>BOR!I128</f>
        <v>0</v>
      </c>
      <c r="K277" s="15">
        <f>BOR!J128</f>
        <v>0</v>
      </c>
    </row>
    <row r="278" spans="1:11" x14ac:dyDescent="0.35">
      <c r="A278" t="s">
        <v>472</v>
      </c>
      <c r="B278" t="s">
        <v>599</v>
      </c>
      <c r="D278" t="s">
        <v>514</v>
      </c>
      <c r="E278" t="s">
        <v>515</v>
      </c>
      <c r="F278">
        <v>1</v>
      </c>
      <c r="I278" t="s">
        <v>3</v>
      </c>
      <c r="J278" s="15">
        <f>BOR!I129</f>
        <v>0</v>
      </c>
      <c r="K278" s="15">
        <f>BOR!J129</f>
        <v>0</v>
      </c>
    </row>
    <row r="279" spans="1:11" x14ac:dyDescent="0.35">
      <c r="A279" t="s">
        <v>472</v>
      </c>
      <c r="B279" t="s">
        <v>599</v>
      </c>
      <c r="D279" t="s">
        <v>514</v>
      </c>
      <c r="E279" t="s">
        <v>515</v>
      </c>
      <c r="F279">
        <v>1</v>
      </c>
      <c r="I279" t="s">
        <v>3</v>
      </c>
      <c r="J279" s="15">
        <f>BOR!I130</f>
        <v>0</v>
      </c>
      <c r="K279" s="15">
        <f>BOR!J130</f>
        <v>0</v>
      </c>
    </row>
    <row r="280" spans="1:11" x14ac:dyDescent="0.35">
      <c r="A280" t="s">
        <v>473</v>
      </c>
      <c r="B280" t="s">
        <v>599</v>
      </c>
      <c r="D280" t="s">
        <v>516</v>
      </c>
      <c r="E280" t="s">
        <v>517</v>
      </c>
      <c r="F280">
        <v>1</v>
      </c>
      <c r="I280" t="s">
        <v>3</v>
      </c>
      <c r="J280" s="15">
        <f>BOR!I131</f>
        <v>0</v>
      </c>
      <c r="K280" s="15">
        <f>BOR!J131</f>
        <v>0</v>
      </c>
    </row>
    <row r="281" spans="1:11" x14ac:dyDescent="0.35">
      <c r="A281" t="s">
        <v>473</v>
      </c>
      <c r="B281" t="s">
        <v>599</v>
      </c>
      <c r="D281" t="s">
        <v>516</v>
      </c>
      <c r="E281" t="s">
        <v>517</v>
      </c>
      <c r="F281">
        <v>1</v>
      </c>
      <c r="I281" t="s">
        <v>3</v>
      </c>
      <c r="J281" s="15">
        <f>BOR!I132</f>
        <v>0</v>
      </c>
      <c r="K281" s="15">
        <f>BOR!J132</f>
        <v>0</v>
      </c>
    </row>
    <row r="282" spans="1:11" x14ac:dyDescent="0.35">
      <c r="A282" t="s">
        <v>473</v>
      </c>
      <c r="B282" t="s">
        <v>599</v>
      </c>
      <c r="D282" t="s">
        <v>516</v>
      </c>
      <c r="E282" t="s">
        <v>517</v>
      </c>
      <c r="F282">
        <v>1</v>
      </c>
      <c r="I282" t="s">
        <v>3</v>
      </c>
      <c r="J282" s="15">
        <f>BOR!I133</f>
        <v>0</v>
      </c>
      <c r="K282" s="15">
        <f>BOR!J133</f>
        <v>0</v>
      </c>
    </row>
    <row r="283" spans="1:11" x14ac:dyDescent="0.35">
      <c r="A283" t="s">
        <v>473</v>
      </c>
      <c r="B283" t="s">
        <v>599</v>
      </c>
      <c r="D283" t="s">
        <v>516</v>
      </c>
      <c r="E283" t="s">
        <v>517</v>
      </c>
      <c r="F283">
        <v>1</v>
      </c>
      <c r="I283" t="s">
        <v>3</v>
      </c>
      <c r="J283" s="15">
        <f>BOR!I134</f>
        <v>0</v>
      </c>
      <c r="K283" s="15">
        <f>BOR!J134</f>
        <v>0</v>
      </c>
    </row>
    <row r="284" spans="1:11" x14ac:dyDescent="0.35">
      <c r="A284" t="s">
        <v>473</v>
      </c>
      <c r="B284" t="s">
        <v>599</v>
      </c>
      <c r="D284" t="s">
        <v>516</v>
      </c>
      <c r="E284" t="s">
        <v>517</v>
      </c>
      <c r="F284">
        <v>1</v>
      </c>
      <c r="I284" t="s">
        <v>3</v>
      </c>
      <c r="J284" s="15">
        <f>BOR!I135</f>
        <v>0</v>
      </c>
      <c r="K284" s="15">
        <f>BOR!J135</f>
        <v>0</v>
      </c>
    </row>
    <row r="285" spans="1:11" x14ac:dyDescent="0.35">
      <c r="A285" t="s">
        <v>473</v>
      </c>
      <c r="B285" t="s">
        <v>599</v>
      </c>
      <c r="D285" t="s">
        <v>516</v>
      </c>
      <c r="E285" t="s">
        <v>517</v>
      </c>
      <c r="F285">
        <v>1</v>
      </c>
      <c r="I285" t="s">
        <v>3</v>
      </c>
      <c r="J285" s="15">
        <f>BOR!I136</f>
        <v>0</v>
      </c>
      <c r="K285" s="15">
        <f>BOR!J136</f>
        <v>0</v>
      </c>
    </row>
    <row r="286" spans="1:11" x14ac:dyDescent="0.35">
      <c r="A286" t="s">
        <v>473</v>
      </c>
      <c r="B286" t="s">
        <v>599</v>
      </c>
      <c r="D286" t="s">
        <v>516</v>
      </c>
      <c r="E286" t="s">
        <v>517</v>
      </c>
      <c r="F286">
        <v>1</v>
      </c>
      <c r="I286" t="s">
        <v>3</v>
      </c>
      <c r="J286" s="15">
        <f>BOR!I137</f>
        <v>0</v>
      </c>
      <c r="K286" s="15">
        <f>BOR!J137</f>
        <v>0</v>
      </c>
    </row>
    <row r="287" spans="1:11" x14ac:dyDescent="0.35">
      <c r="A287" t="s">
        <v>473</v>
      </c>
      <c r="B287" t="s">
        <v>599</v>
      </c>
      <c r="D287" t="s">
        <v>516</v>
      </c>
      <c r="E287" t="s">
        <v>517</v>
      </c>
      <c r="F287">
        <v>1</v>
      </c>
      <c r="I287" t="s">
        <v>3</v>
      </c>
      <c r="J287" s="15">
        <f>BOR!I138</f>
        <v>0</v>
      </c>
      <c r="K287" s="15">
        <f>BOR!J138</f>
        <v>0</v>
      </c>
    </row>
    <row r="288" spans="1:11" x14ac:dyDescent="0.35">
      <c r="A288" t="s">
        <v>473</v>
      </c>
      <c r="B288" t="s">
        <v>599</v>
      </c>
      <c r="D288" t="s">
        <v>516</v>
      </c>
      <c r="E288" t="s">
        <v>517</v>
      </c>
      <c r="F288">
        <v>1</v>
      </c>
      <c r="I288" t="s">
        <v>3</v>
      </c>
      <c r="J288" s="15">
        <f>BOR!I139</f>
        <v>0</v>
      </c>
      <c r="K288" s="15">
        <f>BOR!J139</f>
        <v>0</v>
      </c>
    </row>
    <row r="289" spans="1:11" x14ac:dyDescent="0.35">
      <c r="A289" t="s">
        <v>473</v>
      </c>
      <c r="B289" t="s">
        <v>599</v>
      </c>
      <c r="D289" t="s">
        <v>516</v>
      </c>
      <c r="E289" t="s">
        <v>517</v>
      </c>
      <c r="F289">
        <v>1</v>
      </c>
      <c r="I289" t="s">
        <v>3</v>
      </c>
      <c r="J289" s="15">
        <f>BOR!I140</f>
        <v>0</v>
      </c>
      <c r="K289" s="15">
        <f>BOR!J140</f>
        <v>0</v>
      </c>
    </row>
    <row r="290" spans="1:11" x14ac:dyDescent="0.35">
      <c r="A290" t="s">
        <v>461</v>
      </c>
      <c r="B290" t="s">
        <v>599</v>
      </c>
      <c r="D290" t="s">
        <v>491</v>
      </c>
      <c r="E290" t="s">
        <v>492</v>
      </c>
      <c r="F290">
        <v>1</v>
      </c>
      <c r="I290" t="s">
        <v>3</v>
      </c>
      <c r="J290" s="15">
        <f>BOR!I141</f>
        <v>0</v>
      </c>
      <c r="K290" s="15">
        <f>BOR!J141</f>
        <v>0</v>
      </c>
    </row>
    <row r="291" spans="1:11" x14ac:dyDescent="0.35">
      <c r="A291" t="s">
        <v>471</v>
      </c>
      <c r="B291" t="s">
        <v>599</v>
      </c>
      <c r="D291" t="s">
        <v>512</v>
      </c>
      <c r="E291" t="s">
        <v>513</v>
      </c>
      <c r="F291">
        <v>1</v>
      </c>
      <c r="I291" t="s">
        <v>3</v>
      </c>
      <c r="J291" s="15">
        <f>BOR!I142</f>
        <v>0</v>
      </c>
      <c r="K291" s="15">
        <f>BOR!J142</f>
        <v>0</v>
      </c>
    </row>
    <row r="292" spans="1:11" x14ac:dyDescent="0.35">
      <c r="A292" t="s">
        <v>471</v>
      </c>
      <c r="B292" t="s">
        <v>599</v>
      </c>
      <c r="D292" t="s">
        <v>512</v>
      </c>
      <c r="E292" t="s">
        <v>513</v>
      </c>
      <c r="F292">
        <v>1</v>
      </c>
      <c r="I292" t="s">
        <v>3</v>
      </c>
      <c r="J292" s="15">
        <f>BOR!I143</f>
        <v>0</v>
      </c>
      <c r="K292" s="15">
        <f>BOR!J143</f>
        <v>0</v>
      </c>
    </row>
    <row r="293" spans="1:11" x14ac:dyDescent="0.35">
      <c r="A293" t="s">
        <v>471</v>
      </c>
      <c r="B293" t="s">
        <v>599</v>
      </c>
      <c r="D293" t="s">
        <v>512</v>
      </c>
      <c r="E293" t="s">
        <v>513</v>
      </c>
      <c r="F293">
        <v>1</v>
      </c>
      <c r="I293" t="s">
        <v>3</v>
      </c>
      <c r="J293" s="15">
        <f>BOR!I144</f>
        <v>0</v>
      </c>
      <c r="K293" s="15">
        <f>BOR!J144</f>
        <v>0</v>
      </c>
    </row>
    <row r="294" spans="1:11" x14ac:dyDescent="0.35">
      <c r="A294" t="s">
        <v>471</v>
      </c>
      <c r="B294" t="s">
        <v>599</v>
      </c>
      <c r="D294" t="s">
        <v>512</v>
      </c>
      <c r="E294" t="s">
        <v>513</v>
      </c>
      <c r="F294">
        <v>1</v>
      </c>
      <c r="I294" t="s">
        <v>3</v>
      </c>
      <c r="J294" s="15">
        <f>BOR!I145</f>
        <v>0</v>
      </c>
      <c r="K294" s="15">
        <f>BOR!J145</f>
        <v>0</v>
      </c>
    </row>
    <row r="295" spans="1:11" x14ac:dyDescent="0.35">
      <c r="A295" t="s">
        <v>471</v>
      </c>
      <c r="B295" t="s">
        <v>599</v>
      </c>
      <c r="D295" t="s">
        <v>512</v>
      </c>
      <c r="E295" t="s">
        <v>513</v>
      </c>
      <c r="F295">
        <v>1</v>
      </c>
      <c r="I295" t="s">
        <v>3</v>
      </c>
      <c r="J295" s="15">
        <f>BOR!I146</f>
        <v>0</v>
      </c>
      <c r="K295" s="15">
        <f>BOR!J146</f>
        <v>0</v>
      </c>
    </row>
    <row r="296" spans="1:11" x14ac:dyDescent="0.35">
      <c r="A296" t="s">
        <v>471</v>
      </c>
      <c r="B296" t="s">
        <v>599</v>
      </c>
      <c r="D296" t="s">
        <v>512</v>
      </c>
      <c r="E296" t="s">
        <v>513</v>
      </c>
      <c r="F296">
        <v>1</v>
      </c>
      <c r="I296" t="s">
        <v>3</v>
      </c>
      <c r="J296" s="15">
        <f>BOR!I147</f>
        <v>0</v>
      </c>
      <c r="K296" s="15">
        <f>BOR!J147</f>
        <v>0</v>
      </c>
    </row>
    <row r="297" spans="1:11" x14ac:dyDescent="0.35">
      <c r="A297" t="s">
        <v>471</v>
      </c>
      <c r="B297" t="s">
        <v>599</v>
      </c>
      <c r="D297" t="s">
        <v>512</v>
      </c>
      <c r="E297" t="s">
        <v>513</v>
      </c>
      <c r="F297">
        <v>1</v>
      </c>
      <c r="I297" t="s">
        <v>3</v>
      </c>
      <c r="J297" s="15">
        <f>BOR!I148</f>
        <v>0</v>
      </c>
      <c r="K297" s="15">
        <f>BOR!J148</f>
        <v>0</v>
      </c>
    </row>
    <row r="298" spans="1:11" x14ac:dyDescent="0.35">
      <c r="A298" t="s">
        <v>471</v>
      </c>
      <c r="B298" t="s">
        <v>599</v>
      </c>
      <c r="D298" t="s">
        <v>512</v>
      </c>
      <c r="E298" t="s">
        <v>513</v>
      </c>
      <c r="F298">
        <v>1</v>
      </c>
      <c r="I298" t="s">
        <v>3</v>
      </c>
      <c r="J298" s="15">
        <f>BOR!I149</f>
        <v>0</v>
      </c>
      <c r="K298" s="15">
        <f>BOR!J149</f>
        <v>0</v>
      </c>
    </row>
    <row r="299" spans="1:11" x14ac:dyDescent="0.35">
      <c r="A299" t="s">
        <v>471</v>
      </c>
      <c r="B299" t="s">
        <v>599</v>
      </c>
      <c r="D299" t="s">
        <v>512</v>
      </c>
      <c r="E299" t="s">
        <v>513</v>
      </c>
      <c r="F299">
        <v>1</v>
      </c>
      <c r="I299" t="s">
        <v>3</v>
      </c>
      <c r="J299" s="15">
        <f>BOR!I150</f>
        <v>0</v>
      </c>
      <c r="K299" s="15">
        <f>BOR!J150</f>
        <v>0</v>
      </c>
    </row>
    <row r="300" spans="1:11" x14ac:dyDescent="0.35">
      <c r="A300" t="s">
        <v>471</v>
      </c>
      <c r="B300" t="s">
        <v>599</v>
      </c>
      <c r="D300" t="s">
        <v>512</v>
      </c>
      <c r="E300" t="s">
        <v>513</v>
      </c>
      <c r="F300">
        <v>1</v>
      </c>
      <c r="I300" t="s">
        <v>3</v>
      </c>
      <c r="J300" s="15">
        <f>BOR!I151</f>
        <v>0</v>
      </c>
      <c r="K300" s="15">
        <f>BOR!J151</f>
        <v>0</v>
      </c>
    </row>
    <row r="301" spans="1:11" x14ac:dyDescent="0.35">
      <c r="A301" t="s">
        <v>472</v>
      </c>
      <c r="B301" t="s">
        <v>599</v>
      </c>
      <c r="D301" t="s">
        <v>514</v>
      </c>
      <c r="E301" t="s">
        <v>515</v>
      </c>
      <c r="F301">
        <v>1</v>
      </c>
      <c r="I301" t="s">
        <v>3</v>
      </c>
      <c r="J301" s="15">
        <f>BOR!I152</f>
        <v>0</v>
      </c>
      <c r="K301" s="15">
        <f>BOR!J152</f>
        <v>0</v>
      </c>
    </row>
    <row r="302" spans="1:11" x14ac:dyDescent="0.35">
      <c r="A302" t="s">
        <v>474</v>
      </c>
      <c r="B302" t="s">
        <v>599</v>
      </c>
      <c r="D302" t="s">
        <v>518</v>
      </c>
      <c r="E302" t="s">
        <v>519</v>
      </c>
      <c r="F302">
        <v>1</v>
      </c>
      <c r="I302" t="s">
        <v>3</v>
      </c>
      <c r="J302" s="15">
        <f>BOR!I153</f>
        <v>0</v>
      </c>
      <c r="K302" s="15">
        <f>BOR!J153</f>
        <v>0</v>
      </c>
    </row>
    <row r="303" spans="1:11" x14ac:dyDescent="0.35">
      <c r="B303" t="s">
        <v>599</v>
      </c>
      <c r="D303" t="s">
        <v>520</v>
      </c>
      <c r="E303" t="s">
        <v>521</v>
      </c>
      <c r="F303">
        <v>1</v>
      </c>
      <c r="I303" t="s">
        <v>3</v>
      </c>
      <c r="J303" s="15">
        <f>BOR!I154</f>
        <v>0</v>
      </c>
      <c r="K303" s="15">
        <f>BOR!J154</f>
        <v>0</v>
      </c>
    </row>
    <row r="304" spans="1:11" x14ac:dyDescent="0.35">
      <c r="B304" t="s">
        <v>599</v>
      </c>
      <c r="D304" t="s">
        <v>522</v>
      </c>
      <c r="E304" t="s">
        <v>523</v>
      </c>
      <c r="F304">
        <v>1</v>
      </c>
      <c r="I304" t="s">
        <v>3</v>
      </c>
      <c r="J304" s="15">
        <f>BOR!I155</f>
        <v>0</v>
      </c>
      <c r="K304" s="15">
        <f>BOR!J155</f>
        <v>0</v>
      </c>
    </row>
    <row r="305" spans="1:11" x14ac:dyDescent="0.35">
      <c r="B305" t="s">
        <v>599</v>
      </c>
      <c r="D305" t="s">
        <v>524</v>
      </c>
      <c r="E305" t="s">
        <v>525</v>
      </c>
      <c r="F305">
        <v>1</v>
      </c>
      <c r="I305" t="s">
        <v>3</v>
      </c>
      <c r="J305" s="15">
        <f>BOR!I156</f>
        <v>0</v>
      </c>
      <c r="K305" s="15">
        <f>BOR!J156</f>
        <v>0</v>
      </c>
    </row>
    <row r="306" spans="1:11" x14ac:dyDescent="0.35">
      <c r="B306" t="s">
        <v>599</v>
      </c>
      <c r="D306" t="s">
        <v>526</v>
      </c>
      <c r="E306" t="s">
        <v>527</v>
      </c>
      <c r="F306">
        <v>1</v>
      </c>
      <c r="I306" t="s">
        <v>3</v>
      </c>
      <c r="J306" s="15">
        <f>BOR!I157</f>
        <v>0</v>
      </c>
      <c r="K306" s="15">
        <f>BOR!J157</f>
        <v>0</v>
      </c>
    </row>
    <row r="307" spans="1:11" x14ac:dyDescent="0.35">
      <c r="B307" t="s">
        <v>599</v>
      </c>
      <c r="D307" t="s">
        <v>528</v>
      </c>
      <c r="E307" t="s">
        <v>529</v>
      </c>
      <c r="F307">
        <v>1</v>
      </c>
      <c r="I307" t="s">
        <v>3</v>
      </c>
      <c r="J307" s="15">
        <f>BOR!I158</f>
        <v>0</v>
      </c>
      <c r="K307" s="15">
        <f>BOR!J158</f>
        <v>0</v>
      </c>
    </row>
    <row r="308" spans="1:11" x14ac:dyDescent="0.35">
      <c r="A308" t="s">
        <v>474</v>
      </c>
      <c r="B308" t="s">
        <v>599</v>
      </c>
      <c r="D308" t="s">
        <v>518</v>
      </c>
      <c r="E308" t="s">
        <v>519</v>
      </c>
      <c r="F308">
        <v>1</v>
      </c>
      <c r="I308" t="s">
        <v>3</v>
      </c>
      <c r="J308" s="15">
        <f>BOR!I159</f>
        <v>0</v>
      </c>
      <c r="K308" s="15">
        <f>BOR!J159</f>
        <v>0</v>
      </c>
    </row>
    <row r="309" spans="1:11" x14ac:dyDescent="0.35">
      <c r="B309" t="s">
        <v>599</v>
      </c>
      <c r="D309" t="s">
        <v>524</v>
      </c>
      <c r="E309" t="s">
        <v>525</v>
      </c>
      <c r="F309">
        <v>1</v>
      </c>
      <c r="I309" t="s">
        <v>3</v>
      </c>
      <c r="J309" s="15">
        <f>BOR!I160</f>
        <v>0</v>
      </c>
      <c r="K309" s="15">
        <f>BOR!J160</f>
        <v>0</v>
      </c>
    </row>
    <row r="310" spans="1:11" x14ac:dyDescent="0.35">
      <c r="B310" t="s">
        <v>599</v>
      </c>
      <c r="D310" t="s">
        <v>522</v>
      </c>
      <c r="E310" t="s">
        <v>523</v>
      </c>
      <c r="F310">
        <v>1</v>
      </c>
      <c r="I310" t="s">
        <v>3</v>
      </c>
      <c r="J310" s="15">
        <f>BOR!I161</f>
        <v>0</v>
      </c>
      <c r="K310" s="15">
        <f>BOR!J161</f>
        <v>0</v>
      </c>
    </row>
    <row r="311" spans="1:11" x14ac:dyDescent="0.35">
      <c r="B311" t="s">
        <v>599</v>
      </c>
      <c r="D311" t="s">
        <v>520</v>
      </c>
      <c r="E311" t="s">
        <v>521</v>
      </c>
      <c r="F311">
        <v>1</v>
      </c>
      <c r="I311" t="s">
        <v>3</v>
      </c>
      <c r="J311" s="15">
        <f>BOR!I162</f>
        <v>0</v>
      </c>
      <c r="K311" s="15">
        <f>BOR!J162</f>
        <v>0</v>
      </c>
    </row>
    <row r="312" spans="1:11" x14ac:dyDescent="0.35">
      <c r="B312" t="s">
        <v>599</v>
      </c>
      <c r="D312" t="s">
        <v>528</v>
      </c>
      <c r="E312" t="s">
        <v>529</v>
      </c>
      <c r="F312">
        <v>1</v>
      </c>
      <c r="I312" t="s">
        <v>3</v>
      </c>
      <c r="J312" s="15">
        <f>BOR!I163</f>
        <v>0</v>
      </c>
      <c r="K312" s="15">
        <f>BOR!J163</f>
        <v>0</v>
      </c>
    </row>
    <row r="313" spans="1:11" x14ac:dyDescent="0.35">
      <c r="B313" t="s">
        <v>599</v>
      </c>
      <c r="D313" t="s">
        <v>526</v>
      </c>
      <c r="E313" t="s">
        <v>527</v>
      </c>
      <c r="F313">
        <v>1</v>
      </c>
      <c r="I313" t="s">
        <v>3</v>
      </c>
      <c r="J313" s="15">
        <f>BOR!I164</f>
        <v>0</v>
      </c>
      <c r="K313" s="15">
        <f>BOR!J164</f>
        <v>0</v>
      </c>
    </row>
    <row r="314" spans="1:11" x14ac:dyDescent="0.35">
      <c r="A314" t="s">
        <v>474</v>
      </c>
      <c r="B314" t="s">
        <v>599</v>
      </c>
      <c r="D314" t="s">
        <v>518</v>
      </c>
      <c r="E314" t="s">
        <v>519</v>
      </c>
      <c r="F314">
        <v>1</v>
      </c>
      <c r="I314" t="s">
        <v>3</v>
      </c>
      <c r="J314" s="15">
        <f>BOR!I165</f>
        <v>0</v>
      </c>
      <c r="K314" s="15">
        <f>BOR!J165</f>
        <v>0</v>
      </c>
    </row>
    <row r="315" spans="1:11" x14ac:dyDescent="0.35">
      <c r="B315" t="s">
        <v>599</v>
      </c>
      <c r="D315" t="s">
        <v>522</v>
      </c>
      <c r="E315" t="s">
        <v>523</v>
      </c>
      <c r="F315">
        <v>1</v>
      </c>
      <c r="I315" t="s">
        <v>3</v>
      </c>
      <c r="J315" s="15">
        <f>BOR!I166</f>
        <v>0</v>
      </c>
      <c r="K315" s="15">
        <f>BOR!J166</f>
        <v>0</v>
      </c>
    </row>
    <row r="316" spans="1:11" x14ac:dyDescent="0.35">
      <c r="B316" t="s">
        <v>599</v>
      </c>
      <c r="D316" t="s">
        <v>520</v>
      </c>
      <c r="E316" t="s">
        <v>521</v>
      </c>
      <c r="F316">
        <v>1</v>
      </c>
      <c r="I316" t="s">
        <v>3</v>
      </c>
      <c r="J316" s="15">
        <f>BOR!I167</f>
        <v>0</v>
      </c>
      <c r="K316" s="15">
        <f>BOR!J167</f>
        <v>0</v>
      </c>
    </row>
    <row r="317" spans="1:11" x14ac:dyDescent="0.35">
      <c r="B317" t="s">
        <v>599</v>
      </c>
      <c r="D317" t="s">
        <v>526</v>
      </c>
      <c r="E317" t="s">
        <v>527</v>
      </c>
      <c r="F317">
        <v>1</v>
      </c>
      <c r="I317" t="s">
        <v>3</v>
      </c>
      <c r="J317" s="15">
        <f>BOR!I168</f>
        <v>0</v>
      </c>
      <c r="K317" s="15">
        <f>BOR!J168</f>
        <v>0</v>
      </c>
    </row>
    <row r="318" spans="1:11" x14ac:dyDescent="0.35">
      <c r="B318" t="s">
        <v>599</v>
      </c>
      <c r="D318" t="s">
        <v>524</v>
      </c>
      <c r="E318" t="s">
        <v>525</v>
      </c>
      <c r="F318">
        <v>1</v>
      </c>
      <c r="I318" t="s">
        <v>3</v>
      </c>
      <c r="J318" s="15">
        <f>BOR!I169</f>
        <v>0</v>
      </c>
      <c r="K318" s="15">
        <f>BOR!J169</f>
        <v>0</v>
      </c>
    </row>
    <row r="319" spans="1:11" x14ac:dyDescent="0.35">
      <c r="B319" t="s">
        <v>599</v>
      </c>
      <c r="D319" t="s">
        <v>528</v>
      </c>
      <c r="E319" t="s">
        <v>529</v>
      </c>
      <c r="F319">
        <v>1</v>
      </c>
      <c r="I319" t="s">
        <v>3</v>
      </c>
      <c r="J319" s="15">
        <f>BOR!I170</f>
        <v>0</v>
      </c>
      <c r="K319" s="15">
        <f>BOR!J170</f>
        <v>0</v>
      </c>
    </row>
    <row r="320" spans="1:11" x14ac:dyDescent="0.35">
      <c r="A320" t="s">
        <v>474</v>
      </c>
      <c r="B320" t="s">
        <v>599</v>
      </c>
      <c r="D320" t="s">
        <v>518</v>
      </c>
      <c r="E320" t="s">
        <v>519</v>
      </c>
      <c r="F320">
        <v>1</v>
      </c>
      <c r="I320" t="s">
        <v>3</v>
      </c>
      <c r="J320" s="15">
        <f>BOR!I171</f>
        <v>0</v>
      </c>
      <c r="K320" s="15">
        <f>BOR!J171</f>
        <v>0</v>
      </c>
    </row>
    <row r="321" spans="1:11" x14ac:dyDescent="0.35">
      <c r="B321" t="s">
        <v>599</v>
      </c>
      <c r="D321" t="s">
        <v>528</v>
      </c>
      <c r="E321" t="s">
        <v>529</v>
      </c>
      <c r="F321">
        <v>1</v>
      </c>
      <c r="I321" t="s">
        <v>3</v>
      </c>
      <c r="J321" s="15">
        <f>BOR!I172</f>
        <v>0</v>
      </c>
      <c r="K321" s="15">
        <f>BOR!J172</f>
        <v>0</v>
      </c>
    </row>
    <row r="322" spans="1:11" x14ac:dyDescent="0.35">
      <c r="B322" t="s">
        <v>599</v>
      </c>
      <c r="D322" t="s">
        <v>520</v>
      </c>
      <c r="E322" t="s">
        <v>521</v>
      </c>
      <c r="F322">
        <v>1</v>
      </c>
      <c r="I322" t="s">
        <v>3</v>
      </c>
      <c r="J322" s="15">
        <f>BOR!I173</f>
        <v>0</v>
      </c>
      <c r="K322" s="15">
        <f>BOR!J173</f>
        <v>0</v>
      </c>
    </row>
    <row r="323" spans="1:11" x14ac:dyDescent="0.35">
      <c r="B323" t="s">
        <v>599</v>
      </c>
      <c r="D323" t="s">
        <v>524</v>
      </c>
      <c r="E323" t="s">
        <v>525</v>
      </c>
      <c r="F323">
        <v>1</v>
      </c>
      <c r="I323" t="s">
        <v>3</v>
      </c>
      <c r="J323" s="15">
        <f>BOR!I174</f>
        <v>0</v>
      </c>
      <c r="K323" s="15">
        <f>BOR!J174</f>
        <v>0</v>
      </c>
    </row>
    <row r="324" spans="1:11" x14ac:dyDescent="0.35">
      <c r="B324" t="s">
        <v>599</v>
      </c>
      <c r="D324" t="s">
        <v>522</v>
      </c>
      <c r="E324" t="s">
        <v>523</v>
      </c>
      <c r="F324">
        <v>1</v>
      </c>
      <c r="I324" t="s">
        <v>3</v>
      </c>
      <c r="J324" s="15">
        <f>BOR!I175</f>
        <v>0</v>
      </c>
      <c r="K324" s="15">
        <f>BOR!J175</f>
        <v>0</v>
      </c>
    </row>
    <row r="325" spans="1:11" x14ac:dyDescent="0.35">
      <c r="B325" t="s">
        <v>599</v>
      </c>
      <c r="D325" t="s">
        <v>526</v>
      </c>
      <c r="E325" t="s">
        <v>527</v>
      </c>
      <c r="F325">
        <v>1</v>
      </c>
      <c r="I325" t="s">
        <v>3</v>
      </c>
      <c r="J325" s="15">
        <f>BOR!I176</f>
        <v>0</v>
      </c>
      <c r="K325" s="15">
        <f>BOR!J176</f>
        <v>0</v>
      </c>
    </row>
    <row r="326" spans="1:11" x14ac:dyDescent="0.35">
      <c r="A326" t="s">
        <v>473</v>
      </c>
      <c r="B326" t="s">
        <v>599</v>
      </c>
      <c r="D326" t="s">
        <v>516</v>
      </c>
      <c r="E326" t="s">
        <v>517</v>
      </c>
      <c r="F326">
        <v>1</v>
      </c>
      <c r="I326" t="s">
        <v>3</v>
      </c>
      <c r="J326" s="15">
        <f>BOR!I177</f>
        <v>0</v>
      </c>
      <c r="K326" s="15">
        <f>BOR!J177</f>
        <v>0</v>
      </c>
    </row>
    <row r="327" spans="1:11" x14ac:dyDescent="0.35">
      <c r="A327" t="s">
        <v>473</v>
      </c>
      <c r="B327" t="s">
        <v>599</v>
      </c>
      <c r="D327" t="s">
        <v>516</v>
      </c>
      <c r="E327" t="s">
        <v>517</v>
      </c>
      <c r="F327">
        <v>1</v>
      </c>
      <c r="I327" t="s">
        <v>3</v>
      </c>
      <c r="J327" s="15">
        <f>BOR!I178</f>
        <v>0</v>
      </c>
      <c r="K327" s="15">
        <f>BOR!J178</f>
        <v>0</v>
      </c>
    </row>
    <row r="328" spans="1:11" x14ac:dyDescent="0.35">
      <c r="A328" t="s">
        <v>473</v>
      </c>
      <c r="B328" t="s">
        <v>599</v>
      </c>
      <c r="D328" t="s">
        <v>516</v>
      </c>
      <c r="E328" t="s">
        <v>517</v>
      </c>
      <c r="F328">
        <v>1</v>
      </c>
      <c r="I328" t="s">
        <v>3</v>
      </c>
      <c r="J328" s="15">
        <f>BOR!I179</f>
        <v>0</v>
      </c>
      <c r="K328" s="15">
        <f>BOR!J179</f>
        <v>0</v>
      </c>
    </row>
    <row r="329" spans="1:11" x14ac:dyDescent="0.35">
      <c r="A329" t="s">
        <v>473</v>
      </c>
      <c r="B329" t="s">
        <v>599</v>
      </c>
      <c r="D329" t="s">
        <v>516</v>
      </c>
      <c r="E329" t="s">
        <v>517</v>
      </c>
      <c r="F329">
        <v>1</v>
      </c>
      <c r="I329" t="s">
        <v>3</v>
      </c>
      <c r="J329" s="15">
        <f>BOR!I180</f>
        <v>0</v>
      </c>
      <c r="K329" s="15">
        <f>BOR!J180</f>
        <v>0</v>
      </c>
    </row>
    <row r="330" spans="1:11" x14ac:dyDescent="0.35">
      <c r="A330" t="s">
        <v>473</v>
      </c>
      <c r="B330" t="s">
        <v>599</v>
      </c>
      <c r="D330" t="s">
        <v>516</v>
      </c>
      <c r="E330" t="s">
        <v>517</v>
      </c>
      <c r="F330">
        <v>1</v>
      </c>
      <c r="I330" t="s">
        <v>3</v>
      </c>
      <c r="J330" s="15">
        <f>BOR!I181</f>
        <v>0</v>
      </c>
      <c r="K330" s="15">
        <f>BOR!J181</f>
        <v>0</v>
      </c>
    </row>
    <row r="331" spans="1:11" x14ac:dyDescent="0.35">
      <c r="A331" t="s">
        <v>473</v>
      </c>
      <c r="B331" t="s">
        <v>599</v>
      </c>
      <c r="D331" t="s">
        <v>516</v>
      </c>
      <c r="E331" t="s">
        <v>517</v>
      </c>
      <c r="F331">
        <v>1</v>
      </c>
      <c r="I331" t="s">
        <v>3</v>
      </c>
      <c r="J331" s="15">
        <f>BOR!I182</f>
        <v>0</v>
      </c>
      <c r="K331" s="15">
        <f>BOR!J182</f>
        <v>0</v>
      </c>
    </row>
    <row r="332" spans="1:11" x14ac:dyDescent="0.35">
      <c r="A332" t="s">
        <v>473</v>
      </c>
      <c r="B332" t="s">
        <v>599</v>
      </c>
      <c r="D332" t="s">
        <v>516</v>
      </c>
      <c r="E332" t="s">
        <v>517</v>
      </c>
      <c r="F332">
        <v>1</v>
      </c>
      <c r="I332" t="s">
        <v>3</v>
      </c>
      <c r="J332" s="15">
        <f>BOR!I183</f>
        <v>0</v>
      </c>
      <c r="K332" s="15">
        <f>BOR!J183</f>
        <v>0</v>
      </c>
    </row>
    <row r="333" spans="1:11" x14ac:dyDescent="0.35">
      <c r="A333" t="s">
        <v>473</v>
      </c>
      <c r="B333" t="s">
        <v>599</v>
      </c>
      <c r="D333" t="s">
        <v>516</v>
      </c>
      <c r="E333" t="s">
        <v>517</v>
      </c>
      <c r="F333">
        <v>1</v>
      </c>
      <c r="I333" t="s">
        <v>3</v>
      </c>
      <c r="J333" s="15">
        <f>BOR!I184</f>
        <v>0</v>
      </c>
      <c r="K333" s="15">
        <f>BOR!J184</f>
        <v>0</v>
      </c>
    </row>
    <row r="334" spans="1:11" x14ac:dyDescent="0.35">
      <c r="A334" t="s">
        <v>473</v>
      </c>
      <c r="B334" t="s">
        <v>599</v>
      </c>
      <c r="D334" t="s">
        <v>516</v>
      </c>
      <c r="E334" t="s">
        <v>517</v>
      </c>
      <c r="F334">
        <v>1</v>
      </c>
      <c r="I334" t="s">
        <v>3</v>
      </c>
      <c r="J334" s="15">
        <f>BOR!I185</f>
        <v>0</v>
      </c>
      <c r="K334" s="15">
        <f>BOR!J185</f>
        <v>0</v>
      </c>
    </row>
    <row r="335" spans="1:11" x14ac:dyDescent="0.35">
      <c r="A335" t="s">
        <v>473</v>
      </c>
      <c r="B335" t="s">
        <v>599</v>
      </c>
      <c r="D335" t="s">
        <v>516</v>
      </c>
      <c r="E335" t="s">
        <v>517</v>
      </c>
      <c r="F335">
        <v>1</v>
      </c>
      <c r="I335" t="s">
        <v>3</v>
      </c>
      <c r="J335" s="15">
        <f>BOR!I186</f>
        <v>0</v>
      </c>
      <c r="K335" s="15">
        <f>BOR!J186</f>
        <v>0</v>
      </c>
    </row>
    <row r="336" spans="1:11" x14ac:dyDescent="0.35">
      <c r="A336" t="s">
        <v>461</v>
      </c>
      <c r="B336" t="s">
        <v>599</v>
      </c>
      <c r="D336" t="s">
        <v>491</v>
      </c>
      <c r="E336" t="s">
        <v>492</v>
      </c>
      <c r="F336">
        <v>1</v>
      </c>
      <c r="I336" t="s">
        <v>3</v>
      </c>
      <c r="J336" s="15">
        <f>BOR!I187</f>
        <v>0</v>
      </c>
      <c r="K336" s="15">
        <f>BOR!J187</f>
        <v>0</v>
      </c>
    </row>
    <row r="337" spans="1:11" x14ac:dyDescent="0.35">
      <c r="A337" t="s">
        <v>471</v>
      </c>
      <c r="B337" t="s">
        <v>599</v>
      </c>
      <c r="D337" t="s">
        <v>512</v>
      </c>
      <c r="E337" t="s">
        <v>513</v>
      </c>
      <c r="F337">
        <v>1</v>
      </c>
      <c r="I337" t="s">
        <v>3</v>
      </c>
      <c r="J337" s="15">
        <f>BOR!I188</f>
        <v>0</v>
      </c>
      <c r="K337" s="15">
        <f>BOR!J188</f>
        <v>0</v>
      </c>
    </row>
    <row r="338" spans="1:11" x14ac:dyDescent="0.35">
      <c r="A338" t="s">
        <v>471</v>
      </c>
      <c r="B338" t="s">
        <v>599</v>
      </c>
      <c r="D338" t="s">
        <v>512</v>
      </c>
      <c r="E338" t="s">
        <v>513</v>
      </c>
      <c r="F338">
        <v>1</v>
      </c>
      <c r="I338" t="s">
        <v>3</v>
      </c>
      <c r="J338" s="15">
        <f>BOR!I189</f>
        <v>0</v>
      </c>
      <c r="K338" s="15">
        <f>BOR!J189</f>
        <v>0</v>
      </c>
    </row>
    <row r="339" spans="1:11" x14ac:dyDescent="0.35">
      <c r="A339" t="s">
        <v>471</v>
      </c>
      <c r="B339" t="s">
        <v>599</v>
      </c>
      <c r="D339" t="s">
        <v>512</v>
      </c>
      <c r="E339" t="s">
        <v>513</v>
      </c>
      <c r="F339">
        <v>1</v>
      </c>
      <c r="I339" t="s">
        <v>3</v>
      </c>
      <c r="J339" s="15">
        <f>BOR!I190</f>
        <v>0</v>
      </c>
      <c r="K339" s="15">
        <f>BOR!J190</f>
        <v>0</v>
      </c>
    </row>
    <row r="340" spans="1:11" x14ac:dyDescent="0.35">
      <c r="A340" t="s">
        <v>471</v>
      </c>
      <c r="B340" t="s">
        <v>599</v>
      </c>
      <c r="D340" t="s">
        <v>512</v>
      </c>
      <c r="E340" t="s">
        <v>513</v>
      </c>
      <c r="F340">
        <v>1</v>
      </c>
      <c r="I340" t="s">
        <v>3</v>
      </c>
      <c r="J340" s="15">
        <f>BOR!I191</f>
        <v>0</v>
      </c>
      <c r="K340" s="15">
        <f>BOR!J191</f>
        <v>0</v>
      </c>
    </row>
    <row r="341" spans="1:11" x14ac:dyDescent="0.35">
      <c r="A341" t="s">
        <v>471</v>
      </c>
      <c r="B341" t="s">
        <v>599</v>
      </c>
      <c r="D341" t="s">
        <v>512</v>
      </c>
      <c r="E341" t="s">
        <v>513</v>
      </c>
      <c r="F341">
        <v>1</v>
      </c>
      <c r="I341" t="s">
        <v>3</v>
      </c>
      <c r="J341" s="15">
        <f>BOR!I192</f>
        <v>0</v>
      </c>
      <c r="K341" s="15">
        <f>BOR!J192</f>
        <v>0</v>
      </c>
    </row>
    <row r="342" spans="1:11" x14ac:dyDescent="0.35">
      <c r="A342" t="s">
        <v>471</v>
      </c>
      <c r="B342" t="s">
        <v>599</v>
      </c>
      <c r="D342" t="s">
        <v>512</v>
      </c>
      <c r="E342" t="s">
        <v>513</v>
      </c>
      <c r="F342">
        <v>1</v>
      </c>
      <c r="I342" t="s">
        <v>3</v>
      </c>
      <c r="J342" s="15">
        <f>BOR!I193</f>
        <v>0</v>
      </c>
      <c r="K342" s="15">
        <f>BOR!J193</f>
        <v>0</v>
      </c>
    </row>
    <row r="343" spans="1:11" x14ac:dyDescent="0.35">
      <c r="A343" t="s">
        <v>471</v>
      </c>
      <c r="B343" t="s">
        <v>599</v>
      </c>
      <c r="D343" t="s">
        <v>512</v>
      </c>
      <c r="E343" t="s">
        <v>513</v>
      </c>
      <c r="F343">
        <v>1</v>
      </c>
      <c r="I343" t="s">
        <v>3</v>
      </c>
      <c r="J343" s="15">
        <f>BOR!I194</f>
        <v>0</v>
      </c>
      <c r="K343" s="15">
        <f>BOR!J194</f>
        <v>0</v>
      </c>
    </row>
    <row r="344" spans="1:11" x14ac:dyDescent="0.35">
      <c r="A344" t="s">
        <v>471</v>
      </c>
      <c r="B344" t="s">
        <v>599</v>
      </c>
      <c r="D344" t="s">
        <v>512</v>
      </c>
      <c r="E344" t="s">
        <v>513</v>
      </c>
      <c r="F344">
        <v>1</v>
      </c>
      <c r="I344" t="s">
        <v>3</v>
      </c>
      <c r="J344" s="15">
        <f>BOR!I195</f>
        <v>0</v>
      </c>
      <c r="K344" s="15">
        <f>BOR!J195</f>
        <v>0</v>
      </c>
    </row>
    <row r="345" spans="1:11" x14ac:dyDescent="0.35">
      <c r="A345" t="s">
        <v>471</v>
      </c>
      <c r="B345" t="s">
        <v>599</v>
      </c>
      <c r="D345" t="s">
        <v>512</v>
      </c>
      <c r="E345" t="s">
        <v>513</v>
      </c>
      <c r="F345">
        <v>1</v>
      </c>
      <c r="I345" t="s">
        <v>3</v>
      </c>
      <c r="J345" s="15">
        <f>BOR!I196</f>
        <v>0</v>
      </c>
      <c r="K345" s="15">
        <f>BOR!J196</f>
        <v>0</v>
      </c>
    </row>
    <row r="346" spans="1:11" x14ac:dyDescent="0.35">
      <c r="A346" t="s">
        <v>471</v>
      </c>
      <c r="B346" t="s">
        <v>599</v>
      </c>
      <c r="D346" t="s">
        <v>512</v>
      </c>
      <c r="E346" t="s">
        <v>513</v>
      </c>
      <c r="F346">
        <v>1</v>
      </c>
      <c r="I346" t="s">
        <v>3</v>
      </c>
      <c r="J346" s="15">
        <f>BOR!I197</f>
        <v>0</v>
      </c>
      <c r="K346" s="15">
        <f>BOR!J197</f>
        <v>0</v>
      </c>
    </row>
    <row r="347" spans="1:11" x14ac:dyDescent="0.35">
      <c r="A347" t="s">
        <v>472</v>
      </c>
      <c r="B347" t="s">
        <v>599</v>
      </c>
      <c r="D347" t="s">
        <v>514</v>
      </c>
      <c r="E347" t="s">
        <v>515</v>
      </c>
      <c r="F347">
        <v>1</v>
      </c>
      <c r="I347" t="s">
        <v>3</v>
      </c>
      <c r="J347" s="15">
        <f>BOR!I198</f>
        <v>0</v>
      </c>
      <c r="K347" s="15">
        <f>BOR!J198</f>
        <v>0</v>
      </c>
    </row>
    <row r="348" spans="1:11" x14ac:dyDescent="0.35">
      <c r="A348" t="s">
        <v>473</v>
      </c>
      <c r="B348" t="s">
        <v>599</v>
      </c>
      <c r="D348" t="s">
        <v>516</v>
      </c>
      <c r="E348" t="s">
        <v>517</v>
      </c>
      <c r="F348">
        <v>1</v>
      </c>
      <c r="I348" t="s">
        <v>3</v>
      </c>
      <c r="J348" s="15">
        <f>BOR!I199</f>
        <v>0</v>
      </c>
      <c r="K348" s="15">
        <f>BOR!J199</f>
        <v>0</v>
      </c>
    </row>
    <row r="349" spans="1:11" x14ac:dyDescent="0.35">
      <c r="A349" t="s">
        <v>473</v>
      </c>
      <c r="B349" t="s">
        <v>599</v>
      </c>
      <c r="D349" t="s">
        <v>516</v>
      </c>
      <c r="E349" t="s">
        <v>517</v>
      </c>
      <c r="F349">
        <v>1</v>
      </c>
      <c r="I349" t="s">
        <v>3</v>
      </c>
      <c r="J349" s="15">
        <f>BOR!I200</f>
        <v>0</v>
      </c>
      <c r="K349" s="15">
        <f>BOR!J200</f>
        <v>0</v>
      </c>
    </row>
    <row r="350" spans="1:11" x14ac:dyDescent="0.35">
      <c r="A350" t="s">
        <v>473</v>
      </c>
      <c r="B350" t="s">
        <v>599</v>
      </c>
      <c r="D350" t="s">
        <v>516</v>
      </c>
      <c r="E350" t="s">
        <v>517</v>
      </c>
      <c r="F350">
        <v>1</v>
      </c>
      <c r="I350" t="s">
        <v>3</v>
      </c>
      <c r="J350" s="15">
        <f>BOR!I201</f>
        <v>0</v>
      </c>
      <c r="K350" s="15">
        <f>BOR!J201</f>
        <v>0</v>
      </c>
    </row>
    <row r="351" spans="1:11" x14ac:dyDescent="0.35">
      <c r="A351" t="s">
        <v>473</v>
      </c>
      <c r="B351" t="s">
        <v>599</v>
      </c>
      <c r="D351" t="s">
        <v>516</v>
      </c>
      <c r="E351" t="s">
        <v>517</v>
      </c>
      <c r="F351">
        <v>1</v>
      </c>
      <c r="I351" t="s">
        <v>3</v>
      </c>
      <c r="J351" s="15">
        <f>BOR!I202</f>
        <v>0</v>
      </c>
      <c r="K351" s="15">
        <f>BOR!J202</f>
        <v>0</v>
      </c>
    </row>
    <row r="352" spans="1:11" x14ac:dyDescent="0.35">
      <c r="A352" t="s">
        <v>473</v>
      </c>
      <c r="B352" t="s">
        <v>599</v>
      </c>
      <c r="D352" t="s">
        <v>516</v>
      </c>
      <c r="E352" t="s">
        <v>517</v>
      </c>
      <c r="F352">
        <v>1</v>
      </c>
      <c r="I352" t="s">
        <v>3</v>
      </c>
      <c r="J352" s="15">
        <f>BOR!I203</f>
        <v>0</v>
      </c>
      <c r="K352" s="15">
        <f>BOR!J203</f>
        <v>0</v>
      </c>
    </row>
    <row r="353" spans="1:11" x14ac:dyDescent="0.35">
      <c r="A353" t="s">
        <v>473</v>
      </c>
      <c r="B353" t="s">
        <v>599</v>
      </c>
      <c r="D353" t="s">
        <v>516</v>
      </c>
      <c r="E353" t="s">
        <v>517</v>
      </c>
      <c r="F353">
        <v>1</v>
      </c>
      <c r="I353" t="s">
        <v>3</v>
      </c>
      <c r="J353" s="15">
        <f>BOR!I204</f>
        <v>0</v>
      </c>
      <c r="K353" s="15">
        <f>BOR!J204</f>
        <v>0</v>
      </c>
    </row>
    <row r="354" spans="1:11" x14ac:dyDescent="0.35">
      <c r="A354" t="s">
        <v>473</v>
      </c>
      <c r="B354" t="s">
        <v>599</v>
      </c>
      <c r="D354" t="s">
        <v>516</v>
      </c>
      <c r="E354" t="s">
        <v>517</v>
      </c>
      <c r="F354">
        <v>1</v>
      </c>
      <c r="I354" t="s">
        <v>3</v>
      </c>
      <c r="J354" s="15">
        <f>BOR!I205</f>
        <v>0</v>
      </c>
      <c r="K354" s="15">
        <f>BOR!J205</f>
        <v>0</v>
      </c>
    </row>
    <row r="355" spans="1:11" x14ac:dyDescent="0.35">
      <c r="A355" t="s">
        <v>473</v>
      </c>
      <c r="B355" t="s">
        <v>599</v>
      </c>
      <c r="D355" t="s">
        <v>516</v>
      </c>
      <c r="E355" t="s">
        <v>517</v>
      </c>
      <c r="F355">
        <v>1</v>
      </c>
      <c r="I355" t="s">
        <v>3</v>
      </c>
      <c r="J355" s="15">
        <f>BOR!I206</f>
        <v>0</v>
      </c>
      <c r="K355" s="15">
        <f>BOR!J206</f>
        <v>0</v>
      </c>
    </row>
    <row r="356" spans="1:11" x14ac:dyDescent="0.35">
      <c r="A356" t="s">
        <v>473</v>
      </c>
      <c r="B356" t="s">
        <v>599</v>
      </c>
      <c r="D356" t="s">
        <v>516</v>
      </c>
      <c r="E356" t="s">
        <v>517</v>
      </c>
      <c r="F356">
        <v>1</v>
      </c>
      <c r="I356" t="s">
        <v>3</v>
      </c>
      <c r="J356" s="15">
        <f>BOR!I207</f>
        <v>0</v>
      </c>
      <c r="K356" s="15">
        <f>BOR!J207</f>
        <v>0</v>
      </c>
    </row>
    <row r="357" spans="1:11" x14ac:dyDescent="0.35">
      <c r="A357" t="s">
        <v>473</v>
      </c>
      <c r="B357" t="s">
        <v>599</v>
      </c>
      <c r="D357" t="s">
        <v>516</v>
      </c>
      <c r="E357" t="s">
        <v>517</v>
      </c>
      <c r="F357">
        <v>1</v>
      </c>
      <c r="I357" t="s">
        <v>3</v>
      </c>
      <c r="J357" s="15">
        <f>BOR!I208</f>
        <v>0</v>
      </c>
      <c r="K357" s="15">
        <f>BOR!J208</f>
        <v>0</v>
      </c>
    </row>
    <row r="358" spans="1:11" x14ac:dyDescent="0.35">
      <c r="A358" t="s">
        <v>472</v>
      </c>
      <c r="B358" t="s">
        <v>599</v>
      </c>
      <c r="D358" t="s">
        <v>514</v>
      </c>
      <c r="E358" t="s">
        <v>515</v>
      </c>
      <c r="F358">
        <v>1</v>
      </c>
      <c r="I358" t="s">
        <v>3</v>
      </c>
      <c r="J358" s="15">
        <f>BOR!I209</f>
        <v>0</v>
      </c>
      <c r="K358" s="15">
        <f>BOR!J209</f>
        <v>0</v>
      </c>
    </row>
    <row r="359" spans="1:11" x14ac:dyDescent="0.35">
      <c r="A359" t="s">
        <v>471</v>
      </c>
      <c r="B359" t="s">
        <v>599</v>
      </c>
      <c r="D359" t="s">
        <v>512</v>
      </c>
      <c r="E359" t="s">
        <v>513</v>
      </c>
      <c r="F359">
        <v>1</v>
      </c>
      <c r="I359" t="s">
        <v>3</v>
      </c>
      <c r="J359" s="15">
        <f>BOR!I210</f>
        <v>0</v>
      </c>
      <c r="K359" s="15">
        <f>BOR!J210</f>
        <v>0</v>
      </c>
    </row>
    <row r="360" spans="1:11" x14ac:dyDescent="0.35">
      <c r="A360" t="s">
        <v>471</v>
      </c>
      <c r="B360" t="s">
        <v>599</v>
      </c>
      <c r="D360" t="s">
        <v>512</v>
      </c>
      <c r="E360" t="s">
        <v>513</v>
      </c>
      <c r="F360">
        <v>1</v>
      </c>
      <c r="I360" t="s">
        <v>3</v>
      </c>
      <c r="J360" s="15">
        <f>BOR!I211</f>
        <v>0</v>
      </c>
      <c r="K360" s="15">
        <f>BOR!J211</f>
        <v>0</v>
      </c>
    </row>
    <row r="361" spans="1:11" x14ac:dyDescent="0.35">
      <c r="A361" t="s">
        <v>471</v>
      </c>
      <c r="B361" t="s">
        <v>599</v>
      </c>
      <c r="D361" t="s">
        <v>512</v>
      </c>
      <c r="E361" t="s">
        <v>513</v>
      </c>
      <c r="F361">
        <v>1</v>
      </c>
      <c r="I361" t="s">
        <v>3</v>
      </c>
      <c r="J361" s="15">
        <f>BOR!I212</f>
        <v>0</v>
      </c>
      <c r="K361" s="15">
        <f>BOR!J212</f>
        <v>0</v>
      </c>
    </row>
    <row r="362" spans="1:11" x14ac:dyDescent="0.35">
      <c r="A362" t="s">
        <v>471</v>
      </c>
      <c r="B362" t="s">
        <v>599</v>
      </c>
      <c r="D362" t="s">
        <v>512</v>
      </c>
      <c r="E362" t="s">
        <v>513</v>
      </c>
      <c r="F362">
        <v>1</v>
      </c>
      <c r="I362" t="s">
        <v>3</v>
      </c>
      <c r="J362" s="15">
        <f>BOR!I213</f>
        <v>0</v>
      </c>
      <c r="K362" s="15">
        <f>BOR!J213</f>
        <v>0</v>
      </c>
    </row>
    <row r="363" spans="1:11" x14ac:dyDescent="0.35">
      <c r="A363" t="s">
        <v>475</v>
      </c>
      <c r="B363" t="s">
        <v>599</v>
      </c>
      <c r="D363" t="s">
        <v>281</v>
      </c>
      <c r="E363" t="s">
        <v>282</v>
      </c>
      <c r="F363">
        <v>1</v>
      </c>
      <c r="I363" t="s">
        <v>3</v>
      </c>
      <c r="J363" s="15">
        <f>BOR!I214</f>
        <v>0</v>
      </c>
      <c r="K363" s="15">
        <f>BOR!J214</f>
        <v>0</v>
      </c>
    </row>
    <row r="364" spans="1:11" x14ac:dyDescent="0.35">
      <c r="B364" t="s">
        <v>599</v>
      </c>
      <c r="D364" t="s">
        <v>530</v>
      </c>
      <c r="E364" t="s">
        <v>531</v>
      </c>
      <c r="F364">
        <v>1</v>
      </c>
      <c r="I364" t="s">
        <v>3</v>
      </c>
      <c r="J364" s="15">
        <f>BOR!I215</f>
        <v>0</v>
      </c>
      <c r="K364" s="15">
        <f>BOR!J215</f>
        <v>0</v>
      </c>
    </row>
    <row r="365" spans="1:11" x14ac:dyDescent="0.35">
      <c r="B365" t="s">
        <v>599</v>
      </c>
      <c r="D365" t="s">
        <v>532</v>
      </c>
      <c r="E365" t="s">
        <v>533</v>
      </c>
      <c r="F365">
        <v>1</v>
      </c>
      <c r="I365" t="s">
        <v>3</v>
      </c>
      <c r="J365" s="15">
        <f>BOR!I216</f>
        <v>0</v>
      </c>
      <c r="K365" s="15">
        <f>BOR!J216</f>
        <v>0</v>
      </c>
    </row>
    <row r="366" spans="1:11" x14ac:dyDescent="0.35">
      <c r="B366" t="s">
        <v>599</v>
      </c>
      <c r="D366" t="s">
        <v>534</v>
      </c>
      <c r="E366" t="s">
        <v>535</v>
      </c>
      <c r="F366">
        <v>1</v>
      </c>
      <c r="I366" t="s">
        <v>3</v>
      </c>
      <c r="J366" s="15">
        <f>BOR!I217</f>
        <v>0</v>
      </c>
      <c r="K366" s="15">
        <f>BOR!J217</f>
        <v>0</v>
      </c>
    </row>
    <row r="367" spans="1:11" x14ac:dyDescent="0.35">
      <c r="B367" t="s">
        <v>599</v>
      </c>
      <c r="D367" t="s">
        <v>534</v>
      </c>
      <c r="E367" t="s">
        <v>535</v>
      </c>
      <c r="F367">
        <v>1</v>
      </c>
      <c r="I367" t="s">
        <v>3</v>
      </c>
      <c r="J367" s="15">
        <f>BOR!I218</f>
        <v>0</v>
      </c>
      <c r="K367" s="15">
        <f>BOR!J218</f>
        <v>0</v>
      </c>
    </row>
    <row r="368" spans="1:11" x14ac:dyDescent="0.35">
      <c r="B368" t="s">
        <v>599</v>
      </c>
      <c r="D368" t="s">
        <v>534</v>
      </c>
      <c r="E368" t="s">
        <v>535</v>
      </c>
      <c r="F368">
        <v>1</v>
      </c>
      <c r="I368" t="s">
        <v>3</v>
      </c>
      <c r="J368" s="15">
        <f>BOR!I219</f>
        <v>0</v>
      </c>
      <c r="K368" s="15">
        <f>BOR!J219</f>
        <v>0</v>
      </c>
    </row>
    <row r="369" spans="1:11" x14ac:dyDescent="0.35">
      <c r="B369" t="s">
        <v>599</v>
      </c>
      <c r="D369" t="s">
        <v>536</v>
      </c>
      <c r="E369" t="s">
        <v>537</v>
      </c>
      <c r="F369">
        <v>1</v>
      </c>
      <c r="I369" t="s">
        <v>3</v>
      </c>
      <c r="J369" s="15">
        <f>BOR!I220</f>
        <v>0</v>
      </c>
      <c r="K369" s="15">
        <f>BOR!J220</f>
        <v>0</v>
      </c>
    </row>
    <row r="370" spans="1:11" x14ac:dyDescent="0.35">
      <c r="B370" t="s">
        <v>599</v>
      </c>
      <c r="D370" t="s">
        <v>538</v>
      </c>
      <c r="E370" t="s">
        <v>539</v>
      </c>
      <c r="F370">
        <v>1</v>
      </c>
      <c r="I370" t="s">
        <v>3</v>
      </c>
      <c r="J370" s="15">
        <f>BOR!I221</f>
        <v>0</v>
      </c>
      <c r="K370" s="15">
        <f>BOR!J221</f>
        <v>0</v>
      </c>
    </row>
    <row r="371" spans="1:11" x14ac:dyDescent="0.35">
      <c r="B371" t="s">
        <v>599</v>
      </c>
      <c r="D371" t="s">
        <v>540</v>
      </c>
      <c r="E371" t="s">
        <v>541</v>
      </c>
      <c r="F371">
        <v>1</v>
      </c>
      <c r="I371" t="s">
        <v>3</v>
      </c>
      <c r="J371" s="15">
        <f>BOR!I222</f>
        <v>0</v>
      </c>
      <c r="K371" s="15">
        <f>BOR!J222</f>
        <v>0</v>
      </c>
    </row>
    <row r="372" spans="1:11" x14ac:dyDescent="0.35">
      <c r="B372" t="s">
        <v>599</v>
      </c>
      <c r="D372" t="s">
        <v>542</v>
      </c>
      <c r="E372" t="s">
        <v>543</v>
      </c>
      <c r="F372">
        <v>1</v>
      </c>
      <c r="I372" t="s">
        <v>3</v>
      </c>
      <c r="J372" s="15">
        <f>BOR!I223</f>
        <v>0</v>
      </c>
      <c r="K372" s="15">
        <f>BOR!J223</f>
        <v>0</v>
      </c>
    </row>
    <row r="373" spans="1:11" x14ac:dyDescent="0.35">
      <c r="B373" t="s">
        <v>599</v>
      </c>
      <c r="D373" t="s">
        <v>542</v>
      </c>
      <c r="E373" t="s">
        <v>543</v>
      </c>
      <c r="F373">
        <v>1</v>
      </c>
      <c r="I373" t="s">
        <v>3</v>
      </c>
      <c r="J373" s="15">
        <f>BOR!I224</f>
        <v>0</v>
      </c>
      <c r="K373" s="15">
        <f>BOR!J224</f>
        <v>0</v>
      </c>
    </row>
    <row r="374" spans="1:11" x14ac:dyDescent="0.35">
      <c r="B374" t="s">
        <v>599</v>
      </c>
      <c r="D374" t="s">
        <v>542</v>
      </c>
      <c r="E374" t="s">
        <v>543</v>
      </c>
      <c r="F374">
        <v>1</v>
      </c>
      <c r="I374" t="s">
        <v>3</v>
      </c>
      <c r="J374" s="15">
        <f>BOR!I225</f>
        <v>0</v>
      </c>
      <c r="K374" s="15">
        <f>BOR!J225</f>
        <v>0</v>
      </c>
    </row>
    <row r="375" spans="1:11" x14ac:dyDescent="0.35">
      <c r="B375" t="s">
        <v>599</v>
      </c>
      <c r="D375" t="s">
        <v>542</v>
      </c>
      <c r="E375" t="s">
        <v>543</v>
      </c>
      <c r="F375">
        <v>1</v>
      </c>
      <c r="I375" t="s">
        <v>3</v>
      </c>
      <c r="J375" s="15">
        <f>BOR!I226</f>
        <v>0</v>
      </c>
      <c r="K375" s="15">
        <f>BOR!J226</f>
        <v>0</v>
      </c>
    </row>
    <row r="376" spans="1:11" x14ac:dyDescent="0.35">
      <c r="B376" t="s">
        <v>599</v>
      </c>
      <c r="D376" t="s">
        <v>542</v>
      </c>
      <c r="E376" t="s">
        <v>543</v>
      </c>
      <c r="F376">
        <v>1</v>
      </c>
      <c r="I376" t="s">
        <v>3</v>
      </c>
      <c r="J376" s="15">
        <f>BOR!I227</f>
        <v>0</v>
      </c>
      <c r="K376" s="15">
        <f>BOR!J227</f>
        <v>0</v>
      </c>
    </row>
    <row r="377" spans="1:11" x14ac:dyDescent="0.35">
      <c r="B377" t="s">
        <v>599</v>
      </c>
      <c r="D377" t="s">
        <v>542</v>
      </c>
      <c r="E377" t="s">
        <v>543</v>
      </c>
      <c r="F377">
        <v>1</v>
      </c>
      <c r="I377" t="s">
        <v>3</v>
      </c>
      <c r="J377" s="15">
        <f>BOR!I228</f>
        <v>0</v>
      </c>
      <c r="K377" s="15">
        <f>BOR!J228</f>
        <v>0</v>
      </c>
    </row>
    <row r="378" spans="1:11" x14ac:dyDescent="0.35">
      <c r="A378" t="s">
        <v>476</v>
      </c>
      <c r="B378" t="s">
        <v>599</v>
      </c>
      <c r="D378" t="s">
        <v>544</v>
      </c>
      <c r="E378" t="s">
        <v>545</v>
      </c>
      <c r="F378">
        <v>1</v>
      </c>
      <c r="I378" t="s">
        <v>3</v>
      </c>
      <c r="J378" s="15">
        <f>BOR!I229</f>
        <v>0</v>
      </c>
      <c r="K378" s="15">
        <f>BOR!J229</f>
        <v>0</v>
      </c>
    </row>
    <row r="379" spans="1:11" x14ac:dyDescent="0.35">
      <c r="A379" t="s">
        <v>476</v>
      </c>
      <c r="B379" t="s">
        <v>599</v>
      </c>
      <c r="D379" t="s">
        <v>544</v>
      </c>
      <c r="E379" t="s">
        <v>545</v>
      </c>
      <c r="F379">
        <v>1</v>
      </c>
      <c r="I379" t="s">
        <v>3</v>
      </c>
      <c r="J379" s="15">
        <f>BOR!I230</f>
        <v>0</v>
      </c>
      <c r="K379" s="15">
        <f>BOR!J230</f>
        <v>0</v>
      </c>
    </row>
    <row r="380" spans="1:11" x14ac:dyDescent="0.35">
      <c r="A380" t="s">
        <v>476</v>
      </c>
      <c r="B380" t="s">
        <v>599</v>
      </c>
      <c r="D380" t="s">
        <v>544</v>
      </c>
      <c r="E380" t="s">
        <v>545</v>
      </c>
      <c r="F380">
        <v>1</v>
      </c>
      <c r="I380" t="s">
        <v>3</v>
      </c>
      <c r="J380" s="15">
        <f>BOR!I231</f>
        <v>0</v>
      </c>
      <c r="K380" s="15">
        <f>BOR!J231</f>
        <v>0</v>
      </c>
    </row>
    <row r="381" spans="1:11" x14ac:dyDescent="0.35">
      <c r="A381" t="s">
        <v>476</v>
      </c>
      <c r="B381" t="s">
        <v>599</v>
      </c>
      <c r="D381" t="s">
        <v>544</v>
      </c>
      <c r="E381" t="s">
        <v>545</v>
      </c>
      <c r="F381">
        <v>1</v>
      </c>
      <c r="I381" t="s">
        <v>3</v>
      </c>
      <c r="J381" s="15">
        <f>BOR!I232</f>
        <v>0</v>
      </c>
      <c r="K381" s="15">
        <f>BOR!J232</f>
        <v>0</v>
      </c>
    </row>
    <row r="382" spans="1:11" x14ac:dyDescent="0.35">
      <c r="A382" t="s">
        <v>476</v>
      </c>
      <c r="B382" t="s">
        <v>599</v>
      </c>
      <c r="D382" t="s">
        <v>544</v>
      </c>
      <c r="E382" t="s">
        <v>545</v>
      </c>
      <c r="F382">
        <v>1</v>
      </c>
      <c r="I382" t="s">
        <v>3</v>
      </c>
      <c r="J382" s="15">
        <f>BOR!I233</f>
        <v>0</v>
      </c>
      <c r="K382" s="15">
        <f>BOR!J233</f>
        <v>0</v>
      </c>
    </row>
    <row r="383" spans="1:11" x14ac:dyDescent="0.35">
      <c r="A383" t="s">
        <v>477</v>
      </c>
      <c r="B383" t="s">
        <v>599</v>
      </c>
      <c r="D383" t="s">
        <v>546</v>
      </c>
      <c r="E383" t="s">
        <v>547</v>
      </c>
      <c r="F383">
        <v>1</v>
      </c>
      <c r="I383" t="s">
        <v>3</v>
      </c>
      <c r="J383" s="15">
        <f>BOR!I234</f>
        <v>0</v>
      </c>
      <c r="K383" s="15">
        <f>BOR!J234</f>
        <v>0</v>
      </c>
    </row>
    <row r="384" spans="1:11" x14ac:dyDescent="0.35">
      <c r="A384" t="s">
        <v>478</v>
      </c>
      <c r="B384" t="s">
        <v>599</v>
      </c>
      <c r="D384" t="s">
        <v>548</v>
      </c>
      <c r="E384" t="s">
        <v>549</v>
      </c>
      <c r="F384">
        <v>1</v>
      </c>
      <c r="I384" t="s">
        <v>3</v>
      </c>
      <c r="J384" s="15">
        <f>BOR!I235</f>
        <v>0</v>
      </c>
      <c r="K384" s="15">
        <f>BOR!J235</f>
        <v>0</v>
      </c>
    </row>
    <row r="385" spans="1:11" x14ac:dyDescent="0.35">
      <c r="A385" t="s">
        <v>479</v>
      </c>
      <c r="B385" t="s">
        <v>599</v>
      </c>
      <c r="D385" t="s">
        <v>550</v>
      </c>
      <c r="E385" t="s">
        <v>551</v>
      </c>
      <c r="F385">
        <v>1</v>
      </c>
      <c r="I385" t="s">
        <v>3</v>
      </c>
      <c r="J385" s="15">
        <f>BOR!I236</f>
        <v>0</v>
      </c>
      <c r="K385" s="15">
        <f>BOR!J236</f>
        <v>0</v>
      </c>
    </row>
    <row r="386" spans="1:11" x14ac:dyDescent="0.35">
      <c r="A386" t="s">
        <v>449</v>
      </c>
      <c r="B386" t="s">
        <v>599</v>
      </c>
      <c r="D386" t="s">
        <v>454</v>
      </c>
      <c r="E386" t="s">
        <v>455</v>
      </c>
      <c r="F386">
        <v>1</v>
      </c>
      <c r="I386" t="s">
        <v>3</v>
      </c>
      <c r="J386" s="15">
        <f>BOR!I237</f>
        <v>0</v>
      </c>
      <c r="K386" s="15">
        <f>BOR!J237</f>
        <v>0</v>
      </c>
    </row>
    <row r="387" spans="1:11" x14ac:dyDescent="0.35">
      <c r="B387" t="s">
        <v>599</v>
      </c>
      <c r="D387" t="s">
        <v>552</v>
      </c>
      <c r="E387" t="s">
        <v>553</v>
      </c>
      <c r="F387">
        <v>1</v>
      </c>
      <c r="I387" t="s">
        <v>3</v>
      </c>
      <c r="J387" s="15">
        <f>BOR!I238</f>
        <v>0</v>
      </c>
      <c r="K387" s="15">
        <f>BOR!J238</f>
        <v>0</v>
      </c>
    </row>
    <row r="388" spans="1:11" x14ac:dyDescent="0.35">
      <c r="B388" t="s">
        <v>599</v>
      </c>
      <c r="D388" t="s">
        <v>554</v>
      </c>
      <c r="E388" t="s">
        <v>543</v>
      </c>
      <c r="F388">
        <v>1</v>
      </c>
      <c r="I388" t="s">
        <v>3</v>
      </c>
      <c r="J388" s="15">
        <f>BOR!I239</f>
        <v>0</v>
      </c>
      <c r="K388" s="15">
        <f>BOR!J239</f>
        <v>0</v>
      </c>
    </row>
    <row r="389" spans="1:11" x14ac:dyDescent="0.35">
      <c r="B389" t="s">
        <v>599</v>
      </c>
      <c r="D389" t="s">
        <v>532</v>
      </c>
      <c r="E389" t="s">
        <v>533</v>
      </c>
      <c r="F389">
        <v>1</v>
      </c>
      <c r="I389" t="s">
        <v>3</v>
      </c>
      <c r="J389" s="15">
        <f>BOR!I240</f>
        <v>0</v>
      </c>
      <c r="K389" s="15">
        <f>BOR!J240</f>
        <v>0</v>
      </c>
    </row>
    <row r="390" spans="1:11" x14ac:dyDescent="0.35">
      <c r="B390" t="s">
        <v>599</v>
      </c>
      <c r="D390" t="s">
        <v>555</v>
      </c>
      <c r="E390" t="s">
        <v>556</v>
      </c>
      <c r="F390">
        <v>2</v>
      </c>
      <c r="I390" t="s">
        <v>3</v>
      </c>
      <c r="J390" s="15">
        <f>BOR!I241</f>
        <v>0</v>
      </c>
      <c r="K390" s="15">
        <f>BOR!J241</f>
        <v>0</v>
      </c>
    </row>
    <row r="391" spans="1:11" x14ac:dyDescent="0.35">
      <c r="B391" t="s">
        <v>599</v>
      </c>
      <c r="D391" t="s">
        <v>554</v>
      </c>
      <c r="E391" t="s">
        <v>543</v>
      </c>
      <c r="F391">
        <v>1</v>
      </c>
      <c r="I391" t="s">
        <v>3</v>
      </c>
      <c r="J391" s="15">
        <f>BOR!I242</f>
        <v>0</v>
      </c>
      <c r="K391" s="15">
        <f>BOR!J242</f>
        <v>0</v>
      </c>
    </row>
    <row r="392" spans="1:11" x14ac:dyDescent="0.35">
      <c r="B392" t="s">
        <v>599</v>
      </c>
      <c r="D392" t="s">
        <v>554</v>
      </c>
      <c r="E392" t="s">
        <v>543</v>
      </c>
      <c r="F392">
        <v>1</v>
      </c>
      <c r="I392" t="s">
        <v>3</v>
      </c>
      <c r="J392" s="15">
        <f>BOR!I243</f>
        <v>0</v>
      </c>
      <c r="K392" s="15">
        <f>BOR!J243</f>
        <v>0</v>
      </c>
    </row>
    <row r="393" spans="1:11" x14ac:dyDescent="0.35">
      <c r="B393" t="s">
        <v>599</v>
      </c>
      <c r="D393" t="s">
        <v>557</v>
      </c>
      <c r="E393" t="s">
        <v>535</v>
      </c>
      <c r="F393">
        <v>1</v>
      </c>
      <c r="I393" t="s">
        <v>3</v>
      </c>
      <c r="J393" s="15">
        <f>BOR!I244</f>
        <v>0</v>
      </c>
      <c r="K393" s="15">
        <f>BOR!J244</f>
        <v>0</v>
      </c>
    </row>
    <row r="394" spans="1:11" x14ac:dyDescent="0.35">
      <c r="B394" t="s">
        <v>599</v>
      </c>
      <c r="D394" t="s">
        <v>557</v>
      </c>
      <c r="E394" t="s">
        <v>535</v>
      </c>
      <c r="F394">
        <v>1</v>
      </c>
      <c r="I394" t="s">
        <v>3</v>
      </c>
      <c r="J394" s="15">
        <f>BOR!I245</f>
        <v>0</v>
      </c>
      <c r="K394" s="15">
        <f>BOR!J245</f>
        <v>0</v>
      </c>
    </row>
    <row r="395" spans="1:11" x14ac:dyDescent="0.35">
      <c r="B395" t="s">
        <v>599</v>
      </c>
      <c r="D395" t="s">
        <v>557</v>
      </c>
      <c r="E395" t="s">
        <v>535</v>
      </c>
      <c r="F395">
        <v>1</v>
      </c>
      <c r="I395" t="s">
        <v>3</v>
      </c>
      <c r="J395" s="15">
        <f>BOR!I246</f>
        <v>0</v>
      </c>
      <c r="K395" s="15">
        <f>BOR!J246</f>
        <v>0</v>
      </c>
    </row>
    <row r="396" spans="1:11" x14ac:dyDescent="0.35">
      <c r="B396" t="s">
        <v>599</v>
      </c>
      <c r="D396" t="s">
        <v>558</v>
      </c>
      <c r="E396" t="s">
        <v>559</v>
      </c>
      <c r="F396">
        <v>1</v>
      </c>
      <c r="I396" t="s">
        <v>3</v>
      </c>
      <c r="J396" s="15">
        <f>BOR!I247</f>
        <v>0</v>
      </c>
      <c r="K396" s="15">
        <f>BOR!J247</f>
        <v>0</v>
      </c>
    </row>
    <row r="397" spans="1:11" x14ac:dyDescent="0.35">
      <c r="B397" t="s">
        <v>599</v>
      </c>
      <c r="D397" t="s">
        <v>554</v>
      </c>
      <c r="E397" t="s">
        <v>543</v>
      </c>
      <c r="F397">
        <v>1</v>
      </c>
      <c r="I397" t="s">
        <v>3</v>
      </c>
      <c r="J397" s="15">
        <f>BOR!I248</f>
        <v>0</v>
      </c>
      <c r="K397" s="15">
        <f>BOR!J248</f>
        <v>0</v>
      </c>
    </row>
    <row r="398" spans="1:11" x14ac:dyDescent="0.35">
      <c r="B398" t="s">
        <v>599</v>
      </c>
      <c r="D398" t="s">
        <v>554</v>
      </c>
      <c r="E398" t="s">
        <v>543</v>
      </c>
      <c r="F398">
        <v>1</v>
      </c>
      <c r="I398" t="s">
        <v>3</v>
      </c>
      <c r="J398" s="15">
        <f>BOR!I249</f>
        <v>0</v>
      </c>
      <c r="K398" s="15">
        <f>BOR!J249</f>
        <v>0</v>
      </c>
    </row>
    <row r="399" spans="1:11" x14ac:dyDescent="0.35">
      <c r="B399" t="s">
        <v>599</v>
      </c>
      <c r="D399" t="s">
        <v>554</v>
      </c>
      <c r="E399" t="s">
        <v>543</v>
      </c>
      <c r="F399">
        <v>1</v>
      </c>
      <c r="I399" t="s">
        <v>3</v>
      </c>
      <c r="J399" s="15">
        <f>BOR!I250</f>
        <v>0</v>
      </c>
      <c r="K399" s="15">
        <f>BOR!J250</f>
        <v>0</v>
      </c>
    </row>
    <row r="400" spans="1:11" x14ac:dyDescent="0.35">
      <c r="B400" t="s">
        <v>599</v>
      </c>
      <c r="D400" t="s">
        <v>554</v>
      </c>
      <c r="E400" t="s">
        <v>543</v>
      </c>
      <c r="F400">
        <v>1</v>
      </c>
      <c r="I400" t="s">
        <v>3</v>
      </c>
      <c r="J400" s="15">
        <f>BOR!I251</f>
        <v>0</v>
      </c>
      <c r="K400" s="15">
        <f>BOR!J251</f>
        <v>0</v>
      </c>
    </row>
    <row r="401" spans="1:11" x14ac:dyDescent="0.35">
      <c r="B401" t="s">
        <v>599</v>
      </c>
      <c r="D401" t="s">
        <v>557</v>
      </c>
      <c r="E401" t="s">
        <v>535</v>
      </c>
      <c r="F401">
        <v>1</v>
      </c>
      <c r="I401" t="s">
        <v>3</v>
      </c>
      <c r="J401" s="15">
        <f>BOR!I252</f>
        <v>0</v>
      </c>
      <c r="K401" s="15">
        <f>BOR!J252</f>
        <v>0</v>
      </c>
    </row>
    <row r="402" spans="1:11" x14ac:dyDescent="0.35">
      <c r="B402" t="s">
        <v>599</v>
      </c>
      <c r="D402" t="s">
        <v>560</v>
      </c>
      <c r="E402" t="s">
        <v>561</v>
      </c>
      <c r="F402">
        <v>1</v>
      </c>
      <c r="I402" t="s">
        <v>3</v>
      </c>
      <c r="J402" s="15">
        <f>BOR!I253</f>
        <v>0</v>
      </c>
      <c r="K402" s="15">
        <f>BOR!J253</f>
        <v>0</v>
      </c>
    </row>
    <row r="403" spans="1:11" x14ac:dyDescent="0.35">
      <c r="B403" t="s">
        <v>599</v>
      </c>
      <c r="D403" t="s">
        <v>562</v>
      </c>
      <c r="E403" t="s">
        <v>563</v>
      </c>
      <c r="F403">
        <v>1</v>
      </c>
      <c r="I403" t="s">
        <v>3</v>
      </c>
      <c r="J403" s="15">
        <f>BOR!I254</f>
        <v>0</v>
      </c>
      <c r="K403" s="15">
        <f>BOR!J254</f>
        <v>0</v>
      </c>
    </row>
    <row r="404" spans="1:11" x14ac:dyDescent="0.35">
      <c r="B404" t="s">
        <v>599</v>
      </c>
      <c r="D404" t="s">
        <v>554</v>
      </c>
      <c r="E404" t="s">
        <v>543</v>
      </c>
      <c r="F404">
        <v>1</v>
      </c>
      <c r="I404" t="s">
        <v>3</v>
      </c>
      <c r="J404" s="15">
        <f>BOR!I255</f>
        <v>0</v>
      </c>
      <c r="K404" s="15">
        <f>BOR!J255</f>
        <v>0</v>
      </c>
    </row>
    <row r="405" spans="1:11" x14ac:dyDescent="0.35">
      <c r="B405" t="s">
        <v>599</v>
      </c>
      <c r="D405" t="s">
        <v>554</v>
      </c>
      <c r="E405" t="s">
        <v>543</v>
      </c>
      <c r="F405">
        <v>1</v>
      </c>
      <c r="I405" t="s">
        <v>3</v>
      </c>
      <c r="J405" s="15">
        <f>BOR!I256</f>
        <v>0</v>
      </c>
      <c r="K405" s="15">
        <f>BOR!J256</f>
        <v>0</v>
      </c>
    </row>
    <row r="406" spans="1:11" x14ac:dyDescent="0.35">
      <c r="B406" t="s">
        <v>599</v>
      </c>
      <c r="D406" t="s">
        <v>554</v>
      </c>
      <c r="E406" t="s">
        <v>543</v>
      </c>
      <c r="F406">
        <v>1</v>
      </c>
      <c r="I406" t="s">
        <v>3</v>
      </c>
      <c r="J406" s="15">
        <f>BOR!I257</f>
        <v>0</v>
      </c>
      <c r="K406" s="15">
        <f>BOR!J257</f>
        <v>0</v>
      </c>
    </row>
    <row r="407" spans="1:11" x14ac:dyDescent="0.35">
      <c r="B407" t="s">
        <v>599</v>
      </c>
      <c r="D407" t="s">
        <v>557</v>
      </c>
      <c r="E407" t="s">
        <v>535</v>
      </c>
      <c r="F407">
        <v>1</v>
      </c>
      <c r="I407" t="s">
        <v>3</v>
      </c>
      <c r="J407" s="15">
        <f>BOR!I258</f>
        <v>0</v>
      </c>
      <c r="K407" s="15">
        <f>BOR!J258</f>
        <v>0</v>
      </c>
    </row>
    <row r="408" spans="1:11" x14ac:dyDescent="0.35">
      <c r="B408" t="s">
        <v>599</v>
      </c>
      <c r="D408" t="s">
        <v>560</v>
      </c>
      <c r="E408" t="s">
        <v>561</v>
      </c>
      <c r="F408">
        <v>1</v>
      </c>
      <c r="I408" t="s">
        <v>3</v>
      </c>
      <c r="J408" s="15">
        <f>BOR!I259</f>
        <v>0</v>
      </c>
      <c r="K408" s="15">
        <f>BOR!J259</f>
        <v>0</v>
      </c>
    </row>
    <row r="409" spans="1:11" x14ac:dyDescent="0.35">
      <c r="B409" t="s">
        <v>599</v>
      </c>
      <c r="D409" t="s">
        <v>554</v>
      </c>
      <c r="E409" t="s">
        <v>543</v>
      </c>
      <c r="F409">
        <v>1</v>
      </c>
      <c r="I409" t="s">
        <v>3</v>
      </c>
      <c r="J409" s="15">
        <f>BOR!I260</f>
        <v>0</v>
      </c>
      <c r="K409" s="15">
        <f>BOR!J260</f>
        <v>0</v>
      </c>
    </row>
    <row r="410" spans="1:11" x14ac:dyDescent="0.35">
      <c r="B410" t="s">
        <v>599</v>
      </c>
      <c r="D410" t="s">
        <v>562</v>
      </c>
      <c r="E410" t="s">
        <v>563</v>
      </c>
      <c r="F410">
        <v>1</v>
      </c>
      <c r="I410" t="s">
        <v>3</v>
      </c>
      <c r="J410" s="15">
        <f>BOR!I261</f>
        <v>0</v>
      </c>
      <c r="K410" s="15">
        <f>BOR!J261</f>
        <v>0</v>
      </c>
    </row>
    <row r="411" spans="1:11" x14ac:dyDescent="0.35">
      <c r="B411" t="s">
        <v>599</v>
      </c>
      <c r="D411" t="s">
        <v>554</v>
      </c>
      <c r="E411" t="s">
        <v>543</v>
      </c>
      <c r="F411">
        <v>1</v>
      </c>
      <c r="I411" t="s">
        <v>3</v>
      </c>
      <c r="J411" s="15">
        <f>BOR!I262</f>
        <v>0</v>
      </c>
      <c r="K411" s="15">
        <f>BOR!J262</f>
        <v>0</v>
      </c>
    </row>
    <row r="412" spans="1:11" x14ac:dyDescent="0.35">
      <c r="B412" t="s">
        <v>599</v>
      </c>
      <c r="D412" t="s">
        <v>554</v>
      </c>
      <c r="E412" t="s">
        <v>543</v>
      </c>
      <c r="F412">
        <v>1</v>
      </c>
      <c r="I412" t="s">
        <v>3</v>
      </c>
      <c r="J412" s="15">
        <f>BOR!I263</f>
        <v>0</v>
      </c>
      <c r="K412" s="15">
        <f>BOR!J263</f>
        <v>0</v>
      </c>
    </row>
    <row r="413" spans="1:11" x14ac:dyDescent="0.35">
      <c r="B413" t="s">
        <v>599</v>
      </c>
      <c r="D413" t="s">
        <v>554</v>
      </c>
      <c r="E413" t="s">
        <v>543</v>
      </c>
      <c r="F413">
        <v>1</v>
      </c>
      <c r="I413" t="s">
        <v>3</v>
      </c>
      <c r="J413" s="15">
        <f>BOR!I264</f>
        <v>0</v>
      </c>
      <c r="K413" s="15">
        <f>BOR!J264</f>
        <v>0</v>
      </c>
    </row>
    <row r="414" spans="1:11" x14ac:dyDescent="0.35">
      <c r="B414" t="s">
        <v>599</v>
      </c>
      <c r="D414" t="s">
        <v>557</v>
      </c>
      <c r="E414" t="s">
        <v>535</v>
      </c>
      <c r="F414">
        <v>1</v>
      </c>
      <c r="I414" t="s">
        <v>3</v>
      </c>
      <c r="J414" s="15">
        <f>BOR!I265</f>
        <v>0</v>
      </c>
      <c r="K414" s="15">
        <f>BOR!J265</f>
        <v>0</v>
      </c>
    </row>
    <row r="415" spans="1:11" x14ac:dyDescent="0.35">
      <c r="B415" t="s">
        <v>599</v>
      </c>
      <c r="D415" t="s">
        <v>564</v>
      </c>
      <c r="E415" t="s">
        <v>565</v>
      </c>
      <c r="F415">
        <v>1</v>
      </c>
      <c r="I415" t="s">
        <v>3</v>
      </c>
      <c r="J415" s="15">
        <f>BOR!I266</f>
        <v>0</v>
      </c>
      <c r="K415" s="15">
        <f>BOR!J266</f>
        <v>0</v>
      </c>
    </row>
    <row r="416" spans="1:11" x14ac:dyDescent="0.35">
      <c r="A416" t="s">
        <v>449</v>
      </c>
      <c r="B416" t="s">
        <v>599</v>
      </c>
      <c r="D416" t="s">
        <v>454</v>
      </c>
      <c r="E416" t="s">
        <v>455</v>
      </c>
      <c r="F416">
        <v>1</v>
      </c>
      <c r="I416" t="s">
        <v>3</v>
      </c>
      <c r="J416" s="15">
        <f>BOR!I267</f>
        <v>0</v>
      </c>
      <c r="K416" s="15">
        <f>BOR!J267</f>
        <v>0</v>
      </c>
    </row>
    <row r="417" spans="2:11" x14ac:dyDescent="0.35">
      <c r="B417" t="s">
        <v>599</v>
      </c>
      <c r="D417" t="s">
        <v>560</v>
      </c>
      <c r="E417" t="s">
        <v>561</v>
      </c>
      <c r="F417">
        <v>1</v>
      </c>
      <c r="I417" t="s">
        <v>3</v>
      </c>
      <c r="J417" s="15">
        <f>BOR!I268</f>
        <v>0</v>
      </c>
      <c r="K417" s="15">
        <f>BOR!J268</f>
        <v>0</v>
      </c>
    </row>
    <row r="418" spans="2:11" x14ac:dyDescent="0.35">
      <c r="B418" t="s">
        <v>599</v>
      </c>
      <c r="D418" t="s">
        <v>558</v>
      </c>
      <c r="E418" t="s">
        <v>559</v>
      </c>
      <c r="F418">
        <v>1</v>
      </c>
      <c r="I418" t="s">
        <v>3</v>
      </c>
      <c r="J418" s="15">
        <f>BOR!I269</f>
        <v>0</v>
      </c>
      <c r="K418" s="15">
        <f>BOR!J269</f>
        <v>0</v>
      </c>
    </row>
    <row r="419" spans="2:11" x14ac:dyDescent="0.35">
      <c r="B419" t="s">
        <v>599</v>
      </c>
      <c r="D419" t="s">
        <v>562</v>
      </c>
      <c r="E419" t="s">
        <v>563</v>
      </c>
      <c r="F419">
        <v>1</v>
      </c>
      <c r="I419" t="s">
        <v>3</v>
      </c>
      <c r="J419" s="15">
        <f>BOR!I270</f>
        <v>0</v>
      </c>
      <c r="K419" s="15">
        <f>BOR!J270</f>
        <v>0</v>
      </c>
    </row>
    <row r="420" spans="2:11" x14ac:dyDescent="0.35">
      <c r="B420" t="s">
        <v>599</v>
      </c>
      <c r="D420" t="s">
        <v>554</v>
      </c>
      <c r="E420" t="s">
        <v>543</v>
      </c>
      <c r="F420">
        <v>1</v>
      </c>
      <c r="I420" t="s">
        <v>3</v>
      </c>
      <c r="J420" s="15">
        <f>BOR!I271</f>
        <v>0</v>
      </c>
      <c r="K420" s="15">
        <f>BOR!J271</f>
        <v>0</v>
      </c>
    </row>
    <row r="421" spans="2:11" x14ac:dyDescent="0.35">
      <c r="B421" t="s">
        <v>599</v>
      </c>
      <c r="D421" t="s">
        <v>557</v>
      </c>
      <c r="E421" t="s">
        <v>535</v>
      </c>
      <c r="F421">
        <v>1</v>
      </c>
      <c r="I421" t="s">
        <v>3</v>
      </c>
      <c r="J421" s="15">
        <f>BOR!I272</f>
        <v>0</v>
      </c>
      <c r="K421" s="15">
        <f>BOR!J272</f>
        <v>0</v>
      </c>
    </row>
    <row r="422" spans="2:11" x14ac:dyDescent="0.35">
      <c r="B422" t="s">
        <v>599</v>
      </c>
      <c r="D422" t="s">
        <v>554</v>
      </c>
      <c r="E422" t="s">
        <v>543</v>
      </c>
      <c r="F422">
        <v>1</v>
      </c>
      <c r="I422" t="s">
        <v>3</v>
      </c>
      <c r="J422" s="15">
        <f>BOR!I273</f>
        <v>0</v>
      </c>
      <c r="K422" s="15">
        <f>BOR!J273</f>
        <v>0</v>
      </c>
    </row>
    <row r="423" spans="2:11" x14ac:dyDescent="0.35">
      <c r="B423" t="s">
        <v>599</v>
      </c>
      <c r="D423" t="s">
        <v>554</v>
      </c>
      <c r="E423" t="s">
        <v>543</v>
      </c>
      <c r="F423">
        <v>1</v>
      </c>
      <c r="I423" t="s">
        <v>3</v>
      </c>
      <c r="J423" s="15">
        <f>BOR!I274</f>
        <v>0</v>
      </c>
      <c r="K423" s="15">
        <f>BOR!J274</f>
        <v>0</v>
      </c>
    </row>
    <row r="424" spans="2:11" x14ac:dyDescent="0.35">
      <c r="B424" t="s">
        <v>599</v>
      </c>
      <c r="D424" t="s">
        <v>554</v>
      </c>
      <c r="E424" t="s">
        <v>543</v>
      </c>
      <c r="F424">
        <v>1</v>
      </c>
      <c r="I424" t="s">
        <v>3</v>
      </c>
      <c r="J424" s="15">
        <f>BOR!I275</f>
        <v>0</v>
      </c>
      <c r="K424" s="15">
        <f>BOR!J275</f>
        <v>0</v>
      </c>
    </row>
    <row r="425" spans="2:11" x14ac:dyDescent="0.35">
      <c r="B425" t="s">
        <v>599</v>
      </c>
      <c r="D425" t="s">
        <v>557</v>
      </c>
      <c r="E425" t="s">
        <v>535</v>
      </c>
      <c r="F425">
        <v>1</v>
      </c>
      <c r="I425" t="s">
        <v>3</v>
      </c>
      <c r="J425" s="15">
        <f>BOR!I276</f>
        <v>0</v>
      </c>
      <c r="K425" s="15">
        <f>BOR!J276</f>
        <v>0</v>
      </c>
    </row>
    <row r="426" spans="2:11" x14ac:dyDescent="0.35">
      <c r="B426" t="s">
        <v>599</v>
      </c>
      <c r="D426" t="s">
        <v>560</v>
      </c>
      <c r="E426" t="s">
        <v>561</v>
      </c>
      <c r="F426">
        <v>1</v>
      </c>
      <c r="I426" t="s">
        <v>3</v>
      </c>
      <c r="J426" s="15">
        <f>BOR!I277</f>
        <v>0</v>
      </c>
      <c r="K426" s="15">
        <f>BOR!J277</f>
        <v>0</v>
      </c>
    </row>
    <row r="427" spans="2:11" x14ac:dyDescent="0.35">
      <c r="B427" t="s">
        <v>599</v>
      </c>
      <c r="D427" t="s">
        <v>557</v>
      </c>
      <c r="E427" t="s">
        <v>535</v>
      </c>
      <c r="F427">
        <v>1</v>
      </c>
      <c r="I427" t="s">
        <v>3</v>
      </c>
      <c r="J427" s="15">
        <f>BOR!I278</f>
        <v>0</v>
      </c>
      <c r="K427" s="15">
        <f>BOR!J278</f>
        <v>0</v>
      </c>
    </row>
    <row r="428" spans="2:11" x14ac:dyDescent="0.35">
      <c r="B428" t="s">
        <v>599</v>
      </c>
      <c r="D428" t="s">
        <v>554</v>
      </c>
      <c r="E428" t="s">
        <v>543</v>
      </c>
      <c r="F428">
        <v>1</v>
      </c>
      <c r="I428" t="s">
        <v>3</v>
      </c>
      <c r="J428" s="15">
        <f>BOR!I279</f>
        <v>0</v>
      </c>
      <c r="K428" s="15">
        <f>BOR!J279</f>
        <v>0</v>
      </c>
    </row>
    <row r="429" spans="2:11" x14ac:dyDescent="0.35">
      <c r="B429" t="s">
        <v>599</v>
      </c>
      <c r="D429" t="s">
        <v>554</v>
      </c>
      <c r="E429" t="s">
        <v>543</v>
      </c>
      <c r="F429">
        <v>1</v>
      </c>
      <c r="I429" t="s">
        <v>3</v>
      </c>
      <c r="J429" s="15">
        <f>BOR!I280</f>
        <v>0</v>
      </c>
      <c r="K429" s="15">
        <f>BOR!J280</f>
        <v>0</v>
      </c>
    </row>
    <row r="430" spans="2:11" x14ac:dyDescent="0.35">
      <c r="B430" t="s">
        <v>599</v>
      </c>
      <c r="D430" t="s">
        <v>562</v>
      </c>
      <c r="E430" t="s">
        <v>563</v>
      </c>
      <c r="F430">
        <v>1</v>
      </c>
      <c r="I430" t="s">
        <v>3</v>
      </c>
      <c r="J430" s="15">
        <f>BOR!I281</f>
        <v>0</v>
      </c>
      <c r="K430" s="15">
        <f>BOR!J281</f>
        <v>0</v>
      </c>
    </row>
    <row r="431" spans="2:11" x14ac:dyDescent="0.35">
      <c r="B431" t="s">
        <v>599</v>
      </c>
      <c r="D431" t="s">
        <v>554</v>
      </c>
      <c r="E431" t="s">
        <v>543</v>
      </c>
      <c r="F431">
        <v>1</v>
      </c>
      <c r="I431" t="s">
        <v>3</v>
      </c>
      <c r="J431" s="15">
        <f>BOR!I282</f>
        <v>0</v>
      </c>
      <c r="K431" s="15">
        <f>BOR!J282</f>
        <v>0</v>
      </c>
    </row>
    <row r="432" spans="2:11" x14ac:dyDescent="0.35">
      <c r="B432" t="s">
        <v>599</v>
      </c>
      <c r="D432" t="s">
        <v>557</v>
      </c>
      <c r="E432" t="s">
        <v>535</v>
      </c>
      <c r="F432">
        <v>1</v>
      </c>
      <c r="I432" t="s">
        <v>3</v>
      </c>
      <c r="J432" s="15">
        <f>BOR!I283</f>
        <v>0</v>
      </c>
      <c r="K432" s="15">
        <f>BOR!J283</f>
        <v>0</v>
      </c>
    </row>
    <row r="433" spans="1:11" x14ac:dyDescent="0.35">
      <c r="B433" t="s">
        <v>599</v>
      </c>
      <c r="D433" t="s">
        <v>557</v>
      </c>
      <c r="E433" t="s">
        <v>535</v>
      </c>
      <c r="F433">
        <v>1</v>
      </c>
      <c r="I433" t="s">
        <v>3</v>
      </c>
      <c r="J433" s="15">
        <f>BOR!I284</f>
        <v>0</v>
      </c>
      <c r="K433" s="15">
        <f>BOR!J284</f>
        <v>0</v>
      </c>
    </row>
    <row r="434" spans="1:11" x14ac:dyDescent="0.35">
      <c r="B434" t="s">
        <v>599</v>
      </c>
      <c r="D434" t="s">
        <v>554</v>
      </c>
      <c r="E434" t="s">
        <v>543</v>
      </c>
      <c r="F434">
        <v>1</v>
      </c>
      <c r="I434" t="s">
        <v>3</v>
      </c>
      <c r="J434" s="15">
        <f>BOR!I285</f>
        <v>0</v>
      </c>
      <c r="K434" s="15">
        <f>BOR!J285</f>
        <v>0</v>
      </c>
    </row>
    <row r="435" spans="1:11" x14ac:dyDescent="0.35">
      <c r="B435" t="s">
        <v>599</v>
      </c>
      <c r="D435" t="s">
        <v>554</v>
      </c>
      <c r="E435" t="s">
        <v>543</v>
      </c>
      <c r="F435">
        <v>1</v>
      </c>
      <c r="I435" t="s">
        <v>3</v>
      </c>
      <c r="J435" s="15">
        <f>BOR!I286</f>
        <v>0</v>
      </c>
      <c r="K435" s="15">
        <f>BOR!J286</f>
        <v>0</v>
      </c>
    </row>
    <row r="436" spans="1:11" x14ac:dyDescent="0.35">
      <c r="B436" t="s">
        <v>599</v>
      </c>
      <c r="D436" t="s">
        <v>564</v>
      </c>
      <c r="E436" t="s">
        <v>565</v>
      </c>
      <c r="F436">
        <v>1</v>
      </c>
      <c r="I436" t="s">
        <v>3</v>
      </c>
      <c r="J436" s="15">
        <f>BOR!I287</f>
        <v>0</v>
      </c>
      <c r="K436" s="15">
        <f>BOR!J287</f>
        <v>0</v>
      </c>
    </row>
    <row r="437" spans="1:11" x14ac:dyDescent="0.35">
      <c r="B437" t="s">
        <v>599</v>
      </c>
      <c r="D437" t="s">
        <v>554</v>
      </c>
      <c r="E437" t="s">
        <v>543</v>
      </c>
      <c r="F437">
        <v>1</v>
      </c>
      <c r="I437" t="s">
        <v>3</v>
      </c>
      <c r="J437" s="15">
        <f>BOR!I288</f>
        <v>0</v>
      </c>
      <c r="K437" s="15">
        <f>BOR!J288</f>
        <v>0</v>
      </c>
    </row>
    <row r="438" spans="1:11" x14ac:dyDescent="0.35">
      <c r="B438" t="s">
        <v>599</v>
      </c>
      <c r="D438" t="s">
        <v>554</v>
      </c>
      <c r="E438" t="s">
        <v>543</v>
      </c>
      <c r="F438">
        <v>1</v>
      </c>
      <c r="I438" t="s">
        <v>3</v>
      </c>
      <c r="J438" s="15">
        <f>BOR!I289</f>
        <v>0</v>
      </c>
      <c r="K438" s="15">
        <f>BOR!J289</f>
        <v>0</v>
      </c>
    </row>
    <row r="439" spans="1:11" x14ac:dyDescent="0.35">
      <c r="B439" t="s">
        <v>599</v>
      </c>
      <c r="D439" t="s">
        <v>552</v>
      </c>
      <c r="E439" t="s">
        <v>553</v>
      </c>
      <c r="F439">
        <v>1</v>
      </c>
      <c r="I439" t="s">
        <v>3</v>
      </c>
      <c r="J439" s="15">
        <f>BOR!I290</f>
        <v>0</v>
      </c>
      <c r="K439" s="15">
        <f>BOR!J290</f>
        <v>0</v>
      </c>
    </row>
    <row r="440" spans="1:11" x14ac:dyDescent="0.35">
      <c r="B440" t="s">
        <v>599</v>
      </c>
      <c r="D440" t="s">
        <v>557</v>
      </c>
      <c r="E440" t="s">
        <v>535</v>
      </c>
      <c r="F440">
        <v>1</v>
      </c>
      <c r="I440" t="s">
        <v>3</v>
      </c>
      <c r="J440" s="15">
        <f>BOR!I291</f>
        <v>0</v>
      </c>
      <c r="K440" s="15">
        <f>BOR!J291</f>
        <v>0</v>
      </c>
    </row>
    <row r="441" spans="1:11" x14ac:dyDescent="0.35">
      <c r="B441" t="s">
        <v>599</v>
      </c>
      <c r="D441" t="s">
        <v>554</v>
      </c>
      <c r="E441" t="s">
        <v>543</v>
      </c>
      <c r="F441">
        <v>1</v>
      </c>
      <c r="I441" t="s">
        <v>3</v>
      </c>
      <c r="J441" s="15">
        <f>BOR!I292</f>
        <v>0</v>
      </c>
      <c r="K441" s="15">
        <f>BOR!J292</f>
        <v>0</v>
      </c>
    </row>
    <row r="442" spans="1:11" x14ac:dyDescent="0.35">
      <c r="B442" t="s">
        <v>599</v>
      </c>
      <c r="D442" t="s">
        <v>554</v>
      </c>
      <c r="E442" t="s">
        <v>543</v>
      </c>
      <c r="F442">
        <v>1</v>
      </c>
      <c r="I442" t="s">
        <v>3</v>
      </c>
      <c r="J442" s="15">
        <f>BOR!I293</f>
        <v>0</v>
      </c>
      <c r="K442" s="15">
        <f>BOR!J293</f>
        <v>0</v>
      </c>
    </row>
    <row r="443" spans="1:11" x14ac:dyDescent="0.35">
      <c r="B443" t="s">
        <v>599</v>
      </c>
      <c r="D443" t="s">
        <v>554</v>
      </c>
      <c r="E443" t="s">
        <v>543</v>
      </c>
      <c r="F443">
        <v>1</v>
      </c>
      <c r="I443" t="s">
        <v>3</v>
      </c>
      <c r="J443" s="15">
        <f>BOR!I294</f>
        <v>0</v>
      </c>
      <c r="K443" s="15">
        <f>BOR!J294</f>
        <v>0</v>
      </c>
    </row>
    <row r="444" spans="1:11" x14ac:dyDescent="0.35">
      <c r="B444" t="s">
        <v>599</v>
      </c>
      <c r="D444" t="s">
        <v>532</v>
      </c>
      <c r="E444" t="s">
        <v>533</v>
      </c>
      <c r="F444">
        <v>1</v>
      </c>
      <c r="I444" t="s">
        <v>3</v>
      </c>
      <c r="J444" s="15">
        <f>BOR!I295</f>
        <v>0</v>
      </c>
      <c r="K444" s="15">
        <f>BOR!J295</f>
        <v>0</v>
      </c>
    </row>
    <row r="445" spans="1:11" x14ac:dyDescent="0.35">
      <c r="B445" t="s">
        <v>599</v>
      </c>
      <c r="D445" t="s">
        <v>555</v>
      </c>
      <c r="E445" t="s">
        <v>556</v>
      </c>
      <c r="F445">
        <v>2</v>
      </c>
      <c r="I445" t="s">
        <v>3</v>
      </c>
      <c r="J445" s="15">
        <f>BOR!I296</f>
        <v>0</v>
      </c>
      <c r="K445" s="15">
        <f>BOR!J296</f>
        <v>0</v>
      </c>
    </row>
    <row r="446" spans="1:11" x14ac:dyDescent="0.35">
      <c r="A446" t="s">
        <v>480</v>
      </c>
      <c r="B446" t="s">
        <v>599</v>
      </c>
      <c r="D446" t="s">
        <v>566</v>
      </c>
      <c r="E446" t="s">
        <v>567</v>
      </c>
      <c r="F446">
        <v>1</v>
      </c>
      <c r="I446" t="s">
        <v>3</v>
      </c>
      <c r="J446" s="15">
        <f>BOR!I297</f>
        <v>0</v>
      </c>
      <c r="K446" s="15">
        <f>BOR!J297</f>
        <v>0</v>
      </c>
    </row>
    <row r="447" spans="1:11" x14ac:dyDescent="0.35">
      <c r="A447" t="s">
        <v>481</v>
      </c>
      <c r="B447" t="s">
        <v>599</v>
      </c>
      <c r="D447" t="s">
        <v>568</v>
      </c>
      <c r="E447" t="s">
        <v>569</v>
      </c>
      <c r="F447">
        <v>1</v>
      </c>
      <c r="I447" t="s">
        <v>3</v>
      </c>
      <c r="J447" s="15">
        <f>BOR!I298</f>
        <v>0</v>
      </c>
      <c r="K447" s="15">
        <f>BOR!J298</f>
        <v>0</v>
      </c>
    </row>
    <row r="448" spans="1:11" x14ac:dyDescent="0.35">
      <c r="A448" t="s">
        <v>482</v>
      </c>
      <c r="B448" t="s">
        <v>599</v>
      </c>
      <c r="D448" t="s">
        <v>570</v>
      </c>
      <c r="E448" t="s">
        <v>571</v>
      </c>
      <c r="F448">
        <v>150</v>
      </c>
      <c r="I448" t="s">
        <v>3</v>
      </c>
      <c r="J448" s="15">
        <f>BOR!I299</f>
        <v>0</v>
      </c>
      <c r="K448" s="15">
        <f>BOR!J299</f>
        <v>0</v>
      </c>
    </row>
    <row r="449" spans="1:11" x14ac:dyDescent="0.35">
      <c r="A449" t="s">
        <v>483</v>
      </c>
      <c r="B449" t="s">
        <v>599</v>
      </c>
      <c r="D449" t="s">
        <v>572</v>
      </c>
      <c r="E449" t="s">
        <v>573</v>
      </c>
      <c r="F449">
        <v>1</v>
      </c>
      <c r="I449" t="s">
        <v>3</v>
      </c>
      <c r="J449" s="15">
        <f>BOR!I300</f>
        <v>0</v>
      </c>
      <c r="K449" s="15">
        <f>BOR!J300</f>
        <v>0</v>
      </c>
    </row>
    <row r="450" spans="1:11" x14ac:dyDescent="0.35">
      <c r="A450" t="s">
        <v>451</v>
      </c>
      <c r="B450" t="s">
        <v>599</v>
      </c>
      <c r="D450" t="s">
        <v>458</v>
      </c>
      <c r="E450" t="s">
        <v>459</v>
      </c>
      <c r="F450">
        <v>1</v>
      </c>
      <c r="I450" t="s">
        <v>3</v>
      </c>
      <c r="J450" s="15">
        <f>BOR!I301</f>
        <v>0</v>
      </c>
      <c r="K450" s="15">
        <f>BOR!J301</f>
        <v>0</v>
      </c>
    </row>
    <row r="451" spans="1:11" x14ac:dyDescent="0.35">
      <c r="B451" t="s">
        <v>599</v>
      </c>
      <c r="D451" t="s">
        <v>560</v>
      </c>
      <c r="E451" t="s">
        <v>561</v>
      </c>
      <c r="F451">
        <v>1</v>
      </c>
      <c r="I451" t="s">
        <v>3</v>
      </c>
      <c r="J451" s="15">
        <f>BOR!I302</f>
        <v>0</v>
      </c>
      <c r="K451" s="15">
        <f>BOR!J302</f>
        <v>0</v>
      </c>
    </row>
    <row r="452" spans="1:11" x14ac:dyDescent="0.35">
      <c r="B452" t="s">
        <v>599</v>
      </c>
      <c r="D452" t="s">
        <v>574</v>
      </c>
      <c r="E452" t="s">
        <v>575</v>
      </c>
      <c r="F452">
        <v>1</v>
      </c>
      <c r="I452" t="s">
        <v>3</v>
      </c>
      <c r="J452" s="15">
        <f>BOR!I303</f>
        <v>0</v>
      </c>
      <c r="K452" s="15">
        <f>BOR!J303</f>
        <v>0</v>
      </c>
    </row>
    <row r="453" spans="1:11" x14ac:dyDescent="0.35">
      <c r="B453" t="s">
        <v>599</v>
      </c>
      <c r="D453" t="s">
        <v>574</v>
      </c>
      <c r="E453" t="s">
        <v>575</v>
      </c>
      <c r="F453">
        <v>1</v>
      </c>
      <c r="I453" t="s">
        <v>3</v>
      </c>
      <c r="J453" s="15">
        <f>BOR!I304</f>
        <v>0</v>
      </c>
      <c r="K453" s="15">
        <f>BOR!J304</f>
        <v>0</v>
      </c>
    </row>
    <row r="454" spans="1:11" x14ac:dyDescent="0.35">
      <c r="B454" t="s">
        <v>599</v>
      </c>
      <c r="D454" t="s">
        <v>552</v>
      </c>
      <c r="E454" t="s">
        <v>553</v>
      </c>
      <c r="F454">
        <v>1</v>
      </c>
      <c r="I454" t="s">
        <v>3</v>
      </c>
      <c r="J454" s="15">
        <f>BOR!I305</f>
        <v>0</v>
      </c>
      <c r="K454" s="15">
        <f>BOR!J305</f>
        <v>0</v>
      </c>
    </row>
    <row r="455" spans="1:11" x14ac:dyDescent="0.35">
      <c r="B455" t="s">
        <v>599</v>
      </c>
      <c r="D455" t="s">
        <v>554</v>
      </c>
      <c r="E455" t="s">
        <v>543</v>
      </c>
      <c r="F455">
        <v>1</v>
      </c>
      <c r="I455" t="s">
        <v>3</v>
      </c>
      <c r="J455" s="15">
        <f>BOR!I306</f>
        <v>0</v>
      </c>
      <c r="K455" s="15">
        <f>BOR!J306</f>
        <v>0</v>
      </c>
    </row>
    <row r="456" spans="1:11" x14ac:dyDescent="0.35">
      <c r="B456" t="s">
        <v>599</v>
      </c>
      <c r="D456" t="s">
        <v>554</v>
      </c>
      <c r="E456" t="s">
        <v>543</v>
      </c>
      <c r="F456">
        <v>1</v>
      </c>
      <c r="I456" t="s">
        <v>3</v>
      </c>
      <c r="J456" s="15">
        <f>BOR!I307</f>
        <v>0</v>
      </c>
      <c r="K456" s="15">
        <f>BOR!J307</f>
        <v>0</v>
      </c>
    </row>
    <row r="457" spans="1:11" x14ac:dyDescent="0.35">
      <c r="B457" t="s">
        <v>599</v>
      </c>
      <c r="D457" t="s">
        <v>554</v>
      </c>
      <c r="E457" t="s">
        <v>543</v>
      </c>
      <c r="F457">
        <v>1</v>
      </c>
      <c r="I457" t="s">
        <v>3</v>
      </c>
      <c r="J457" s="15">
        <f>BOR!I308</f>
        <v>0</v>
      </c>
      <c r="K457" s="15">
        <f>BOR!J308</f>
        <v>0</v>
      </c>
    </row>
    <row r="458" spans="1:11" x14ac:dyDescent="0.35">
      <c r="B458" t="s">
        <v>599</v>
      </c>
      <c r="D458" t="s">
        <v>562</v>
      </c>
      <c r="E458" t="s">
        <v>563</v>
      </c>
      <c r="F458">
        <v>1</v>
      </c>
      <c r="I458" t="s">
        <v>3</v>
      </c>
      <c r="J458" s="15">
        <f>BOR!I309</f>
        <v>0</v>
      </c>
      <c r="K458" s="15">
        <f>BOR!J309</f>
        <v>0</v>
      </c>
    </row>
    <row r="459" spans="1:11" x14ac:dyDescent="0.35">
      <c r="B459" t="s">
        <v>599</v>
      </c>
      <c r="D459" t="s">
        <v>554</v>
      </c>
      <c r="E459" t="s">
        <v>543</v>
      </c>
      <c r="F459">
        <v>1</v>
      </c>
      <c r="I459" t="s">
        <v>3</v>
      </c>
      <c r="J459" s="15">
        <f>BOR!I310</f>
        <v>0</v>
      </c>
      <c r="K459" s="15">
        <f>BOR!J310</f>
        <v>0</v>
      </c>
    </row>
    <row r="460" spans="1:11" x14ac:dyDescent="0.35">
      <c r="B460" t="s">
        <v>599</v>
      </c>
      <c r="D460" t="s">
        <v>552</v>
      </c>
      <c r="E460" t="s">
        <v>553</v>
      </c>
      <c r="F460">
        <v>1</v>
      </c>
      <c r="I460" t="s">
        <v>3</v>
      </c>
      <c r="J460" s="15">
        <f>BOR!I311</f>
        <v>0</v>
      </c>
      <c r="K460" s="15">
        <f>BOR!J311</f>
        <v>0</v>
      </c>
    </row>
    <row r="461" spans="1:11" x14ac:dyDescent="0.35">
      <c r="B461" t="s">
        <v>599</v>
      </c>
      <c r="D461" t="s">
        <v>554</v>
      </c>
      <c r="E461" t="s">
        <v>543</v>
      </c>
      <c r="F461">
        <v>1</v>
      </c>
      <c r="I461" t="s">
        <v>3</v>
      </c>
      <c r="J461" s="15">
        <f>BOR!I312</f>
        <v>0</v>
      </c>
      <c r="K461" s="15">
        <f>BOR!J312</f>
        <v>0</v>
      </c>
    </row>
    <row r="462" spans="1:11" x14ac:dyDescent="0.35">
      <c r="B462" t="s">
        <v>599</v>
      </c>
      <c r="D462" t="s">
        <v>564</v>
      </c>
      <c r="E462" t="s">
        <v>565</v>
      </c>
      <c r="F462">
        <v>1</v>
      </c>
      <c r="I462" t="s">
        <v>3</v>
      </c>
      <c r="J462" s="15">
        <f>BOR!I313</f>
        <v>0</v>
      </c>
      <c r="K462" s="15">
        <f>BOR!J313</f>
        <v>0</v>
      </c>
    </row>
    <row r="463" spans="1:11" x14ac:dyDescent="0.35">
      <c r="B463" t="s">
        <v>599</v>
      </c>
      <c r="D463" t="s">
        <v>560</v>
      </c>
      <c r="E463" t="s">
        <v>561</v>
      </c>
      <c r="F463">
        <v>1</v>
      </c>
      <c r="I463" t="s">
        <v>3</v>
      </c>
      <c r="J463" s="15">
        <f>BOR!I314</f>
        <v>0</v>
      </c>
      <c r="K463" s="15">
        <f>BOR!J314</f>
        <v>0</v>
      </c>
    </row>
    <row r="464" spans="1:11" x14ac:dyDescent="0.35">
      <c r="B464" t="s">
        <v>599</v>
      </c>
      <c r="D464" t="s">
        <v>574</v>
      </c>
      <c r="E464" t="s">
        <v>575</v>
      </c>
      <c r="F464">
        <v>1</v>
      </c>
      <c r="I464" t="s">
        <v>3</v>
      </c>
      <c r="J464" s="15">
        <f>BOR!I315</f>
        <v>0</v>
      </c>
      <c r="K464" s="15">
        <f>BOR!J315</f>
        <v>0</v>
      </c>
    </row>
    <row r="465" spans="2:11" x14ac:dyDescent="0.35">
      <c r="B465" t="s">
        <v>599</v>
      </c>
      <c r="D465" t="s">
        <v>558</v>
      </c>
      <c r="E465" t="s">
        <v>559</v>
      </c>
      <c r="F465">
        <v>1</v>
      </c>
      <c r="I465" t="s">
        <v>3</v>
      </c>
      <c r="J465" s="15">
        <f>BOR!I316</f>
        <v>0</v>
      </c>
      <c r="K465" s="15">
        <f>BOR!J316</f>
        <v>0</v>
      </c>
    </row>
    <row r="466" spans="2:11" x14ac:dyDescent="0.35">
      <c r="B466" t="s">
        <v>599</v>
      </c>
      <c r="D466" t="s">
        <v>554</v>
      </c>
      <c r="E466" t="s">
        <v>543</v>
      </c>
      <c r="F466">
        <v>1</v>
      </c>
      <c r="I466" t="s">
        <v>3</v>
      </c>
      <c r="J466" s="15">
        <f>BOR!I317</f>
        <v>0</v>
      </c>
      <c r="K466" s="15">
        <f>BOR!J317</f>
        <v>0</v>
      </c>
    </row>
    <row r="467" spans="2:11" x14ac:dyDescent="0.35">
      <c r="B467" t="s">
        <v>599</v>
      </c>
      <c r="D467" t="s">
        <v>554</v>
      </c>
      <c r="E467" t="s">
        <v>543</v>
      </c>
      <c r="F467">
        <v>1</v>
      </c>
      <c r="I467" t="s">
        <v>3</v>
      </c>
      <c r="J467" s="15">
        <f>BOR!I318</f>
        <v>0</v>
      </c>
      <c r="K467" s="15">
        <f>BOR!J318</f>
        <v>0</v>
      </c>
    </row>
    <row r="468" spans="2:11" x14ac:dyDescent="0.35">
      <c r="B468" t="s">
        <v>599</v>
      </c>
      <c r="D468" t="s">
        <v>574</v>
      </c>
      <c r="E468" t="s">
        <v>575</v>
      </c>
      <c r="F468">
        <v>1</v>
      </c>
      <c r="I468" t="s">
        <v>3</v>
      </c>
      <c r="J468" s="15">
        <f>BOR!I319</f>
        <v>0</v>
      </c>
      <c r="K468" s="15">
        <f>BOR!J319</f>
        <v>0</v>
      </c>
    </row>
    <row r="469" spans="2:11" x14ac:dyDescent="0.35">
      <c r="B469" t="s">
        <v>599</v>
      </c>
      <c r="D469" t="s">
        <v>554</v>
      </c>
      <c r="E469" t="s">
        <v>543</v>
      </c>
      <c r="F469">
        <v>1</v>
      </c>
      <c r="I469" t="s">
        <v>3</v>
      </c>
      <c r="J469" s="15">
        <f>BOR!I320</f>
        <v>0</v>
      </c>
      <c r="K469" s="15">
        <f>BOR!J320</f>
        <v>0</v>
      </c>
    </row>
    <row r="470" spans="2:11" x14ac:dyDescent="0.35">
      <c r="B470" t="s">
        <v>599</v>
      </c>
      <c r="D470" t="s">
        <v>574</v>
      </c>
      <c r="E470" t="s">
        <v>575</v>
      </c>
      <c r="F470">
        <v>1</v>
      </c>
      <c r="I470" t="s">
        <v>3</v>
      </c>
      <c r="J470" s="15">
        <f>BOR!I321</f>
        <v>0</v>
      </c>
      <c r="K470" s="15">
        <f>BOR!J321</f>
        <v>0</v>
      </c>
    </row>
    <row r="471" spans="2:11" x14ac:dyDescent="0.35">
      <c r="B471" t="s">
        <v>599</v>
      </c>
      <c r="D471" t="s">
        <v>538</v>
      </c>
      <c r="E471" t="s">
        <v>539</v>
      </c>
      <c r="F471">
        <v>2</v>
      </c>
      <c r="I471" t="s">
        <v>3</v>
      </c>
      <c r="J471" s="15">
        <f>BOR!I322</f>
        <v>0</v>
      </c>
      <c r="K471" s="15">
        <f>BOR!J322</f>
        <v>0</v>
      </c>
    </row>
    <row r="472" spans="2:11" x14ac:dyDescent="0.35">
      <c r="B472" t="s">
        <v>599</v>
      </c>
      <c r="D472" t="s">
        <v>574</v>
      </c>
      <c r="E472" t="s">
        <v>575</v>
      </c>
      <c r="F472">
        <v>1</v>
      </c>
      <c r="I472" t="s">
        <v>3</v>
      </c>
      <c r="J472" s="15">
        <f>BOR!I323</f>
        <v>0</v>
      </c>
      <c r="K472" s="15">
        <f>BOR!J323</f>
        <v>0</v>
      </c>
    </row>
    <row r="473" spans="2:11" x14ac:dyDescent="0.35">
      <c r="B473" t="s">
        <v>599</v>
      </c>
      <c r="D473" t="s">
        <v>554</v>
      </c>
      <c r="E473" t="s">
        <v>543</v>
      </c>
      <c r="F473">
        <v>1</v>
      </c>
      <c r="I473" t="s">
        <v>3</v>
      </c>
      <c r="J473" s="15">
        <f>BOR!I324</f>
        <v>0</v>
      </c>
      <c r="K473" s="15">
        <f>BOR!J324</f>
        <v>0</v>
      </c>
    </row>
    <row r="474" spans="2:11" x14ac:dyDescent="0.35">
      <c r="B474" t="s">
        <v>599</v>
      </c>
      <c r="D474" t="s">
        <v>554</v>
      </c>
      <c r="E474" t="s">
        <v>543</v>
      </c>
      <c r="F474">
        <v>1</v>
      </c>
      <c r="I474" t="s">
        <v>3</v>
      </c>
      <c r="J474" s="15">
        <f>BOR!I325</f>
        <v>0</v>
      </c>
      <c r="K474" s="15">
        <f>BOR!J325</f>
        <v>0</v>
      </c>
    </row>
    <row r="475" spans="2:11" x14ac:dyDescent="0.35">
      <c r="B475" t="s">
        <v>599</v>
      </c>
      <c r="D475" t="s">
        <v>554</v>
      </c>
      <c r="E475" t="s">
        <v>543</v>
      </c>
      <c r="F475">
        <v>1</v>
      </c>
      <c r="I475" t="s">
        <v>3</v>
      </c>
      <c r="J475" s="15">
        <f>BOR!I326</f>
        <v>0</v>
      </c>
      <c r="K475" s="15">
        <f>BOR!J326</f>
        <v>0</v>
      </c>
    </row>
    <row r="476" spans="2:11" x14ac:dyDescent="0.35">
      <c r="B476" t="s">
        <v>599</v>
      </c>
      <c r="D476" t="s">
        <v>554</v>
      </c>
      <c r="E476" t="s">
        <v>543</v>
      </c>
      <c r="F476">
        <v>1</v>
      </c>
      <c r="I476" t="s">
        <v>3</v>
      </c>
      <c r="J476" s="15">
        <f>BOR!I327</f>
        <v>0</v>
      </c>
      <c r="K476" s="15">
        <f>BOR!J327</f>
        <v>0</v>
      </c>
    </row>
    <row r="477" spans="2:11" x14ac:dyDescent="0.35">
      <c r="B477" t="s">
        <v>599</v>
      </c>
      <c r="D477" t="s">
        <v>554</v>
      </c>
      <c r="E477" t="s">
        <v>543</v>
      </c>
      <c r="F477">
        <v>1</v>
      </c>
      <c r="I477" t="s">
        <v>3</v>
      </c>
      <c r="J477" s="15">
        <f>BOR!I328</f>
        <v>0</v>
      </c>
      <c r="K477" s="15">
        <f>BOR!J328</f>
        <v>0</v>
      </c>
    </row>
    <row r="478" spans="2:11" x14ac:dyDescent="0.35">
      <c r="B478" t="s">
        <v>599</v>
      </c>
      <c r="D478" t="s">
        <v>574</v>
      </c>
      <c r="E478" t="s">
        <v>575</v>
      </c>
      <c r="F478">
        <v>1</v>
      </c>
      <c r="I478" t="s">
        <v>3</v>
      </c>
      <c r="J478" s="15">
        <f>BOR!I329</f>
        <v>0</v>
      </c>
      <c r="K478" s="15">
        <f>BOR!J329</f>
        <v>0</v>
      </c>
    </row>
    <row r="479" spans="2:11" x14ac:dyDescent="0.35">
      <c r="B479" t="s">
        <v>599</v>
      </c>
      <c r="D479" t="s">
        <v>554</v>
      </c>
      <c r="E479" t="s">
        <v>543</v>
      </c>
      <c r="F479">
        <v>1</v>
      </c>
      <c r="I479" t="s">
        <v>3</v>
      </c>
      <c r="J479" s="15">
        <f>BOR!I330</f>
        <v>0</v>
      </c>
      <c r="K479" s="15">
        <f>BOR!J330</f>
        <v>0</v>
      </c>
    </row>
    <row r="480" spans="2:11" x14ac:dyDescent="0.35">
      <c r="B480" t="s">
        <v>599</v>
      </c>
      <c r="D480" t="s">
        <v>554</v>
      </c>
      <c r="E480" t="s">
        <v>543</v>
      </c>
      <c r="F480">
        <v>1</v>
      </c>
      <c r="I480" t="s">
        <v>3</v>
      </c>
      <c r="J480" s="15">
        <f>BOR!I331</f>
        <v>0</v>
      </c>
      <c r="K480" s="15">
        <f>BOR!J331</f>
        <v>0</v>
      </c>
    </row>
    <row r="481" spans="2:11" x14ac:dyDescent="0.35">
      <c r="B481" t="s">
        <v>599</v>
      </c>
      <c r="D481" t="s">
        <v>554</v>
      </c>
      <c r="E481" t="s">
        <v>543</v>
      </c>
      <c r="F481">
        <v>1</v>
      </c>
      <c r="I481" t="s">
        <v>3</v>
      </c>
      <c r="J481" s="15">
        <f>BOR!I332</f>
        <v>0</v>
      </c>
      <c r="K481" s="15">
        <f>BOR!J332</f>
        <v>0</v>
      </c>
    </row>
    <row r="482" spans="2:11" x14ac:dyDescent="0.35">
      <c r="B482" t="s">
        <v>599</v>
      </c>
      <c r="D482" t="s">
        <v>574</v>
      </c>
      <c r="E482" t="s">
        <v>575</v>
      </c>
      <c r="F482">
        <v>1</v>
      </c>
      <c r="I482" t="s">
        <v>3</v>
      </c>
      <c r="J482" s="15">
        <f>BOR!I333</f>
        <v>0</v>
      </c>
      <c r="K482" s="15">
        <f>BOR!J333</f>
        <v>0</v>
      </c>
    </row>
    <row r="483" spans="2:11" x14ac:dyDescent="0.35">
      <c r="B483" t="s">
        <v>599</v>
      </c>
      <c r="D483" t="s">
        <v>574</v>
      </c>
      <c r="E483" t="s">
        <v>575</v>
      </c>
      <c r="F483">
        <v>1</v>
      </c>
      <c r="I483" t="s">
        <v>3</v>
      </c>
      <c r="J483" s="15">
        <f>BOR!I334</f>
        <v>0</v>
      </c>
      <c r="K483" s="15">
        <f>BOR!J334</f>
        <v>0</v>
      </c>
    </row>
    <row r="484" spans="2:11" x14ac:dyDescent="0.35">
      <c r="B484" t="s">
        <v>599</v>
      </c>
      <c r="D484" t="s">
        <v>554</v>
      </c>
      <c r="E484" t="s">
        <v>543</v>
      </c>
      <c r="F484">
        <v>1</v>
      </c>
      <c r="I484" t="s">
        <v>3</v>
      </c>
      <c r="J484" s="15">
        <f>BOR!I335</f>
        <v>0</v>
      </c>
      <c r="K484" s="15">
        <f>BOR!J335</f>
        <v>0</v>
      </c>
    </row>
    <row r="485" spans="2:11" x14ac:dyDescent="0.35">
      <c r="B485" t="s">
        <v>599</v>
      </c>
      <c r="D485" t="s">
        <v>554</v>
      </c>
      <c r="E485" t="s">
        <v>543</v>
      </c>
      <c r="F485">
        <v>1</v>
      </c>
      <c r="I485" t="s">
        <v>3</v>
      </c>
      <c r="J485" s="15">
        <f>BOR!I336</f>
        <v>0</v>
      </c>
      <c r="K485" s="15">
        <f>BOR!J336</f>
        <v>0</v>
      </c>
    </row>
    <row r="486" spans="2:11" x14ac:dyDescent="0.35">
      <c r="B486" t="s">
        <v>599</v>
      </c>
      <c r="D486" t="s">
        <v>554</v>
      </c>
      <c r="E486" t="s">
        <v>543</v>
      </c>
      <c r="F486">
        <v>1</v>
      </c>
      <c r="I486" t="s">
        <v>3</v>
      </c>
      <c r="J486" s="15">
        <f>BOR!I337</f>
        <v>0</v>
      </c>
      <c r="K486" s="15">
        <f>BOR!J337</f>
        <v>0</v>
      </c>
    </row>
    <row r="487" spans="2:11" x14ac:dyDescent="0.35">
      <c r="B487" t="s">
        <v>599</v>
      </c>
      <c r="D487" t="s">
        <v>574</v>
      </c>
      <c r="E487" t="s">
        <v>575</v>
      </c>
      <c r="F487">
        <v>1</v>
      </c>
      <c r="I487" t="s">
        <v>3</v>
      </c>
      <c r="J487" s="15">
        <f>BOR!I338</f>
        <v>0</v>
      </c>
      <c r="K487" s="15">
        <f>BOR!J338</f>
        <v>0</v>
      </c>
    </row>
    <row r="488" spans="2:11" x14ac:dyDescent="0.35">
      <c r="B488" t="s">
        <v>599</v>
      </c>
      <c r="D488" t="s">
        <v>532</v>
      </c>
      <c r="E488" t="s">
        <v>533</v>
      </c>
      <c r="F488">
        <v>1</v>
      </c>
      <c r="I488" t="s">
        <v>3</v>
      </c>
      <c r="J488" s="15">
        <f>BOR!I339</f>
        <v>0</v>
      </c>
      <c r="K488" s="15">
        <f>BOR!J339</f>
        <v>0</v>
      </c>
    </row>
    <row r="489" spans="2:11" x14ac:dyDescent="0.35">
      <c r="B489" t="s">
        <v>599</v>
      </c>
      <c r="D489" t="s">
        <v>574</v>
      </c>
      <c r="E489" t="s">
        <v>575</v>
      </c>
      <c r="F489">
        <v>1</v>
      </c>
      <c r="I489" t="s">
        <v>3</v>
      </c>
      <c r="J489" s="15">
        <f>BOR!I340</f>
        <v>0</v>
      </c>
      <c r="K489" s="15">
        <f>BOR!J340</f>
        <v>0</v>
      </c>
    </row>
    <row r="490" spans="2:11" x14ac:dyDescent="0.35">
      <c r="B490" t="s">
        <v>599</v>
      </c>
      <c r="D490" t="s">
        <v>554</v>
      </c>
      <c r="E490" t="s">
        <v>543</v>
      </c>
      <c r="F490">
        <v>1</v>
      </c>
      <c r="I490" t="s">
        <v>3</v>
      </c>
      <c r="J490" s="15">
        <f>BOR!I341</f>
        <v>0</v>
      </c>
      <c r="K490" s="15">
        <f>BOR!J341</f>
        <v>0</v>
      </c>
    </row>
    <row r="491" spans="2:11" x14ac:dyDescent="0.35">
      <c r="B491" t="s">
        <v>599</v>
      </c>
      <c r="D491" t="s">
        <v>554</v>
      </c>
      <c r="E491" t="s">
        <v>543</v>
      </c>
      <c r="F491">
        <v>1</v>
      </c>
      <c r="I491" t="s">
        <v>3</v>
      </c>
      <c r="J491" s="15">
        <f>BOR!I342</f>
        <v>0</v>
      </c>
      <c r="K491" s="15">
        <f>BOR!J342</f>
        <v>0</v>
      </c>
    </row>
    <row r="492" spans="2:11" x14ac:dyDescent="0.35">
      <c r="B492" t="s">
        <v>599</v>
      </c>
      <c r="D492" t="s">
        <v>554</v>
      </c>
      <c r="E492" t="s">
        <v>543</v>
      </c>
      <c r="F492">
        <v>1</v>
      </c>
      <c r="I492" t="s">
        <v>3</v>
      </c>
      <c r="J492" s="15">
        <f>BOR!I343</f>
        <v>0</v>
      </c>
      <c r="K492" s="15">
        <f>BOR!J343</f>
        <v>0</v>
      </c>
    </row>
    <row r="493" spans="2:11" x14ac:dyDescent="0.35">
      <c r="B493" t="s">
        <v>599</v>
      </c>
      <c r="D493" t="s">
        <v>574</v>
      </c>
      <c r="E493" t="s">
        <v>575</v>
      </c>
      <c r="F493">
        <v>1</v>
      </c>
      <c r="I493" t="s">
        <v>3</v>
      </c>
      <c r="J493" s="15">
        <f>BOR!I344</f>
        <v>0</v>
      </c>
      <c r="K493" s="15">
        <f>BOR!J344</f>
        <v>0</v>
      </c>
    </row>
    <row r="494" spans="2:11" x14ac:dyDescent="0.35">
      <c r="B494" t="s">
        <v>599</v>
      </c>
      <c r="D494" t="s">
        <v>562</v>
      </c>
      <c r="E494" t="s">
        <v>563</v>
      </c>
      <c r="F494">
        <v>1</v>
      </c>
      <c r="I494" t="s">
        <v>3</v>
      </c>
      <c r="J494" s="15">
        <f>BOR!I345</f>
        <v>0</v>
      </c>
      <c r="K494" s="15">
        <f>BOR!J345</f>
        <v>0</v>
      </c>
    </row>
    <row r="495" spans="2:11" x14ac:dyDescent="0.35">
      <c r="B495" t="s">
        <v>599</v>
      </c>
      <c r="D495" t="s">
        <v>554</v>
      </c>
      <c r="E495" t="s">
        <v>543</v>
      </c>
      <c r="F495">
        <v>1</v>
      </c>
      <c r="I495" t="s">
        <v>3</v>
      </c>
      <c r="J495" s="15">
        <f>BOR!I346</f>
        <v>0</v>
      </c>
      <c r="K495" s="15">
        <f>BOR!J346</f>
        <v>0</v>
      </c>
    </row>
    <row r="496" spans="2:11" x14ac:dyDescent="0.35">
      <c r="B496" t="s">
        <v>599</v>
      </c>
      <c r="D496" t="s">
        <v>554</v>
      </c>
      <c r="E496" t="s">
        <v>543</v>
      </c>
      <c r="F496">
        <v>1</v>
      </c>
      <c r="I496" t="s">
        <v>3</v>
      </c>
      <c r="J496" s="15">
        <f>BOR!I347</f>
        <v>0</v>
      </c>
      <c r="K496" s="15">
        <f>BOR!J347</f>
        <v>0</v>
      </c>
    </row>
    <row r="497" spans="1:11" x14ac:dyDescent="0.35">
      <c r="A497" t="s">
        <v>473</v>
      </c>
      <c r="B497" t="s">
        <v>599</v>
      </c>
      <c r="D497" t="s">
        <v>576</v>
      </c>
      <c r="E497" t="s">
        <v>517</v>
      </c>
      <c r="F497">
        <v>1</v>
      </c>
      <c r="I497" t="s">
        <v>3</v>
      </c>
      <c r="J497" s="15">
        <f>BOR!I348</f>
        <v>0</v>
      </c>
      <c r="K497" s="15">
        <f>BOR!J348</f>
        <v>0</v>
      </c>
    </row>
    <row r="498" spans="1:11" x14ac:dyDescent="0.35">
      <c r="A498" t="s">
        <v>473</v>
      </c>
      <c r="B498" t="s">
        <v>599</v>
      </c>
      <c r="D498" t="s">
        <v>576</v>
      </c>
      <c r="E498" t="s">
        <v>517</v>
      </c>
      <c r="F498">
        <v>1</v>
      </c>
      <c r="I498" t="s">
        <v>3</v>
      </c>
      <c r="J498" s="15">
        <f>BOR!I349</f>
        <v>0</v>
      </c>
      <c r="K498" s="15">
        <f>BOR!J349</f>
        <v>0</v>
      </c>
    </row>
    <row r="499" spans="1:11" x14ac:dyDescent="0.35">
      <c r="A499" t="s">
        <v>472</v>
      </c>
      <c r="B499" t="s">
        <v>599</v>
      </c>
      <c r="D499" t="s">
        <v>577</v>
      </c>
      <c r="E499" t="s">
        <v>515</v>
      </c>
      <c r="F499">
        <v>1</v>
      </c>
      <c r="I499" t="s">
        <v>3</v>
      </c>
      <c r="J499" s="15">
        <f>BOR!I350</f>
        <v>0</v>
      </c>
      <c r="K499" s="15">
        <f>BOR!J350</f>
        <v>0</v>
      </c>
    </row>
    <row r="500" spans="1:11" x14ac:dyDescent="0.35">
      <c r="A500" t="s">
        <v>484</v>
      </c>
      <c r="B500" t="s">
        <v>599</v>
      </c>
      <c r="D500" t="s">
        <v>578</v>
      </c>
      <c r="E500" t="s">
        <v>579</v>
      </c>
      <c r="F500">
        <v>1</v>
      </c>
      <c r="I500" t="s">
        <v>3</v>
      </c>
      <c r="J500" s="15">
        <f>BOR!I351</f>
        <v>0</v>
      </c>
      <c r="K500" s="15">
        <f>BOR!J351</f>
        <v>0</v>
      </c>
    </row>
    <row r="501" spans="1:11" x14ac:dyDescent="0.35">
      <c r="A501" t="s">
        <v>473</v>
      </c>
      <c r="B501" t="s">
        <v>599</v>
      </c>
      <c r="D501" t="s">
        <v>576</v>
      </c>
      <c r="E501" t="s">
        <v>517</v>
      </c>
      <c r="F501">
        <v>1</v>
      </c>
      <c r="I501" t="s">
        <v>3</v>
      </c>
      <c r="J501" s="15">
        <f>BOR!I352</f>
        <v>0</v>
      </c>
      <c r="K501" s="15">
        <f>BOR!J352</f>
        <v>0</v>
      </c>
    </row>
    <row r="502" spans="1:11" x14ac:dyDescent="0.35">
      <c r="A502" t="s">
        <v>473</v>
      </c>
      <c r="B502" t="s">
        <v>599</v>
      </c>
      <c r="D502" t="s">
        <v>576</v>
      </c>
      <c r="E502" t="s">
        <v>517</v>
      </c>
      <c r="F502">
        <v>1</v>
      </c>
      <c r="I502" t="s">
        <v>3</v>
      </c>
      <c r="J502" s="15">
        <f>BOR!I353</f>
        <v>0</v>
      </c>
      <c r="K502" s="15">
        <f>BOR!J353</f>
        <v>0</v>
      </c>
    </row>
    <row r="503" spans="1:11" x14ac:dyDescent="0.35">
      <c r="A503" t="s">
        <v>472</v>
      </c>
      <c r="B503" t="s">
        <v>599</v>
      </c>
      <c r="D503" t="s">
        <v>577</v>
      </c>
      <c r="E503" t="s">
        <v>515</v>
      </c>
      <c r="F503">
        <v>1</v>
      </c>
      <c r="I503" t="s">
        <v>3</v>
      </c>
      <c r="J503" s="15">
        <f>BOR!I354</f>
        <v>0</v>
      </c>
      <c r="K503" s="15">
        <f>BOR!J354</f>
        <v>0</v>
      </c>
    </row>
    <row r="504" spans="1:11" x14ac:dyDescent="0.35">
      <c r="A504" t="s">
        <v>484</v>
      </c>
      <c r="B504" t="s">
        <v>599</v>
      </c>
      <c r="D504" t="s">
        <v>578</v>
      </c>
      <c r="E504" t="s">
        <v>579</v>
      </c>
      <c r="F504">
        <v>1</v>
      </c>
      <c r="I504" t="s">
        <v>3</v>
      </c>
      <c r="J504" s="15">
        <f>BOR!I355</f>
        <v>0</v>
      </c>
      <c r="K504" s="15">
        <f>BOR!J355</f>
        <v>0</v>
      </c>
    </row>
    <row r="505" spans="1:11" x14ac:dyDescent="0.35">
      <c r="A505" t="s">
        <v>485</v>
      </c>
      <c r="B505" t="s">
        <v>599</v>
      </c>
      <c r="D505" t="s">
        <v>580</v>
      </c>
      <c r="E505" t="s">
        <v>581</v>
      </c>
      <c r="F505">
        <v>1</v>
      </c>
      <c r="I505" t="s">
        <v>3</v>
      </c>
      <c r="J505" s="15">
        <f>BOR!I356</f>
        <v>0</v>
      </c>
      <c r="K505" s="15">
        <f>BOR!J356</f>
        <v>0</v>
      </c>
    </row>
    <row r="506" spans="1:11" x14ac:dyDescent="0.35">
      <c r="B506" t="s">
        <v>599</v>
      </c>
      <c r="D506" t="s">
        <v>582</v>
      </c>
      <c r="E506" t="s">
        <v>583</v>
      </c>
      <c r="F506">
        <v>1</v>
      </c>
      <c r="I506" t="s">
        <v>3</v>
      </c>
      <c r="J506" s="15">
        <f>BOR!I357</f>
        <v>0</v>
      </c>
      <c r="K506" s="15">
        <f>BOR!J357</f>
        <v>0</v>
      </c>
    </row>
    <row r="507" spans="1:11" x14ac:dyDescent="0.35">
      <c r="B507" t="s">
        <v>599</v>
      </c>
      <c r="D507" t="s">
        <v>584</v>
      </c>
      <c r="E507" t="s">
        <v>585</v>
      </c>
      <c r="F507">
        <v>1</v>
      </c>
      <c r="I507" t="s">
        <v>3</v>
      </c>
      <c r="J507" s="15">
        <f>BOR!I358</f>
        <v>0</v>
      </c>
      <c r="K507" s="15">
        <f>BOR!J358</f>
        <v>0</v>
      </c>
    </row>
    <row r="508" spans="1:11" x14ac:dyDescent="0.35">
      <c r="B508" t="s">
        <v>599</v>
      </c>
      <c r="D508" t="s">
        <v>586</v>
      </c>
      <c r="E508" t="s">
        <v>587</v>
      </c>
      <c r="F508">
        <v>1</v>
      </c>
      <c r="I508" t="s">
        <v>3</v>
      </c>
      <c r="J508" s="15">
        <f>BOR!I359</f>
        <v>0</v>
      </c>
      <c r="K508" s="15">
        <f>BOR!J359</f>
        <v>0</v>
      </c>
    </row>
    <row r="509" spans="1:11" x14ac:dyDescent="0.35">
      <c r="B509" t="s">
        <v>599</v>
      </c>
      <c r="D509" t="s">
        <v>588</v>
      </c>
      <c r="E509" t="s">
        <v>589</v>
      </c>
      <c r="F509">
        <v>1</v>
      </c>
      <c r="I509" t="s">
        <v>3</v>
      </c>
      <c r="J509" s="15">
        <f>BOR!I360</f>
        <v>0</v>
      </c>
      <c r="K509" s="15">
        <f>BOR!J360</f>
        <v>0</v>
      </c>
    </row>
    <row r="510" spans="1:11" x14ac:dyDescent="0.35">
      <c r="A510" t="s">
        <v>486</v>
      </c>
      <c r="B510" t="s">
        <v>599</v>
      </c>
      <c r="D510" t="s">
        <v>590</v>
      </c>
      <c r="E510" t="s">
        <v>591</v>
      </c>
      <c r="F510">
        <v>1</v>
      </c>
      <c r="I510" t="s">
        <v>3</v>
      </c>
      <c r="J510" s="15">
        <f>BOR!I361</f>
        <v>0</v>
      </c>
      <c r="K510" s="15">
        <f>BOR!J361</f>
        <v>0</v>
      </c>
    </row>
    <row r="511" spans="1:11" x14ac:dyDescent="0.35">
      <c r="B511" t="s">
        <v>599</v>
      </c>
      <c r="D511" t="s">
        <v>592</v>
      </c>
      <c r="E511" t="s">
        <v>593</v>
      </c>
      <c r="F511">
        <v>1</v>
      </c>
      <c r="I511" t="s">
        <v>3</v>
      </c>
      <c r="J511" s="15">
        <f>BOR!I362</f>
        <v>0</v>
      </c>
      <c r="K511" s="15">
        <f>BOR!J362</f>
        <v>0</v>
      </c>
    </row>
    <row r="512" spans="1:11" x14ac:dyDescent="0.35">
      <c r="A512" t="s">
        <v>486</v>
      </c>
      <c r="B512" t="s">
        <v>599</v>
      </c>
      <c r="D512" t="s">
        <v>590</v>
      </c>
      <c r="E512" t="s">
        <v>591</v>
      </c>
      <c r="F512">
        <v>1</v>
      </c>
      <c r="I512" t="s">
        <v>3</v>
      </c>
      <c r="J512" s="15">
        <f>BOR!I363</f>
        <v>0</v>
      </c>
      <c r="K512" s="15">
        <f>BOR!J363</f>
        <v>0</v>
      </c>
    </row>
    <row r="513" spans="1:11" x14ac:dyDescent="0.35">
      <c r="B513" t="s">
        <v>599</v>
      </c>
      <c r="D513" t="s">
        <v>592</v>
      </c>
      <c r="E513" t="s">
        <v>593</v>
      </c>
      <c r="F513">
        <v>1</v>
      </c>
      <c r="I513" t="s">
        <v>3</v>
      </c>
      <c r="J513" s="15">
        <f>BOR!I364</f>
        <v>0</v>
      </c>
      <c r="K513" s="15">
        <f>BOR!J364</f>
        <v>0</v>
      </c>
    </row>
    <row r="514" spans="1:11" x14ac:dyDescent="0.35">
      <c r="A514" t="s">
        <v>486</v>
      </c>
      <c r="B514" t="s">
        <v>599</v>
      </c>
      <c r="D514" t="s">
        <v>590</v>
      </c>
      <c r="E514" t="s">
        <v>591</v>
      </c>
      <c r="F514">
        <v>1</v>
      </c>
      <c r="I514" t="s">
        <v>3</v>
      </c>
      <c r="J514" s="15">
        <f>BOR!I365</f>
        <v>0</v>
      </c>
      <c r="K514" s="15">
        <f>BOR!J365</f>
        <v>0</v>
      </c>
    </row>
    <row r="515" spans="1:11" x14ac:dyDescent="0.35">
      <c r="D515" t="s">
        <v>592</v>
      </c>
      <c r="E515" t="s">
        <v>593</v>
      </c>
      <c r="F515">
        <v>1</v>
      </c>
      <c r="I515" t="s">
        <v>3</v>
      </c>
      <c r="J515" s="15">
        <f>BOR!I366</f>
        <v>0</v>
      </c>
      <c r="K515" s="15">
        <f>BOR!J366</f>
        <v>0</v>
      </c>
    </row>
    <row r="516" spans="1:11" x14ac:dyDescent="0.35">
      <c r="A516" t="s">
        <v>11</v>
      </c>
      <c r="B516" t="s">
        <v>598</v>
      </c>
      <c r="C516" t="s">
        <v>12</v>
      </c>
      <c r="D516" t="s">
        <v>24</v>
      </c>
      <c r="E516" t="s">
        <v>25</v>
      </c>
      <c r="F516" s="11">
        <v>100</v>
      </c>
      <c r="G516" t="s">
        <v>26</v>
      </c>
      <c r="I516" t="s">
        <v>4</v>
      </c>
      <c r="J516" s="15">
        <f>BSEE!I2</f>
        <v>0</v>
      </c>
      <c r="K516" s="15">
        <f>BSEE!J2</f>
        <v>0</v>
      </c>
    </row>
    <row r="517" spans="1:11" x14ac:dyDescent="0.35">
      <c r="A517" t="s">
        <v>11</v>
      </c>
      <c r="B517" t="s">
        <v>598</v>
      </c>
      <c r="C517" t="s">
        <v>12</v>
      </c>
      <c r="D517" t="s">
        <v>123</v>
      </c>
      <c r="E517" t="s">
        <v>124</v>
      </c>
      <c r="F517" s="11">
        <v>1</v>
      </c>
      <c r="G517" t="s">
        <v>26</v>
      </c>
      <c r="I517" t="s">
        <v>4</v>
      </c>
      <c r="J517" s="15">
        <f>BSEE!I3</f>
        <v>0</v>
      </c>
      <c r="K517" s="15">
        <f>BSEE!J3</f>
        <v>0</v>
      </c>
    </row>
    <row r="518" spans="1:11" x14ac:dyDescent="0.35">
      <c r="A518" t="s">
        <v>11</v>
      </c>
      <c r="B518" t="s">
        <v>598</v>
      </c>
      <c r="C518" t="s">
        <v>12</v>
      </c>
      <c r="D518" t="s">
        <v>125</v>
      </c>
      <c r="E518" t="s">
        <v>126</v>
      </c>
      <c r="F518" s="11">
        <v>1</v>
      </c>
      <c r="G518" t="s">
        <v>26</v>
      </c>
      <c r="I518" t="s">
        <v>4</v>
      </c>
      <c r="J518" s="15">
        <f>BSEE!I4</f>
        <v>0</v>
      </c>
      <c r="K518" s="15">
        <f>BSEE!J4</f>
        <v>0</v>
      </c>
    </row>
    <row r="519" spans="1:11" x14ac:dyDescent="0.35">
      <c r="A519" t="s">
        <v>17</v>
      </c>
      <c r="B519" t="s">
        <v>598</v>
      </c>
      <c r="C519" t="s">
        <v>18</v>
      </c>
      <c r="D519" t="s">
        <v>45</v>
      </c>
      <c r="E519" t="s">
        <v>46</v>
      </c>
      <c r="F519" s="11">
        <v>10</v>
      </c>
      <c r="G519" t="s">
        <v>29</v>
      </c>
      <c r="I519" t="s">
        <v>4</v>
      </c>
      <c r="J519" s="15">
        <f>BSEE!I5</f>
        <v>0</v>
      </c>
      <c r="K519" s="15">
        <f>BSEE!J5</f>
        <v>0</v>
      </c>
    </row>
    <row r="520" spans="1:11" x14ac:dyDescent="0.35">
      <c r="A520" t="s">
        <v>17</v>
      </c>
      <c r="B520" t="s">
        <v>598</v>
      </c>
      <c r="C520" t="s">
        <v>18</v>
      </c>
      <c r="D520" t="s">
        <v>52</v>
      </c>
      <c r="E520" t="s">
        <v>53</v>
      </c>
      <c r="F520" s="11">
        <v>50</v>
      </c>
      <c r="G520" t="s">
        <v>29</v>
      </c>
      <c r="I520" t="s">
        <v>4</v>
      </c>
      <c r="J520" s="15">
        <f>BSEE!I6</f>
        <v>0</v>
      </c>
      <c r="K520" s="15">
        <f>BSEE!J6</f>
        <v>0</v>
      </c>
    </row>
    <row r="521" spans="1:11" x14ac:dyDescent="0.35">
      <c r="A521" t="s">
        <v>17</v>
      </c>
      <c r="B521" t="s">
        <v>598</v>
      </c>
      <c r="C521" t="s">
        <v>18</v>
      </c>
      <c r="D521" t="s">
        <v>95</v>
      </c>
      <c r="E521" t="s">
        <v>96</v>
      </c>
      <c r="F521" s="11">
        <v>8</v>
      </c>
      <c r="G521" t="s">
        <v>29</v>
      </c>
      <c r="I521" t="s">
        <v>4</v>
      </c>
      <c r="J521" s="15">
        <f>BSEE!I7</f>
        <v>0</v>
      </c>
      <c r="K521" s="15">
        <f>BSEE!J7</f>
        <v>0</v>
      </c>
    </row>
    <row r="522" spans="1:11" x14ac:dyDescent="0.35">
      <c r="A522" t="s">
        <v>17</v>
      </c>
      <c r="B522" t="s">
        <v>598</v>
      </c>
      <c r="C522" t="s">
        <v>18</v>
      </c>
      <c r="D522" t="s">
        <v>127</v>
      </c>
      <c r="E522" t="s">
        <v>96</v>
      </c>
      <c r="F522" s="11">
        <v>14</v>
      </c>
      <c r="G522" t="s">
        <v>88</v>
      </c>
      <c r="I522" t="s">
        <v>4</v>
      </c>
      <c r="J522" s="15">
        <f>BSEE!I8</f>
        <v>0</v>
      </c>
      <c r="K522" s="15">
        <f>BSEE!J8</f>
        <v>0</v>
      </c>
    </row>
    <row r="523" spans="1:11" x14ac:dyDescent="0.35">
      <c r="A523" t="s">
        <v>17</v>
      </c>
      <c r="B523" t="s">
        <v>598</v>
      </c>
      <c r="C523" t="s">
        <v>18</v>
      </c>
      <c r="D523" t="s">
        <v>58</v>
      </c>
      <c r="E523" t="s">
        <v>59</v>
      </c>
      <c r="F523" s="11">
        <v>1</v>
      </c>
      <c r="G523" t="s">
        <v>26</v>
      </c>
      <c r="I523" t="s">
        <v>4</v>
      </c>
      <c r="J523" s="15">
        <f>BSEE!I9</f>
        <v>0</v>
      </c>
      <c r="K523" s="15">
        <f>BSEE!J9</f>
        <v>0</v>
      </c>
    </row>
    <row r="524" spans="1:11" x14ac:dyDescent="0.35">
      <c r="A524" t="s">
        <v>17</v>
      </c>
      <c r="B524" t="s">
        <v>598</v>
      </c>
      <c r="C524" t="s">
        <v>18</v>
      </c>
      <c r="D524" t="s">
        <v>97</v>
      </c>
      <c r="E524" t="s">
        <v>98</v>
      </c>
      <c r="F524" s="11">
        <v>10</v>
      </c>
      <c r="G524" t="s">
        <v>29</v>
      </c>
      <c r="I524" t="s">
        <v>4</v>
      </c>
      <c r="J524" s="15">
        <f>BSEE!I10</f>
        <v>0</v>
      </c>
      <c r="K524" s="15">
        <f>BSEE!J10</f>
        <v>0</v>
      </c>
    </row>
    <row r="525" spans="1:11" x14ac:dyDescent="0.35">
      <c r="A525" t="s">
        <v>65</v>
      </c>
      <c r="B525" t="s">
        <v>598</v>
      </c>
      <c r="C525" t="s">
        <v>71</v>
      </c>
      <c r="D525" t="s">
        <v>72</v>
      </c>
      <c r="E525" t="s">
        <v>73</v>
      </c>
      <c r="F525" s="11">
        <v>3000</v>
      </c>
      <c r="I525" t="s">
        <v>4</v>
      </c>
      <c r="J525" s="15">
        <f>BSEE!I11</f>
        <v>0</v>
      </c>
      <c r="K525" s="15">
        <f>BSEE!J11</f>
        <v>0</v>
      </c>
    </row>
    <row r="526" spans="1:11" x14ac:dyDescent="0.35">
      <c r="A526" t="s">
        <v>65</v>
      </c>
      <c r="B526" t="s">
        <v>598</v>
      </c>
      <c r="C526" t="s">
        <v>71</v>
      </c>
      <c r="D526" t="s">
        <v>74</v>
      </c>
      <c r="E526" t="s">
        <v>75</v>
      </c>
      <c r="F526" s="11">
        <v>1</v>
      </c>
      <c r="I526" t="s">
        <v>4</v>
      </c>
      <c r="J526" s="15">
        <f>BSEE!I12</f>
        <v>0</v>
      </c>
      <c r="K526" s="15">
        <f>BSEE!J12</f>
        <v>0</v>
      </c>
    </row>
    <row r="527" spans="1:11" x14ac:dyDescent="0.35">
      <c r="A527" t="s">
        <v>78</v>
      </c>
      <c r="B527" t="s">
        <v>598</v>
      </c>
      <c r="C527" t="s">
        <v>79</v>
      </c>
      <c r="D527" t="s">
        <v>128</v>
      </c>
      <c r="E527" t="s">
        <v>129</v>
      </c>
      <c r="F527" s="11">
        <v>4</v>
      </c>
      <c r="I527" t="s">
        <v>4</v>
      </c>
      <c r="J527" s="15">
        <f>BSEE!I13</f>
        <v>0</v>
      </c>
      <c r="K527" s="15">
        <f>BSEE!J13</f>
        <v>0</v>
      </c>
    </row>
    <row r="528" spans="1:11" x14ac:dyDescent="0.35">
      <c r="A528" t="s">
        <v>78</v>
      </c>
      <c r="B528" t="s">
        <v>598</v>
      </c>
      <c r="C528" t="s">
        <v>79</v>
      </c>
      <c r="D528" t="s">
        <v>130</v>
      </c>
      <c r="E528" t="s">
        <v>131</v>
      </c>
      <c r="F528" s="11">
        <v>15</v>
      </c>
      <c r="I528" t="s">
        <v>4</v>
      </c>
      <c r="J528" s="15">
        <f>BSEE!I14</f>
        <v>0</v>
      </c>
      <c r="K528" s="15">
        <f>BSEE!J14</f>
        <v>0</v>
      </c>
    </row>
    <row r="529" spans="1:11" x14ac:dyDescent="0.35">
      <c r="A529" t="s">
        <v>78</v>
      </c>
      <c r="B529" t="s">
        <v>598</v>
      </c>
      <c r="C529" t="s">
        <v>79</v>
      </c>
      <c r="D529" t="s">
        <v>80</v>
      </c>
      <c r="E529" t="s">
        <v>81</v>
      </c>
      <c r="F529" s="11">
        <v>1</v>
      </c>
      <c r="I529" t="s">
        <v>4</v>
      </c>
      <c r="J529" s="15">
        <f>BSEE!I15</f>
        <v>0</v>
      </c>
      <c r="K529" s="15">
        <f>BSEE!J15</f>
        <v>0</v>
      </c>
    </row>
    <row r="530" spans="1:11" x14ac:dyDescent="0.35">
      <c r="A530" t="s">
        <v>78</v>
      </c>
      <c r="B530" t="s">
        <v>598</v>
      </c>
      <c r="C530" t="s">
        <v>79</v>
      </c>
      <c r="D530" t="s">
        <v>132</v>
      </c>
      <c r="E530" t="s">
        <v>133</v>
      </c>
      <c r="F530" s="11">
        <v>1</v>
      </c>
      <c r="I530" t="s">
        <v>4</v>
      </c>
      <c r="J530" s="15">
        <f>BSEE!I16</f>
        <v>0</v>
      </c>
      <c r="K530" s="15">
        <f>BSEE!J16</f>
        <v>0</v>
      </c>
    </row>
    <row r="531" spans="1:11" x14ac:dyDescent="0.35">
      <c r="A531" t="s">
        <v>78</v>
      </c>
      <c r="B531" t="s">
        <v>598</v>
      </c>
      <c r="C531" t="s">
        <v>79</v>
      </c>
      <c r="D531" t="s">
        <v>134</v>
      </c>
      <c r="E531" t="s">
        <v>135</v>
      </c>
      <c r="F531" s="11">
        <v>4</v>
      </c>
      <c r="I531" t="s">
        <v>4</v>
      </c>
      <c r="J531" s="15">
        <f>BSEE!I17</f>
        <v>0</v>
      </c>
      <c r="K531" s="15">
        <f>BSEE!J17</f>
        <v>0</v>
      </c>
    </row>
    <row r="532" spans="1:11" x14ac:dyDescent="0.35">
      <c r="A532" t="s">
        <v>182</v>
      </c>
      <c r="B532" t="s">
        <v>599</v>
      </c>
      <c r="C532" t="s">
        <v>189</v>
      </c>
      <c r="D532" t="s">
        <v>193</v>
      </c>
      <c r="E532" t="s">
        <v>194</v>
      </c>
      <c r="F532" s="11">
        <v>42</v>
      </c>
      <c r="H532" t="s">
        <v>192</v>
      </c>
      <c r="I532" t="s">
        <v>4</v>
      </c>
      <c r="J532" s="15">
        <f>BSEE!I18</f>
        <v>0</v>
      </c>
      <c r="K532" s="15">
        <f>BSEE!J18</f>
        <v>0</v>
      </c>
    </row>
    <row r="533" spans="1:11" x14ac:dyDescent="0.35">
      <c r="A533" t="s">
        <v>182</v>
      </c>
      <c r="B533" t="s">
        <v>599</v>
      </c>
      <c r="C533" t="s">
        <v>204</v>
      </c>
      <c r="D533" t="s">
        <v>207</v>
      </c>
      <c r="E533" t="s">
        <v>208</v>
      </c>
      <c r="F533" s="11">
        <v>2489</v>
      </c>
      <c r="H533" t="s">
        <v>186</v>
      </c>
      <c r="I533" t="s">
        <v>4</v>
      </c>
      <c r="J533" s="15">
        <f>BSEE!I19</f>
        <v>0</v>
      </c>
      <c r="K533" s="15">
        <f>BSEE!J19</f>
        <v>0</v>
      </c>
    </row>
    <row r="534" spans="1:11" x14ac:dyDescent="0.35">
      <c r="A534" t="s">
        <v>182</v>
      </c>
      <c r="B534" t="s">
        <v>599</v>
      </c>
      <c r="C534" t="s">
        <v>204</v>
      </c>
      <c r="D534" t="s">
        <v>209</v>
      </c>
      <c r="E534" t="s">
        <v>210</v>
      </c>
      <c r="F534" s="11">
        <v>0</v>
      </c>
      <c r="H534" t="s">
        <v>186</v>
      </c>
      <c r="I534" t="s">
        <v>4</v>
      </c>
      <c r="J534" s="15">
        <f>BSEE!I20</f>
        <v>0</v>
      </c>
      <c r="K534" s="15">
        <f>BSEE!J20</f>
        <v>0</v>
      </c>
    </row>
    <row r="535" spans="1:11" x14ac:dyDescent="0.35">
      <c r="A535" t="s">
        <v>182</v>
      </c>
      <c r="B535" t="s">
        <v>599</v>
      </c>
      <c r="C535" t="s">
        <v>204</v>
      </c>
      <c r="D535" t="s">
        <v>202</v>
      </c>
      <c r="E535" t="s">
        <v>203</v>
      </c>
      <c r="F535" s="11">
        <v>0</v>
      </c>
      <c r="H535" t="s">
        <v>186</v>
      </c>
      <c r="I535" t="s">
        <v>4</v>
      </c>
      <c r="J535" s="15">
        <f>BSEE!I21</f>
        <v>0</v>
      </c>
      <c r="K535" s="15">
        <f>BSEE!J21</f>
        <v>0</v>
      </c>
    </row>
    <row r="536" spans="1:11" x14ac:dyDescent="0.35">
      <c r="A536" t="s">
        <v>211</v>
      </c>
      <c r="B536" t="s">
        <v>599</v>
      </c>
      <c r="C536" t="s">
        <v>212</v>
      </c>
      <c r="D536" t="s">
        <v>213</v>
      </c>
      <c r="E536" t="s">
        <v>214</v>
      </c>
      <c r="F536" s="11">
        <v>0</v>
      </c>
      <c r="H536" t="s">
        <v>215</v>
      </c>
      <c r="I536" t="s">
        <v>4</v>
      </c>
      <c r="J536" s="15">
        <f>BSEE!I22</f>
        <v>0</v>
      </c>
      <c r="K536" s="15">
        <f>BSEE!J22</f>
        <v>0</v>
      </c>
    </row>
    <row r="537" spans="1:11" x14ac:dyDescent="0.35">
      <c r="A537" t="s">
        <v>211</v>
      </c>
      <c r="B537" t="s">
        <v>599</v>
      </c>
      <c r="C537" t="s">
        <v>212</v>
      </c>
      <c r="D537" t="s">
        <v>218</v>
      </c>
      <c r="E537" t="s">
        <v>219</v>
      </c>
      <c r="F537" s="11">
        <v>105</v>
      </c>
      <c r="H537" t="s">
        <v>215</v>
      </c>
      <c r="I537" t="s">
        <v>4</v>
      </c>
      <c r="J537" s="15">
        <f>BSEE!I23</f>
        <v>0</v>
      </c>
      <c r="K537" s="15">
        <f>BSEE!J23</f>
        <v>0</v>
      </c>
    </row>
    <row r="538" spans="1:11" x14ac:dyDescent="0.35">
      <c r="A538" t="s">
        <v>211</v>
      </c>
      <c r="B538" t="s">
        <v>599</v>
      </c>
      <c r="C538" t="s">
        <v>212</v>
      </c>
      <c r="D538" t="s">
        <v>202</v>
      </c>
      <c r="E538" t="s">
        <v>203</v>
      </c>
      <c r="F538" s="11">
        <v>0</v>
      </c>
      <c r="H538" t="s">
        <v>215</v>
      </c>
      <c r="I538" t="s">
        <v>4</v>
      </c>
      <c r="J538" s="15">
        <f>BSEE!I24</f>
        <v>0</v>
      </c>
      <c r="K538" s="15">
        <f>BSEE!J24</f>
        <v>0</v>
      </c>
    </row>
    <row r="539" spans="1:11" x14ac:dyDescent="0.35">
      <c r="A539" t="s">
        <v>220</v>
      </c>
      <c r="B539" t="s">
        <v>599</v>
      </c>
      <c r="C539" t="s">
        <v>221</v>
      </c>
      <c r="D539" t="s">
        <v>427</v>
      </c>
      <c r="E539" t="s">
        <v>422</v>
      </c>
      <c r="F539" s="11">
        <v>1</v>
      </c>
      <c r="H539" t="s">
        <v>215</v>
      </c>
      <c r="I539" t="s">
        <v>4</v>
      </c>
      <c r="J539" s="15">
        <f>BSEE!I25</f>
        <v>0</v>
      </c>
      <c r="K539" s="15">
        <f>BSEE!J25</f>
        <v>0</v>
      </c>
    </row>
    <row r="540" spans="1:11" x14ac:dyDescent="0.35">
      <c r="A540" t="s">
        <v>220</v>
      </c>
      <c r="B540" t="s">
        <v>599</v>
      </c>
      <c r="C540" t="s">
        <v>221</v>
      </c>
      <c r="D540" t="s">
        <v>235</v>
      </c>
      <c r="E540" t="s">
        <v>236</v>
      </c>
      <c r="F540" s="11">
        <v>0</v>
      </c>
      <c r="H540" t="s">
        <v>215</v>
      </c>
      <c r="I540" t="s">
        <v>4</v>
      </c>
      <c r="J540" s="15">
        <f>BSEE!I26</f>
        <v>0</v>
      </c>
      <c r="K540" s="15">
        <f>BSEE!J26</f>
        <v>0</v>
      </c>
    </row>
    <row r="541" spans="1:11" x14ac:dyDescent="0.35">
      <c r="A541" t="s">
        <v>220</v>
      </c>
      <c r="B541" t="s">
        <v>599</v>
      </c>
      <c r="C541" t="s">
        <v>221</v>
      </c>
      <c r="D541" t="s">
        <v>202</v>
      </c>
      <c r="E541" t="s">
        <v>203</v>
      </c>
      <c r="F541" s="11">
        <v>0</v>
      </c>
      <c r="H541" t="s">
        <v>215</v>
      </c>
      <c r="I541" t="s">
        <v>4</v>
      </c>
      <c r="J541" s="15">
        <f>BSEE!I27</f>
        <v>0</v>
      </c>
      <c r="K541" s="15">
        <f>BSEE!J27</f>
        <v>0</v>
      </c>
    </row>
    <row r="542" spans="1:11" x14ac:dyDescent="0.35">
      <c r="A542" s="2" t="s">
        <v>594</v>
      </c>
      <c r="B542" t="s">
        <v>599</v>
      </c>
      <c r="D542" s="2" t="s">
        <v>595</v>
      </c>
      <c r="E542" s="2" t="s">
        <v>596</v>
      </c>
      <c r="F542" s="11">
        <v>1</v>
      </c>
      <c r="I542" t="s">
        <v>4</v>
      </c>
      <c r="J542" s="15">
        <f>BSEE!I28</f>
        <v>0</v>
      </c>
      <c r="K542" s="15">
        <f>BSEE!J28</f>
        <v>0</v>
      </c>
    </row>
    <row r="543" spans="1:11" x14ac:dyDescent="0.35">
      <c r="A543" t="s">
        <v>11</v>
      </c>
      <c r="B543" t="s">
        <v>598</v>
      </c>
      <c r="C543" t="s">
        <v>12</v>
      </c>
      <c r="D543" t="s">
        <v>24</v>
      </c>
      <c r="E543" t="s">
        <v>25</v>
      </c>
      <c r="F543">
        <v>100</v>
      </c>
      <c r="G543" t="s">
        <v>26</v>
      </c>
      <c r="I543" t="s">
        <v>5</v>
      </c>
      <c r="J543" s="15">
        <f>FWS!I2</f>
        <v>0</v>
      </c>
      <c r="K543" s="15">
        <f>FWS!J2</f>
        <v>0</v>
      </c>
    </row>
    <row r="544" spans="1:11" x14ac:dyDescent="0.35">
      <c r="A544" t="s">
        <v>11</v>
      </c>
      <c r="B544" t="s">
        <v>598</v>
      </c>
      <c r="C544" t="s">
        <v>13</v>
      </c>
      <c r="D544" t="s">
        <v>27</v>
      </c>
      <c r="E544" t="s">
        <v>28</v>
      </c>
      <c r="F544">
        <v>1</v>
      </c>
      <c r="G544" t="s">
        <v>29</v>
      </c>
      <c r="I544" t="s">
        <v>5</v>
      </c>
      <c r="J544" s="15">
        <f>FWS!I3</f>
        <v>0</v>
      </c>
      <c r="K544" s="15">
        <f>FWS!J3</f>
        <v>0</v>
      </c>
    </row>
    <row r="545" spans="1:11" x14ac:dyDescent="0.35">
      <c r="A545" t="s">
        <v>11</v>
      </c>
      <c r="B545" t="s">
        <v>598</v>
      </c>
      <c r="C545" t="s">
        <v>13</v>
      </c>
      <c r="D545" t="s">
        <v>30</v>
      </c>
      <c r="E545" t="s">
        <v>31</v>
      </c>
      <c r="F545">
        <v>1</v>
      </c>
      <c r="G545" t="s">
        <v>29</v>
      </c>
      <c r="I545" t="s">
        <v>5</v>
      </c>
      <c r="J545" s="15">
        <f>FWS!I4</f>
        <v>0</v>
      </c>
      <c r="K545" s="15">
        <f>FWS!J4</f>
        <v>0</v>
      </c>
    </row>
    <row r="546" spans="1:11" x14ac:dyDescent="0.35">
      <c r="A546" t="s">
        <v>11</v>
      </c>
      <c r="B546" t="s">
        <v>598</v>
      </c>
      <c r="C546" t="s">
        <v>13</v>
      </c>
      <c r="D546" t="s">
        <v>32</v>
      </c>
      <c r="E546" t="s">
        <v>33</v>
      </c>
      <c r="F546">
        <v>1</v>
      </c>
      <c r="G546" t="s">
        <v>29</v>
      </c>
      <c r="I546" t="s">
        <v>5</v>
      </c>
      <c r="J546" s="15">
        <f>FWS!I5</f>
        <v>0</v>
      </c>
      <c r="K546" s="15">
        <f>FWS!J5</f>
        <v>0</v>
      </c>
    </row>
    <row r="547" spans="1:11" x14ac:dyDescent="0.35">
      <c r="A547" t="s">
        <v>11</v>
      </c>
      <c r="B547" t="s">
        <v>598</v>
      </c>
      <c r="C547" t="s">
        <v>13</v>
      </c>
      <c r="D547" t="s">
        <v>34</v>
      </c>
      <c r="E547" t="s">
        <v>35</v>
      </c>
      <c r="F547">
        <v>1</v>
      </c>
      <c r="G547" t="s">
        <v>26</v>
      </c>
      <c r="I547" t="s">
        <v>5</v>
      </c>
      <c r="J547" s="15">
        <f>FWS!I6</f>
        <v>0</v>
      </c>
      <c r="K547" s="15">
        <f>FWS!J6</f>
        <v>0</v>
      </c>
    </row>
    <row r="548" spans="1:11" x14ac:dyDescent="0.35">
      <c r="A548" t="s">
        <v>11</v>
      </c>
      <c r="B548" t="s">
        <v>598</v>
      </c>
      <c r="C548" t="s">
        <v>14</v>
      </c>
      <c r="D548" t="s">
        <v>36</v>
      </c>
      <c r="E548" t="s">
        <v>37</v>
      </c>
      <c r="F548">
        <v>1</v>
      </c>
      <c r="G548" t="s">
        <v>29</v>
      </c>
      <c r="I548" t="s">
        <v>5</v>
      </c>
      <c r="J548" s="15">
        <f>FWS!I7</f>
        <v>0</v>
      </c>
      <c r="K548" s="15">
        <f>FWS!J7</f>
        <v>0</v>
      </c>
    </row>
    <row r="549" spans="1:11" x14ac:dyDescent="0.35">
      <c r="A549" t="s">
        <v>11</v>
      </c>
      <c r="B549" t="s">
        <v>598</v>
      </c>
      <c r="C549" t="s">
        <v>14</v>
      </c>
      <c r="D549" t="s">
        <v>38</v>
      </c>
      <c r="E549" t="s">
        <v>35</v>
      </c>
      <c r="F549">
        <v>1</v>
      </c>
      <c r="G549" t="s">
        <v>26</v>
      </c>
      <c r="I549" t="s">
        <v>5</v>
      </c>
      <c r="J549" s="15">
        <f>FWS!I8</f>
        <v>0</v>
      </c>
      <c r="K549" s="15">
        <f>FWS!J8</f>
        <v>0</v>
      </c>
    </row>
    <row r="550" spans="1:11" x14ac:dyDescent="0.35">
      <c r="A550" t="s">
        <v>15</v>
      </c>
      <c r="B550" t="s">
        <v>598</v>
      </c>
      <c r="C550" t="s">
        <v>16</v>
      </c>
      <c r="D550" t="s">
        <v>39</v>
      </c>
      <c r="E550" t="s">
        <v>40</v>
      </c>
      <c r="F550">
        <v>7</v>
      </c>
      <c r="G550" t="s">
        <v>29</v>
      </c>
      <c r="I550" t="s">
        <v>5</v>
      </c>
      <c r="J550" s="15">
        <f>FWS!I9</f>
        <v>0</v>
      </c>
      <c r="K550" s="15">
        <f>FWS!J9</f>
        <v>0</v>
      </c>
    </row>
    <row r="551" spans="1:11" x14ac:dyDescent="0.35">
      <c r="A551" t="s">
        <v>15</v>
      </c>
      <c r="B551" t="s">
        <v>598</v>
      </c>
      <c r="C551" t="s">
        <v>16</v>
      </c>
      <c r="D551" t="s">
        <v>41</v>
      </c>
      <c r="E551" t="s">
        <v>42</v>
      </c>
      <c r="F551">
        <v>1</v>
      </c>
      <c r="G551" t="s">
        <v>26</v>
      </c>
      <c r="I551" t="s">
        <v>5</v>
      </c>
      <c r="J551" s="15">
        <f>FWS!I10</f>
        <v>0</v>
      </c>
      <c r="K551" s="15">
        <f>FWS!J10</f>
        <v>0</v>
      </c>
    </row>
    <row r="552" spans="1:11" x14ac:dyDescent="0.35">
      <c r="A552" t="s">
        <v>17</v>
      </c>
      <c r="B552" t="s">
        <v>598</v>
      </c>
      <c r="C552" t="s">
        <v>18</v>
      </c>
      <c r="D552" t="s">
        <v>136</v>
      </c>
      <c r="E552" t="s">
        <v>46</v>
      </c>
      <c r="F552">
        <v>3</v>
      </c>
      <c r="G552" t="s">
        <v>88</v>
      </c>
      <c r="I552" t="s">
        <v>5</v>
      </c>
      <c r="J552" s="15">
        <f>FWS!I11</f>
        <v>0</v>
      </c>
      <c r="K552" s="15">
        <f>FWS!J11</f>
        <v>0</v>
      </c>
    </row>
    <row r="553" spans="1:11" x14ac:dyDescent="0.35">
      <c r="A553" t="s">
        <v>17</v>
      </c>
      <c r="B553" t="s">
        <v>598</v>
      </c>
      <c r="C553" t="s">
        <v>18</v>
      </c>
      <c r="D553" t="s">
        <v>45</v>
      </c>
      <c r="E553" t="s">
        <v>46</v>
      </c>
      <c r="F553">
        <v>4</v>
      </c>
      <c r="G553" t="s">
        <v>29</v>
      </c>
      <c r="I553" t="s">
        <v>5</v>
      </c>
      <c r="J553" s="15">
        <f>FWS!I12</f>
        <v>0</v>
      </c>
      <c r="K553" s="15">
        <f>FWS!J12</f>
        <v>0</v>
      </c>
    </row>
    <row r="554" spans="1:11" x14ac:dyDescent="0.35">
      <c r="A554" t="s">
        <v>17</v>
      </c>
      <c r="B554" t="s">
        <v>598</v>
      </c>
      <c r="C554" t="s">
        <v>18</v>
      </c>
      <c r="D554" t="s">
        <v>47</v>
      </c>
      <c r="E554" t="s">
        <v>48</v>
      </c>
      <c r="F554">
        <v>6</v>
      </c>
      <c r="G554" t="s">
        <v>29</v>
      </c>
      <c r="I554" t="s">
        <v>5</v>
      </c>
      <c r="J554" s="15">
        <f>FWS!I13</f>
        <v>0</v>
      </c>
      <c r="K554" s="15">
        <f>FWS!J13</f>
        <v>0</v>
      </c>
    </row>
    <row r="555" spans="1:11" x14ac:dyDescent="0.35">
      <c r="A555" t="s">
        <v>17</v>
      </c>
      <c r="B555" t="s">
        <v>598</v>
      </c>
      <c r="C555" t="s">
        <v>18</v>
      </c>
      <c r="D555" t="s">
        <v>137</v>
      </c>
      <c r="E555" t="s">
        <v>51</v>
      </c>
      <c r="F555">
        <v>21</v>
      </c>
      <c r="G555" t="s">
        <v>88</v>
      </c>
      <c r="I555" t="s">
        <v>5</v>
      </c>
      <c r="J555" s="15">
        <f>FWS!I14</f>
        <v>0</v>
      </c>
      <c r="K555" s="15">
        <f>FWS!J14</f>
        <v>0</v>
      </c>
    </row>
    <row r="556" spans="1:11" x14ac:dyDescent="0.35">
      <c r="A556" t="s">
        <v>17</v>
      </c>
      <c r="B556" t="s">
        <v>598</v>
      </c>
      <c r="C556" t="s">
        <v>18</v>
      </c>
      <c r="D556" t="s">
        <v>138</v>
      </c>
      <c r="E556" t="s">
        <v>53</v>
      </c>
      <c r="F556">
        <v>13</v>
      </c>
      <c r="G556" t="s">
        <v>88</v>
      </c>
      <c r="I556" t="s">
        <v>5</v>
      </c>
      <c r="J556" s="15">
        <f>FWS!I15</f>
        <v>0</v>
      </c>
      <c r="K556" s="15">
        <f>FWS!J15</f>
        <v>0</v>
      </c>
    </row>
    <row r="557" spans="1:11" x14ac:dyDescent="0.35">
      <c r="A557" t="s">
        <v>17</v>
      </c>
      <c r="B557" t="s">
        <v>598</v>
      </c>
      <c r="C557" t="s">
        <v>18</v>
      </c>
      <c r="D557" t="s">
        <v>139</v>
      </c>
      <c r="E557" t="s">
        <v>140</v>
      </c>
      <c r="F557">
        <v>2</v>
      </c>
      <c r="G557" t="s">
        <v>29</v>
      </c>
      <c r="I557" t="s">
        <v>5</v>
      </c>
      <c r="J557" s="15">
        <f>FWS!I16</f>
        <v>0</v>
      </c>
      <c r="K557" s="15">
        <f>FWS!J16</f>
        <v>0</v>
      </c>
    </row>
    <row r="558" spans="1:11" x14ac:dyDescent="0.35">
      <c r="A558" t="s">
        <v>17</v>
      </c>
      <c r="B558" t="s">
        <v>598</v>
      </c>
      <c r="C558" t="s">
        <v>18</v>
      </c>
      <c r="D558" t="s">
        <v>52</v>
      </c>
      <c r="E558" t="s">
        <v>53</v>
      </c>
      <c r="F558">
        <v>2</v>
      </c>
      <c r="G558" t="s">
        <v>29</v>
      </c>
      <c r="I558" t="s">
        <v>5</v>
      </c>
      <c r="J558" s="15">
        <f>FWS!I17</f>
        <v>0</v>
      </c>
      <c r="K558" s="15">
        <f>FWS!J17</f>
        <v>0</v>
      </c>
    </row>
    <row r="559" spans="1:11" x14ac:dyDescent="0.35">
      <c r="A559" t="s">
        <v>17</v>
      </c>
      <c r="B559" t="s">
        <v>598</v>
      </c>
      <c r="C559" t="s">
        <v>18</v>
      </c>
      <c r="D559" t="s">
        <v>141</v>
      </c>
      <c r="E559" t="s">
        <v>54</v>
      </c>
      <c r="F559">
        <v>68</v>
      </c>
      <c r="G559" t="s">
        <v>88</v>
      </c>
      <c r="I559" t="s">
        <v>5</v>
      </c>
      <c r="J559" s="15">
        <f>FWS!I18</f>
        <v>0</v>
      </c>
      <c r="K559" s="15">
        <f>FWS!J18</f>
        <v>0</v>
      </c>
    </row>
    <row r="560" spans="1:11" x14ac:dyDescent="0.35">
      <c r="A560" t="s">
        <v>17</v>
      </c>
      <c r="B560" t="s">
        <v>598</v>
      </c>
      <c r="C560" t="s">
        <v>18</v>
      </c>
      <c r="D560" t="s">
        <v>142</v>
      </c>
      <c r="E560" t="s">
        <v>143</v>
      </c>
      <c r="F560">
        <v>105</v>
      </c>
      <c r="G560" t="s">
        <v>88</v>
      </c>
      <c r="I560" t="s">
        <v>5</v>
      </c>
      <c r="J560" s="15">
        <f>FWS!I19</f>
        <v>0</v>
      </c>
      <c r="K560" s="15">
        <f>FWS!J19</f>
        <v>0</v>
      </c>
    </row>
    <row r="561" spans="1:11" x14ac:dyDescent="0.35">
      <c r="A561" t="s">
        <v>17</v>
      </c>
      <c r="B561" t="s">
        <v>598</v>
      </c>
      <c r="C561" t="s">
        <v>18</v>
      </c>
      <c r="D561" t="s">
        <v>127</v>
      </c>
      <c r="E561" t="s">
        <v>96</v>
      </c>
      <c r="F561">
        <v>7</v>
      </c>
      <c r="G561" t="s">
        <v>88</v>
      </c>
      <c r="I561" t="s">
        <v>5</v>
      </c>
      <c r="J561" s="15">
        <f>FWS!I20</f>
        <v>0</v>
      </c>
      <c r="K561" s="15">
        <f>FWS!J20</f>
        <v>0</v>
      </c>
    </row>
    <row r="562" spans="1:11" x14ac:dyDescent="0.35">
      <c r="A562" t="s">
        <v>17</v>
      </c>
      <c r="B562" t="s">
        <v>598</v>
      </c>
      <c r="C562" t="s">
        <v>18</v>
      </c>
      <c r="D562" t="s">
        <v>144</v>
      </c>
      <c r="E562" t="s">
        <v>55</v>
      </c>
      <c r="F562">
        <v>137</v>
      </c>
      <c r="G562" t="s">
        <v>88</v>
      </c>
      <c r="I562" t="s">
        <v>5</v>
      </c>
      <c r="J562" s="15">
        <f>FWS!I21</f>
        <v>0</v>
      </c>
      <c r="K562" s="15">
        <f>FWS!J21</f>
        <v>0</v>
      </c>
    </row>
    <row r="563" spans="1:11" x14ac:dyDescent="0.35">
      <c r="A563" t="s">
        <v>17</v>
      </c>
      <c r="B563" t="s">
        <v>598</v>
      </c>
      <c r="C563" t="s">
        <v>18</v>
      </c>
      <c r="D563" t="s">
        <v>58</v>
      </c>
      <c r="E563" t="s">
        <v>59</v>
      </c>
      <c r="F563">
        <v>1</v>
      </c>
      <c r="G563" t="s">
        <v>26</v>
      </c>
      <c r="I563" t="s">
        <v>5</v>
      </c>
      <c r="J563" s="15">
        <f>FWS!I22</f>
        <v>0</v>
      </c>
      <c r="K563" s="15">
        <f>FWS!J22</f>
        <v>0</v>
      </c>
    </row>
    <row r="564" spans="1:11" x14ac:dyDescent="0.35">
      <c r="A564" t="s">
        <v>17</v>
      </c>
      <c r="B564" t="s">
        <v>598</v>
      </c>
      <c r="C564" t="s">
        <v>18</v>
      </c>
      <c r="D564" t="s">
        <v>60</v>
      </c>
      <c r="E564" t="s">
        <v>61</v>
      </c>
      <c r="F564">
        <v>2</v>
      </c>
      <c r="G564" t="s">
        <v>29</v>
      </c>
      <c r="I564" t="s">
        <v>5</v>
      </c>
      <c r="J564" s="15">
        <f>FWS!I23</f>
        <v>0</v>
      </c>
      <c r="K564" s="15">
        <f>FWS!J23</f>
        <v>0</v>
      </c>
    </row>
    <row r="565" spans="1:11" x14ac:dyDescent="0.35">
      <c r="A565" t="s">
        <v>17</v>
      </c>
      <c r="B565" t="s">
        <v>598</v>
      </c>
      <c r="C565" t="s">
        <v>18</v>
      </c>
      <c r="D565" t="s">
        <v>145</v>
      </c>
      <c r="E565" t="s">
        <v>146</v>
      </c>
      <c r="F565">
        <v>1</v>
      </c>
      <c r="G565" t="s">
        <v>88</v>
      </c>
      <c r="I565" t="s">
        <v>5</v>
      </c>
      <c r="J565" s="15">
        <f>FWS!I24</f>
        <v>0</v>
      </c>
      <c r="K565" s="15">
        <f>FWS!J24</f>
        <v>0</v>
      </c>
    </row>
    <row r="566" spans="1:11" x14ac:dyDescent="0.35">
      <c r="A566" t="s">
        <v>17</v>
      </c>
      <c r="B566" t="s">
        <v>598</v>
      </c>
      <c r="C566" t="s">
        <v>19</v>
      </c>
      <c r="D566" t="s">
        <v>147</v>
      </c>
      <c r="E566" t="s">
        <v>19</v>
      </c>
      <c r="F566">
        <v>500</v>
      </c>
      <c r="G566" t="s">
        <v>88</v>
      </c>
      <c r="I566" t="s">
        <v>5</v>
      </c>
      <c r="J566" s="15">
        <f>FWS!I25</f>
        <v>0</v>
      </c>
      <c r="K566" s="15">
        <f>FWS!J25</f>
        <v>0</v>
      </c>
    </row>
    <row r="567" spans="1:11" x14ac:dyDescent="0.35">
      <c r="A567" t="s">
        <v>17</v>
      </c>
      <c r="B567" t="s">
        <v>598</v>
      </c>
      <c r="C567" t="s">
        <v>19</v>
      </c>
      <c r="D567" t="s">
        <v>63</v>
      </c>
      <c r="E567" t="s">
        <v>64</v>
      </c>
      <c r="F567">
        <v>1</v>
      </c>
      <c r="G567" t="s">
        <v>26</v>
      </c>
      <c r="I567" t="s">
        <v>5</v>
      </c>
      <c r="J567" s="15">
        <f>FWS!I26</f>
        <v>0</v>
      </c>
      <c r="K567" s="15">
        <f>FWS!J26</f>
        <v>0</v>
      </c>
    </row>
    <row r="568" spans="1:11" x14ac:dyDescent="0.35">
      <c r="A568" t="s">
        <v>65</v>
      </c>
      <c r="B568" t="s">
        <v>598</v>
      </c>
      <c r="C568" t="s">
        <v>66</v>
      </c>
      <c r="D568" t="s">
        <v>67</v>
      </c>
      <c r="E568" t="s">
        <v>68</v>
      </c>
      <c r="F568">
        <v>1</v>
      </c>
      <c r="I568" t="s">
        <v>5</v>
      </c>
      <c r="J568" s="15">
        <f>FWS!I27</f>
        <v>0</v>
      </c>
      <c r="K568" s="15">
        <f>FWS!J27</f>
        <v>0</v>
      </c>
    </row>
    <row r="569" spans="1:11" x14ac:dyDescent="0.35">
      <c r="A569" t="s">
        <v>65</v>
      </c>
      <c r="B569" t="s">
        <v>598</v>
      </c>
      <c r="C569" t="s">
        <v>66</v>
      </c>
      <c r="D569" t="s">
        <v>69</v>
      </c>
      <c r="E569" t="s">
        <v>70</v>
      </c>
      <c r="F569">
        <v>100</v>
      </c>
      <c r="I569" t="s">
        <v>5</v>
      </c>
      <c r="J569" s="15">
        <f>FWS!I28</f>
        <v>0</v>
      </c>
      <c r="K569" s="15">
        <f>FWS!J28</f>
        <v>0</v>
      </c>
    </row>
    <row r="570" spans="1:11" x14ac:dyDescent="0.35">
      <c r="A570" t="s">
        <v>65</v>
      </c>
      <c r="B570" t="s">
        <v>598</v>
      </c>
      <c r="C570" t="s">
        <v>71</v>
      </c>
      <c r="D570" t="s">
        <v>72</v>
      </c>
      <c r="E570" t="s">
        <v>73</v>
      </c>
      <c r="F570">
        <v>5500</v>
      </c>
      <c r="I570" t="s">
        <v>5</v>
      </c>
      <c r="J570" s="15">
        <f>FWS!I29</f>
        <v>0</v>
      </c>
      <c r="K570" s="15">
        <f>FWS!J29</f>
        <v>0</v>
      </c>
    </row>
    <row r="571" spans="1:11" x14ac:dyDescent="0.35">
      <c r="A571" t="s">
        <v>65</v>
      </c>
      <c r="B571" t="s">
        <v>598</v>
      </c>
      <c r="C571" t="s">
        <v>71</v>
      </c>
      <c r="D571" t="s">
        <v>74</v>
      </c>
      <c r="E571" t="s">
        <v>75</v>
      </c>
      <c r="F571">
        <v>1</v>
      </c>
      <c r="I571" t="s">
        <v>5</v>
      </c>
      <c r="J571" s="15">
        <f>FWS!I30</f>
        <v>0</v>
      </c>
      <c r="K571" s="15">
        <f>FWS!J30</f>
        <v>0</v>
      </c>
    </row>
    <row r="572" spans="1:11" x14ac:dyDescent="0.35">
      <c r="A572" t="s">
        <v>182</v>
      </c>
      <c r="B572" t="s">
        <v>599</v>
      </c>
      <c r="C572" t="s">
        <v>189</v>
      </c>
      <c r="D572" t="s">
        <v>231</v>
      </c>
      <c r="E572" t="s">
        <v>232</v>
      </c>
      <c r="F572">
        <v>50</v>
      </c>
      <c r="I572" t="s">
        <v>5</v>
      </c>
      <c r="J572" s="15">
        <f>FWS!I31</f>
        <v>0</v>
      </c>
      <c r="K572" s="15">
        <f>FWS!J31</f>
        <v>0</v>
      </c>
    </row>
    <row r="573" spans="1:11" x14ac:dyDescent="0.35">
      <c r="A573" t="s">
        <v>182</v>
      </c>
      <c r="B573" t="s">
        <v>599</v>
      </c>
      <c r="C573" t="s">
        <v>189</v>
      </c>
      <c r="D573" t="s">
        <v>190</v>
      </c>
      <c r="E573" t="s">
        <v>191</v>
      </c>
      <c r="F573">
        <v>24</v>
      </c>
      <c r="I573" t="s">
        <v>5</v>
      </c>
      <c r="J573" s="15">
        <f>FWS!I32</f>
        <v>0</v>
      </c>
      <c r="K573" s="15">
        <f>FWS!J32</f>
        <v>0</v>
      </c>
    </row>
    <row r="574" spans="1:11" x14ac:dyDescent="0.35">
      <c r="A574" t="s">
        <v>182</v>
      </c>
      <c r="B574" t="s">
        <v>599</v>
      </c>
      <c r="C574" t="s">
        <v>189</v>
      </c>
      <c r="D574" t="s">
        <v>193</v>
      </c>
      <c r="E574" t="s">
        <v>194</v>
      </c>
      <c r="F574">
        <v>4</v>
      </c>
      <c r="I574" t="s">
        <v>5</v>
      </c>
      <c r="J574" s="15">
        <f>FWS!I33</f>
        <v>0</v>
      </c>
      <c r="K574" s="15">
        <f>FWS!J33</f>
        <v>0</v>
      </c>
    </row>
    <row r="575" spans="1:11" x14ac:dyDescent="0.35">
      <c r="A575" t="s">
        <v>182</v>
      </c>
      <c r="B575" t="s">
        <v>599</v>
      </c>
      <c r="C575" t="s">
        <v>204</v>
      </c>
      <c r="D575" t="s">
        <v>209</v>
      </c>
      <c r="E575" t="s">
        <v>210</v>
      </c>
      <c r="F575">
        <v>0</v>
      </c>
      <c r="I575" t="s">
        <v>5</v>
      </c>
      <c r="J575" s="15">
        <f>FWS!I34</f>
        <v>0</v>
      </c>
      <c r="K575" s="15">
        <f>FWS!J34</f>
        <v>0</v>
      </c>
    </row>
    <row r="576" spans="1:11" x14ac:dyDescent="0.35">
      <c r="A576" t="s">
        <v>182</v>
      </c>
      <c r="B576" t="s">
        <v>599</v>
      </c>
      <c r="C576" t="s">
        <v>204</v>
      </c>
      <c r="D576" t="s">
        <v>245</v>
      </c>
      <c r="E576" t="s">
        <v>246</v>
      </c>
      <c r="F576">
        <v>40</v>
      </c>
      <c r="I576" t="s">
        <v>5</v>
      </c>
      <c r="J576" s="15">
        <f>FWS!I35</f>
        <v>0</v>
      </c>
      <c r="K576" s="15">
        <f>FWS!J35</f>
        <v>0</v>
      </c>
    </row>
    <row r="577" spans="1:11" x14ac:dyDescent="0.35">
      <c r="A577" t="s">
        <v>182</v>
      </c>
      <c r="B577" t="s">
        <v>599</v>
      </c>
      <c r="C577" t="s">
        <v>204</v>
      </c>
      <c r="D577" t="s">
        <v>207</v>
      </c>
      <c r="E577" t="s">
        <v>208</v>
      </c>
      <c r="F577">
        <v>1011</v>
      </c>
      <c r="I577" t="s">
        <v>5</v>
      </c>
      <c r="J577" s="15">
        <f>FWS!I36</f>
        <v>0</v>
      </c>
      <c r="K577" s="15">
        <f>FWS!J36</f>
        <v>0</v>
      </c>
    </row>
    <row r="578" spans="1:11" x14ac:dyDescent="0.35">
      <c r="A578" t="s">
        <v>11</v>
      </c>
      <c r="B578" t="s">
        <v>598</v>
      </c>
      <c r="C578" t="s">
        <v>12</v>
      </c>
      <c r="D578" t="s">
        <v>24</v>
      </c>
      <c r="E578" t="s">
        <v>25</v>
      </c>
      <c r="F578">
        <v>100</v>
      </c>
      <c r="G578" t="s">
        <v>26</v>
      </c>
      <c r="I578" t="s">
        <v>6</v>
      </c>
      <c r="J578" s="15">
        <f>OIG!I2</f>
        <v>0</v>
      </c>
      <c r="K578" s="15">
        <f>OIG!J2</f>
        <v>0</v>
      </c>
    </row>
    <row r="579" spans="1:11" x14ac:dyDescent="0.35">
      <c r="A579" t="s">
        <v>11</v>
      </c>
      <c r="B579" t="s">
        <v>598</v>
      </c>
      <c r="C579" t="s">
        <v>13</v>
      </c>
      <c r="D579" t="s">
        <v>173</v>
      </c>
      <c r="E579" t="s">
        <v>28</v>
      </c>
      <c r="F579">
        <v>1</v>
      </c>
      <c r="G579" t="s">
        <v>88</v>
      </c>
      <c r="I579" t="s">
        <v>6</v>
      </c>
      <c r="J579" s="15">
        <f>OIG!I3</f>
        <v>0</v>
      </c>
      <c r="K579" s="15">
        <f>OIG!J3</f>
        <v>0</v>
      </c>
    </row>
    <row r="580" spans="1:11" x14ac:dyDescent="0.35">
      <c r="A580" t="s">
        <v>11</v>
      </c>
      <c r="B580" t="s">
        <v>598</v>
      </c>
      <c r="C580" t="s">
        <v>13</v>
      </c>
      <c r="D580" t="s">
        <v>174</v>
      </c>
      <c r="E580" t="s">
        <v>31</v>
      </c>
      <c r="F580">
        <v>1</v>
      </c>
      <c r="G580" t="s">
        <v>88</v>
      </c>
      <c r="I580" t="s">
        <v>6</v>
      </c>
      <c r="J580" s="15">
        <f>OIG!I4</f>
        <v>0</v>
      </c>
      <c r="K580" s="15">
        <f>OIG!J4</f>
        <v>0</v>
      </c>
    </row>
    <row r="581" spans="1:11" x14ac:dyDescent="0.35">
      <c r="A581" t="s">
        <v>11</v>
      </c>
      <c r="B581" t="s">
        <v>598</v>
      </c>
      <c r="C581" t="s">
        <v>13</v>
      </c>
      <c r="D581" t="s">
        <v>32</v>
      </c>
      <c r="E581" t="s">
        <v>33</v>
      </c>
      <c r="F581">
        <v>1</v>
      </c>
      <c r="G581" t="s">
        <v>29</v>
      </c>
      <c r="I581" t="s">
        <v>6</v>
      </c>
      <c r="J581" s="15">
        <f>OIG!I5</f>
        <v>0</v>
      </c>
      <c r="K581" s="15">
        <f>OIG!J5</f>
        <v>0</v>
      </c>
    </row>
    <row r="582" spans="1:11" x14ac:dyDescent="0.35">
      <c r="A582" t="s">
        <v>11</v>
      </c>
      <c r="B582" t="s">
        <v>598</v>
      </c>
      <c r="C582" t="s">
        <v>13</v>
      </c>
      <c r="D582" t="s">
        <v>34</v>
      </c>
      <c r="E582" t="s">
        <v>35</v>
      </c>
      <c r="F582">
        <v>1</v>
      </c>
      <c r="G582" t="s">
        <v>26</v>
      </c>
      <c r="I582" t="s">
        <v>6</v>
      </c>
      <c r="J582" s="15">
        <f>OIG!I6</f>
        <v>0</v>
      </c>
      <c r="K582" s="15">
        <f>OIG!J6</f>
        <v>0</v>
      </c>
    </row>
    <row r="583" spans="1:11" x14ac:dyDescent="0.35">
      <c r="A583" t="s">
        <v>11</v>
      </c>
      <c r="B583" t="s">
        <v>598</v>
      </c>
      <c r="C583" t="s">
        <v>14</v>
      </c>
      <c r="D583" t="s">
        <v>38</v>
      </c>
      <c r="E583" t="s">
        <v>35</v>
      </c>
      <c r="F583">
        <v>1</v>
      </c>
      <c r="G583" t="s">
        <v>26</v>
      </c>
      <c r="I583" t="s">
        <v>6</v>
      </c>
      <c r="J583" s="15">
        <f>OIG!I7</f>
        <v>0</v>
      </c>
      <c r="K583" s="15">
        <f>OIG!J7</f>
        <v>0</v>
      </c>
    </row>
    <row r="584" spans="1:11" x14ac:dyDescent="0.35">
      <c r="A584" t="s">
        <v>11</v>
      </c>
      <c r="B584" t="s">
        <v>598</v>
      </c>
      <c r="C584" t="s">
        <v>14</v>
      </c>
      <c r="D584" t="s">
        <v>175</v>
      </c>
      <c r="E584" t="s">
        <v>37</v>
      </c>
      <c r="F584">
        <v>1</v>
      </c>
      <c r="G584" t="s">
        <v>88</v>
      </c>
      <c r="I584" t="s">
        <v>6</v>
      </c>
      <c r="J584" s="15">
        <f>OIG!I8</f>
        <v>0</v>
      </c>
      <c r="K584" s="15">
        <f>OIG!J8</f>
        <v>0</v>
      </c>
    </row>
    <row r="585" spans="1:11" x14ac:dyDescent="0.35">
      <c r="A585" t="s">
        <v>17</v>
      </c>
      <c r="B585" t="s">
        <v>598</v>
      </c>
      <c r="C585" t="s">
        <v>18</v>
      </c>
      <c r="D585" t="s">
        <v>137</v>
      </c>
      <c r="E585" t="s">
        <v>51</v>
      </c>
      <c r="F585">
        <v>24</v>
      </c>
      <c r="G585" t="s">
        <v>88</v>
      </c>
      <c r="I585" t="s">
        <v>6</v>
      </c>
      <c r="J585" s="15">
        <f>OIG!I9</f>
        <v>0</v>
      </c>
      <c r="K585" s="15">
        <f>OIG!J9</f>
        <v>0</v>
      </c>
    </row>
    <row r="586" spans="1:11" x14ac:dyDescent="0.35">
      <c r="A586" t="s">
        <v>17</v>
      </c>
      <c r="B586" t="s">
        <v>598</v>
      </c>
      <c r="C586" t="s">
        <v>18</v>
      </c>
      <c r="D586" t="s">
        <v>141</v>
      </c>
      <c r="E586" t="s">
        <v>54</v>
      </c>
      <c r="F586">
        <v>26</v>
      </c>
      <c r="G586" t="s">
        <v>88</v>
      </c>
      <c r="I586" t="s">
        <v>6</v>
      </c>
      <c r="J586" s="15">
        <f>OIG!I10</f>
        <v>0</v>
      </c>
      <c r="K586" s="15">
        <f>OIG!J10</f>
        <v>0</v>
      </c>
    </row>
    <row r="587" spans="1:11" x14ac:dyDescent="0.35">
      <c r="A587" t="s">
        <v>17</v>
      </c>
      <c r="B587" t="s">
        <v>598</v>
      </c>
      <c r="C587" t="s">
        <v>18</v>
      </c>
      <c r="D587" t="s">
        <v>58</v>
      </c>
      <c r="E587" t="s">
        <v>59</v>
      </c>
      <c r="F587">
        <v>1</v>
      </c>
      <c r="G587" t="s">
        <v>26</v>
      </c>
      <c r="I587" t="s">
        <v>6</v>
      </c>
      <c r="J587" s="15">
        <f>OIG!I11</f>
        <v>0</v>
      </c>
      <c r="K587" s="15">
        <f>OIG!J11</f>
        <v>0</v>
      </c>
    </row>
    <row r="588" spans="1:11" x14ac:dyDescent="0.35">
      <c r="A588" t="s">
        <v>17</v>
      </c>
      <c r="B588" t="s">
        <v>598</v>
      </c>
      <c r="C588" t="s">
        <v>19</v>
      </c>
      <c r="D588" t="s">
        <v>147</v>
      </c>
      <c r="E588" t="s">
        <v>19</v>
      </c>
      <c r="F588">
        <v>50</v>
      </c>
      <c r="G588" t="s">
        <v>88</v>
      </c>
      <c r="I588" t="s">
        <v>6</v>
      </c>
      <c r="J588" s="15">
        <f>OIG!I12</f>
        <v>0</v>
      </c>
      <c r="K588" s="15">
        <f>OIG!J12</f>
        <v>0</v>
      </c>
    </row>
    <row r="589" spans="1:11" x14ac:dyDescent="0.35">
      <c r="A589" t="s">
        <v>17</v>
      </c>
      <c r="B589" t="s">
        <v>598</v>
      </c>
      <c r="C589" t="s">
        <v>19</v>
      </c>
      <c r="D589" t="s">
        <v>63</v>
      </c>
      <c r="E589" t="s">
        <v>64</v>
      </c>
      <c r="F589">
        <v>1</v>
      </c>
      <c r="G589" t="s">
        <v>26</v>
      </c>
      <c r="I589" t="s">
        <v>6</v>
      </c>
      <c r="J589" s="15">
        <f>OIG!I13</f>
        <v>0</v>
      </c>
      <c r="K589" s="15">
        <f>OIG!J13</f>
        <v>0</v>
      </c>
    </row>
    <row r="590" spans="1:11" x14ac:dyDescent="0.35">
      <c r="A590" t="s">
        <v>65</v>
      </c>
      <c r="B590" t="s">
        <v>598</v>
      </c>
      <c r="C590" t="s">
        <v>66</v>
      </c>
      <c r="D590" t="s">
        <v>67</v>
      </c>
      <c r="E590" t="s">
        <v>68</v>
      </c>
      <c r="F590">
        <v>1</v>
      </c>
      <c r="I590" t="s">
        <v>6</v>
      </c>
      <c r="J590" s="15">
        <f>OIG!I14</f>
        <v>0</v>
      </c>
      <c r="K590" s="15">
        <f>OIG!J14</f>
        <v>0</v>
      </c>
    </row>
    <row r="591" spans="1:11" x14ac:dyDescent="0.35">
      <c r="A591" t="s">
        <v>65</v>
      </c>
      <c r="B591" t="s">
        <v>598</v>
      </c>
      <c r="C591" t="s">
        <v>66</v>
      </c>
      <c r="D591" t="s">
        <v>69</v>
      </c>
      <c r="E591" t="s">
        <v>70</v>
      </c>
      <c r="F591">
        <v>100</v>
      </c>
      <c r="I591" t="s">
        <v>6</v>
      </c>
      <c r="J591" s="15">
        <f>OIG!I15</f>
        <v>0</v>
      </c>
      <c r="K591" s="15">
        <f>OIG!J15</f>
        <v>0</v>
      </c>
    </row>
    <row r="592" spans="1:11" x14ac:dyDescent="0.35">
      <c r="A592" t="s">
        <v>65</v>
      </c>
      <c r="B592" t="s">
        <v>598</v>
      </c>
      <c r="C592" t="s">
        <v>71</v>
      </c>
      <c r="D592" t="s">
        <v>72</v>
      </c>
      <c r="E592" t="s">
        <v>73</v>
      </c>
      <c r="F592">
        <v>500</v>
      </c>
      <c r="I592" t="s">
        <v>6</v>
      </c>
      <c r="J592" s="15">
        <f>OIG!I16</f>
        <v>0</v>
      </c>
      <c r="K592" s="15">
        <f>OIG!J16</f>
        <v>0</v>
      </c>
    </row>
    <row r="593" spans="1:11" x14ac:dyDescent="0.35">
      <c r="A593" t="s">
        <v>65</v>
      </c>
      <c r="B593" t="s">
        <v>598</v>
      </c>
      <c r="C593" t="s">
        <v>71</v>
      </c>
      <c r="D593" t="s">
        <v>74</v>
      </c>
      <c r="E593" t="s">
        <v>75</v>
      </c>
      <c r="F593">
        <v>1</v>
      </c>
      <c r="I593" t="s">
        <v>6</v>
      </c>
      <c r="J593" s="15">
        <f>OIG!I17</f>
        <v>0</v>
      </c>
      <c r="K593" s="15">
        <f>OIG!J17</f>
        <v>0</v>
      </c>
    </row>
    <row r="594" spans="1:11" x14ac:dyDescent="0.35">
      <c r="A594" t="s">
        <v>78</v>
      </c>
      <c r="B594" t="s">
        <v>598</v>
      </c>
      <c r="C594" t="s">
        <v>79</v>
      </c>
      <c r="D594" t="s">
        <v>128</v>
      </c>
      <c r="E594" t="s">
        <v>129</v>
      </c>
      <c r="F594">
        <v>1</v>
      </c>
      <c r="I594" t="s">
        <v>6</v>
      </c>
      <c r="J594" s="15">
        <f>OIG!I18</f>
        <v>0</v>
      </c>
      <c r="K594" s="15">
        <f>OIG!J18</f>
        <v>0</v>
      </c>
    </row>
    <row r="595" spans="1:11" x14ac:dyDescent="0.35">
      <c r="A595" t="s">
        <v>78</v>
      </c>
      <c r="B595" t="s">
        <v>598</v>
      </c>
      <c r="C595" t="s">
        <v>79</v>
      </c>
      <c r="D595" t="s">
        <v>130</v>
      </c>
      <c r="E595" t="s">
        <v>131</v>
      </c>
      <c r="F595">
        <v>1</v>
      </c>
      <c r="I595" t="s">
        <v>6</v>
      </c>
      <c r="J595" s="15">
        <f>OIG!I19</f>
        <v>0</v>
      </c>
      <c r="K595" s="15">
        <f>OIG!J19</f>
        <v>0</v>
      </c>
    </row>
    <row r="596" spans="1:11" x14ac:dyDescent="0.35">
      <c r="A596" t="s">
        <v>78</v>
      </c>
      <c r="B596" t="s">
        <v>598</v>
      </c>
      <c r="C596" t="s">
        <v>79</v>
      </c>
      <c r="D596" t="s">
        <v>80</v>
      </c>
      <c r="E596" t="s">
        <v>81</v>
      </c>
      <c r="F596">
        <v>1</v>
      </c>
      <c r="I596" t="s">
        <v>6</v>
      </c>
      <c r="J596" s="15">
        <f>OIG!I20</f>
        <v>0</v>
      </c>
      <c r="K596" s="15">
        <f>OIG!J20</f>
        <v>0</v>
      </c>
    </row>
    <row r="597" spans="1:11" x14ac:dyDescent="0.35">
      <c r="A597" t="s">
        <v>148</v>
      </c>
      <c r="B597" t="s">
        <v>598</v>
      </c>
      <c r="C597" t="s">
        <v>149</v>
      </c>
      <c r="D597" t="s">
        <v>150</v>
      </c>
      <c r="E597" t="s">
        <v>151</v>
      </c>
      <c r="F597">
        <v>330</v>
      </c>
      <c r="I597" t="s">
        <v>6</v>
      </c>
      <c r="J597" s="15">
        <f>OIG!I21</f>
        <v>0</v>
      </c>
      <c r="K597" s="15">
        <f>OIG!J21</f>
        <v>0</v>
      </c>
    </row>
    <row r="598" spans="1:11" x14ac:dyDescent="0.35">
      <c r="A598" t="s">
        <v>148</v>
      </c>
      <c r="B598" t="s">
        <v>598</v>
      </c>
      <c r="C598" t="s">
        <v>149</v>
      </c>
      <c r="D598" t="s">
        <v>152</v>
      </c>
      <c r="E598" t="s">
        <v>153</v>
      </c>
      <c r="F598">
        <v>1</v>
      </c>
      <c r="I598" t="s">
        <v>6</v>
      </c>
      <c r="J598" s="15">
        <f>OIG!I22</f>
        <v>0</v>
      </c>
      <c r="K598" s="15">
        <f>OIG!J22</f>
        <v>0</v>
      </c>
    </row>
    <row r="599" spans="1:11" x14ac:dyDescent="0.35">
      <c r="A599" t="s">
        <v>247</v>
      </c>
      <c r="B599" t="s">
        <v>599</v>
      </c>
      <c r="C599" t="s">
        <v>248</v>
      </c>
      <c r="D599" t="s">
        <v>249</v>
      </c>
      <c r="E599" t="s">
        <v>250</v>
      </c>
      <c r="F599">
        <v>0</v>
      </c>
      <c r="H599" t="s">
        <v>186</v>
      </c>
      <c r="I599" t="s">
        <v>6</v>
      </c>
      <c r="J599" s="15">
        <f>OIG!I23</f>
        <v>0</v>
      </c>
      <c r="K599" s="15">
        <f>OIG!J23</f>
        <v>0</v>
      </c>
    </row>
    <row r="600" spans="1:11" x14ac:dyDescent="0.35">
      <c r="A600" t="s">
        <v>247</v>
      </c>
      <c r="B600" t="s">
        <v>599</v>
      </c>
      <c r="C600" t="s">
        <v>248</v>
      </c>
      <c r="D600" t="s">
        <v>202</v>
      </c>
      <c r="E600" t="s">
        <v>203</v>
      </c>
      <c r="F600">
        <v>0</v>
      </c>
      <c r="H600" t="s">
        <v>186</v>
      </c>
      <c r="I600" t="s">
        <v>6</v>
      </c>
      <c r="J600" s="15">
        <f>OIG!I24</f>
        <v>0</v>
      </c>
      <c r="K600" s="15">
        <f>OIG!J24</f>
        <v>0</v>
      </c>
    </row>
    <row r="601" spans="1:11" x14ac:dyDescent="0.35">
      <c r="A601" t="s">
        <v>211</v>
      </c>
      <c r="B601" t="s">
        <v>599</v>
      </c>
      <c r="C601" t="s">
        <v>212</v>
      </c>
      <c r="D601" t="s">
        <v>213</v>
      </c>
      <c r="E601" t="s">
        <v>214</v>
      </c>
      <c r="F601">
        <v>0</v>
      </c>
      <c r="H601" t="s">
        <v>215</v>
      </c>
      <c r="I601" t="s">
        <v>6</v>
      </c>
      <c r="J601" s="15">
        <f>OIG!I25</f>
        <v>0</v>
      </c>
      <c r="K601" s="15">
        <f>OIG!J25</f>
        <v>0</v>
      </c>
    </row>
    <row r="602" spans="1:11" x14ac:dyDescent="0.35">
      <c r="A602" t="s">
        <v>211</v>
      </c>
      <c r="B602" t="s">
        <v>599</v>
      </c>
      <c r="C602" t="s">
        <v>212</v>
      </c>
      <c r="D602" t="s">
        <v>218</v>
      </c>
      <c r="E602" t="s">
        <v>219</v>
      </c>
      <c r="F602">
        <v>44</v>
      </c>
      <c r="H602" t="s">
        <v>215</v>
      </c>
      <c r="I602" t="s">
        <v>6</v>
      </c>
      <c r="J602" s="15">
        <f>OIG!I26</f>
        <v>0</v>
      </c>
      <c r="K602" s="15">
        <f>OIG!J26</f>
        <v>0</v>
      </c>
    </row>
    <row r="603" spans="1:11" x14ac:dyDescent="0.35">
      <c r="A603" t="s">
        <v>211</v>
      </c>
      <c r="B603" t="s">
        <v>599</v>
      </c>
      <c r="C603" t="s">
        <v>212</v>
      </c>
      <c r="D603" t="s">
        <v>233</v>
      </c>
      <c r="E603" t="s">
        <v>234</v>
      </c>
      <c r="F603">
        <v>17</v>
      </c>
      <c r="H603" t="s">
        <v>215</v>
      </c>
      <c r="I603" t="s">
        <v>6</v>
      </c>
      <c r="J603" s="15">
        <f>OIG!I27</f>
        <v>0</v>
      </c>
      <c r="K603" s="15">
        <f>OIG!J27</f>
        <v>0</v>
      </c>
    </row>
    <row r="604" spans="1:11" x14ac:dyDescent="0.35">
      <c r="A604" t="s">
        <v>211</v>
      </c>
      <c r="B604" t="s">
        <v>599</v>
      </c>
      <c r="C604" t="s">
        <v>212</v>
      </c>
      <c r="D604" t="s">
        <v>202</v>
      </c>
      <c r="E604" t="s">
        <v>203</v>
      </c>
      <c r="F604">
        <v>0</v>
      </c>
      <c r="H604" t="s">
        <v>215</v>
      </c>
      <c r="I604" t="s">
        <v>6</v>
      </c>
      <c r="J604" s="15">
        <f>OIG!I28</f>
        <v>0</v>
      </c>
      <c r="K604" s="15">
        <f>OIG!J28</f>
        <v>0</v>
      </c>
    </row>
    <row r="605" spans="1:11" x14ac:dyDescent="0.35">
      <c r="A605" t="s">
        <v>220</v>
      </c>
      <c r="B605" t="s">
        <v>599</v>
      </c>
      <c r="C605" t="s">
        <v>221</v>
      </c>
      <c r="D605" t="s">
        <v>235</v>
      </c>
      <c r="E605" t="s">
        <v>236</v>
      </c>
      <c r="F605">
        <v>0</v>
      </c>
      <c r="H605" t="s">
        <v>215</v>
      </c>
      <c r="I605" t="s">
        <v>6</v>
      </c>
      <c r="J605" s="15">
        <f>OIG!I29</f>
        <v>0</v>
      </c>
      <c r="K605" s="15">
        <f>OIG!J29</f>
        <v>0</v>
      </c>
    </row>
    <row r="606" spans="1:11" x14ac:dyDescent="0.35">
      <c r="A606" t="s">
        <v>220</v>
      </c>
      <c r="B606" t="s">
        <v>599</v>
      </c>
      <c r="C606" t="s">
        <v>221</v>
      </c>
      <c r="D606" t="s">
        <v>202</v>
      </c>
      <c r="E606" t="s">
        <v>203</v>
      </c>
      <c r="F606">
        <v>0</v>
      </c>
      <c r="H606" t="s">
        <v>215</v>
      </c>
      <c r="I606" t="s">
        <v>6</v>
      </c>
      <c r="J606" s="15">
        <f>OIG!I30</f>
        <v>0</v>
      </c>
      <c r="K606" s="15">
        <f>OIG!J30</f>
        <v>0</v>
      </c>
    </row>
    <row r="607" spans="1:11" x14ac:dyDescent="0.35">
      <c r="A607" t="s">
        <v>182</v>
      </c>
      <c r="B607" t="s">
        <v>599</v>
      </c>
      <c r="C607" t="s">
        <v>183</v>
      </c>
      <c r="D607" t="s">
        <v>187</v>
      </c>
      <c r="E607" t="s">
        <v>188</v>
      </c>
      <c r="F607">
        <v>90</v>
      </c>
      <c r="H607" t="s">
        <v>186</v>
      </c>
      <c r="I607" t="s">
        <v>6</v>
      </c>
      <c r="J607" s="15">
        <f>OIG!I31</f>
        <v>0</v>
      </c>
      <c r="K607" s="15">
        <f>OIG!J31</f>
        <v>0</v>
      </c>
    </row>
    <row r="608" spans="1:11" x14ac:dyDescent="0.35">
      <c r="A608" t="s">
        <v>182</v>
      </c>
      <c r="B608" t="s">
        <v>599</v>
      </c>
      <c r="C608" t="s">
        <v>183</v>
      </c>
      <c r="D608" t="s">
        <v>239</v>
      </c>
      <c r="E608" t="s">
        <v>240</v>
      </c>
      <c r="F608">
        <v>23</v>
      </c>
      <c r="H608" t="s">
        <v>186</v>
      </c>
      <c r="I608" t="s">
        <v>6</v>
      </c>
      <c r="J608" s="15">
        <f>OIG!I32</f>
        <v>0</v>
      </c>
      <c r="K608" s="15">
        <f>OIG!J32</f>
        <v>0</v>
      </c>
    </row>
    <row r="609" spans="1:11" x14ac:dyDescent="0.35">
      <c r="A609" t="s">
        <v>182</v>
      </c>
      <c r="B609" t="s">
        <v>599</v>
      </c>
      <c r="C609" t="s">
        <v>198</v>
      </c>
      <c r="D609" t="s">
        <v>199</v>
      </c>
      <c r="E609" t="s">
        <v>200</v>
      </c>
      <c r="F609">
        <v>1</v>
      </c>
      <c r="H609" t="s">
        <v>186</v>
      </c>
      <c r="I609" t="s">
        <v>6</v>
      </c>
      <c r="J609" s="15">
        <f>OIG!I33</f>
        <v>0</v>
      </c>
      <c r="K609" s="15">
        <f>OIG!J33</f>
        <v>0</v>
      </c>
    </row>
    <row r="610" spans="1:11" x14ac:dyDescent="0.35">
      <c r="A610" t="s">
        <v>182</v>
      </c>
      <c r="B610" t="s">
        <v>599</v>
      </c>
      <c r="C610" t="s">
        <v>198</v>
      </c>
      <c r="D610" t="s">
        <v>241</v>
      </c>
      <c r="E610" t="s">
        <v>242</v>
      </c>
      <c r="F610">
        <v>4</v>
      </c>
      <c r="H610" t="s">
        <v>186</v>
      </c>
      <c r="I610" t="s">
        <v>6</v>
      </c>
      <c r="J610" s="15">
        <f>OIG!I34</f>
        <v>0</v>
      </c>
      <c r="K610" s="15">
        <f>OIG!J34</f>
        <v>0</v>
      </c>
    </row>
    <row r="611" spans="1:11" x14ac:dyDescent="0.35">
      <c r="A611" t="s">
        <v>182</v>
      </c>
      <c r="B611" t="s">
        <v>599</v>
      </c>
      <c r="C611" t="s">
        <v>198</v>
      </c>
      <c r="D611" t="s">
        <v>99</v>
      </c>
      <c r="E611" t="s">
        <v>201</v>
      </c>
      <c r="F611">
        <v>0</v>
      </c>
      <c r="H611" t="s">
        <v>186</v>
      </c>
      <c r="I611" t="s">
        <v>6</v>
      </c>
      <c r="J611" s="15">
        <f>OIG!I35</f>
        <v>0</v>
      </c>
      <c r="K611" s="15">
        <f>OIG!J35</f>
        <v>0</v>
      </c>
    </row>
    <row r="612" spans="1:11" x14ac:dyDescent="0.35">
      <c r="A612" t="s">
        <v>182</v>
      </c>
      <c r="B612" t="s">
        <v>599</v>
      </c>
      <c r="C612" t="s">
        <v>198</v>
      </c>
      <c r="D612" t="s">
        <v>202</v>
      </c>
      <c r="E612" t="s">
        <v>203</v>
      </c>
      <c r="F612">
        <v>0</v>
      </c>
      <c r="H612" t="s">
        <v>186</v>
      </c>
      <c r="I612" t="s">
        <v>6</v>
      </c>
      <c r="J612" s="15">
        <f>OIG!I36</f>
        <v>0</v>
      </c>
      <c r="K612" s="15">
        <f>OIG!J36</f>
        <v>0</v>
      </c>
    </row>
    <row r="613" spans="1:11" x14ac:dyDescent="0.35">
      <c r="A613" t="s">
        <v>182</v>
      </c>
      <c r="B613" t="s">
        <v>599</v>
      </c>
      <c r="C613" t="s">
        <v>204</v>
      </c>
      <c r="D613" t="s">
        <v>243</v>
      </c>
      <c r="E613" t="s">
        <v>244</v>
      </c>
      <c r="F613">
        <v>1098</v>
      </c>
      <c r="H613" t="s">
        <v>186</v>
      </c>
      <c r="I613" t="s">
        <v>6</v>
      </c>
      <c r="J613" s="15">
        <f>OIG!I37</f>
        <v>0</v>
      </c>
      <c r="K613" s="15">
        <f>OIG!J37</f>
        <v>0</v>
      </c>
    </row>
    <row r="614" spans="1:11" x14ac:dyDescent="0.35">
      <c r="A614" t="s">
        <v>182</v>
      </c>
      <c r="B614" t="s">
        <v>599</v>
      </c>
      <c r="C614" t="s">
        <v>204</v>
      </c>
      <c r="D614" t="s">
        <v>245</v>
      </c>
      <c r="E614" t="s">
        <v>246</v>
      </c>
      <c r="F614">
        <v>11</v>
      </c>
      <c r="H614" t="s">
        <v>186</v>
      </c>
      <c r="I614" t="s">
        <v>6</v>
      </c>
      <c r="J614" s="15">
        <f>OIG!I38</f>
        <v>0</v>
      </c>
      <c r="K614" s="15">
        <f>OIG!J38</f>
        <v>0</v>
      </c>
    </row>
    <row r="615" spans="1:11" x14ac:dyDescent="0.35">
      <c r="A615" t="s">
        <v>182</v>
      </c>
      <c r="B615" t="s">
        <v>599</v>
      </c>
      <c r="C615" t="s">
        <v>204</v>
      </c>
      <c r="D615" t="s">
        <v>207</v>
      </c>
      <c r="E615" t="s">
        <v>208</v>
      </c>
      <c r="F615">
        <v>221</v>
      </c>
      <c r="H615" t="s">
        <v>186</v>
      </c>
      <c r="I615" t="s">
        <v>6</v>
      </c>
      <c r="J615" s="15">
        <f>OIG!I39</f>
        <v>0</v>
      </c>
      <c r="K615" s="15">
        <f>OIG!J39</f>
        <v>0</v>
      </c>
    </row>
    <row r="616" spans="1:11" x14ac:dyDescent="0.35">
      <c r="A616" t="s">
        <v>182</v>
      </c>
      <c r="B616" t="s">
        <v>599</v>
      </c>
      <c r="C616" t="s">
        <v>204</v>
      </c>
      <c r="D616" t="s">
        <v>209</v>
      </c>
      <c r="E616" t="s">
        <v>210</v>
      </c>
      <c r="F616">
        <v>0</v>
      </c>
      <c r="H616" t="s">
        <v>186</v>
      </c>
      <c r="I616" t="s">
        <v>6</v>
      </c>
      <c r="J616" s="15">
        <f>OIG!I40</f>
        <v>0</v>
      </c>
      <c r="K616" s="15">
        <f>OIG!J40</f>
        <v>0</v>
      </c>
    </row>
    <row r="617" spans="1:11" x14ac:dyDescent="0.35">
      <c r="A617" t="s">
        <v>182</v>
      </c>
      <c r="B617" t="s">
        <v>599</v>
      </c>
      <c r="C617" t="s">
        <v>204</v>
      </c>
      <c r="D617" t="s">
        <v>202</v>
      </c>
      <c r="E617" t="s">
        <v>203</v>
      </c>
      <c r="F617">
        <v>0</v>
      </c>
      <c r="H617" t="s">
        <v>186</v>
      </c>
      <c r="I617" t="s">
        <v>6</v>
      </c>
      <c r="J617" s="15">
        <f>OIG!I41</f>
        <v>0</v>
      </c>
      <c r="K617" s="15">
        <f>OIG!J41</f>
        <v>0</v>
      </c>
    </row>
    <row r="618" spans="1:11" x14ac:dyDescent="0.35">
      <c r="A618" t="s">
        <v>11</v>
      </c>
      <c r="B618" t="s">
        <v>598</v>
      </c>
      <c r="C618" t="s">
        <v>12</v>
      </c>
      <c r="D618" t="s">
        <v>24</v>
      </c>
      <c r="E618" t="s">
        <v>25</v>
      </c>
      <c r="F618">
        <v>100</v>
      </c>
      <c r="G618" t="s">
        <v>26</v>
      </c>
      <c r="I618" t="s">
        <v>7</v>
      </c>
      <c r="J618" s="15">
        <f>USGS!I2</f>
        <v>0</v>
      </c>
      <c r="K618" s="15">
        <f>USGS!J2</f>
        <v>0</v>
      </c>
    </row>
    <row r="619" spans="1:11" x14ac:dyDescent="0.35">
      <c r="A619" t="s">
        <v>11</v>
      </c>
      <c r="B619" t="s">
        <v>598</v>
      </c>
      <c r="C619" t="s">
        <v>13</v>
      </c>
      <c r="D619" t="s">
        <v>27</v>
      </c>
      <c r="E619" t="s">
        <v>28</v>
      </c>
      <c r="F619">
        <v>1</v>
      </c>
      <c r="G619" t="s">
        <v>29</v>
      </c>
      <c r="I619" t="s">
        <v>7</v>
      </c>
      <c r="J619" s="15">
        <f>USGS!I3</f>
        <v>0</v>
      </c>
      <c r="K619" s="15">
        <f>USGS!J3</f>
        <v>0</v>
      </c>
    </row>
    <row r="620" spans="1:11" x14ac:dyDescent="0.35">
      <c r="A620" t="s">
        <v>11</v>
      </c>
      <c r="B620" t="s">
        <v>598</v>
      </c>
      <c r="C620" t="s">
        <v>13</v>
      </c>
      <c r="D620" t="s">
        <v>30</v>
      </c>
      <c r="E620" t="s">
        <v>31</v>
      </c>
      <c r="F620">
        <v>1</v>
      </c>
      <c r="G620" t="s">
        <v>29</v>
      </c>
      <c r="I620" t="s">
        <v>7</v>
      </c>
      <c r="J620" s="15">
        <f>USGS!I4</f>
        <v>0</v>
      </c>
      <c r="K620" s="15">
        <f>USGS!J4</f>
        <v>0</v>
      </c>
    </row>
    <row r="621" spans="1:11" x14ac:dyDescent="0.35">
      <c r="A621" t="s">
        <v>11</v>
      </c>
      <c r="B621" t="s">
        <v>598</v>
      </c>
      <c r="C621" t="s">
        <v>13</v>
      </c>
      <c r="D621" t="s">
        <v>32</v>
      </c>
      <c r="E621" t="s">
        <v>33</v>
      </c>
      <c r="F621">
        <v>1</v>
      </c>
      <c r="G621" t="s">
        <v>29</v>
      </c>
      <c r="I621" t="s">
        <v>7</v>
      </c>
      <c r="J621" s="15">
        <f>USGS!I5</f>
        <v>0</v>
      </c>
      <c r="K621" s="15">
        <f>USGS!J5</f>
        <v>0</v>
      </c>
    </row>
    <row r="622" spans="1:11" x14ac:dyDescent="0.35">
      <c r="A622" t="s">
        <v>11</v>
      </c>
      <c r="B622" t="s">
        <v>598</v>
      </c>
      <c r="C622" t="s">
        <v>13</v>
      </c>
      <c r="D622" t="s">
        <v>34</v>
      </c>
      <c r="E622" t="s">
        <v>35</v>
      </c>
      <c r="F622">
        <v>1</v>
      </c>
      <c r="G622" t="s">
        <v>26</v>
      </c>
      <c r="I622" t="s">
        <v>7</v>
      </c>
      <c r="J622" s="15">
        <f>USGS!I6</f>
        <v>0</v>
      </c>
      <c r="K622" s="15">
        <f>USGS!J6</f>
        <v>0</v>
      </c>
    </row>
    <row r="623" spans="1:11" x14ac:dyDescent="0.35">
      <c r="A623" t="s">
        <v>15</v>
      </c>
      <c r="B623" t="s">
        <v>598</v>
      </c>
      <c r="C623" t="s">
        <v>16</v>
      </c>
      <c r="D623" t="s">
        <v>39</v>
      </c>
      <c r="E623" t="s">
        <v>40</v>
      </c>
      <c r="F623">
        <v>21</v>
      </c>
      <c r="G623" t="s">
        <v>29</v>
      </c>
      <c r="I623" t="s">
        <v>7</v>
      </c>
      <c r="J623" s="15">
        <f>USGS!I7</f>
        <v>0</v>
      </c>
      <c r="K623" s="15">
        <f>USGS!J7</f>
        <v>0</v>
      </c>
    </row>
    <row r="624" spans="1:11" x14ac:dyDescent="0.35">
      <c r="A624" t="s">
        <v>15</v>
      </c>
      <c r="B624" t="s">
        <v>598</v>
      </c>
      <c r="C624" t="s">
        <v>16</v>
      </c>
      <c r="D624" t="s">
        <v>41</v>
      </c>
      <c r="E624" t="s">
        <v>42</v>
      </c>
      <c r="F624">
        <v>1</v>
      </c>
      <c r="G624" t="s">
        <v>26</v>
      </c>
      <c r="I624" t="s">
        <v>7</v>
      </c>
      <c r="J624" s="15">
        <f>USGS!I8</f>
        <v>0</v>
      </c>
      <c r="K624" s="15">
        <f>USGS!J8</f>
        <v>0</v>
      </c>
    </row>
    <row r="625" spans="1:11" x14ac:dyDescent="0.35">
      <c r="A625" t="s">
        <v>15</v>
      </c>
      <c r="B625" t="s">
        <v>598</v>
      </c>
      <c r="C625" t="s">
        <v>16</v>
      </c>
      <c r="D625" t="s">
        <v>154</v>
      </c>
      <c r="E625" t="s">
        <v>40</v>
      </c>
      <c r="F625">
        <v>13</v>
      </c>
      <c r="G625" t="s">
        <v>88</v>
      </c>
      <c r="I625" t="s">
        <v>7</v>
      </c>
      <c r="J625" s="15">
        <f>USGS!I9</f>
        <v>0</v>
      </c>
      <c r="K625" s="15">
        <f>USGS!J9</f>
        <v>0</v>
      </c>
    </row>
    <row r="626" spans="1:11" x14ac:dyDescent="0.35">
      <c r="A626" t="s">
        <v>17</v>
      </c>
      <c r="B626" t="s">
        <v>598</v>
      </c>
      <c r="C626" t="s">
        <v>18</v>
      </c>
      <c r="D626" t="s">
        <v>136</v>
      </c>
      <c r="E626" t="s">
        <v>46</v>
      </c>
      <c r="F626">
        <v>18</v>
      </c>
      <c r="G626" t="s">
        <v>88</v>
      </c>
      <c r="I626" t="s">
        <v>7</v>
      </c>
      <c r="J626" s="15">
        <f>USGS!I10</f>
        <v>0</v>
      </c>
      <c r="K626" s="15">
        <f>USGS!J10</f>
        <v>0</v>
      </c>
    </row>
    <row r="627" spans="1:11" x14ac:dyDescent="0.35">
      <c r="A627" t="s">
        <v>17</v>
      </c>
      <c r="B627" t="s">
        <v>598</v>
      </c>
      <c r="C627" t="s">
        <v>18</v>
      </c>
      <c r="D627" t="s">
        <v>251</v>
      </c>
      <c r="E627" t="s">
        <v>115</v>
      </c>
      <c r="F627">
        <v>2</v>
      </c>
      <c r="G627" t="s">
        <v>88</v>
      </c>
      <c r="I627" t="s">
        <v>7</v>
      </c>
      <c r="J627" s="15">
        <f>USGS!I11</f>
        <v>0</v>
      </c>
      <c r="K627" s="15">
        <f>USGS!J11</f>
        <v>0</v>
      </c>
    </row>
    <row r="628" spans="1:11" x14ac:dyDescent="0.35">
      <c r="A628" t="s">
        <v>17</v>
      </c>
      <c r="B628" t="s">
        <v>598</v>
      </c>
      <c r="C628" t="s">
        <v>18</v>
      </c>
      <c r="D628" t="s">
        <v>138</v>
      </c>
      <c r="E628" t="s">
        <v>53</v>
      </c>
      <c r="F628">
        <v>60</v>
      </c>
      <c r="G628" t="s">
        <v>88</v>
      </c>
      <c r="I628" t="s">
        <v>7</v>
      </c>
      <c r="J628" s="15">
        <f>USGS!I12</f>
        <v>0</v>
      </c>
      <c r="K628" s="15">
        <f>USGS!J12</f>
        <v>0</v>
      </c>
    </row>
    <row r="629" spans="1:11" x14ac:dyDescent="0.35">
      <c r="A629" t="s">
        <v>17</v>
      </c>
      <c r="B629" t="s">
        <v>598</v>
      </c>
      <c r="C629" t="s">
        <v>18</v>
      </c>
      <c r="D629" t="s">
        <v>58</v>
      </c>
      <c r="E629" t="s">
        <v>59</v>
      </c>
      <c r="F629">
        <v>1</v>
      </c>
      <c r="G629" t="s">
        <v>26</v>
      </c>
      <c r="I629" t="s">
        <v>7</v>
      </c>
      <c r="J629" s="15">
        <f>USGS!I13</f>
        <v>0</v>
      </c>
      <c r="K629" s="15">
        <f>USGS!J13</f>
        <v>0</v>
      </c>
    </row>
    <row r="630" spans="1:11" x14ac:dyDescent="0.35">
      <c r="A630" t="s">
        <v>17</v>
      </c>
      <c r="B630" t="s">
        <v>598</v>
      </c>
      <c r="C630" t="s">
        <v>18</v>
      </c>
      <c r="D630" t="s">
        <v>180</v>
      </c>
      <c r="E630" t="s">
        <v>57</v>
      </c>
      <c r="F630">
        <v>5</v>
      </c>
      <c r="G630" t="s">
        <v>88</v>
      </c>
      <c r="I630" t="s">
        <v>7</v>
      </c>
      <c r="J630" s="15">
        <f>USGS!I14</f>
        <v>0</v>
      </c>
      <c r="K630" s="15">
        <f>USGS!J14</f>
        <v>0</v>
      </c>
    </row>
    <row r="631" spans="1:11" x14ac:dyDescent="0.35">
      <c r="A631" t="s">
        <v>17</v>
      </c>
      <c r="B631" t="s">
        <v>598</v>
      </c>
      <c r="C631" t="s">
        <v>116</v>
      </c>
      <c r="D631" t="s">
        <v>155</v>
      </c>
      <c r="E631" t="s">
        <v>156</v>
      </c>
      <c r="F631">
        <v>4</v>
      </c>
      <c r="G631" t="s">
        <v>88</v>
      </c>
      <c r="I631" t="s">
        <v>7</v>
      </c>
      <c r="J631" s="15">
        <f>USGS!I15</f>
        <v>0</v>
      </c>
      <c r="K631" s="15">
        <f>USGS!J15</f>
        <v>0</v>
      </c>
    </row>
    <row r="632" spans="1:11" x14ac:dyDescent="0.35">
      <c r="A632" t="s">
        <v>17</v>
      </c>
      <c r="B632" t="s">
        <v>598</v>
      </c>
      <c r="C632" t="s">
        <v>116</v>
      </c>
      <c r="D632" t="s">
        <v>117</v>
      </c>
      <c r="E632" t="s">
        <v>118</v>
      </c>
      <c r="F632">
        <v>1</v>
      </c>
      <c r="G632" t="s">
        <v>26</v>
      </c>
      <c r="I632" t="s">
        <v>7</v>
      </c>
      <c r="J632" s="15">
        <f>USGS!I16</f>
        <v>0</v>
      </c>
      <c r="K632" s="15">
        <f>USGS!J16</f>
        <v>0</v>
      </c>
    </row>
    <row r="633" spans="1:11" x14ac:dyDescent="0.35">
      <c r="A633" t="s">
        <v>65</v>
      </c>
      <c r="B633" t="s">
        <v>598</v>
      </c>
      <c r="C633" t="s">
        <v>66</v>
      </c>
      <c r="D633" t="s">
        <v>67</v>
      </c>
      <c r="E633" t="s">
        <v>68</v>
      </c>
      <c r="F633">
        <v>1</v>
      </c>
      <c r="I633" t="s">
        <v>7</v>
      </c>
      <c r="J633" s="15">
        <f>USGS!I17</f>
        <v>0</v>
      </c>
      <c r="K633" s="15">
        <f>USGS!J17</f>
        <v>0</v>
      </c>
    </row>
    <row r="634" spans="1:11" x14ac:dyDescent="0.35">
      <c r="A634" t="s">
        <v>65</v>
      </c>
      <c r="B634" t="s">
        <v>598</v>
      </c>
      <c r="C634" t="s">
        <v>66</v>
      </c>
      <c r="D634" t="s">
        <v>69</v>
      </c>
      <c r="E634" t="s">
        <v>70</v>
      </c>
      <c r="F634">
        <v>100</v>
      </c>
      <c r="I634" t="s">
        <v>7</v>
      </c>
      <c r="J634" s="15">
        <f>USGS!I18</f>
        <v>0</v>
      </c>
      <c r="K634" s="15">
        <f>USGS!J18</f>
        <v>0</v>
      </c>
    </row>
    <row r="635" spans="1:11" x14ac:dyDescent="0.35">
      <c r="A635" t="s">
        <v>65</v>
      </c>
      <c r="B635" t="s">
        <v>598</v>
      </c>
      <c r="C635" t="s">
        <v>71</v>
      </c>
      <c r="D635" t="s">
        <v>72</v>
      </c>
      <c r="E635" t="s">
        <v>73</v>
      </c>
      <c r="F635">
        <v>150</v>
      </c>
      <c r="I635" t="s">
        <v>7</v>
      </c>
      <c r="J635" s="15">
        <f>USGS!I19</f>
        <v>0</v>
      </c>
      <c r="K635" s="15">
        <f>USGS!J19</f>
        <v>0</v>
      </c>
    </row>
    <row r="636" spans="1:11" x14ac:dyDescent="0.35">
      <c r="A636" t="s">
        <v>65</v>
      </c>
      <c r="B636" t="s">
        <v>598</v>
      </c>
      <c r="C636" t="s">
        <v>71</v>
      </c>
      <c r="D636" t="s">
        <v>74</v>
      </c>
      <c r="E636" t="s">
        <v>75</v>
      </c>
      <c r="F636">
        <v>1</v>
      </c>
      <c r="I636" t="s">
        <v>7</v>
      </c>
      <c r="J636" s="15">
        <f>USGS!I20</f>
        <v>0</v>
      </c>
      <c r="K636" s="15">
        <f>USGS!J20</f>
        <v>0</v>
      </c>
    </row>
    <row r="637" spans="1:11" x14ac:dyDescent="0.35">
      <c r="A637" t="s">
        <v>65</v>
      </c>
      <c r="B637" t="s">
        <v>598</v>
      </c>
      <c r="C637" t="s">
        <v>71</v>
      </c>
      <c r="D637" t="s">
        <v>108</v>
      </c>
      <c r="E637" t="s">
        <v>109</v>
      </c>
      <c r="F637">
        <v>200</v>
      </c>
      <c r="I637" t="s">
        <v>7</v>
      </c>
      <c r="J637" s="15">
        <f>USGS!I21</f>
        <v>0</v>
      </c>
      <c r="K637" s="15">
        <f>USGS!J21</f>
        <v>0</v>
      </c>
    </row>
    <row r="638" spans="1:11" x14ac:dyDescent="0.35">
      <c r="A638" t="s">
        <v>220</v>
      </c>
      <c r="B638" t="s">
        <v>599</v>
      </c>
      <c r="C638" t="s">
        <v>221</v>
      </c>
      <c r="D638" t="s">
        <v>256</v>
      </c>
      <c r="E638" t="s">
        <v>257</v>
      </c>
      <c r="F638">
        <v>1</v>
      </c>
      <c r="G638" t="s">
        <v>192</v>
      </c>
      <c r="I638" t="s">
        <v>7</v>
      </c>
      <c r="J638" s="15">
        <f>USGS!I22</f>
        <v>0</v>
      </c>
      <c r="K638" s="15">
        <f>USGS!J22</f>
        <v>0</v>
      </c>
    </row>
    <row r="639" spans="1:11" x14ac:dyDescent="0.35">
      <c r="A639" t="s">
        <v>182</v>
      </c>
      <c r="B639" t="s">
        <v>599</v>
      </c>
      <c r="C639" t="s">
        <v>183</v>
      </c>
      <c r="D639" t="s">
        <v>252</v>
      </c>
      <c r="E639" t="s">
        <v>253</v>
      </c>
      <c r="F639">
        <v>0</v>
      </c>
      <c r="H639" t="s">
        <v>186</v>
      </c>
      <c r="I639" t="s">
        <v>7</v>
      </c>
      <c r="J639" s="15">
        <f>USGS!I23</f>
        <v>0</v>
      </c>
      <c r="K639" s="15">
        <f>USGS!J23</f>
        <v>0</v>
      </c>
    </row>
    <row r="640" spans="1:11" x14ac:dyDescent="0.35">
      <c r="A640" t="s">
        <v>182</v>
      </c>
      <c r="B640" t="s">
        <v>599</v>
      </c>
      <c r="C640" t="s">
        <v>183</v>
      </c>
      <c r="D640" t="s">
        <v>184</v>
      </c>
      <c r="E640" t="s">
        <v>185</v>
      </c>
      <c r="F640">
        <v>3</v>
      </c>
      <c r="H640" t="s">
        <v>186</v>
      </c>
      <c r="I640" t="s">
        <v>7</v>
      </c>
      <c r="J640" s="15">
        <f>USGS!I24</f>
        <v>0</v>
      </c>
      <c r="K640" s="15">
        <f>USGS!J24</f>
        <v>0</v>
      </c>
    </row>
    <row r="641" spans="1:11" x14ac:dyDescent="0.35">
      <c r="A641" t="s">
        <v>182</v>
      </c>
      <c r="B641" t="s">
        <v>599</v>
      </c>
      <c r="C641" t="s">
        <v>183</v>
      </c>
      <c r="D641" t="s">
        <v>187</v>
      </c>
      <c r="E641" t="s">
        <v>188</v>
      </c>
      <c r="F641">
        <v>31</v>
      </c>
      <c r="H641" t="s">
        <v>186</v>
      </c>
      <c r="I641" t="s">
        <v>7</v>
      </c>
      <c r="J641" s="15">
        <f>USGS!I25</f>
        <v>0</v>
      </c>
      <c r="K641" s="15">
        <f>USGS!J25</f>
        <v>0</v>
      </c>
    </row>
    <row r="642" spans="1:11" x14ac:dyDescent="0.35">
      <c r="A642" t="s">
        <v>182</v>
      </c>
      <c r="B642" t="s">
        <v>599</v>
      </c>
      <c r="C642" t="s">
        <v>183</v>
      </c>
      <c r="D642" t="s">
        <v>229</v>
      </c>
      <c r="E642" t="s">
        <v>230</v>
      </c>
      <c r="F642">
        <v>82</v>
      </c>
      <c r="H642" t="s">
        <v>186</v>
      </c>
      <c r="I642" t="s">
        <v>7</v>
      </c>
      <c r="J642" s="15">
        <f>USGS!I26</f>
        <v>0</v>
      </c>
      <c r="K642" s="15">
        <f>USGS!J26</f>
        <v>0</v>
      </c>
    </row>
    <row r="643" spans="1:11" x14ac:dyDescent="0.35">
      <c r="A643" t="s">
        <v>182</v>
      </c>
      <c r="B643" t="s">
        <v>599</v>
      </c>
      <c r="C643" t="s">
        <v>183</v>
      </c>
      <c r="D643" t="s">
        <v>254</v>
      </c>
      <c r="E643" t="s">
        <v>255</v>
      </c>
      <c r="F643">
        <v>10</v>
      </c>
      <c r="H643" t="s">
        <v>186</v>
      </c>
      <c r="I643" t="s">
        <v>7</v>
      </c>
      <c r="J643" s="15">
        <f>USGS!I27</f>
        <v>0</v>
      </c>
      <c r="K643" s="15">
        <f>USGS!J27</f>
        <v>0</v>
      </c>
    </row>
    <row r="644" spans="1:11" x14ac:dyDescent="0.35">
      <c r="A644" t="s">
        <v>182</v>
      </c>
      <c r="B644" t="s">
        <v>599</v>
      </c>
      <c r="C644" t="s">
        <v>183</v>
      </c>
      <c r="D644" t="s">
        <v>202</v>
      </c>
      <c r="E644" t="s">
        <v>203</v>
      </c>
      <c r="F644">
        <v>0</v>
      </c>
      <c r="H644" t="s">
        <v>186</v>
      </c>
      <c r="I644" t="s">
        <v>7</v>
      </c>
      <c r="J644" s="15">
        <f>USGS!I28</f>
        <v>0</v>
      </c>
      <c r="K644" s="15">
        <f>USGS!J28</f>
        <v>0</v>
      </c>
    </row>
    <row r="645" spans="1:11" x14ac:dyDescent="0.35">
      <c r="A645" t="s">
        <v>182</v>
      </c>
      <c r="B645" t="s">
        <v>599</v>
      </c>
      <c r="C645" t="s">
        <v>189</v>
      </c>
      <c r="D645" t="s">
        <v>231</v>
      </c>
      <c r="E645" t="s">
        <v>232</v>
      </c>
      <c r="F645">
        <v>46</v>
      </c>
      <c r="H645" t="s">
        <v>192</v>
      </c>
      <c r="I645" t="s">
        <v>7</v>
      </c>
      <c r="J645" s="15">
        <f>USGS!I29</f>
        <v>0</v>
      </c>
      <c r="K645" s="15">
        <f>USGS!J29</f>
        <v>0</v>
      </c>
    </row>
    <row r="646" spans="1:11" x14ac:dyDescent="0.35">
      <c r="A646" t="s">
        <v>182</v>
      </c>
      <c r="B646" t="s">
        <v>599</v>
      </c>
      <c r="C646" t="s">
        <v>189</v>
      </c>
      <c r="D646" t="s">
        <v>190</v>
      </c>
      <c r="E646" t="s">
        <v>191</v>
      </c>
      <c r="F646">
        <v>29</v>
      </c>
      <c r="H646" t="s">
        <v>192</v>
      </c>
      <c r="I646" t="s">
        <v>7</v>
      </c>
      <c r="J646" s="15">
        <f>USGS!I30</f>
        <v>0</v>
      </c>
      <c r="K646" s="15">
        <f>USGS!J30</f>
        <v>0</v>
      </c>
    </row>
    <row r="647" spans="1:11" x14ac:dyDescent="0.35">
      <c r="A647" t="s">
        <v>182</v>
      </c>
      <c r="B647" t="s">
        <v>599</v>
      </c>
      <c r="C647" t="s">
        <v>189</v>
      </c>
      <c r="D647" t="s">
        <v>193</v>
      </c>
      <c r="E647" t="s">
        <v>194</v>
      </c>
      <c r="F647">
        <v>707</v>
      </c>
      <c r="H647" t="s">
        <v>192</v>
      </c>
      <c r="I647" t="s">
        <v>7</v>
      </c>
      <c r="J647" s="15">
        <f>USGS!I31</f>
        <v>0</v>
      </c>
      <c r="K647" s="15">
        <f>USGS!J31</f>
        <v>0</v>
      </c>
    </row>
    <row r="648" spans="1:11" x14ac:dyDescent="0.35">
      <c r="A648" t="s">
        <v>182</v>
      </c>
      <c r="B648" t="s">
        <v>599</v>
      </c>
      <c r="C648" t="s">
        <v>204</v>
      </c>
      <c r="D648" t="s">
        <v>245</v>
      </c>
      <c r="E648" t="s">
        <v>246</v>
      </c>
      <c r="F648">
        <v>22</v>
      </c>
      <c r="H648" t="s">
        <v>186</v>
      </c>
      <c r="I648" t="s">
        <v>7</v>
      </c>
      <c r="J648" s="15">
        <f>USGS!I32</f>
        <v>0</v>
      </c>
      <c r="K648" s="15">
        <f>USGS!J32</f>
        <v>0</v>
      </c>
    </row>
    <row r="649" spans="1:11" x14ac:dyDescent="0.35">
      <c r="A649" t="s">
        <v>182</v>
      </c>
      <c r="B649" t="s">
        <v>599</v>
      </c>
      <c r="C649" t="s">
        <v>204</v>
      </c>
      <c r="D649" t="s">
        <v>207</v>
      </c>
      <c r="E649" t="s">
        <v>208</v>
      </c>
      <c r="F649">
        <v>1528</v>
      </c>
      <c r="H649" t="s">
        <v>186</v>
      </c>
      <c r="I649" t="s">
        <v>7</v>
      </c>
      <c r="J649" s="15">
        <f>USGS!I33</f>
        <v>0</v>
      </c>
      <c r="K649" s="15">
        <f>USGS!J33</f>
        <v>0</v>
      </c>
    </row>
    <row r="650" spans="1:11" x14ac:dyDescent="0.35">
      <c r="A650" t="s">
        <v>182</v>
      </c>
      <c r="B650" t="s">
        <v>599</v>
      </c>
      <c r="C650" t="s">
        <v>204</v>
      </c>
      <c r="D650" t="s">
        <v>209</v>
      </c>
      <c r="E650" t="s">
        <v>210</v>
      </c>
      <c r="F650">
        <v>0</v>
      </c>
      <c r="H650" t="s">
        <v>186</v>
      </c>
      <c r="I650" t="s">
        <v>7</v>
      </c>
      <c r="J650" s="15">
        <f>USGS!I34</f>
        <v>0</v>
      </c>
      <c r="K650" s="15">
        <f>USGS!J34</f>
        <v>0</v>
      </c>
    </row>
    <row r="651" spans="1:11" x14ac:dyDescent="0.35">
      <c r="A651" t="s">
        <v>182</v>
      </c>
      <c r="B651" t="s">
        <v>599</v>
      </c>
      <c r="C651" t="s">
        <v>204</v>
      </c>
      <c r="D651" t="s">
        <v>202</v>
      </c>
      <c r="E651" t="s">
        <v>203</v>
      </c>
      <c r="F651">
        <v>0</v>
      </c>
      <c r="H651" t="s">
        <v>186</v>
      </c>
      <c r="I651" t="s">
        <v>7</v>
      </c>
      <c r="J651" s="15">
        <f>USGS!I35</f>
        <v>0</v>
      </c>
      <c r="K651" s="15">
        <f>USGS!J35</f>
        <v>0</v>
      </c>
    </row>
    <row r="652" spans="1:11" x14ac:dyDescent="0.35">
      <c r="A652" t="s">
        <v>11</v>
      </c>
      <c r="C652" t="s">
        <v>12</v>
      </c>
      <c r="D652" t="s">
        <v>24</v>
      </c>
      <c r="E652" t="s">
        <v>25</v>
      </c>
      <c r="F652">
        <v>100</v>
      </c>
      <c r="G652" t="s">
        <v>26</v>
      </c>
      <c r="I652" t="s">
        <v>428</v>
      </c>
      <c r="J652" s="15">
        <f>NPS!I2</f>
        <v>0</v>
      </c>
      <c r="K652" s="15">
        <f>NPS!J2</f>
        <v>0</v>
      </c>
    </row>
    <row r="653" spans="1:11" x14ac:dyDescent="0.35">
      <c r="A653" t="s">
        <v>11</v>
      </c>
      <c r="C653" t="s">
        <v>13</v>
      </c>
      <c r="D653" t="s">
        <v>27</v>
      </c>
      <c r="E653" t="s">
        <v>28</v>
      </c>
      <c r="F653">
        <v>1</v>
      </c>
      <c r="G653" t="s">
        <v>29</v>
      </c>
      <c r="I653" t="s">
        <v>428</v>
      </c>
      <c r="J653" s="15">
        <f>NPS!I3</f>
        <v>0</v>
      </c>
      <c r="K653" s="15">
        <f>NPS!J3</f>
        <v>0</v>
      </c>
    </row>
    <row r="654" spans="1:11" x14ac:dyDescent="0.35">
      <c r="A654" t="s">
        <v>11</v>
      </c>
      <c r="C654" t="s">
        <v>13</v>
      </c>
      <c r="D654" t="s">
        <v>30</v>
      </c>
      <c r="E654" t="s">
        <v>31</v>
      </c>
      <c r="F654">
        <v>1</v>
      </c>
      <c r="G654" t="s">
        <v>29</v>
      </c>
      <c r="I654" t="s">
        <v>428</v>
      </c>
      <c r="J654" s="15">
        <f>NPS!I4</f>
        <v>0</v>
      </c>
      <c r="K654" s="15">
        <f>NPS!J4</f>
        <v>0</v>
      </c>
    </row>
    <row r="655" spans="1:11" x14ac:dyDescent="0.35">
      <c r="A655" t="s">
        <v>11</v>
      </c>
      <c r="C655" t="s">
        <v>13</v>
      </c>
      <c r="D655" t="s">
        <v>32</v>
      </c>
      <c r="E655" t="s">
        <v>33</v>
      </c>
      <c r="F655">
        <v>1</v>
      </c>
      <c r="G655" t="s">
        <v>29</v>
      </c>
      <c r="I655" t="s">
        <v>428</v>
      </c>
      <c r="J655" s="15">
        <f>NPS!I5</f>
        <v>0</v>
      </c>
      <c r="K655" s="15">
        <f>NPS!J5</f>
        <v>0</v>
      </c>
    </row>
    <row r="656" spans="1:11" x14ac:dyDescent="0.35">
      <c r="A656" t="s">
        <v>11</v>
      </c>
      <c r="C656" t="s">
        <v>13</v>
      </c>
      <c r="D656" t="s">
        <v>34</v>
      </c>
      <c r="E656" t="s">
        <v>35</v>
      </c>
      <c r="F656">
        <v>1</v>
      </c>
      <c r="G656" t="s">
        <v>26</v>
      </c>
      <c r="I656" t="s">
        <v>428</v>
      </c>
      <c r="J656" s="15">
        <f>NPS!I6</f>
        <v>0</v>
      </c>
      <c r="K656" s="15">
        <f>NPS!J6</f>
        <v>0</v>
      </c>
    </row>
    <row r="657" spans="1:11" x14ac:dyDescent="0.35">
      <c r="A657" t="s">
        <v>11</v>
      </c>
      <c r="C657" t="s">
        <v>14</v>
      </c>
      <c r="D657" t="s">
        <v>36</v>
      </c>
      <c r="E657" t="s">
        <v>37</v>
      </c>
      <c r="F657">
        <v>1</v>
      </c>
      <c r="G657" t="s">
        <v>29</v>
      </c>
      <c r="I657" t="s">
        <v>428</v>
      </c>
      <c r="J657" s="15">
        <f>NPS!I7</f>
        <v>0</v>
      </c>
      <c r="K657" s="15">
        <f>NPS!J7</f>
        <v>0</v>
      </c>
    </row>
    <row r="658" spans="1:11" x14ac:dyDescent="0.35">
      <c r="A658" t="s">
        <v>11</v>
      </c>
      <c r="C658" t="s">
        <v>14</v>
      </c>
      <c r="D658" t="s">
        <v>38</v>
      </c>
      <c r="E658" t="s">
        <v>35</v>
      </c>
      <c r="F658">
        <v>1</v>
      </c>
      <c r="G658" t="s">
        <v>26</v>
      </c>
      <c r="I658" t="s">
        <v>428</v>
      </c>
      <c r="J658" s="15">
        <f>NPS!I8</f>
        <v>0</v>
      </c>
      <c r="K658" s="15">
        <f>NPS!J8</f>
        <v>0</v>
      </c>
    </row>
    <row r="659" spans="1:11" x14ac:dyDescent="0.35">
      <c r="A659" t="s">
        <v>15</v>
      </c>
      <c r="C659" t="s">
        <v>16</v>
      </c>
      <c r="D659" t="s">
        <v>39</v>
      </c>
      <c r="E659" t="s">
        <v>40</v>
      </c>
      <c r="F659">
        <v>11</v>
      </c>
      <c r="G659" t="s">
        <v>29</v>
      </c>
      <c r="I659" t="s">
        <v>428</v>
      </c>
      <c r="J659" s="15">
        <f>NPS!I9</f>
        <v>0</v>
      </c>
      <c r="K659" s="15">
        <f>NPS!J9</f>
        <v>0</v>
      </c>
    </row>
    <row r="660" spans="1:11" x14ac:dyDescent="0.35">
      <c r="A660" t="s">
        <v>15</v>
      </c>
      <c r="C660" t="s">
        <v>16</v>
      </c>
      <c r="D660" t="s">
        <v>41</v>
      </c>
      <c r="E660" t="s">
        <v>42</v>
      </c>
      <c r="F660">
        <v>1</v>
      </c>
      <c r="G660" t="s">
        <v>26</v>
      </c>
      <c r="I660" t="s">
        <v>428</v>
      </c>
      <c r="J660" s="15">
        <f>NPS!I10</f>
        <v>0</v>
      </c>
      <c r="K660" s="15">
        <f>NPS!J10</f>
        <v>0</v>
      </c>
    </row>
    <row r="661" spans="1:11" x14ac:dyDescent="0.35">
      <c r="A661" t="s">
        <v>15</v>
      </c>
      <c r="C661" t="s">
        <v>16</v>
      </c>
      <c r="D661" t="s">
        <v>93</v>
      </c>
      <c r="E661" t="s">
        <v>94</v>
      </c>
      <c r="F661">
        <v>2</v>
      </c>
      <c r="G661" t="s">
        <v>29</v>
      </c>
      <c r="I661" t="s">
        <v>428</v>
      </c>
      <c r="J661" s="15">
        <f>NPS!I11</f>
        <v>0</v>
      </c>
      <c r="K661" s="15">
        <f>NPS!J11</f>
        <v>0</v>
      </c>
    </row>
    <row r="662" spans="1:11" x14ac:dyDescent="0.35">
      <c r="A662" t="s">
        <v>17</v>
      </c>
      <c r="C662" t="s">
        <v>18</v>
      </c>
      <c r="D662" t="s">
        <v>177</v>
      </c>
      <c r="E662" t="s">
        <v>50</v>
      </c>
      <c r="F662">
        <v>2</v>
      </c>
      <c r="G662" t="s">
        <v>88</v>
      </c>
      <c r="I662" t="s">
        <v>428</v>
      </c>
      <c r="J662" s="15">
        <f>NPS!I12</f>
        <v>0</v>
      </c>
      <c r="K662" s="15">
        <f>NPS!J12</f>
        <v>0</v>
      </c>
    </row>
    <row r="663" spans="1:11" x14ac:dyDescent="0.35">
      <c r="A663" t="s">
        <v>17</v>
      </c>
      <c r="C663" t="s">
        <v>18</v>
      </c>
      <c r="D663" t="s">
        <v>45</v>
      </c>
      <c r="E663" t="s">
        <v>46</v>
      </c>
      <c r="F663">
        <v>1</v>
      </c>
      <c r="G663" t="s">
        <v>29</v>
      </c>
      <c r="I663" t="s">
        <v>428</v>
      </c>
      <c r="J663" s="15">
        <f>NPS!I13</f>
        <v>0</v>
      </c>
      <c r="K663" s="15">
        <f>NPS!J13</f>
        <v>0</v>
      </c>
    </row>
    <row r="664" spans="1:11" x14ac:dyDescent="0.35">
      <c r="A664" t="s">
        <v>17</v>
      </c>
      <c r="C664" t="s">
        <v>18</v>
      </c>
      <c r="D664" t="s">
        <v>430</v>
      </c>
      <c r="E664" t="s">
        <v>431</v>
      </c>
      <c r="F664">
        <v>3</v>
      </c>
      <c r="G664" t="s">
        <v>29</v>
      </c>
      <c r="I664" t="s">
        <v>428</v>
      </c>
      <c r="J664" s="15">
        <f>NPS!I14</f>
        <v>0</v>
      </c>
      <c r="K664" s="15">
        <f>NPS!J14</f>
        <v>0</v>
      </c>
    </row>
    <row r="665" spans="1:11" x14ac:dyDescent="0.35">
      <c r="A665" t="s">
        <v>17</v>
      </c>
      <c r="C665" t="s">
        <v>18</v>
      </c>
      <c r="D665" t="s">
        <v>86</v>
      </c>
      <c r="E665" t="s">
        <v>87</v>
      </c>
      <c r="F665">
        <v>3</v>
      </c>
      <c r="G665" t="s">
        <v>88</v>
      </c>
      <c r="I665" t="s">
        <v>428</v>
      </c>
      <c r="J665" s="15">
        <f>NPS!I15</f>
        <v>0</v>
      </c>
      <c r="K665" s="15">
        <f>NPS!J15</f>
        <v>0</v>
      </c>
    </row>
    <row r="666" spans="1:11" x14ac:dyDescent="0.35">
      <c r="A666" t="s">
        <v>17</v>
      </c>
      <c r="C666" t="s">
        <v>18</v>
      </c>
      <c r="D666" t="s">
        <v>47</v>
      </c>
      <c r="E666" t="s">
        <v>48</v>
      </c>
      <c r="F666">
        <v>9</v>
      </c>
      <c r="G666" t="s">
        <v>29</v>
      </c>
      <c r="I666" t="s">
        <v>428</v>
      </c>
      <c r="J666" s="15">
        <f>NPS!I16</f>
        <v>0</v>
      </c>
      <c r="K666" s="15">
        <f>NPS!J16</f>
        <v>0</v>
      </c>
    </row>
    <row r="667" spans="1:11" x14ac:dyDescent="0.35">
      <c r="A667" t="s">
        <v>17</v>
      </c>
      <c r="C667" t="s">
        <v>18</v>
      </c>
      <c r="D667" t="s">
        <v>432</v>
      </c>
      <c r="E667" t="s">
        <v>87</v>
      </c>
      <c r="F667">
        <v>5</v>
      </c>
      <c r="G667" t="s">
        <v>29</v>
      </c>
      <c r="I667" t="s">
        <v>428</v>
      </c>
      <c r="J667" s="15">
        <f>NPS!I17</f>
        <v>0</v>
      </c>
      <c r="K667" s="15">
        <f>NPS!J17</f>
        <v>0</v>
      </c>
    </row>
    <row r="668" spans="1:11" x14ac:dyDescent="0.35">
      <c r="A668" t="s">
        <v>17</v>
      </c>
      <c r="C668" t="s">
        <v>18</v>
      </c>
      <c r="D668" t="s">
        <v>433</v>
      </c>
      <c r="E668" t="s">
        <v>434</v>
      </c>
      <c r="F668">
        <v>1</v>
      </c>
      <c r="G668" t="s">
        <v>29</v>
      </c>
      <c r="I668" t="s">
        <v>428</v>
      </c>
      <c r="J668" s="15">
        <f>NPS!I18</f>
        <v>0</v>
      </c>
      <c r="K668" s="15">
        <f>NPS!J18</f>
        <v>0</v>
      </c>
    </row>
    <row r="669" spans="1:11" x14ac:dyDescent="0.35">
      <c r="A669" t="s">
        <v>17</v>
      </c>
      <c r="C669" t="s">
        <v>18</v>
      </c>
      <c r="D669" t="s">
        <v>137</v>
      </c>
      <c r="E669" t="s">
        <v>51</v>
      </c>
      <c r="F669">
        <v>2</v>
      </c>
      <c r="G669" t="s">
        <v>88</v>
      </c>
      <c r="I669" t="s">
        <v>428</v>
      </c>
      <c r="J669" s="15">
        <f>NPS!I19</f>
        <v>0</v>
      </c>
      <c r="K669" s="15">
        <f>NPS!J19</f>
        <v>0</v>
      </c>
    </row>
    <row r="670" spans="1:11" x14ac:dyDescent="0.35">
      <c r="A670" t="s">
        <v>17</v>
      </c>
      <c r="C670" t="s">
        <v>18</v>
      </c>
      <c r="D670" t="s">
        <v>435</v>
      </c>
      <c r="E670" t="s">
        <v>51</v>
      </c>
      <c r="F670">
        <v>1</v>
      </c>
      <c r="G670" t="s">
        <v>29</v>
      </c>
      <c r="I670" t="s">
        <v>428</v>
      </c>
      <c r="J670" s="15">
        <f>NPS!I20</f>
        <v>0</v>
      </c>
      <c r="K670" s="15">
        <f>NPS!J20</f>
        <v>0</v>
      </c>
    </row>
    <row r="671" spans="1:11" x14ac:dyDescent="0.35">
      <c r="A671" t="s">
        <v>17</v>
      </c>
      <c r="C671" t="s">
        <v>18</v>
      </c>
      <c r="D671" t="s">
        <v>138</v>
      </c>
      <c r="E671" t="s">
        <v>53</v>
      </c>
      <c r="F671">
        <v>11</v>
      </c>
      <c r="G671" t="s">
        <v>88</v>
      </c>
      <c r="I671" t="s">
        <v>428</v>
      </c>
      <c r="J671" s="15">
        <f>NPS!I21</f>
        <v>0</v>
      </c>
      <c r="K671" s="15">
        <f>NPS!J21</f>
        <v>0</v>
      </c>
    </row>
    <row r="672" spans="1:11" x14ac:dyDescent="0.35">
      <c r="A672" t="s">
        <v>17</v>
      </c>
      <c r="C672" t="s">
        <v>18</v>
      </c>
      <c r="D672" t="s">
        <v>52</v>
      </c>
      <c r="E672" t="s">
        <v>53</v>
      </c>
      <c r="F672">
        <v>75</v>
      </c>
      <c r="G672" t="s">
        <v>29</v>
      </c>
      <c r="I672" t="s">
        <v>428</v>
      </c>
      <c r="J672" s="15">
        <f>NPS!I22</f>
        <v>0</v>
      </c>
      <c r="K672" s="15">
        <f>NPS!J22</f>
        <v>0</v>
      </c>
    </row>
    <row r="673" spans="1:11" x14ac:dyDescent="0.35">
      <c r="A673" t="s">
        <v>17</v>
      </c>
      <c r="C673" t="s">
        <v>18</v>
      </c>
      <c r="D673" t="s">
        <v>141</v>
      </c>
      <c r="E673" t="s">
        <v>54</v>
      </c>
      <c r="F673">
        <v>12</v>
      </c>
      <c r="G673" t="s">
        <v>88</v>
      </c>
      <c r="I673" t="s">
        <v>428</v>
      </c>
      <c r="J673" s="15">
        <f>NPS!I23</f>
        <v>0</v>
      </c>
      <c r="K673" s="15">
        <f>NPS!J23</f>
        <v>0</v>
      </c>
    </row>
    <row r="674" spans="1:11" x14ac:dyDescent="0.35">
      <c r="A674" t="s">
        <v>17</v>
      </c>
      <c r="C674" t="s">
        <v>18</v>
      </c>
      <c r="D674" t="s">
        <v>142</v>
      </c>
      <c r="E674" t="s">
        <v>143</v>
      </c>
      <c r="F674">
        <v>187</v>
      </c>
      <c r="G674" t="s">
        <v>88</v>
      </c>
      <c r="I674" t="s">
        <v>428</v>
      </c>
      <c r="J674" s="15">
        <f>NPS!I24</f>
        <v>0</v>
      </c>
      <c r="K674" s="15">
        <f>NPS!J24</f>
        <v>0</v>
      </c>
    </row>
    <row r="675" spans="1:11" x14ac:dyDescent="0.35">
      <c r="A675" t="s">
        <v>17</v>
      </c>
      <c r="C675" t="s">
        <v>18</v>
      </c>
      <c r="D675" t="s">
        <v>436</v>
      </c>
      <c r="E675" t="s">
        <v>143</v>
      </c>
      <c r="F675">
        <v>187</v>
      </c>
      <c r="G675" t="s">
        <v>29</v>
      </c>
      <c r="I675" t="s">
        <v>428</v>
      </c>
      <c r="J675" s="15">
        <f>NPS!I25</f>
        <v>0</v>
      </c>
      <c r="K675" s="15">
        <f>NPS!J25</f>
        <v>0</v>
      </c>
    </row>
    <row r="676" spans="1:11" x14ac:dyDescent="0.35">
      <c r="A676" t="s">
        <v>17</v>
      </c>
      <c r="C676" t="s">
        <v>18</v>
      </c>
      <c r="D676" t="s">
        <v>437</v>
      </c>
      <c r="E676" t="s">
        <v>438</v>
      </c>
      <c r="F676">
        <v>5</v>
      </c>
      <c r="G676" t="s">
        <v>88</v>
      </c>
      <c r="I676" t="s">
        <v>428</v>
      </c>
      <c r="J676" s="15">
        <f>NPS!I26</f>
        <v>0</v>
      </c>
      <c r="K676" s="15">
        <f>NPS!J26</f>
        <v>0</v>
      </c>
    </row>
    <row r="677" spans="1:11" x14ac:dyDescent="0.35">
      <c r="A677" t="s">
        <v>17</v>
      </c>
      <c r="C677" t="s">
        <v>18</v>
      </c>
      <c r="D677" t="s">
        <v>95</v>
      </c>
      <c r="E677" t="s">
        <v>96</v>
      </c>
      <c r="F677">
        <v>5</v>
      </c>
      <c r="G677" t="s">
        <v>29</v>
      </c>
      <c r="I677" t="s">
        <v>428</v>
      </c>
      <c r="J677" s="15">
        <f>NPS!I27</f>
        <v>0</v>
      </c>
      <c r="K677" s="15">
        <f>NPS!J27</f>
        <v>0</v>
      </c>
    </row>
    <row r="678" spans="1:11" x14ac:dyDescent="0.35">
      <c r="A678" t="s">
        <v>17</v>
      </c>
      <c r="C678" t="s">
        <v>18</v>
      </c>
      <c r="D678" t="s">
        <v>127</v>
      </c>
      <c r="E678" t="s">
        <v>96</v>
      </c>
      <c r="F678">
        <v>74</v>
      </c>
      <c r="G678" t="s">
        <v>88</v>
      </c>
      <c r="I678" t="s">
        <v>428</v>
      </c>
      <c r="J678" s="15">
        <f>NPS!I28</f>
        <v>0</v>
      </c>
      <c r="K678" s="15">
        <f>NPS!J28</f>
        <v>0</v>
      </c>
    </row>
    <row r="679" spans="1:11" x14ac:dyDescent="0.35">
      <c r="A679" t="s">
        <v>17</v>
      </c>
      <c r="C679" t="s">
        <v>18</v>
      </c>
      <c r="D679" t="s">
        <v>439</v>
      </c>
      <c r="E679" t="s">
        <v>98</v>
      </c>
      <c r="F679">
        <v>2</v>
      </c>
      <c r="G679" t="s">
        <v>88</v>
      </c>
      <c r="I679" t="s">
        <v>428</v>
      </c>
      <c r="J679" s="15">
        <f>NPS!I29</f>
        <v>0</v>
      </c>
      <c r="K679" s="15">
        <f>NPS!J29</f>
        <v>0</v>
      </c>
    </row>
    <row r="680" spans="1:11" x14ac:dyDescent="0.35">
      <c r="A680" t="s">
        <v>17</v>
      </c>
      <c r="C680" t="s">
        <v>18</v>
      </c>
      <c r="D680" t="s">
        <v>440</v>
      </c>
      <c r="E680" t="s">
        <v>441</v>
      </c>
      <c r="F680">
        <v>36</v>
      </c>
      <c r="G680" t="s">
        <v>29</v>
      </c>
      <c r="I680" t="s">
        <v>428</v>
      </c>
      <c r="J680" s="15">
        <f>NPS!I30</f>
        <v>0</v>
      </c>
      <c r="K680" s="15">
        <f>NPS!J30</f>
        <v>0</v>
      </c>
    </row>
    <row r="681" spans="1:11" x14ac:dyDescent="0.35">
      <c r="A681" t="s">
        <v>17</v>
      </c>
      <c r="C681" t="s">
        <v>18</v>
      </c>
      <c r="D681" t="s">
        <v>144</v>
      </c>
      <c r="E681" t="s">
        <v>55</v>
      </c>
      <c r="F681">
        <v>232</v>
      </c>
      <c r="G681" t="s">
        <v>88</v>
      </c>
      <c r="I681" t="s">
        <v>428</v>
      </c>
      <c r="J681" s="15">
        <f>NPS!I31</f>
        <v>0</v>
      </c>
      <c r="K681" s="15">
        <f>NPS!J31</f>
        <v>0</v>
      </c>
    </row>
    <row r="682" spans="1:11" x14ac:dyDescent="0.35">
      <c r="A682" t="s">
        <v>17</v>
      </c>
      <c r="C682" t="s">
        <v>18</v>
      </c>
      <c r="D682" t="s">
        <v>442</v>
      </c>
      <c r="E682" t="s">
        <v>443</v>
      </c>
      <c r="F682">
        <v>1</v>
      </c>
      <c r="G682" t="s">
        <v>29</v>
      </c>
      <c r="I682" t="s">
        <v>428</v>
      </c>
      <c r="J682" s="15">
        <f>NPS!I32</f>
        <v>0</v>
      </c>
      <c r="K682" s="15">
        <f>NPS!J32</f>
        <v>0</v>
      </c>
    </row>
    <row r="683" spans="1:11" x14ac:dyDescent="0.35">
      <c r="A683" t="s">
        <v>17</v>
      </c>
      <c r="C683" t="s">
        <v>18</v>
      </c>
      <c r="D683" t="s">
        <v>444</v>
      </c>
      <c r="E683" t="s">
        <v>55</v>
      </c>
      <c r="F683">
        <v>42</v>
      </c>
      <c r="G683" t="s">
        <v>29</v>
      </c>
      <c r="I683" t="s">
        <v>428</v>
      </c>
      <c r="J683" s="15">
        <f>NPS!I33</f>
        <v>0</v>
      </c>
      <c r="K683" s="15">
        <f>NPS!J33</f>
        <v>0</v>
      </c>
    </row>
    <row r="684" spans="1:11" x14ac:dyDescent="0.35">
      <c r="A684" t="s">
        <v>17</v>
      </c>
      <c r="C684" t="s">
        <v>18</v>
      </c>
      <c r="D684" t="s">
        <v>56</v>
      </c>
      <c r="E684" t="s">
        <v>57</v>
      </c>
      <c r="F684">
        <v>9</v>
      </c>
      <c r="G684" t="s">
        <v>29</v>
      </c>
      <c r="I684" t="s">
        <v>428</v>
      </c>
      <c r="J684" s="15">
        <f>NPS!I34</f>
        <v>0</v>
      </c>
      <c r="K684" s="15">
        <f>NPS!J34</f>
        <v>0</v>
      </c>
    </row>
    <row r="685" spans="1:11" x14ac:dyDescent="0.35">
      <c r="A685" t="s">
        <v>17</v>
      </c>
      <c r="C685" t="s">
        <v>18</v>
      </c>
      <c r="D685" t="s">
        <v>445</v>
      </c>
      <c r="E685" t="s">
        <v>446</v>
      </c>
      <c r="F685">
        <v>15</v>
      </c>
      <c r="G685" t="s">
        <v>88</v>
      </c>
      <c r="I685" t="s">
        <v>428</v>
      </c>
      <c r="J685" s="15">
        <f>NPS!I35</f>
        <v>0</v>
      </c>
      <c r="K685" s="15">
        <f>NPS!J35</f>
        <v>0</v>
      </c>
    </row>
    <row r="686" spans="1:11" x14ac:dyDescent="0.35">
      <c r="A686" t="s">
        <v>17</v>
      </c>
      <c r="C686" t="s">
        <v>18</v>
      </c>
      <c r="D686" t="s">
        <v>58</v>
      </c>
      <c r="E686" t="s">
        <v>59</v>
      </c>
      <c r="F686">
        <v>1</v>
      </c>
      <c r="G686" t="s">
        <v>26</v>
      </c>
      <c r="I686" t="s">
        <v>428</v>
      </c>
      <c r="J686" s="15">
        <f>NPS!I36</f>
        <v>0</v>
      </c>
      <c r="K686" s="15">
        <f>NPS!J36</f>
        <v>0</v>
      </c>
    </row>
    <row r="687" spans="1:11" x14ac:dyDescent="0.35">
      <c r="A687" t="s">
        <v>17</v>
      </c>
      <c r="C687" t="s">
        <v>18</v>
      </c>
      <c r="D687" t="s">
        <v>447</v>
      </c>
      <c r="E687" t="s">
        <v>446</v>
      </c>
      <c r="F687">
        <v>2</v>
      </c>
      <c r="G687" t="s">
        <v>29</v>
      </c>
      <c r="I687" t="s">
        <v>428</v>
      </c>
      <c r="J687" s="15">
        <f>NPS!I37</f>
        <v>0</v>
      </c>
      <c r="K687" s="15">
        <f>NPS!J37</f>
        <v>0</v>
      </c>
    </row>
    <row r="688" spans="1:11" x14ac:dyDescent="0.35">
      <c r="A688" t="s">
        <v>17</v>
      </c>
      <c r="C688" t="s">
        <v>18</v>
      </c>
      <c r="D688" t="s">
        <v>97</v>
      </c>
      <c r="E688" t="s">
        <v>98</v>
      </c>
      <c r="F688">
        <v>3</v>
      </c>
      <c r="G688" t="s">
        <v>29</v>
      </c>
      <c r="I688" t="s">
        <v>428</v>
      </c>
      <c r="J688" s="15">
        <f>NPS!I38</f>
        <v>0</v>
      </c>
      <c r="K688" s="15">
        <f>NPS!J38</f>
        <v>0</v>
      </c>
    </row>
    <row r="689" spans="1:11" x14ac:dyDescent="0.35">
      <c r="A689" t="s">
        <v>17</v>
      </c>
      <c r="C689" t="s">
        <v>18</v>
      </c>
      <c r="D689" t="s">
        <v>145</v>
      </c>
      <c r="E689" t="s">
        <v>146</v>
      </c>
      <c r="F689">
        <v>161</v>
      </c>
      <c r="G689" t="s">
        <v>88</v>
      </c>
      <c r="I689" t="s">
        <v>428</v>
      </c>
      <c r="J689" s="15">
        <f>NPS!I39</f>
        <v>0</v>
      </c>
      <c r="K689" s="15">
        <f>NPS!J39</f>
        <v>0</v>
      </c>
    </row>
    <row r="690" spans="1:11" x14ac:dyDescent="0.35">
      <c r="A690" t="s">
        <v>17</v>
      </c>
      <c r="C690" t="s">
        <v>19</v>
      </c>
      <c r="D690" t="s">
        <v>147</v>
      </c>
      <c r="E690" t="s">
        <v>19</v>
      </c>
      <c r="F690">
        <v>275</v>
      </c>
      <c r="G690" t="s">
        <v>88</v>
      </c>
      <c r="I690" t="s">
        <v>428</v>
      </c>
      <c r="J690" s="15">
        <f>NPS!I40</f>
        <v>0</v>
      </c>
      <c r="K690" s="15">
        <f>NPS!J40</f>
        <v>0</v>
      </c>
    </row>
    <row r="691" spans="1:11" x14ac:dyDescent="0.35">
      <c r="A691" t="s">
        <v>17</v>
      </c>
      <c r="C691" t="s">
        <v>19</v>
      </c>
      <c r="D691" t="s">
        <v>62</v>
      </c>
      <c r="E691" t="s">
        <v>19</v>
      </c>
      <c r="F691">
        <v>8</v>
      </c>
      <c r="G691" t="s">
        <v>29</v>
      </c>
      <c r="I691" t="s">
        <v>428</v>
      </c>
      <c r="J691" s="15">
        <f>NPS!I41</f>
        <v>0</v>
      </c>
      <c r="K691" s="15">
        <f>NPS!J41</f>
        <v>0</v>
      </c>
    </row>
    <row r="692" spans="1:11" x14ac:dyDescent="0.35">
      <c r="A692" t="s">
        <v>17</v>
      </c>
      <c r="C692" t="s">
        <v>19</v>
      </c>
      <c r="D692" t="s">
        <v>63</v>
      </c>
      <c r="E692" t="s">
        <v>64</v>
      </c>
      <c r="F692">
        <v>1</v>
      </c>
      <c r="G692" t="s">
        <v>26</v>
      </c>
      <c r="I692" t="s">
        <v>428</v>
      </c>
      <c r="J692" s="15">
        <f>NPS!I42</f>
        <v>0</v>
      </c>
      <c r="K692" s="15">
        <f>NPS!J42</f>
        <v>0</v>
      </c>
    </row>
    <row r="693" spans="1:11" x14ac:dyDescent="0.35">
      <c r="A693" t="s">
        <v>65</v>
      </c>
      <c r="C693" t="s">
        <v>66</v>
      </c>
      <c r="D693" t="s">
        <v>67</v>
      </c>
      <c r="E693" t="s">
        <v>68</v>
      </c>
      <c r="F693">
        <v>1</v>
      </c>
      <c r="I693" t="s">
        <v>428</v>
      </c>
      <c r="J693" s="15">
        <f>NPS!I43</f>
        <v>0</v>
      </c>
      <c r="K693" s="15">
        <f>NPS!J43</f>
        <v>0</v>
      </c>
    </row>
    <row r="694" spans="1:11" x14ac:dyDescent="0.35">
      <c r="A694" t="s">
        <v>65</v>
      </c>
      <c r="C694" t="s">
        <v>66</v>
      </c>
      <c r="D694" t="s">
        <v>69</v>
      </c>
      <c r="E694" t="s">
        <v>70</v>
      </c>
      <c r="F694">
        <v>100</v>
      </c>
      <c r="I694" t="s">
        <v>428</v>
      </c>
      <c r="J694" s="15">
        <f>NPS!I44</f>
        <v>0</v>
      </c>
      <c r="K694" s="15">
        <f>NPS!J44</f>
        <v>0</v>
      </c>
    </row>
    <row r="695" spans="1:11" x14ac:dyDescent="0.35">
      <c r="A695" t="s">
        <v>65</v>
      </c>
      <c r="C695" t="s">
        <v>71</v>
      </c>
      <c r="D695" t="s">
        <v>72</v>
      </c>
      <c r="E695" t="s">
        <v>73</v>
      </c>
      <c r="F695">
        <v>100</v>
      </c>
      <c r="I695" t="s">
        <v>428</v>
      </c>
      <c r="J695" s="15">
        <f>NPS!I45</f>
        <v>0</v>
      </c>
      <c r="K695" s="15">
        <f>NPS!J45</f>
        <v>0</v>
      </c>
    </row>
    <row r="696" spans="1:11" x14ac:dyDescent="0.35">
      <c r="A696" t="s">
        <v>65</v>
      </c>
      <c r="C696" t="s">
        <v>71</v>
      </c>
      <c r="D696" t="s">
        <v>74</v>
      </c>
      <c r="E696" t="s">
        <v>75</v>
      </c>
      <c r="F696">
        <v>1</v>
      </c>
      <c r="I696" t="s">
        <v>428</v>
      </c>
      <c r="J696" s="15">
        <f>NPS!I46</f>
        <v>0</v>
      </c>
      <c r="K696" s="15">
        <f>NPS!J46</f>
        <v>0</v>
      </c>
    </row>
    <row r="697" spans="1:11" x14ac:dyDescent="0.35">
      <c r="A697" t="s">
        <v>65</v>
      </c>
      <c r="C697" t="s">
        <v>71</v>
      </c>
      <c r="D697" t="s">
        <v>108</v>
      </c>
      <c r="E697" t="s">
        <v>109</v>
      </c>
      <c r="F697">
        <v>1000</v>
      </c>
      <c r="I697" t="s">
        <v>428</v>
      </c>
      <c r="J697" s="15">
        <f>NPS!I47</f>
        <v>0</v>
      </c>
      <c r="K697" s="15">
        <f>NPS!J47</f>
        <v>0</v>
      </c>
    </row>
    <row r="698" spans="1:11" x14ac:dyDescent="0.35">
      <c r="A698" t="s">
        <v>65</v>
      </c>
      <c r="C698" t="s">
        <v>71</v>
      </c>
      <c r="D698" t="s">
        <v>76</v>
      </c>
      <c r="E698" t="s">
        <v>77</v>
      </c>
      <c r="F698">
        <v>2000</v>
      </c>
      <c r="I698" t="s">
        <v>428</v>
      </c>
      <c r="J698" s="15">
        <f>NPS!I48</f>
        <v>0</v>
      </c>
      <c r="K698" s="15">
        <f>NPS!J48</f>
        <v>0</v>
      </c>
    </row>
    <row r="699" spans="1:11" x14ac:dyDescent="0.35">
      <c r="A699" t="s">
        <v>220</v>
      </c>
      <c r="C699" t="s">
        <v>221</v>
      </c>
      <c r="D699" t="s">
        <v>427</v>
      </c>
      <c r="E699" t="s">
        <v>422</v>
      </c>
      <c r="F699">
        <v>5</v>
      </c>
      <c r="H699" t="s">
        <v>215</v>
      </c>
      <c r="I699" t="s">
        <v>428</v>
      </c>
      <c r="J699" s="15">
        <f>NPS!I49</f>
        <v>0</v>
      </c>
      <c r="K699" s="15">
        <f>NPS!J49</f>
        <v>0</v>
      </c>
    </row>
    <row r="700" spans="1:11" x14ac:dyDescent="0.35">
      <c r="A700" t="s">
        <v>220</v>
      </c>
      <c r="C700" t="s">
        <v>221</v>
      </c>
      <c r="D700" t="s">
        <v>235</v>
      </c>
      <c r="E700" t="s">
        <v>236</v>
      </c>
      <c r="F700">
        <v>0</v>
      </c>
      <c r="H700" t="s">
        <v>215</v>
      </c>
      <c r="I700" t="s">
        <v>428</v>
      </c>
      <c r="J700" s="15">
        <f>NPS!I50</f>
        <v>0</v>
      </c>
      <c r="K700" s="15">
        <f>NPS!J50</f>
        <v>0</v>
      </c>
    </row>
    <row r="701" spans="1:11" x14ac:dyDescent="0.35">
      <c r="A701" t="s">
        <v>220</v>
      </c>
      <c r="C701" t="s">
        <v>221</v>
      </c>
      <c r="D701" t="s">
        <v>202</v>
      </c>
      <c r="E701" t="s">
        <v>203</v>
      </c>
      <c r="F701">
        <v>0</v>
      </c>
      <c r="H701" t="s">
        <v>215</v>
      </c>
      <c r="I701" t="s">
        <v>428</v>
      </c>
      <c r="J701" s="15">
        <f>NPS!I51</f>
        <v>0</v>
      </c>
      <c r="K701" s="15">
        <f>NPS!J51</f>
        <v>0</v>
      </c>
    </row>
    <row r="702" spans="1:11" x14ac:dyDescent="0.35">
      <c r="A702" t="s">
        <v>220</v>
      </c>
      <c r="C702" t="s">
        <v>225</v>
      </c>
      <c r="D702" t="s">
        <v>226</v>
      </c>
      <c r="E702" t="s">
        <v>227</v>
      </c>
      <c r="F702">
        <v>0</v>
      </c>
      <c r="H702" t="s">
        <v>228</v>
      </c>
      <c r="I702" t="s">
        <v>428</v>
      </c>
      <c r="J702" s="15">
        <f>NPS!I52</f>
        <v>0</v>
      </c>
      <c r="K702" s="15">
        <f>NPS!J52</f>
        <v>0</v>
      </c>
    </row>
    <row r="703" spans="1:11" x14ac:dyDescent="0.35">
      <c r="A703" t="s">
        <v>220</v>
      </c>
      <c r="C703" t="s">
        <v>225</v>
      </c>
      <c r="D703" t="s">
        <v>202</v>
      </c>
      <c r="E703" t="s">
        <v>203</v>
      </c>
      <c r="F703">
        <v>0</v>
      </c>
      <c r="H703" t="s">
        <v>228</v>
      </c>
      <c r="I703" t="s">
        <v>428</v>
      </c>
      <c r="J703" s="15">
        <f>NPS!I53</f>
        <v>0</v>
      </c>
      <c r="K703" s="15">
        <f>NPS!J53</f>
        <v>0</v>
      </c>
    </row>
    <row r="704" spans="1:11" x14ac:dyDescent="0.35">
      <c r="A704" t="s">
        <v>182</v>
      </c>
      <c r="C704" t="s">
        <v>183</v>
      </c>
      <c r="D704" t="s">
        <v>184</v>
      </c>
      <c r="E704" t="s">
        <v>185</v>
      </c>
      <c r="F704">
        <v>106</v>
      </c>
      <c r="I704" t="s">
        <v>428</v>
      </c>
      <c r="J704" s="15">
        <f>NPS!I54</f>
        <v>0</v>
      </c>
      <c r="K704" s="15">
        <f>NPS!J54</f>
        <v>0</v>
      </c>
    </row>
    <row r="705" spans="1:11" x14ac:dyDescent="0.35">
      <c r="A705" t="s">
        <v>182</v>
      </c>
      <c r="C705" t="s">
        <v>183</v>
      </c>
      <c r="D705" t="s">
        <v>187</v>
      </c>
      <c r="E705" t="s">
        <v>188</v>
      </c>
      <c r="F705">
        <v>1102</v>
      </c>
      <c r="I705" t="s">
        <v>428</v>
      </c>
      <c r="J705" s="15">
        <f>NPS!I55</f>
        <v>0</v>
      </c>
      <c r="K705" s="15">
        <f>NPS!J55</f>
        <v>0</v>
      </c>
    </row>
    <row r="706" spans="1:11" x14ac:dyDescent="0.35">
      <c r="A706" t="s">
        <v>182</v>
      </c>
      <c r="C706" t="s">
        <v>183</v>
      </c>
      <c r="D706" t="s">
        <v>229</v>
      </c>
      <c r="E706" t="s">
        <v>230</v>
      </c>
      <c r="F706">
        <v>1536</v>
      </c>
      <c r="I706" t="s">
        <v>428</v>
      </c>
      <c r="J706" s="15">
        <f>NPS!I56</f>
        <v>0</v>
      </c>
      <c r="K706" s="15">
        <f>NPS!J56</f>
        <v>0</v>
      </c>
    </row>
    <row r="707" spans="1:11" x14ac:dyDescent="0.35">
      <c r="A707" t="s">
        <v>182</v>
      </c>
      <c r="C707" t="s">
        <v>183</v>
      </c>
      <c r="D707" t="s">
        <v>254</v>
      </c>
      <c r="E707" t="s">
        <v>255</v>
      </c>
      <c r="F707">
        <v>150</v>
      </c>
      <c r="I707" t="s">
        <v>428</v>
      </c>
      <c r="J707" s="15">
        <f>NPS!I57</f>
        <v>0</v>
      </c>
      <c r="K707" s="15">
        <f>NPS!J57</f>
        <v>0</v>
      </c>
    </row>
    <row r="708" spans="1:11" x14ac:dyDescent="0.35">
      <c r="A708" t="s">
        <v>182</v>
      </c>
      <c r="C708" t="s">
        <v>183</v>
      </c>
      <c r="D708" t="s">
        <v>239</v>
      </c>
      <c r="E708" t="s">
        <v>240</v>
      </c>
      <c r="F708">
        <v>100</v>
      </c>
      <c r="I708" t="s">
        <v>428</v>
      </c>
      <c r="J708" s="15">
        <f>NPS!I58</f>
        <v>0</v>
      </c>
      <c r="K708" s="15">
        <f>NPS!J58</f>
        <v>0</v>
      </c>
    </row>
    <row r="709" spans="1:11" x14ac:dyDescent="0.35">
      <c r="A709" t="s">
        <v>182</v>
      </c>
      <c r="C709" t="s">
        <v>189</v>
      </c>
      <c r="D709" t="s">
        <v>231</v>
      </c>
      <c r="E709" t="s">
        <v>232</v>
      </c>
      <c r="F709">
        <v>1</v>
      </c>
      <c r="I709" t="s">
        <v>428</v>
      </c>
      <c r="J709" s="15">
        <f>NPS!I59</f>
        <v>0</v>
      </c>
      <c r="K709" s="15">
        <f>NPS!J59</f>
        <v>0</v>
      </c>
    </row>
    <row r="710" spans="1:11" x14ac:dyDescent="0.35">
      <c r="A710" t="s">
        <v>182</v>
      </c>
      <c r="C710" t="s">
        <v>189</v>
      </c>
      <c r="D710" t="s">
        <v>193</v>
      </c>
      <c r="E710" t="s">
        <v>194</v>
      </c>
      <c r="F710">
        <v>166</v>
      </c>
      <c r="I710" t="s">
        <v>428</v>
      </c>
      <c r="J710" s="15">
        <f>NPS!I60</f>
        <v>0</v>
      </c>
      <c r="K710" s="15">
        <f>NPS!J60</f>
        <v>0</v>
      </c>
    </row>
    <row r="711" spans="1:11" x14ac:dyDescent="0.35">
      <c r="A711" t="s">
        <v>182</v>
      </c>
      <c r="C711" t="s">
        <v>198</v>
      </c>
      <c r="D711" t="s">
        <v>199</v>
      </c>
      <c r="E711" t="s">
        <v>200</v>
      </c>
      <c r="F711">
        <v>284</v>
      </c>
      <c r="I711" t="s">
        <v>428</v>
      </c>
      <c r="J711" s="15">
        <f>NPS!I61</f>
        <v>0</v>
      </c>
      <c r="K711" s="15">
        <f>NPS!J61</f>
        <v>0</v>
      </c>
    </row>
    <row r="712" spans="1:11" x14ac:dyDescent="0.35">
      <c r="A712" t="s">
        <v>182</v>
      </c>
      <c r="C712" t="s">
        <v>198</v>
      </c>
      <c r="D712" t="s">
        <v>370</v>
      </c>
      <c r="E712" t="s">
        <v>371</v>
      </c>
      <c r="F712">
        <v>2075</v>
      </c>
      <c r="I712" t="s">
        <v>428</v>
      </c>
      <c r="J712" s="15">
        <f>NPS!I62</f>
        <v>0</v>
      </c>
      <c r="K712" s="15">
        <f>NPS!J62</f>
        <v>0</v>
      </c>
    </row>
    <row r="713" spans="1:11" x14ac:dyDescent="0.35">
      <c r="A713" t="s">
        <v>182</v>
      </c>
      <c r="C713" t="s">
        <v>198</v>
      </c>
      <c r="D713" t="s">
        <v>241</v>
      </c>
      <c r="E713" t="s">
        <v>242</v>
      </c>
      <c r="F713">
        <v>2</v>
      </c>
      <c r="I713" t="s">
        <v>428</v>
      </c>
      <c r="J713" s="15">
        <f>NPS!I63</f>
        <v>0</v>
      </c>
      <c r="K713" s="15">
        <f>NPS!J63</f>
        <v>0</v>
      </c>
    </row>
    <row r="714" spans="1:11" x14ac:dyDescent="0.35">
      <c r="A714" t="s">
        <v>182</v>
      </c>
      <c r="C714" t="s">
        <v>198</v>
      </c>
      <c r="D714" t="s">
        <v>99</v>
      </c>
      <c r="E714" t="s">
        <v>201</v>
      </c>
      <c r="F714">
        <v>0</v>
      </c>
      <c r="I714" t="s">
        <v>428</v>
      </c>
      <c r="J714" s="15">
        <f>NPS!I64</f>
        <v>0</v>
      </c>
      <c r="K714" s="15">
        <f>NPS!J64</f>
        <v>0</v>
      </c>
    </row>
    <row r="715" spans="1:11" x14ac:dyDescent="0.35">
      <c r="A715" t="s">
        <v>182</v>
      </c>
      <c r="C715" t="s">
        <v>198</v>
      </c>
      <c r="D715" t="s">
        <v>202</v>
      </c>
      <c r="E715" t="s">
        <v>203</v>
      </c>
      <c r="F715">
        <v>0</v>
      </c>
      <c r="I715" t="s">
        <v>428</v>
      </c>
      <c r="J715" s="15">
        <f>NPS!I65</f>
        <v>0</v>
      </c>
      <c r="K715" s="15">
        <f>NPS!J65</f>
        <v>0</v>
      </c>
    </row>
    <row r="716" spans="1:11" x14ac:dyDescent="0.35">
      <c r="A716" t="s">
        <v>182</v>
      </c>
      <c r="C716" t="s">
        <v>204</v>
      </c>
      <c r="D716" t="s">
        <v>209</v>
      </c>
      <c r="E716" t="s">
        <v>210</v>
      </c>
      <c r="F716">
        <v>0</v>
      </c>
      <c r="I716" t="s">
        <v>428</v>
      </c>
      <c r="J716" s="15">
        <f>NPS!I66</f>
        <v>0</v>
      </c>
      <c r="K716" s="15">
        <f>NPS!J66</f>
        <v>0</v>
      </c>
    </row>
    <row r="717" spans="1:11" x14ac:dyDescent="0.35">
      <c r="A717" t="s">
        <v>182</v>
      </c>
      <c r="C717" t="s">
        <v>204</v>
      </c>
      <c r="D717" t="s">
        <v>205</v>
      </c>
      <c r="E717" t="s">
        <v>206</v>
      </c>
      <c r="F717">
        <v>16</v>
      </c>
      <c r="I717" t="s">
        <v>428</v>
      </c>
      <c r="J717" s="15">
        <f>NPS!I67</f>
        <v>0</v>
      </c>
      <c r="K717" s="15">
        <f>NPS!J67</f>
        <v>0</v>
      </c>
    </row>
    <row r="718" spans="1:11" x14ac:dyDescent="0.35">
      <c r="A718" t="s">
        <v>182</v>
      </c>
      <c r="C718" t="s">
        <v>204</v>
      </c>
      <c r="D718" t="s">
        <v>207</v>
      </c>
      <c r="E718" t="s">
        <v>208</v>
      </c>
      <c r="F718">
        <v>8105</v>
      </c>
      <c r="I718" t="s">
        <v>428</v>
      </c>
      <c r="J718" s="15">
        <f>NPS!I68</f>
        <v>0</v>
      </c>
      <c r="K718" s="15">
        <f>NPS!J68</f>
        <v>0</v>
      </c>
    </row>
    <row r="719" spans="1:11" x14ac:dyDescent="0.35">
      <c r="B719" t="s">
        <v>598</v>
      </c>
      <c r="C719" s="4" t="s">
        <v>261</v>
      </c>
      <c r="D719" s="4" t="s">
        <v>259</v>
      </c>
      <c r="E719" s="5" t="s">
        <v>260</v>
      </c>
      <c r="F719" s="6">
        <v>1</v>
      </c>
      <c r="H719" s="4"/>
      <c r="I719" t="s">
        <v>603</v>
      </c>
      <c r="J719" s="15">
        <f>'DOI IBC'!I2</f>
        <v>0</v>
      </c>
      <c r="K719" s="15">
        <f>'DOI IBC'!J2</f>
        <v>0</v>
      </c>
    </row>
    <row r="720" spans="1:11" x14ac:dyDescent="0.35">
      <c r="B720" t="s">
        <v>598</v>
      </c>
      <c r="C720" s="4" t="s">
        <v>263</v>
      </c>
      <c r="D720" s="4" t="s">
        <v>262</v>
      </c>
      <c r="E720" s="5" t="s">
        <v>75</v>
      </c>
      <c r="F720" s="6">
        <v>1</v>
      </c>
      <c r="H720" s="4"/>
      <c r="I720" t="s">
        <v>603</v>
      </c>
      <c r="J720" s="15">
        <f>'DOI IBC'!I3</f>
        <v>0</v>
      </c>
      <c r="K720" s="15">
        <f>'DOI IBC'!J3</f>
        <v>0</v>
      </c>
    </row>
    <row r="721" spans="2:11" x14ac:dyDescent="0.35">
      <c r="B721" t="s">
        <v>598</v>
      </c>
      <c r="C721" s="4" t="s">
        <v>261</v>
      </c>
      <c r="D721" s="4" t="s">
        <v>264</v>
      </c>
      <c r="E721" s="5" t="s">
        <v>265</v>
      </c>
      <c r="F721" s="6">
        <v>5000</v>
      </c>
      <c r="H721" s="4"/>
      <c r="I721" t="s">
        <v>603</v>
      </c>
      <c r="J721" s="15">
        <f>'DOI IBC'!I4</f>
        <v>0</v>
      </c>
      <c r="K721" s="15">
        <f>'DOI IBC'!J4</f>
        <v>0</v>
      </c>
    </row>
    <row r="722" spans="2:11" x14ac:dyDescent="0.35">
      <c r="B722" t="s">
        <v>598</v>
      </c>
      <c r="C722" s="4" t="s">
        <v>268</v>
      </c>
      <c r="D722" s="4" t="s">
        <v>266</v>
      </c>
      <c r="E722" s="5" t="s">
        <v>267</v>
      </c>
      <c r="F722" s="6">
        <v>1</v>
      </c>
      <c r="H722" s="4"/>
      <c r="I722" t="s">
        <v>603</v>
      </c>
      <c r="J722" s="15">
        <f>'DOI IBC'!I5</f>
        <v>0</v>
      </c>
      <c r="K722" s="15">
        <f>'DOI IBC'!J5</f>
        <v>0</v>
      </c>
    </row>
    <row r="723" spans="2:11" x14ac:dyDescent="0.35">
      <c r="B723" t="s">
        <v>598</v>
      </c>
      <c r="C723" s="4" t="s">
        <v>268</v>
      </c>
      <c r="D723" s="4" t="s">
        <v>269</v>
      </c>
      <c r="E723" s="5" t="s">
        <v>270</v>
      </c>
      <c r="F723" s="6">
        <v>1</v>
      </c>
      <c r="H723" s="4"/>
      <c r="I723" t="s">
        <v>603</v>
      </c>
      <c r="J723" s="15">
        <f>'DOI IBC'!I6</f>
        <v>0</v>
      </c>
      <c r="K723" s="15">
        <f>'DOI IBC'!J6</f>
        <v>0</v>
      </c>
    </row>
    <row r="724" spans="2:11" ht="23" x14ac:dyDescent="0.35">
      <c r="B724" t="s">
        <v>598</v>
      </c>
      <c r="C724" s="4" t="s">
        <v>263</v>
      </c>
      <c r="D724" s="4" t="s">
        <v>271</v>
      </c>
      <c r="E724" s="5" t="s">
        <v>272</v>
      </c>
      <c r="F724" s="6">
        <v>1</v>
      </c>
      <c r="H724" s="4"/>
      <c r="I724" t="s">
        <v>603</v>
      </c>
      <c r="J724" s="15">
        <f>'DOI IBC'!I7</f>
        <v>0</v>
      </c>
      <c r="K724" s="15">
        <f>'DOI IBC'!J7</f>
        <v>0</v>
      </c>
    </row>
    <row r="725" spans="2:11" x14ac:dyDescent="0.35">
      <c r="B725" t="s">
        <v>598</v>
      </c>
      <c r="C725" s="4" t="s">
        <v>261</v>
      </c>
      <c r="D725" s="4" t="s">
        <v>259</v>
      </c>
      <c r="E725" s="5" t="s">
        <v>260</v>
      </c>
      <c r="F725" s="6">
        <v>1</v>
      </c>
      <c r="H725" s="4"/>
      <c r="I725" t="s">
        <v>603</v>
      </c>
      <c r="J725" s="15">
        <f>'DOI IBC'!I8</f>
        <v>0</v>
      </c>
      <c r="K725" s="15">
        <f>'DOI IBC'!J8</f>
        <v>0</v>
      </c>
    </row>
    <row r="726" spans="2:11" x14ac:dyDescent="0.35">
      <c r="B726" t="s">
        <v>598</v>
      </c>
      <c r="C726" s="4" t="s">
        <v>261</v>
      </c>
      <c r="D726" s="4" t="s">
        <v>264</v>
      </c>
      <c r="E726" s="5" t="s">
        <v>265</v>
      </c>
      <c r="F726" s="6">
        <v>100</v>
      </c>
      <c r="H726" s="4"/>
      <c r="I726" t="s">
        <v>603</v>
      </c>
      <c r="J726" s="15">
        <f>'DOI IBC'!I9</f>
        <v>0</v>
      </c>
      <c r="K726" s="15">
        <f>'DOI IBC'!J9</f>
        <v>0</v>
      </c>
    </row>
    <row r="727" spans="2:11" x14ac:dyDescent="0.35">
      <c r="B727" t="s">
        <v>598</v>
      </c>
      <c r="C727" s="4" t="s">
        <v>263</v>
      </c>
      <c r="D727" s="4" t="s">
        <v>273</v>
      </c>
      <c r="E727" s="5" t="s">
        <v>274</v>
      </c>
      <c r="F727" s="6">
        <v>1</v>
      </c>
      <c r="H727" s="4"/>
      <c r="I727" t="s">
        <v>603</v>
      </c>
      <c r="J727" s="15">
        <f>'DOI IBC'!I10</f>
        <v>0</v>
      </c>
      <c r="K727" s="15">
        <f>'DOI IBC'!J10</f>
        <v>0</v>
      </c>
    </row>
    <row r="728" spans="2:11" x14ac:dyDescent="0.35">
      <c r="I728" t="s">
        <v>603</v>
      </c>
      <c r="J728" s="15">
        <f>'DOI IBC'!I11</f>
        <v>0</v>
      </c>
      <c r="K728" s="15">
        <f>'DOI IBC'!J11</f>
        <v>0</v>
      </c>
    </row>
    <row r="729" spans="2:11" x14ac:dyDescent="0.35">
      <c r="B729" t="s">
        <v>599</v>
      </c>
      <c r="D729" t="s">
        <v>275</v>
      </c>
      <c r="E729" t="s">
        <v>276</v>
      </c>
      <c r="F729">
        <v>1</v>
      </c>
      <c r="I729" t="s">
        <v>603</v>
      </c>
      <c r="J729" s="15">
        <f>'DOI IBC'!I12</f>
        <v>0</v>
      </c>
      <c r="K729" s="15">
        <f>'DOI IBC'!J12</f>
        <v>0</v>
      </c>
    </row>
    <row r="730" spans="2:11" x14ac:dyDescent="0.35">
      <c r="B730" t="s">
        <v>599</v>
      </c>
      <c r="D730" t="s">
        <v>277</v>
      </c>
      <c r="E730" t="s">
        <v>278</v>
      </c>
      <c r="F730">
        <v>1</v>
      </c>
      <c r="I730" t="s">
        <v>603</v>
      </c>
      <c r="J730" s="15">
        <f>'DOI IBC'!I13</f>
        <v>0</v>
      </c>
      <c r="K730" s="15">
        <f>'DOI IBC'!J13</f>
        <v>0</v>
      </c>
    </row>
    <row r="731" spans="2:11" x14ac:dyDescent="0.35">
      <c r="B731" t="s">
        <v>599</v>
      </c>
      <c r="D731" t="s">
        <v>279</v>
      </c>
      <c r="E731" t="s">
        <v>280</v>
      </c>
      <c r="F731">
        <v>1</v>
      </c>
      <c r="I731" t="s">
        <v>603</v>
      </c>
      <c r="J731" s="15">
        <f>'DOI IBC'!I14</f>
        <v>0</v>
      </c>
      <c r="K731" s="15">
        <f>'DOI IBC'!J14</f>
        <v>0</v>
      </c>
    </row>
    <row r="732" spans="2:11" x14ac:dyDescent="0.35">
      <c r="B732" t="s">
        <v>599</v>
      </c>
      <c r="D732" t="s">
        <v>281</v>
      </c>
      <c r="E732" t="s">
        <v>282</v>
      </c>
      <c r="F732">
        <v>2</v>
      </c>
      <c r="I732" t="s">
        <v>603</v>
      </c>
      <c r="J732" s="15">
        <f>'DOI IBC'!I15</f>
        <v>0</v>
      </c>
      <c r="K732" s="15">
        <f>'DOI IBC'!J15</f>
        <v>0</v>
      </c>
    </row>
    <row r="733" spans="2:11" x14ac:dyDescent="0.35">
      <c r="B733" t="s">
        <v>599</v>
      </c>
      <c r="D733" t="s">
        <v>283</v>
      </c>
      <c r="E733" t="s">
        <v>284</v>
      </c>
      <c r="F733">
        <v>66</v>
      </c>
      <c r="I733" t="s">
        <v>603</v>
      </c>
      <c r="J733" s="15">
        <f>'DOI IBC'!I16</f>
        <v>0</v>
      </c>
      <c r="K733" s="15">
        <f>'DOI IBC'!J16</f>
        <v>0</v>
      </c>
    </row>
    <row r="734" spans="2:11" x14ac:dyDescent="0.35">
      <c r="B734" t="s">
        <v>599</v>
      </c>
      <c r="D734" t="s">
        <v>285</v>
      </c>
      <c r="E734" t="s">
        <v>286</v>
      </c>
      <c r="F734">
        <v>7</v>
      </c>
      <c r="I734" t="s">
        <v>603</v>
      </c>
      <c r="J734" s="15">
        <f>'DOI IBC'!I17</f>
        <v>0</v>
      </c>
      <c r="K734" s="15">
        <f>'DOI IBC'!J17</f>
        <v>0</v>
      </c>
    </row>
    <row r="735" spans="2:11" x14ac:dyDescent="0.35">
      <c r="B735" t="s">
        <v>599</v>
      </c>
      <c r="D735" t="s">
        <v>287</v>
      </c>
      <c r="E735" t="s">
        <v>288</v>
      </c>
      <c r="F735">
        <v>2</v>
      </c>
      <c r="I735" t="s">
        <v>603</v>
      </c>
      <c r="J735" s="15">
        <f>'DOI IBC'!I18</f>
        <v>0</v>
      </c>
      <c r="K735" s="15">
        <f>'DOI IBC'!J18</f>
        <v>0</v>
      </c>
    </row>
    <row r="736" spans="2:11" x14ac:dyDescent="0.35">
      <c r="B736" t="s">
        <v>599</v>
      </c>
      <c r="D736" t="s">
        <v>289</v>
      </c>
      <c r="E736" t="s">
        <v>290</v>
      </c>
      <c r="F736">
        <v>4</v>
      </c>
      <c r="I736" t="s">
        <v>603</v>
      </c>
      <c r="J736" s="15">
        <f>'DOI IBC'!I19</f>
        <v>0</v>
      </c>
      <c r="K736" s="15">
        <f>'DOI IBC'!J19</f>
        <v>0</v>
      </c>
    </row>
    <row r="737" spans="2:11" x14ac:dyDescent="0.35">
      <c r="B737" t="s">
        <v>599</v>
      </c>
      <c r="D737" t="s">
        <v>291</v>
      </c>
      <c r="E737" t="s">
        <v>292</v>
      </c>
      <c r="F737">
        <v>4</v>
      </c>
      <c r="I737" t="s">
        <v>603</v>
      </c>
      <c r="J737" s="15">
        <f>'DOI IBC'!I20</f>
        <v>0</v>
      </c>
      <c r="K737" s="15">
        <f>'DOI IBC'!J20</f>
        <v>0</v>
      </c>
    </row>
    <row r="738" spans="2:11" x14ac:dyDescent="0.35">
      <c r="B738" t="s">
        <v>599</v>
      </c>
      <c r="D738" t="s">
        <v>293</v>
      </c>
      <c r="E738" t="s">
        <v>294</v>
      </c>
      <c r="F738">
        <v>3</v>
      </c>
      <c r="I738" t="s">
        <v>603</v>
      </c>
      <c r="J738" s="15">
        <f>'DOI IBC'!I21</f>
        <v>0</v>
      </c>
      <c r="K738" s="15">
        <f>'DOI IBC'!J21</f>
        <v>0</v>
      </c>
    </row>
    <row r="739" spans="2:11" x14ac:dyDescent="0.35">
      <c r="B739" t="s">
        <v>599</v>
      </c>
      <c r="D739" t="s">
        <v>295</v>
      </c>
      <c r="E739" t="s">
        <v>296</v>
      </c>
      <c r="F739">
        <v>1</v>
      </c>
      <c r="I739" t="s">
        <v>603</v>
      </c>
      <c r="J739" s="15">
        <f>'DOI IBC'!I22</f>
        <v>0</v>
      </c>
      <c r="K739" s="15">
        <f>'DOI IBC'!J22</f>
        <v>0</v>
      </c>
    </row>
    <row r="740" spans="2:11" x14ac:dyDescent="0.35">
      <c r="B740" t="s">
        <v>599</v>
      </c>
      <c r="D740" t="s">
        <v>297</v>
      </c>
      <c r="E740" t="s">
        <v>298</v>
      </c>
      <c r="F740">
        <v>3</v>
      </c>
      <c r="I740" t="s">
        <v>603</v>
      </c>
      <c r="J740" s="15">
        <f>'DOI IBC'!I23</f>
        <v>0</v>
      </c>
      <c r="K740" s="15">
        <f>'DOI IBC'!J23</f>
        <v>0</v>
      </c>
    </row>
    <row r="741" spans="2:11" x14ac:dyDescent="0.35">
      <c r="B741" t="s">
        <v>599</v>
      </c>
      <c r="D741" t="s">
        <v>299</v>
      </c>
      <c r="E741" t="s">
        <v>300</v>
      </c>
      <c r="F741">
        <v>93</v>
      </c>
      <c r="I741" t="s">
        <v>603</v>
      </c>
      <c r="J741" s="15">
        <f>'DOI IBC'!I24</f>
        <v>0</v>
      </c>
      <c r="K741" s="15">
        <f>'DOI IBC'!J24</f>
        <v>0</v>
      </c>
    </row>
    <row r="742" spans="2:11" x14ac:dyDescent="0.35">
      <c r="B742" t="s">
        <v>599</v>
      </c>
      <c r="D742" t="s">
        <v>301</v>
      </c>
      <c r="E742" t="s">
        <v>302</v>
      </c>
      <c r="F742">
        <v>93</v>
      </c>
      <c r="I742" t="s">
        <v>603</v>
      </c>
      <c r="J742" s="15">
        <f>'DOI IBC'!I25</f>
        <v>0</v>
      </c>
      <c r="K742" s="15">
        <f>'DOI IBC'!J25</f>
        <v>0</v>
      </c>
    </row>
    <row r="743" spans="2:11" x14ac:dyDescent="0.35">
      <c r="B743" t="s">
        <v>599</v>
      </c>
      <c r="D743" t="s">
        <v>303</v>
      </c>
      <c r="E743" t="s">
        <v>304</v>
      </c>
      <c r="F743">
        <v>3</v>
      </c>
      <c r="I743" t="s">
        <v>603</v>
      </c>
      <c r="J743" s="15">
        <f>'DOI IBC'!I26</f>
        <v>0</v>
      </c>
      <c r="K743" s="15">
        <f>'DOI IBC'!J26</f>
        <v>0</v>
      </c>
    </row>
    <row r="744" spans="2:11" x14ac:dyDescent="0.35">
      <c r="B744" t="s">
        <v>599</v>
      </c>
      <c r="D744" t="s">
        <v>305</v>
      </c>
      <c r="E744" t="s">
        <v>306</v>
      </c>
      <c r="F744">
        <v>2</v>
      </c>
      <c r="I744" t="s">
        <v>603</v>
      </c>
      <c r="J744" s="15">
        <f>'DOI IBC'!I27</f>
        <v>0</v>
      </c>
      <c r="K744" s="15">
        <f>'DOI IBC'!J27</f>
        <v>0</v>
      </c>
    </row>
    <row r="745" spans="2:11" x14ac:dyDescent="0.35">
      <c r="B745" t="s">
        <v>599</v>
      </c>
      <c r="D745" t="s">
        <v>307</v>
      </c>
      <c r="E745" t="s">
        <v>308</v>
      </c>
      <c r="F745">
        <v>2</v>
      </c>
      <c r="I745" t="s">
        <v>603</v>
      </c>
      <c r="J745" s="15">
        <f>'DOI IBC'!I28</f>
        <v>0</v>
      </c>
      <c r="K745" s="15">
        <f>'DOI IBC'!J28</f>
        <v>0</v>
      </c>
    </row>
    <row r="746" spans="2:11" x14ac:dyDescent="0.35">
      <c r="B746" t="s">
        <v>599</v>
      </c>
      <c r="D746" t="s">
        <v>309</v>
      </c>
      <c r="E746" t="s">
        <v>310</v>
      </c>
      <c r="F746">
        <v>3</v>
      </c>
      <c r="I746" t="s">
        <v>603</v>
      </c>
      <c r="J746" s="15">
        <f>'DOI IBC'!I29</f>
        <v>0</v>
      </c>
      <c r="K746" s="15">
        <f>'DOI IBC'!J29</f>
        <v>0</v>
      </c>
    </row>
    <row r="747" spans="2:11" x14ac:dyDescent="0.35">
      <c r="B747" t="s">
        <v>599</v>
      </c>
      <c r="D747" t="s">
        <v>311</v>
      </c>
      <c r="E747" t="s">
        <v>312</v>
      </c>
      <c r="F747">
        <v>3</v>
      </c>
      <c r="I747" t="s">
        <v>603</v>
      </c>
      <c r="J747" s="15">
        <f>'DOI IBC'!I30</f>
        <v>0</v>
      </c>
      <c r="K747" s="15">
        <f>'DOI IBC'!J30</f>
        <v>0</v>
      </c>
    </row>
    <row r="748" spans="2:11" x14ac:dyDescent="0.35">
      <c r="B748" t="s">
        <v>599</v>
      </c>
      <c r="D748" t="s">
        <v>313</v>
      </c>
      <c r="E748" t="s">
        <v>314</v>
      </c>
      <c r="F748">
        <v>2</v>
      </c>
      <c r="I748" t="s">
        <v>603</v>
      </c>
      <c r="J748" s="15">
        <f>'DOI IBC'!I31</f>
        <v>0</v>
      </c>
      <c r="K748" s="15">
        <f>'DOI IBC'!J31</f>
        <v>0</v>
      </c>
    </row>
    <row r="749" spans="2:11" x14ac:dyDescent="0.35">
      <c r="B749" t="s">
        <v>599</v>
      </c>
      <c r="D749" t="s">
        <v>315</v>
      </c>
      <c r="E749" t="s">
        <v>316</v>
      </c>
      <c r="F749">
        <v>2</v>
      </c>
      <c r="I749" t="s">
        <v>603</v>
      </c>
      <c r="J749" s="15">
        <f>'DOI IBC'!I32</f>
        <v>0</v>
      </c>
      <c r="K749" s="15">
        <f>'DOI IBC'!J32</f>
        <v>0</v>
      </c>
    </row>
    <row r="750" spans="2:11" x14ac:dyDescent="0.35">
      <c r="B750" t="s">
        <v>599</v>
      </c>
      <c r="D750" t="s">
        <v>317</v>
      </c>
      <c r="E750" t="s">
        <v>318</v>
      </c>
      <c r="F750">
        <v>3</v>
      </c>
      <c r="I750" t="s">
        <v>603</v>
      </c>
      <c r="J750" s="15">
        <f>'DOI IBC'!I33</f>
        <v>0</v>
      </c>
      <c r="K750" s="15">
        <f>'DOI IBC'!J33</f>
        <v>0</v>
      </c>
    </row>
    <row r="751" spans="2:11" x14ac:dyDescent="0.35">
      <c r="B751" t="s">
        <v>599</v>
      </c>
      <c r="D751" t="s">
        <v>319</v>
      </c>
      <c r="E751" t="s">
        <v>320</v>
      </c>
      <c r="F751">
        <v>2</v>
      </c>
      <c r="I751" t="s">
        <v>603</v>
      </c>
      <c r="J751" s="15">
        <f>'DOI IBC'!I34</f>
        <v>0</v>
      </c>
      <c r="K751" s="15">
        <f>'DOI IBC'!J34</f>
        <v>0</v>
      </c>
    </row>
    <row r="752" spans="2:11" x14ac:dyDescent="0.35">
      <c r="B752" t="s">
        <v>599</v>
      </c>
      <c r="D752" t="s">
        <v>321</v>
      </c>
      <c r="E752" t="s">
        <v>322</v>
      </c>
      <c r="F752">
        <v>2</v>
      </c>
      <c r="I752" t="s">
        <v>603</v>
      </c>
      <c r="J752" s="15">
        <f>'DOI IBC'!I35</f>
        <v>0</v>
      </c>
      <c r="K752" s="15">
        <f>'DOI IBC'!J35</f>
        <v>0</v>
      </c>
    </row>
    <row r="753" spans="2:11" x14ac:dyDescent="0.35">
      <c r="B753" t="s">
        <v>599</v>
      </c>
      <c r="D753" t="s">
        <v>323</v>
      </c>
      <c r="E753" t="s">
        <v>324</v>
      </c>
      <c r="F753">
        <v>9</v>
      </c>
      <c r="I753" t="s">
        <v>603</v>
      </c>
      <c r="J753" s="15">
        <f>'DOI IBC'!I36</f>
        <v>0</v>
      </c>
      <c r="K753" s="15">
        <f>'DOI IBC'!J36</f>
        <v>0</v>
      </c>
    </row>
    <row r="754" spans="2:11" x14ac:dyDescent="0.35">
      <c r="B754" t="s">
        <v>599</v>
      </c>
      <c r="D754" t="s">
        <v>325</v>
      </c>
      <c r="E754" t="s">
        <v>326</v>
      </c>
      <c r="F754">
        <v>1</v>
      </c>
      <c r="I754" t="s">
        <v>603</v>
      </c>
      <c r="J754" s="15">
        <f>'DOI IBC'!I37</f>
        <v>0</v>
      </c>
      <c r="K754" s="15">
        <f>'DOI IBC'!J37</f>
        <v>0</v>
      </c>
    </row>
    <row r="755" spans="2:11" x14ac:dyDescent="0.35">
      <c r="B755" t="s">
        <v>599</v>
      </c>
      <c r="D755" t="s">
        <v>327</v>
      </c>
      <c r="E755" t="s">
        <v>328</v>
      </c>
      <c r="F755">
        <v>8</v>
      </c>
      <c r="I755" t="s">
        <v>603</v>
      </c>
      <c r="J755" s="15">
        <f>'DOI IBC'!I38</f>
        <v>0</v>
      </c>
      <c r="K755" s="15">
        <f>'DOI IBC'!J38</f>
        <v>0</v>
      </c>
    </row>
    <row r="756" spans="2:11" x14ac:dyDescent="0.35">
      <c r="B756" t="s">
        <v>599</v>
      </c>
      <c r="D756" t="s">
        <v>329</v>
      </c>
      <c r="E756" t="s">
        <v>330</v>
      </c>
      <c r="F756">
        <v>3</v>
      </c>
      <c r="I756" t="s">
        <v>603</v>
      </c>
      <c r="J756" s="15">
        <f>'DOI IBC'!I39</f>
        <v>0</v>
      </c>
      <c r="K756" s="15">
        <f>'DOI IBC'!J39</f>
        <v>0</v>
      </c>
    </row>
    <row r="757" spans="2:11" x14ac:dyDescent="0.35">
      <c r="B757" t="s">
        <v>599</v>
      </c>
      <c r="D757" t="s">
        <v>331</v>
      </c>
      <c r="E757" t="s">
        <v>332</v>
      </c>
      <c r="F757">
        <v>1</v>
      </c>
      <c r="I757" t="s">
        <v>603</v>
      </c>
      <c r="J757" s="15">
        <f>'DOI IBC'!I40</f>
        <v>0</v>
      </c>
      <c r="K757" s="15">
        <f>'DOI IBC'!J40</f>
        <v>0</v>
      </c>
    </row>
    <row r="758" spans="2:11" x14ac:dyDescent="0.35">
      <c r="B758" t="s">
        <v>599</v>
      </c>
      <c r="D758" t="s">
        <v>333</v>
      </c>
      <c r="E758" t="s">
        <v>334</v>
      </c>
      <c r="F758">
        <v>1</v>
      </c>
      <c r="I758" t="s">
        <v>603</v>
      </c>
      <c r="J758" s="15">
        <f>'DOI IBC'!I41</f>
        <v>0</v>
      </c>
      <c r="K758" s="15">
        <f>'DOI IBC'!J41</f>
        <v>0</v>
      </c>
    </row>
    <row r="759" spans="2:11" x14ac:dyDescent="0.35">
      <c r="B759" t="s">
        <v>599</v>
      </c>
      <c r="D759" t="s">
        <v>335</v>
      </c>
      <c r="E759" t="s">
        <v>336</v>
      </c>
      <c r="F759">
        <v>2</v>
      </c>
      <c r="I759" t="s">
        <v>603</v>
      </c>
      <c r="J759" s="15">
        <f>'DOI IBC'!I42</f>
        <v>0</v>
      </c>
      <c r="K759" s="15">
        <f>'DOI IBC'!J42</f>
        <v>0</v>
      </c>
    </row>
    <row r="760" spans="2:11" x14ac:dyDescent="0.35">
      <c r="B760" t="s">
        <v>599</v>
      </c>
      <c r="D760" t="s">
        <v>337</v>
      </c>
      <c r="E760" t="s">
        <v>338</v>
      </c>
      <c r="F760">
        <v>2</v>
      </c>
      <c r="I760" t="s">
        <v>603</v>
      </c>
      <c r="J760" s="15">
        <f>'DOI IBC'!I43</f>
        <v>0</v>
      </c>
      <c r="K760" s="15">
        <f>'DOI IBC'!J43</f>
        <v>0</v>
      </c>
    </row>
    <row r="761" spans="2:11" x14ac:dyDescent="0.35">
      <c r="B761" t="s">
        <v>599</v>
      </c>
      <c r="D761" t="s">
        <v>339</v>
      </c>
      <c r="E761" t="s">
        <v>340</v>
      </c>
      <c r="F761">
        <v>2</v>
      </c>
      <c r="I761" t="s">
        <v>603</v>
      </c>
      <c r="J761" s="15">
        <f>'DOI IBC'!I44</f>
        <v>0</v>
      </c>
      <c r="K761" s="15">
        <f>'DOI IBC'!J44</f>
        <v>0</v>
      </c>
    </row>
    <row r="762" spans="2:11" x14ac:dyDescent="0.35">
      <c r="B762" t="s">
        <v>599</v>
      </c>
      <c r="D762" t="s">
        <v>341</v>
      </c>
      <c r="E762" t="s">
        <v>342</v>
      </c>
      <c r="F762">
        <v>1</v>
      </c>
      <c r="I762" t="s">
        <v>603</v>
      </c>
      <c r="J762" s="15">
        <f>'DOI IBC'!I45</f>
        <v>0</v>
      </c>
      <c r="K762" s="15">
        <f>'DOI IBC'!J45</f>
        <v>0</v>
      </c>
    </row>
    <row r="763" spans="2:11" x14ac:dyDescent="0.35">
      <c r="B763" t="s">
        <v>599</v>
      </c>
      <c r="D763" t="s">
        <v>343</v>
      </c>
      <c r="E763" t="s">
        <v>344</v>
      </c>
      <c r="F763">
        <v>2</v>
      </c>
      <c r="I763" t="s">
        <v>603</v>
      </c>
      <c r="J763" s="15">
        <f>'DOI IBC'!I46</f>
        <v>0</v>
      </c>
      <c r="K763" s="15">
        <f>'DOI IBC'!J46</f>
        <v>0</v>
      </c>
    </row>
    <row r="764" spans="2:11" x14ac:dyDescent="0.35">
      <c r="B764" t="s">
        <v>599</v>
      </c>
      <c r="D764" t="s">
        <v>345</v>
      </c>
      <c r="E764" t="s">
        <v>346</v>
      </c>
      <c r="F764">
        <v>5</v>
      </c>
      <c r="I764" t="s">
        <v>603</v>
      </c>
      <c r="J764" s="15">
        <f>'DOI IBC'!I47</f>
        <v>0</v>
      </c>
      <c r="K764" s="15">
        <f>'DOI IBC'!J47</f>
        <v>0</v>
      </c>
    </row>
    <row r="765" spans="2:11" x14ac:dyDescent="0.35">
      <c r="B765" t="s">
        <v>599</v>
      </c>
      <c r="D765" t="s">
        <v>347</v>
      </c>
      <c r="E765" t="s">
        <v>348</v>
      </c>
      <c r="F765">
        <v>1</v>
      </c>
      <c r="I765" t="s">
        <v>603</v>
      </c>
      <c r="J765" s="15">
        <f>'DOI IBC'!I48</f>
        <v>0</v>
      </c>
      <c r="K765" s="15">
        <f>'DOI IBC'!J48</f>
        <v>0</v>
      </c>
    </row>
    <row r="766" spans="2:11" x14ac:dyDescent="0.35">
      <c r="B766" t="s">
        <v>599</v>
      </c>
      <c r="D766" t="s">
        <v>349</v>
      </c>
      <c r="E766" t="s">
        <v>350</v>
      </c>
      <c r="F766">
        <v>3</v>
      </c>
      <c r="I766" t="s">
        <v>603</v>
      </c>
      <c r="J766" s="15">
        <f>'DOI IBC'!I49</f>
        <v>0</v>
      </c>
      <c r="K766" s="15">
        <f>'DOI IBC'!J49</f>
        <v>0</v>
      </c>
    </row>
    <row r="767" spans="2:11" x14ac:dyDescent="0.35">
      <c r="B767" t="s">
        <v>599</v>
      </c>
      <c r="D767" t="s">
        <v>351</v>
      </c>
      <c r="E767" t="s">
        <v>352</v>
      </c>
      <c r="F767">
        <v>3</v>
      </c>
      <c r="I767" t="s">
        <v>603</v>
      </c>
      <c r="J767" s="15">
        <f>'DOI IBC'!I50</f>
        <v>0</v>
      </c>
      <c r="K767" s="15">
        <f>'DOI IBC'!J50</f>
        <v>0</v>
      </c>
    </row>
    <row r="768" spans="2:11" x14ac:dyDescent="0.35">
      <c r="B768" t="s">
        <v>599</v>
      </c>
      <c r="D768" t="s">
        <v>353</v>
      </c>
      <c r="E768" t="s">
        <v>354</v>
      </c>
      <c r="F768">
        <v>3</v>
      </c>
      <c r="I768" t="s">
        <v>603</v>
      </c>
      <c r="J768" s="15">
        <f>'DOI IBC'!I51</f>
        <v>0</v>
      </c>
      <c r="K768" s="15">
        <f>'DOI IBC'!J51</f>
        <v>0</v>
      </c>
    </row>
    <row r="769" spans="1:11" x14ac:dyDescent="0.35">
      <c r="B769" t="s">
        <v>599</v>
      </c>
      <c r="D769" t="s">
        <v>355</v>
      </c>
      <c r="E769" t="s">
        <v>356</v>
      </c>
      <c r="F769">
        <v>3</v>
      </c>
      <c r="I769" t="s">
        <v>603</v>
      </c>
      <c r="J769" s="15">
        <f>'DOI IBC'!I52</f>
        <v>0</v>
      </c>
      <c r="K769" s="15">
        <f>'DOI IBC'!J52</f>
        <v>0</v>
      </c>
    </row>
    <row r="770" spans="1:11" x14ac:dyDescent="0.35">
      <c r="B770" t="s">
        <v>599</v>
      </c>
      <c r="D770" t="s">
        <v>357</v>
      </c>
      <c r="E770" t="s">
        <v>358</v>
      </c>
      <c r="F770">
        <v>2</v>
      </c>
      <c r="I770" t="s">
        <v>603</v>
      </c>
      <c r="J770" s="15">
        <f>'DOI IBC'!I53</f>
        <v>0</v>
      </c>
      <c r="K770" s="15">
        <f>'DOI IBC'!J53</f>
        <v>0</v>
      </c>
    </row>
    <row r="771" spans="1:11" x14ac:dyDescent="0.35">
      <c r="B771" t="s">
        <v>599</v>
      </c>
      <c r="D771" t="s">
        <v>359</v>
      </c>
      <c r="E771" t="s">
        <v>360</v>
      </c>
      <c r="F771">
        <v>12</v>
      </c>
      <c r="I771" t="s">
        <v>603</v>
      </c>
      <c r="J771" s="15">
        <f>'DOI IBC'!I54</f>
        <v>0</v>
      </c>
      <c r="K771" s="15">
        <f>'DOI IBC'!J54</f>
        <v>0</v>
      </c>
    </row>
    <row r="772" spans="1:11" x14ac:dyDescent="0.35">
      <c r="B772" t="s">
        <v>599</v>
      </c>
      <c r="D772" t="s">
        <v>361</v>
      </c>
      <c r="E772" t="s">
        <v>362</v>
      </c>
      <c r="F772">
        <v>84</v>
      </c>
      <c r="I772" t="s">
        <v>603</v>
      </c>
      <c r="J772" s="15">
        <f>'DOI IBC'!I55</f>
        <v>0</v>
      </c>
      <c r="K772" s="15">
        <f>'DOI IBC'!J55</f>
        <v>0</v>
      </c>
    </row>
    <row r="773" spans="1:11" x14ac:dyDescent="0.35">
      <c r="B773" t="s">
        <v>599</v>
      </c>
      <c r="D773" t="s">
        <v>363</v>
      </c>
      <c r="E773" t="s">
        <v>362</v>
      </c>
      <c r="F773">
        <v>13</v>
      </c>
      <c r="I773" t="s">
        <v>603</v>
      </c>
      <c r="J773" s="15">
        <f>'DOI IBC'!I56</f>
        <v>0</v>
      </c>
      <c r="K773" s="15">
        <f>'DOI IBC'!J56</f>
        <v>0</v>
      </c>
    </row>
    <row r="774" spans="1:11" x14ac:dyDescent="0.35">
      <c r="B774" t="s">
        <v>599</v>
      </c>
      <c r="D774" t="s">
        <v>364</v>
      </c>
      <c r="E774" t="s">
        <v>365</v>
      </c>
      <c r="F774">
        <v>2</v>
      </c>
      <c r="I774" t="s">
        <v>603</v>
      </c>
      <c r="J774" s="15">
        <f>'DOI IBC'!I57</f>
        <v>0</v>
      </c>
      <c r="K774" s="15">
        <f>'DOI IBC'!J57</f>
        <v>0</v>
      </c>
    </row>
    <row r="775" spans="1:11" x14ac:dyDescent="0.35">
      <c r="A775" s="4"/>
      <c r="B775" t="s">
        <v>598</v>
      </c>
      <c r="C775" t="s">
        <v>601</v>
      </c>
      <c r="D775" s="4" t="s">
        <v>157</v>
      </c>
      <c r="E775" s="5" t="s">
        <v>158</v>
      </c>
      <c r="F775" s="6">
        <v>1</v>
      </c>
      <c r="G775" s="7"/>
      <c r="H775" s="4"/>
      <c r="I775" t="s">
        <v>604</v>
      </c>
      <c r="J775" s="15">
        <f>'DOI OCIO'!I2</f>
        <v>0</v>
      </c>
      <c r="K775" s="15">
        <f>'DOI OCIO'!J2</f>
        <v>0</v>
      </c>
    </row>
    <row r="776" spans="1:11" x14ac:dyDescent="0.35">
      <c r="A776" s="4"/>
      <c r="B776" t="s">
        <v>598</v>
      </c>
      <c r="C776" t="s">
        <v>601</v>
      </c>
      <c r="D776" s="4" t="s">
        <v>159</v>
      </c>
      <c r="E776" s="5" t="s">
        <v>160</v>
      </c>
      <c r="F776" s="6">
        <v>105</v>
      </c>
      <c r="G776" s="7"/>
      <c r="H776" s="4"/>
      <c r="I776" t="s">
        <v>604</v>
      </c>
      <c r="J776" s="15">
        <f>'DOI OCIO'!I3</f>
        <v>0</v>
      </c>
      <c r="K776" s="15">
        <f>'DOI OCIO'!J3</f>
        <v>0</v>
      </c>
    </row>
    <row r="777" spans="1:11" x14ac:dyDescent="0.35">
      <c r="A777" s="4"/>
      <c r="B777" t="s">
        <v>598</v>
      </c>
      <c r="C777" t="s">
        <v>601</v>
      </c>
      <c r="D777" s="4" t="s">
        <v>161</v>
      </c>
      <c r="E777" s="5" t="s">
        <v>162</v>
      </c>
      <c r="F777" s="6">
        <v>1</v>
      </c>
      <c r="G777" s="7"/>
      <c r="H777" s="4"/>
      <c r="I777" t="s">
        <v>604</v>
      </c>
      <c r="J777" s="15">
        <f>'DOI OCIO'!I4</f>
        <v>0</v>
      </c>
      <c r="K777" s="15">
        <f>'DOI OCIO'!J4</f>
        <v>0</v>
      </c>
    </row>
    <row r="778" spans="1:11" x14ac:dyDescent="0.35">
      <c r="A778" s="4"/>
      <c r="B778" t="s">
        <v>598</v>
      </c>
      <c r="C778" t="s">
        <v>601</v>
      </c>
      <c r="D778" s="4" t="s">
        <v>163</v>
      </c>
      <c r="E778" s="5" t="s">
        <v>164</v>
      </c>
      <c r="F778" s="6">
        <v>105</v>
      </c>
      <c r="G778" s="7"/>
      <c r="H778" s="4"/>
      <c r="I778" t="s">
        <v>604</v>
      </c>
      <c r="J778" s="15">
        <f>'DOI OCIO'!I5</f>
        <v>0</v>
      </c>
      <c r="K778" s="15">
        <f>'DOI OCIO'!J5</f>
        <v>0</v>
      </c>
    </row>
    <row r="779" spans="1:11" ht="23" x14ac:dyDescent="0.35">
      <c r="A779" s="4"/>
      <c r="B779" t="s">
        <v>598</v>
      </c>
      <c r="C779" t="s">
        <v>601</v>
      </c>
      <c r="D779" s="4" t="s">
        <v>165</v>
      </c>
      <c r="E779" s="5" t="s">
        <v>166</v>
      </c>
      <c r="F779" s="6">
        <v>1</v>
      </c>
      <c r="G779" s="7"/>
      <c r="H779" s="4"/>
      <c r="I779" t="s">
        <v>604</v>
      </c>
      <c r="J779" s="15">
        <f>'DOI OCIO'!I6</f>
        <v>0</v>
      </c>
      <c r="K779" s="15">
        <f>'DOI OCIO'!J6</f>
        <v>0</v>
      </c>
    </row>
    <row r="780" spans="1:11" x14ac:dyDescent="0.35">
      <c r="A780" s="4"/>
      <c r="B780" t="s">
        <v>598</v>
      </c>
      <c r="C780" t="s">
        <v>601</v>
      </c>
      <c r="D780" s="4" t="s">
        <v>167</v>
      </c>
      <c r="E780" s="5" t="s">
        <v>168</v>
      </c>
      <c r="F780" s="6">
        <v>70</v>
      </c>
      <c r="G780" s="7"/>
      <c r="H780" s="4"/>
      <c r="I780" t="s">
        <v>604</v>
      </c>
      <c r="J780" s="15">
        <f>'DOI OCIO'!I7</f>
        <v>0</v>
      </c>
      <c r="K780" s="15">
        <f>'DOI OCIO'!J7</f>
        <v>0</v>
      </c>
    </row>
    <row r="781" spans="1:11" x14ac:dyDescent="0.35">
      <c r="A781" s="4"/>
      <c r="B781" t="s">
        <v>598</v>
      </c>
      <c r="C781" t="s">
        <v>601</v>
      </c>
      <c r="D781" s="4" t="s">
        <v>169</v>
      </c>
      <c r="E781" s="5" t="s">
        <v>170</v>
      </c>
      <c r="F781" s="6">
        <v>70</v>
      </c>
      <c r="G781" s="7"/>
      <c r="H781" s="4"/>
      <c r="I781" t="s">
        <v>604</v>
      </c>
      <c r="J781" s="15">
        <f>'DOI OCIO'!I8</f>
        <v>0</v>
      </c>
      <c r="K781" s="15">
        <f>'DOI OCIO'!J8</f>
        <v>0</v>
      </c>
    </row>
    <row r="782" spans="1:11" x14ac:dyDescent="0.35">
      <c r="A782" s="4"/>
      <c r="B782" t="s">
        <v>598</v>
      </c>
      <c r="C782" t="s">
        <v>601</v>
      </c>
      <c r="D782" s="4" t="s">
        <v>171</v>
      </c>
      <c r="E782" s="5" t="s">
        <v>172</v>
      </c>
      <c r="F782" s="6">
        <v>1</v>
      </c>
      <c r="G782" s="7"/>
      <c r="H782" s="4"/>
      <c r="I782" t="s">
        <v>604</v>
      </c>
      <c r="J782" s="15">
        <f>'DOI OCIO'!I9</f>
        <v>0</v>
      </c>
      <c r="K782" s="15">
        <f>'DOI OCIO'!J9</f>
        <v>0</v>
      </c>
    </row>
    <row r="783" spans="1:11" x14ac:dyDescent="0.35">
      <c r="K783" s="16">
        <f>SUM(K2:K782)</f>
        <v>0</v>
      </c>
    </row>
  </sheetData>
  <autoFilter ref="A1:K1" xr:uid="{FDFFA824-A277-4722-A8CE-F135A31E21A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2D0A-D253-47A7-8523-6991BA381A94}">
  <dimension ref="A1:J59"/>
  <sheetViews>
    <sheetView workbookViewId="0">
      <pane ySplit="1" topLeftCell="A2" activePane="bottomLeft" state="frozen"/>
      <selection pane="bottomLeft" activeCell="J59" sqref="J59"/>
    </sheetView>
  </sheetViews>
  <sheetFormatPr defaultRowHeight="14.5" x14ac:dyDescent="0.35"/>
  <cols>
    <col min="1" max="1" width="35.26953125" bestFit="1" customWidth="1"/>
    <col min="2" max="2" width="31" customWidth="1"/>
    <col min="3" max="3" width="45.7265625" bestFit="1" customWidth="1"/>
    <col min="4" max="4" width="20.7265625" bestFit="1" customWidth="1"/>
    <col min="5" max="5" width="53.81640625" bestFit="1" customWidth="1"/>
    <col min="6" max="6" width="18" style="11" bestFit="1" customWidth="1"/>
    <col min="7" max="7" width="18" bestFit="1" customWidth="1"/>
    <col min="8" max="8" width="15.7265625" bestFit="1" customWidth="1"/>
  </cols>
  <sheetData>
    <row r="1" spans="1:10" x14ac:dyDescent="0.35">
      <c r="A1" s="10" t="s">
        <v>600</v>
      </c>
      <c r="B1" s="10" t="s">
        <v>597</v>
      </c>
      <c r="C1" s="10" t="s">
        <v>10</v>
      </c>
      <c r="D1" s="10" t="s">
        <v>20</v>
      </c>
      <c r="E1" s="10" t="s">
        <v>21</v>
      </c>
      <c r="F1" s="10" t="s">
        <v>23</v>
      </c>
      <c r="G1" s="10" t="s">
        <v>22</v>
      </c>
      <c r="H1" s="10" t="s">
        <v>181</v>
      </c>
      <c r="I1" s="10" t="s">
        <v>609</v>
      </c>
      <c r="J1" s="10" t="s">
        <v>610</v>
      </c>
    </row>
    <row r="2" spans="1:10" x14ac:dyDescent="0.35">
      <c r="A2" t="s">
        <v>11</v>
      </c>
      <c r="B2" t="s">
        <v>598</v>
      </c>
      <c r="C2" t="s">
        <v>12</v>
      </c>
      <c r="D2" t="s">
        <v>24</v>
      </c>
      <c r="E2" t="s">
        <v>25</v>
      </c>
      <c r="F2" s="11">
        <v>100</v>
      </c>
      <c r="G2" t="s">
        <v>26</v>
      </c>
      <c r="I2" s="15"/>
      <c r="J2" s="17">
        <f>I2*F2</f>
        <v>0</v>
      </c>
    </row>
    <row r="3" spans="1:10" x14ac:dyDescent="0.35">
      <c r="A3" t="s">
        <v>11</v>
      </c>
      <c r="B3" t="s">
        <v>598</v>
      </c>
      <c r="C3" t="s">
        <v>13</v>
      </c>
      <c r="D3" t="s">
        <v>173</v>
      </c>
      <c r="E3" t="s">
        <v>28</v>
      </c>
      <c r="F3" s="11">
        <v>1</v>
      </c>
      <c r="G3" t="s">
        <v>88</v>
      </c>
      <c r="I3" s="15"/>
      <c r="J3" s="17">
        <f t="shared" ref="J3:J58" si="0">I3*F3</f>
        <v>0</v>
      </c>
    </row>
    <row r="4" spans="1:10" x14ac:dyDescent="0.35">
      <c r="A4" t="s">
        <v>11</v>
      </c>
      <c r="B4" t="s">
        <v>598</v>
      </c>
      <c r="C4" t="s">
        <v>13</v>
      </c>
      <c r="D4" t="s">
        <v>174</v>
      </c>
      <c r="E4" t="s">
        <v>31</v>
      </c>
      <c r="F4" s="11">
        <v>1</v>
      </c>
      <c r="G4" t="s">
        <v>88</v>
      </c>
      <c r="I4" s="15"/>
      <c r="J4" s="17">
        <f t="shared" si="0"/>
        <v>0</v>
      </c>
    </row>
    <row r="5" spans="1:10" x14ac:dyDescent="0.35">
      <c r="A5" t="s">
        <v>11</v>
      </c>
      <c r="B5" t="s">
        <v>598</v>
      </c>
      <c r="C5" t="s">
        <v>13</v>
      </c>
      <c r="D5" t="s">
        <v>32</v>
      </c>
      <c r="E5" t="s">
        <v>33</v>
      </c>
      <c r="F5" s="11">
        <v>1</v>
      </c>
      <c r="G5" t="s">
        <v>29</v>
      </c>
      <c r="I5" s="15"/>
      <c r="J5" s="17">
        <f t="shared" si="0"/>
        <v>0</v>
      </c>
    </row>
    <row r="6" spans="1:10" x14ac:dyDescent="0.35">
      <c r="A6" t="s">
        <v>11</v>
      </c>
      <c r="B6" t="s">
        <v>598</v>
      </c>
      <c r="C6" t="s">
        <v>13</v>
      </c>
      <c r="D6" t="s">
        <v>34</v>
      </c>
      <c r="E6" t="s">
        <v>35</v>
      </c>
      <c r="F6" s="11">
        <v>1</v>
      </c>
      <c r="G6" t="s">
        <v>26</v>
      </c>
      <c r="I6" s="15"/>
      <c r="J6" s="17">
        <f t="shared" si="0"/>
        <v>0</v>
      </c>
    </row>
    <row r="7" spans="1:10" x14ac:dyDescent="0.35">
      <c r="A7" t="s">
        <v>11</v>
      </c>
      <c r="B7" t="s">
        <v>598</v>
      </c>
      <c r="C7" t="s">
        <v>14</v>
      </c>
      <c r="D7" t="s">
        <v>38</v>
      </c>
      <c r="E7" t="s">
        <v>35</v>
      </c>
      <c r="F7" s="11">
        <v>1</v>
      </c>
      <c r="G7" t="s">
        <v>26</v>
      </c>
      <c r="I7" s="15"/>
      <c r="J7" s="17">
        <f t="shared" si="0"/>
        <v>0</v>
      </c>
    </row>
    <row r="8" spans="1:10" x14ac:dyDescent="0.35">
      <c r="A8" t="s">
        <v>11</v>
      </c>
      <c r="B8" t="s">
        <v>598</v>
      </c>
      <c r="C8" t="s">
        <v>14</v>
      </c>
      <c r="D8" t="s">
        <v>175</v>
      </c>
      <c r="E8" t="s">
        <v>37</v>
      </c>
      <c r="F8" s="11">
        <v>1</v>
      </c>
      <c r="G8" t="s">
        <v>88</v>
      </c>
      <c r="I8" s="15"/>
      <c r="J8" s="17">
        <f t="shared" si="0"/>
        <v>0</v>
      </c>
    </row>
    <row r="9" spans="1:10" x14ac:dyDescent="0.35">
      <c r="A9" t="s">
        <v>15</v>
      </c>
      <c r="B9" t="s">
        <v>598</v>
      </c>
      <c r="C9" t="s">
        <v>16</v>
      </c>
      <c r="D9" t="s">
        <v>41</v>
      </c>
      <c r="E9" t="s">
        <v>42</v>
      </c>
      <c r="F9" s="11">
        <v>1</v>
      </c>
      <c r="G9" t="s">
        <v>26</v>
      </c>
      <c r="I9" s="15"/>
      <c r="J9" s="17">
        <f t="shared" si="0"/>
        <v>0</v>
      </c>
    </row>
    <row r="10" spans="1:10" x14ac:dyDescent="0.35">
      <c r="A10" t="s">
        <v>15</v>
      </c>
      <c r="B10" t="s">
        <v>598</v>
      </c>
      <c r="C10" t="s">
        <v>16</v>
      </c>
      <c r="D10" t="s">
        <v>154</v>
      </c>
      <c r="E10" t="s">
        <v>40</v>
      </c>
      <c r="F10" s="11">
        <v>19</v>
      </c>
      <c r="G10" t="s">
        <v>88</v>
      </c>
      <c r="I10" s="15"/>
      <c r="J10" s="17">
        <f t="shared" si="0"/>
        <v>0</v>
      </c>
    </row>
    <row r="11" spans="1:10" x14ac:dyDescent="0.35">
      <c r="A11" t="s">
        <v>15</v>
      </c>
      <c r="B11" t="s">
        <v>598</v>
      </c>
      <c r="C11" t="s">
        <v>16</v>
      </c>
      <c r="D11" t="s">
        <v>176</v>
      </c>
      <c r="E11" t="s">
        <v>44</v>
      </c>
      <c r="F11" s="11">
        <v>1</v>
      </c>
      <c r="G11" t="s">
        <v>88</v>
      </c>
      <c r="I11" s="15"/>
      <c r="J11" s="17">
        <f t="shared" si="0"/>
        <v>0</v>
      </c>
    </row>
    <row r="12" spans="1:10" x14ac:dyDescent="0.35">
      <c r="A12" t="s">
        <v>17</v>
      </c>
      <c r="B12" t="s">
        <v>598</v>
      </c>
      <c r="C12" t="s">
        <v>18</v>
      </c>
      <c r="D12" t="s">
        <v>177</v>
      </c>
      <c r="E12" t="s">
        <v>50</v>
      </c>
      <c r="F12" s="11">
        <v>7</v>
      </c>
      <c r="G12" t="s">
        <v>88</v>
      </c>
      <c r="I12" s="15"/>
      <c r="J12" s="17">
        <f t="shared" si="0"/>
        <v>0</v>
      </c>
    </row>
    <row r="13" spans="1:10" x14ac:dyDescent="0.35">
      <c r="A13" t="s">
        <v>17</v>
      </c>
      <c r="B13" t="s">
        <v>598</v>
      </c>
      <c r="C13" t="s">
        <v>18</v>
      </c>
      <c r="D13" t="s">
        <v>136</v>
      </c>
      <c r="E13" t="s">
        <v>46</v>
      </c>
      <c r="F13" s="11">
        <v>24</v>
      </c>
      <c r="G13" t="s">
        <v>88</v>
      </c>
      <c r="I13" s="15"/>
      <c r="J13" s="17">
        <f t="shared" si="0"/>
        <v>0</v>
      </c>
    </row>
    <row r="14" spans="1:10" x14ac:dyDescent="0.35">
      <c r="A14" t="s">
        <v>17</v>
      </c>
      <c r="B14" t="s">
        <v>598</v>
      </c>
      <c r="C14" t="s">
        <v>18</v>
      </c>
      <c r="D14" t="s">
        <v>178</v>
      </c>
      <c r="E14" t="s">
        <v>48</v>
      </c>
      <c r="F14" s="11">
        <v>4</v>
      </c>
      <c r="G14" t="s">
        <v>88</v>
      </c>
      <c r="I14" s="15"/>
      <c r="J14" s="17">
        <f t="shared" si="0"/>
        <v>0</v>
      </c>
    </row>
    <row r="15" spans="1:10" x14ac:dyDescent="0.35">
      <c r="A15" t="s">
        <v>17</v>
      </c>
      <c r="B15" t="s">
        <v>598</v>
      </c>
      <c r="C15" t="s">
        <v>18</v>
      </c>
      <c r="D15" t="s">
        <v>137</v>
      </c>
      <c r="E15" t="s">
        <v>51</v>
      </c>
      <c r="F15" s="11">
        <v>3</v>
      </c>
      <c r="G15" t="s">
        <v>88</v>
      </c>
      <c r="I15" s="15"/>
      <c r="J15" s="17">
        <f t="shared" si="0"/>
        <v>0</v>
      </c>
    </row>
    <row r="16" spans="1:10" x14ac:dyDescent="0.35">
      <c r="A16" t="s">
        <v>17</v>
      </c>
      <c r="B16" t="s">
        <v>598</v>
      </c>
      <c r="C16" t="s">
        <v>18</v>
      </c>
      <c r="D16" t="s">
        <v>138</v>
      </c>
      <c r="E16" t="s">
        <v>53</v>
      </c>
      <c r="F16" s="11">
        <v>90</v>
      </c>
      <c r="G16" t="s">
        <v>88</v>
      </c>
      <c r="I16" s="15"/>
      <c r="J16" s="17">
        <f t="shared" si="0"/>
        <v>0</v>
      </c>
    </row>
    <row r="17" spans="1:10" x14ac:dyDescent="0.35">
      <c r="A17" t="s">
        <v>17</v>
      </c>
      <c r="B17" t="s">
        <v>598</v>
      </c>
      <c r="C17" t="s">
        <v>18</v>
      </c>
      <c r="D17" t="s">
        <v>141</v>
      </c>
      <c r="E17" t="s">
        <v>54</v>
      </c>
      <c r="F17" s="11">
        <v>5</v>
      </c>
      <c r="G17" t="s">
        <v>88</v>
      </c>
      <c r="I17" s="15"/>
      <c r="J17" s="17">
        <f t="shared" si="0"/>
        <v>0</v>
      </c>
    </row>
    <row r="18" spans="1:10" x14ac:dyDescent="0.35">
      <c r="A18" t="s">
        <v>17</v>
      </c>
      <c r="B18" t="s">
        <v>598</v>
      </c>
      <c r="C18" t="s">
        <v>18</v>
      </c>
      <c r="D18" t="s">
        <v>144</v>
      </c>
      <c r="E18" t="s">
        <v>55</v>
      </c>
      <c r="F18" s="11">
        <v>13</v>
      </c>
      <c r="G18" t="s">
        <v>88</v>
      </c>
      <c r="I18" s="15"/>
      <c r="J18" s="17">
        <f t="shared" si="0"/>
        <v>0</v>
      </c>
    </row>
    <row r="19" spans="1:10" x14ac:dyDescent="0.35">
      <c r="A19" t="s">
        <v>17</v>
      </c>
      <c r="B19" t="s">
        <v>598</v>
      </c>
      <c r="C19" t="s">
        <v>18</v>
      </c>
      <c r="D19" t="s">
        <v>58</v>
      </c>
      <c r="E19" t="s">
        <v>59</v>
      </c>
      <c r="F19" s="11">
        <v>1</v>
      </c>
      <c r="G19" t="s">
        <v>26</v>
      </c>
      <c r="I19" s="15"/>
      <c r="J19" s="17">
        <f t="shared" si="0"/>
        <v>0</v>
      </c>
    </row>
    <row r="20" spans="1:10" x14ac:dyDescent="0.35">
      <c r="A20" t="s">
        <v>17</v>
      </c>
      <c r="B20" t="s">
        <v>598</v>
      </c>
      <c r="C20" t="s">
        <v>18</v>
      </c>
      <c r="D20" t="s">
        <v>179</v>
      </c>
      <c r="E20" t="s">
        <v>61</v>
      </c>
      <c r="F20" s="11">
        <v>3</v>
      </c>
      <c r="G20" t="s">
        <v>88</v>
      </c>
      <c r="I20" s="15"/>
      <c r="J20" s="17">
        <f t="shared" si="0"/>
        <v>0</v>
      </c>
    </row>
    <row r="21" spans="1:10" x14ac:dyDescent="0.35">
      <c r="A21" t="s">
        <v>17</v>
      </c>
      <c r="B21" t="s">
        <v>598</v>
      </c>
      <c r="C21" t="s">
        <v>18</v>
      </c>
      <c r="D21" t="s">
        <v>180</v>
      </c>
      <c r="E21" t="s">
        <v>57</v>
      </c>
      <c r="F21" s="11">
        <v>1</v>
      </c>
      <c r="G21" t="s">
        <v>88</v>
      </c>
      <c r="I21" s="15"/>
      <c r="J21" s="17">
        <f t="shared" si="0"/>
        <v>0</v>
      </c>
    </row>
    <row r="22" spans="1:10" x14ac:dyDescent="0.35">
      <c r="A22" t="s">
        <v>17</v>
      </c>
      <c r="B22" t="s">
        <v>598</v>
      </c>
      <c r="C22" t="s">
        <v>19</v>
      </c>
      <c r="D22" t="s">
        <v>147</v>
      </c>
      <c r="E22" t="s">
        <v>19</v>
      </c>
      <c r="F22" s="11">
        <v>150</v>
      </c>
      <c r="G22" t="s">
        <v>88</v>
      </c>
      <c r="I22" s="15"/>
      <c r="J22" s="17">
        <f t="shared" si="0"/>
        <v>0</v>
      </c>
    </row>
    <row r="23" spans="1:10" x14ac:dyDescent="0.35">
      <c r="A23" t="s">
        <v>17</v>
      </c>
      <c r="B23" t="s">
        <v>598</v>
      </c>
      <c r="C23" t="s">
        <v>19</v>
      </c>
      <c r="D23" t="s">
        <v>63</v>
      </c>
      <c r="E23" t="s">
        <v>64</v>
      </c>
      <c r="F23" s="11">
        <v>1</v>
      </c>
      <c r="G23" t="s">
        <v>26</v>
      </c>
      <c r="I23" s="15"/>
      <c r="J23" s="17">
        <f t="shared" si="0"/>
        <v>0</v>
      </c>
    </row>
    <row r="24" spans="1:10" x14ac:dyDescent="0.35">
      <c r="A24" t="s">
        <v>65</v>
      </c>
      <c r="B24" t="s">
        <v>598</v>
      </c>
      <c r="C24" t="s">
        <v>66</v>
      </c>
      <c r="D24" t="s">
        <v>67</v>
      </c>
      <c r="E24" t="s">
        <v>68</v>
      </c>
      <c r="F24" s="11">
        <v>1</v>
      </c>
      <c r="I24" s="15"/>
      <c r="J24" s="17">
        <f t="shared" si="0"/>
        <v>0</v>
      </c>
    </row>
    <row r="25" spans="1:10" x14ac:dyDescent="0.35">
      <c r="A25" t="s">
        <v>65</v>
      </c>
      <c r="B25" t="s">
        <v>598</v>
      </c>
      <c r="C25" t="s">
        <v>66</v>
      </c>
      <c r="D25" t="s">
        <v>69</v>
      </c>
      <c r="E25" t="s">
        <v>70</v>
      </c>
      <c r="F25" s="11">
        <v>100</v>
      </c>
      <c r="I25" s="15"/>
      <c r="J25" s="17">
        <f t="shared" si="0"/>
        <v>0</v>
      </c>
    </row>
    <row r="26" spans="1:10" x14ac:dyDescent="0.35">
      <c r="A26" t="s">
        <v>65</v>
      </c>
      <c r="B26" t="s">
        <v>598</v>
      </c>
      <c r="C26" t="s">
        <v>71</v>
      </c>
      <c r="D26" t="s">
        <v>72</v>
      </c>
      <c r="E26" t="s">
        <v>73</v>
      </c>
      <c r="F26" s="11">
        <v>100</v>
      </c>
      <c r="I26" s="15"/>
      <c r="J26" s="17">
        <f t="shared" si="0"/>
        <v>0</v>
      </c>
    </row>
    <row r="27" spans="1:10" x14ac:dyDescent="0.35">
      <c r="A27" t="s">
        <v>65</v>
      </c>
      <c r="B27" t="s">
        <v>598</v>
      </c>
      <c r="C27" t="s">
        <v>71</v>
      </c>
      <c r="D27" t="s">
        <v>74</v>
      </c>
      <c r="E27" t="s">
        <v>75</v>
      </c>
      <c r="F27" s="11">
        <v>1</v>
      </c>
      <c r="I27" s="15"/>
      <c r="J27" s="17">
        <f t="shared" si="0"/>
        <v>0</v>
      </c>
    </row>
    <row r="28" spans="1:10" x14ac:dyDescent="0.35">
      <c r="A28" t="s">
        <v>65</v>
      </c>
      <c r="B28" t="s">
        <v>598</v>
      </c>
      <c r="C28" t="s">
        <v>71</v>
      </c>
      <c r="D28" t="s">
        <v>76</v>
      </c>
      <c r="E28" t="s">
        <v>77</v>
      </c>
      <c r="F28" s="11">
        <v>100</v>
      </c>
      <c r="I28" s="15"/>
      <c r="J28" s="17">
        <f t="shared" si="0"/>
        <v>0</v>
      </c>
    </row>
    <row r="29" spans="1:10" x14ac:dyDescent="0.35">
      <c r="A29" t="s">
        <v>78</v>
      </c>
      <c r="B29" t="s">
        <v>598</v>
      </c>
      <c r="C29" t="s">
        <v>79</v>
      </c>
      <c r="D29" t="s">
        <v>80</v>
      </c>
      <c r="E29" t="s">
        <v>81</v>
      </c>
      <c r="F29" s="11">
        <v>1</v>
      </c>
      <c r="I29" s="15"/>
      <c r="J29" s="17">
        <f t="shared" si="0"/>
        <v>0</v>
      </c>
    </row>
    <row r="30" spans="1:10" x14ac:dyDescent="0.35">
      <c r="A30" t="s">
        <v>78</v>
      </c>
      <c r="B30" t="s">
        <v>598</v>
      </c>
      <c r="C30" t="s">
        <v>79</v>
      </c>
      <c r="D30" t="s">
        <v>82</v>
      </c>
      <c r="E30" t="s">
        <v>83</v>
      </c>
      <c r="F30" s="11">
        <v>15</v>
      </c>
      <c r="I30" s="15"/>
      <c r="J30" s="17">
        <f t="shared" si="0"/>
        <v>0</v>
      </c>
    </row>
    <row r="31" spans="1:10" x14ac:dyDescent="0.35">
      <c r="A31" t="s">
        <v>78</v>
      </c>
      <c r="B31" t="s">
        <v>598</v>
      </c>
      <c r="C31" t="s">
        <v>79</v>
      </c>
      <c r="D31" t="s">
        <v>84</v>
      </c>
      <c r="E31" t="s">
        <v>85</v>
      </c>
      <c r="F31" s="11">
        <v>2</v>
      </c>
      <c r="I31" s="15"/>
      <c r="J31" s="17">
        <f t="shared" si="0"/>
        <v>0</v>
      </c>
    </row>
    <row r="32" spans="1:10" x14ac:dyDescent="0.35">
      <c r="A32" t="s">
        <v>182</v>
      </c>
      <c r="B32" t="s">
        <v>599</v>
      </c>
      <c r="C32" t="s">
        <v>183</v>
      </c>
      <c r="D32" t="s">
        <v>184</v>
      </c>
      <c r="E32" t="s">
        <v>185</v>
      </c>
      <c r="F32" s="11">
        <v>110</v>
      </c>
      <c r="H32" t="s">
        <v>186</v>
      </c>
      <c r="I32" s="15"/>
      <c r="J32" s="17">
        <f t="shared" si="0"/>
        <v>0</v>
      </c>
    </row>
    <row r="33" spans="1:10" x14ac:dyDescent="0.35">
      <c r="A33" t="s">
        <v>182</v>
      </c>
      <c r="B33" t="s">
        <v>599</v>
      </c>
      <c r="C33" t="s">
        <v>183</v>
      </c>
      <c r="D33" t="s">
        <v>187</v>
      </c>
      <c r="E33" t="s">
        <v>188</v>
      </c>
      <c r="F33" s="11">
        <v>242</v>
      </c>
      <c r="H33" t="s">
        <v>186</v>
      </c>
      <c r="I33" s="15"/>
      <c r="J33" s="17">
        <f t="shared" si="0"/>
        <v>0</v>
      </c>
    </row>
    <row r="34" spans="1:10" x14ac:dyDescent="0.35">
      <c r="A34" t="s">
        <v>182</v>
      </c>
      <c r="B34" t="s">
        <v>599</v>
      </c>
      <c r="C34" t="s">
        <v>189</v>
      </c>
      <c r="D34" t="s">
        <v>190</v>
      </c>
      <c r="E34" t="s">
        <v>191</v>
      </c>
      <c r="F34" s="11">
        <v>14</v>
      </c>
      <c r="H34" t="s">
        <v>192</v>
      </c>
      <c r="I34" s="15"/>
      <c r="J34" s="17">
        <f t="shared" si="0"/>
        <v>0</v>
      </c>
    </row>
    <row r="35" spans="1:10" x14ac:dyDescent="0.35">
      <c r="A35" t="s">
        <v>182</v>
      </c>
      <c r="B35" t="s">
        <v>599</v>
      </c>
      <c r="C35" t="s">
        <v>189</v>
      </c>
      <c r="D35" t="s">
        <v>193</v>
      </c>
      <c r="E35" t="s">
        <v>194</v>
      </c>
      <c r="F35" s="11">
        <v>669</v>
      </c>
      <c r="H35" t="s">
        <v>192</v>
      </c>
      <c r="I35" s="15"/>
      <c r="J35" s="17">
        <f t="shared" si="0"/>
        <v>0</v>
      </c>
    </row>
    <row r="36" spans="1:10" x14ac:dyDescent="0.35">
      <c r="A36" t="s">
        <v>182</v>
      </c>
      <c r="B36" t="s">
        <v>599</v>
      </c>
      <c r="C36" t="s">
        <v>195</v>
      </c>
      <c r="D36" t="s">
        <v>196</v>
      </c>
      <c r="E36" t="s">
        <v>197</v>
      </c>
      <c r="F36" s="11">
        <v>57</v>
      </c>
      <c r="H36" t="s">
        <v>192</v>
      </c>
      <c r="I36" s="15"/>
      <c r="J36" s="17">
        <f t="shared" si="0"/>
        <v>0</v>
      </c>
    </row>
    <row r="37" spans="1:10" x14ac:dyDescent="0.35">
      <c r="A37" t="s">
        <v>182</v>
      </c>
      <c r="B37" t="s">
        <v>599</v>
      </c>
      <c r="C37" t="s">
        <v>198</v>
      </c>
      <c r="D37" t="s">
        <v>199</v>
      </c>
      <c r="E37" t="s">
        <v>200</v>
      </c>
      <c r="F37" s="11">
        <v>1</v>
      </c>
      <c r="H37" t="s">
        <v>186</v>
      </c>
      <c r="I37" s="15"/>
      <c r="J37" s="17">
        <f t="shared" si="0"/>
        <v>0</v>
      </c>
    </row>
    <row r="38" spans="1:10" x14ac:dyDescent="0.35">
      <c r="A38" t="s">
        <v>182</v>
      </c>
      <c r="B38" t="s">
        <v>599</v>
      </c>
      <c r="C38" t="s">
        <v>198</v>
      </c>
      <c r="D38" t="s">
        <v>99</v>
      </c>
      <c r="E38" t="s">
        <v>201</v>
      </c>
      <c r="F38" s="11">
        <v>0</v>
      </c>
      <c r="H38" t="s">
        <v>186</v>
      </c>
      <c r="I38" s="15"/>
      <c r="J38" s="17">
        <f t="shared" si="0"/>
        <v>0</v>
      </c>
    </row>
    <row r="39" spans="1:10" x14ac:dyDescent="0.35">
      <c r="A39" t="s">
        <v>182</v>
      </c>
      <c r="B39" t="s">
        <v>599</v>
      </c>
      <c r="C39" t="s">
        <v>198</v>
      </c>
      <c r="D39" t="s">
        <v>202</v>
      </c>
      <c r="E39" t="s">
        <v>203</v>
      </c>
      <c r="F39" s="11">
        <v>0</v>
      </c>
      <c r="H39" t="s">
        <v>186</v>
      </c>
      <c r="I39" s="15"/>
      <c r="J39" s="17">
        <f t="shared" si="0"/>
        <v>0</v>
      </c>
    </row>
    <row r="40" spans="1:10" x14ac:dyDescent="0.35">
      <c r="A40" t="s">
        <v>182</v>
      </c>
      <c r="B40" t="s">
        <v>599</v>
      </c>
      <c r="C40" t="s">
        <v>204</v>
      </c>
      <c r="D40" t="s">
        <v>205</v>
      </c>
      <c r="E40" t="s">
        <v>206</v>
      </c>
      <c r="F40" s="11">
        <v>163</v>
      </c>
      <c r="H40" t="s">
        <v>186</v>
      </c>
      <c r="I40" s="15"/>
      <c r="J40" s="17">
        <f t="shared" si="0"/>
        <v>0</v>
      </c>
    </row>
    <row r="41" spans="1:10" x14ac:dyDescent="0.35">
      <c r="A41" t="s">
        <v>182</v>
      </c>
      <c r="B41" t="s">
        <v>599</v>
      </c>
      <c r="C41" t="s">
        <v>204</v>
      </c>
      <c r="D41" t="s">
        <v>207</v>
      </c>
      <c r="E41" t="s">
        <v>208</v>
      </c>
      <c r="F41" s="11">
        <v>222</v>
      </c>
      <c r="H41" t="s">
        <v>186</v>
      </c>
      <c r="I41" s="15"/>
      <c r="J41" s="17">
        <f t="shared" si="0"/>
        <v>0</v>
      </c>
    </row>
    <row r="42" spans="1:10" x14ac:dyDescent="0.35">
      <c r="A42" t="s">
        <v>182</v>
      </c>
      <c r="B42" t="s">
        <v>599</v>
      </c>
      <c r="C42" t="s">
        <v>204</v>
      </c>
      <c r="D42" t="s">
        <v>209</v>
      </c>
      <c r="E42" t="s">
        <v>210</v>
      </c>
      <c r="F42" s="11">
        <v>0</v>
      </c>
      <c r="H42" t="s">
        <v>186</v>
      </c>
      <c r="I42" s="15"/>
      <c r="J42" s="17">
        <f t="shared" si="0"/>
        <v>0</v>
      </c>
    </row>
    <row r="43" spans="1:10" x14ac:dyDescent="0.35">
      <c r="A43" t="s">
        <v>182</v>
      </c>
      <c r="B43" t="s">
        <v>599</v>
      </c>
      <c r="C43" t="s">
        <v>204</v>
      </c>
      <c r="D43" t="s">
        <v>202</v>
      </c>
      <c r="E43" t="s">
        <v>203</v>
      </c>
      <c r="F43" s="11">
        <v>0</v>
      </c>
      <c r="H43" t="s">
        <v>186</v>
      </c>
      <c r="I43" s="15"/>
      <c r="J43" s="17">
        <f t="shared" si="0"/>
        <v>0</v>
      </c>
    </row>
    <row r="44" spans="1:10" x14ac:dyDescent="0.35">
      <c r="A44" t="s">
        <v>211</v>
      </c>
      <c r="B44" t="s">
        <v>599</v>
      </c>
      <c r="C44" t="s">
        <v>212</v>
      </c>
      <c r="D44" t="s">
        <v>213</v>
      </c>
      <c r="E44" t="s">
        <v>214</v>
      </c>
      <c r="F44" s="11">
        <v>0</v>
      </c>
      <c r="H44" t="s">
        <v>215</v>
      </c>
      <c r="I44" s="15"/>
      <c r="J44" s="17">
        <f t="shared" si="0"/>
        <v>0</v>
      </c>
    </row>
    <row r="45" spans="1:10" x14ac:dyDescent="0.35">
      <c r="A45" t="s">
        <v>211</v>
      </c>
      <c r="B45" t="s">
        <v>599</v>
      </c>
      <c r="C45" t="s">
        <v>212</v>
      </c>
      <c r="D45" t="s">
        <v>216</v>
      </c>
      <c r="E45" t="s">
        <v>217</v>
      </c>
      <c r="F45" s="11">
        <v>13</v>
      </c>
      <c r="H45" t="s">
        <v>215</v>
      </c>
      <c r="I45" s="15"/>
      <c r="J45" s="17">
        <f t="shared" si="0"/>
        <v>0</v>
      </c>
    </row>
    <row r="46" spans="1:10" x14ac:dyDescent="0.35">
      <c r="A46" t="s">
        <v>211</v>
      </c>
      <c r="B46" t="s">
        <v>599</v>
      </c>
      <c r="C46" t="s">
        <v>212</v>
      </c>
      <c r="D46" t="s">
        <v>218</v>
      </c>
      <c r="E46" t="s">
        <v>219</v>
      </c>
      <c r="F46" s="11">
        <v>174</v>
      </c>
      <c r="H46" t="s">
        <v>215</v>
      </c>
      <c r="I46" s="15"/>
      <c r="J46" s="17">
        <f t="shared" si="0"/>
        <v>0</v>
      </c>
    </row>
    <row r="47" spans="1:10" x14ac:dyDescent="0.35">
      <c r="A47" t="s">
        <v>211</v>
      </c>
      <c r="B47" t="s">
        <v>599</v>
      </c>
      <c r="C47" t="s">
        <v>212</v>
      </c>
      <c r="D47" t="s">
        <v>202</v>
      </c>
      <c r="E47" t="s">
        <v>203</v>
      </c>
      <c r="F47" s="11">
        <v>0</v>
      </c>
      <c r="H47" t="s">
        <v>215</v>
      </c>
      <c r="I47" s="15"/>
      <c r="J47" s="17">
        <f t="shared" si="0"/>
        <v>0</v>
      </c>
    </row>
    <row r="48" spans="1:10" x14ac:dyDescent="0.35">
      <c r="A48" t="s">
        <v>220</v>
      </c>
      <c r="B48" t="s">
        <v>599</v>
      </c>
      <c r="C48" t="s">
        <v>221</v>
      </c>
      <c r="D48" t="s">
        <v>222</v>
      </c>
      <c r="E48" t="s">
        <v>223</v>
      </c>
      <c r="F48" s="11">
        <v>0</v>
      </c>
      <c r="H48" t="s">
        <v>224</v>
      </c>
      <c r="I48" s="15"/>
      <c r="J48" s="17">
        <f t="shared" si="0"/>
        <v>0</v>
      </c>
    </row>
    <row r="49" spans="1:10" x14ac:dyDescent="0.35">
      <c r="A49" t="s">
        <v>220</v>
      </c>
      <c r="B49" t="s">
        <v>599</v>
      </c>
      <c r="C49" t="s">
        <v>221</v>
      </c>
      <c r="D49" t="s">
        <v>202</v>
      </c>
      <c r="E49" t="s">
        <v>203</v>
      </c>
      <c r="F49" s="11">
        <v>0</v>
      </c>
      <c r="H49" t="s">
        <v>224</v>
      </c>
      <c r="I49" s="15"/>
      <c r="J49" s="17">
        <f t="shared" si="0"/>
        <v>0</v>
      </c>
    </row>
    <row r="50" spans="1:10" x14ac:dyDescent="0.35">
      <c r="A50" t="s">
        <v>220</v>
      </c>
      <c r="B50" t="s">
        <v>599</v>
      </c>
      <c r="C50" t="s">
        <v>225</v>
      </c>
      <c r="D50" t="s">
        <v>226</v>
      </c>
      <c r="E50" t="s">
        <v>227</v>
      </c>
      <c r="F50" s="11">
        <v>0</v>
      </c>
      <c r="H50" t="s">
        <v>228</v>
      </c>
      <c r="I50" s="15"/>
      <c r="J50" s="17">
        <f t="shared" si="0"/>
        <v>0</v>
      </c>
    </row>
    <row r="51" spans="1:10" x14ac:dyDescent="0.35">
      <c r="A51" t="s">
        <v>220</v>
      </c>
      <c r="B51" t="s">
        <v>599</v>
      </c>
      <c r="C51" t="s">
        <v>225</v>
      </c>
      <c r="D51" t="s">
        <v>202</v>
      </c>
      <c r="E51" t="s">
        <v>203</v>
      </c>
      <c r="F51" s="11">
        <v>0</v>
      </c>
      <c r="H51" t="s">
        <v>228</v>
      </c>
      <c r="I51" s="15"/>
      <c r="J51" s="17">
        <f t="shared" si="0"/>
        <v>0</v>
      </c>
    </row>
    <row r="52" spans="1:10" x14ac:dyDescent="0.35">
      <c r="A52" s="2" t="s">
        <v>448</v>
      </c>
      <c r="B52" t="s">
        <v>599</v>
      </c>
      <c r="D52" s="2" t="s">
        <v>452</v>
      </c>
      <c r="E52" s="2" t="s">
        <v>453</v>
      </c>
      <c r="F52" s="11">
        <v>42</v>
      </c>
      <c r="I52" s="15"/>
      <c r="J52" s="17">
        <f t="shared" si="0"/>
        <v>0</v>
      </c>
    </row>
    <row r="53" spans="1:10" x14ac:dyDescent="0.35">
      <c r="A53" s="2" t="s">
        <v>448</v>
      </c>
      <c r="B53" t="s">
        <v>599</v>
      </c>
      <c r="D53" s="2" t="s">
        <v>452</v>
      </c>
      <c r="E53" s="2" t="s">
        <v>453</v>
      </c>
      <c r="F53" s="11">
        <v>42</v>
      </c>
      <c r="I53" s="15"/>
      <c r="J53" s="17">
        <f t="shared" si="0"/>
        <v>0</v>
      </c>
    </row>
    <row r="54" spans="1:10" x14ac:dyDescent="0.35">
      <c r="A54" s="2" t="s">
        <v>449</v>
      </c>
      <c r="B54" t="s">
        <v>599</v>
      </c>
      <c r="D54" s="2" t="s">
        <v>454</v>
      </c>
      <c r="E54" s="2" t="s">
        <v>455</v>
      </c>
      <c r="F54" s="11">
        <v>1</v>
      </c>
      <c r="I54" s="15"/>
      <c r="J54" s="17">
        <f t="shared" si="0"/>
        <v>0</v>
      </c>
    </row>
    <row r="55" spans="1:10" x14ac:dyDescent="0.35">
      <c r="A55" s="2" t="s">
        <v>450</v>
      </c>
      <c r="B55" t="s">
        <v>599</v>
      </c>
      <c r="D55" s="2" t="s">
        <v>456</v>
      </c>
      <c r="E55" s="2" t="s">
        <v>457</v>
      </c>
      <c r="F55" s="11">
        <v>1</v>
      </c>
      <c r="I55" s="15"/>
      <c r="J55" s="17">
        <f t="shared" si="0"/>
        <v>0</v>
      </c>
    </row>
    <row r="56" spans="1:10" x14ac:dyDescent="0.35">
      <c r="A56" s="2" t="s">
        <v>451</v>
      </c>
      <c r="B56" t="s">
        <v>599</v>
      </c>
      <c r="D56" s="2" t="s">
        <v>458</v>
      </c>
      <c r="E56" s="2" t="s">
        <v>459</v>
      </c>
      <c r="F56" s="11">
        <v>1</v>
      </c>
      <c r="I56" s="15"/>
      <c r="J56" s="17">
        <f t="shared" si="0"/>
        <v>0</v>
      </c>
    </row>
    <row r="57" spans="1:10" x14ac:dyDescent="0.35">
      <c r="A57" s="2" t="s">
        <v>451</v>
      </c>
      <c r="B57" t="s">
        <v>599</v>
      </c>
      <c r="D57" s="2" t="s">
        <v>458</v>
      </c>
      <c r="E57" s="2" t="s">
        <v>459</v>
      </c>
      <c r="F57" s="11">
        <v>1</v>
      </c>
      <c r="I57" s="15"/>
      <c r="J57" s="17">
        <f t="shared" si="0"/>
        <v>0</v>
      </c>
    </row>
    <row r="58" spans="1:10" x14ac:dyDescent="0.35">
      <c r="A58" s="2" t="s">
        <v>451</v>
      </c>
      <c r="B58" t="s">
        <v>599</v>
      </c>
      <c r="D58" s="2" t="s">
        <v>458</v>
      </c>
      <c r="E58" s="2" t="s">
        <v>459</v>
      </c>
      <c r="F58" s="11">
        <v>1</v>
      </c>
      <c r="I58" s="15"/>
      <c r="J58" s="17">
        <f t="shared" si="0"/>
        <v>0</v>
      </c>
    </row>
    <row r="59" spans="1:10" x14ac:dyDescent="0.35">
      <c r="J59" s="15">
        <f>SUM(J2:J58)</f>
        <v>0</v>
      </c>
    </row>
  </sheetData>
  <autoFilter ref="A1:H23" xr:uid="{C70B2D0A-D253-47A7-8523-6991BA381A9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D05E-CBD3-4E53-A7FD-A095F3E4ACFC}">
  <dimension ref="A1:J34"/>
  <sheetViews>
    <sheetView topLeftCell="B1" workbookViewId="0">
      <pane ySplit="1" topLeftCell="A2" activePane="bottomLeft" state="frozen"/>
      <selection pane="bottomLeft" activeCell="I1" sqref="I1:J1"/>
    </sheetView>
  </sheetViews>
  <sheetFormatPr defaultRowHeight="14.5" x14ac:dyDescent="0.35"/>
  <cols>
    <col min="1" max="1" width="35.26953125" bestFit="1" customWidth="1"/>
    <col min="2" max="2" width="35.26953125" customWidth="1"/>
    <col min="3" max="3" width="45.7265625" bestFit="1" customWidth="1"/>
    <col min="4" max="4" width="20.7265625" bestFit="1" customWidth="1"/>
    <col min="5" max="5" width="53.81640625" bestFit="1" customWidth="1"/>
    <col min="6" max="6" width="16.1796875" style="11" bestFit="1" customWidth="1"/>
    <col min="7" max="8" width="18" bestFit="1" customWidth="1"/>
  </cols>
  <sheetData>
    <row r="1" spans="1:10" x14ac:dyDescent="0.35">
      <c r="A1" s="3" t="s">
        <v>600</v>
      </c>
      <c r="B1" s="3" t="s">
        <v>597</v>
      </c>
      <c r="C1" s="3" t="s">
        <v>10</v>
      </c>
      <c r="D1" s="3" t="s">
        <v>20</v>
      </c>
      <c r="E1" s="3" t="s">
        <v>21</v>
      </c>
      <c r="F1" s="10" t="s">
        <v>23</v>
      </c>
      <c r="G1" s="3" t="s">
        <v>22</v>
      </c>
      <c r="H1" s="3" t="s">
        <v>181</v>
      </c>
      <c r="I1" s="3" t="s">
        <v>609</v>
      </c>
      <c r="J1" s="3" t="s">
        <v>610</v>
      </c>
    </row>
    <row r="2" spans="1:10" x14ac:dyDescent="0.35">
      <c r="A2" t="s">
        <v>11</v>
      </c>
      <c r="B2" t="s">
        <v>598</v>
      </c>
      <c r="C2" t="s">
        <v>12</v>
      </c>
      <c r="D2" t="s">
        <v>24</v>
      </c>
      <c r="E2" t="s">
        <v>25</v>
      </c>
      <c r="F2" s="11">
        <v>100</v>
      </c>
      <c r="G2" t="s">
        <v>26</v>
      </c>
      <c r="I2" s="15"/>
      <c r="J2" s="17">
        <f>I2*F2</f>
        <v>0</v>
      </c>
    </row>
    <row r="3" spans="1:10" x14ac:dyDescent="0.35">
      <c r="A3" t="s">
        <v>11</v>
      </c>
      <c r="B3" t="s">
        <v>598</v>
      </c>
      <c r="C3" t="s">
        <v>13</v>
      </c>
      <c r="D3" t="s">
        <v>173</v>
      </c>
      <c r="E3" t="s">
        <v>28</v>
      </c>
      <c r="F3" s="11">
        <v>1</v>
      </c>
      <c r="G3" t="s">
        <v>88</v>
      </c>
      <c r="I3" s="15"/>
      <c r="J3" s="17">
        <f t="shared" ref="J3:J33" si="0">I3*F3</f>
        <v>0</v>
      </c>
    </row>
    <row r="4" spans="1:10" x14ac:dyDescent="0.35">
      <c r="A4" t="s">
        <v>11</v>
      </c>
      <c r="B4" t="s">
        <v>598</v>
      </c>
      <c r="C4" t="s">
        <v>13</v>
      </c>
      <c r="D4" t="s">
        <v>174</v>
      </c>
      <c r="E4" t="s">
        <v>31</v>
      </c>
      <c r="F4" s="11">
        <v>1</v>
      </c>
      <c r="G4" t="s">
        <v>88</v>
      </c>
      <c r="I4" s="15"/>
      <c r="J4" s="17">
        <f t="shared" si="0"/>
        <v>0</v>
      </c>
    </row>
    <row r="5" spans="1:10" x14ac:dyDescent="0.35">
      <c r="A5" t="s">
        <v>11</v>
      </c>
      <c r="B5" t="s">
        <v>598</v>
      </c>
      <c r="C5" t="s">
        <v>13</v>
      </c>
      <c r="D5" t="s">
        <v>32</v>
      </c>
      <c r="E5" t="s">
        <v>33</v>
      </c>
      <c r="F5" s="11">
        <v>1</v>
      </c>
      <c r="G5" t="s">
        <v>29</v>
      </c>
      <c r="I5" s="15"/>
      <c r="J5" s="17">
        <f t="shared" si="0"/>
        <v>0</v>
      </c>
    </row>
    <row r="6" spans="1:10" x14ac:dyDescent="0.35">
      <c r="A6" t="s">
        <v>11</v>
      </c>
      <c r="B6" t="s">
        <v>598</v>
      </c>
      <c r="C6" t="s">
        <v>13</v>
      </c>
      <c r="D6" t="s">
        <v>34</v>
      </c>
      <c r="E6" t="s">
        <v>35</v>
      </c>
      <c r="F6" s="11">
        <v>1</v>
      </c>
      <c r="G6" t="s">
        <v>26</v>
      </c>
      <c r="I6" s="15"/>
      <c r="J6" s="17">
        <f t="shared" si="0"/>
        <v>0</v>
      </c>
    </row>
    <row r="7" spans="1:10" x14ac:dyDescent="0.35">
      <c r="A7" t="s">
        <v>17</v>
      </c>
      <c r="B7" t="s">
        <v>598</v>
      </c>
      <c r="C7" t="s">
        <v>18</v>
      </c>
      <c r="D7" t="s">
        <v>86</v>
      </c>
      <c r="E7" t="s">
        <v>87</v>
      </c>
      <c r="F7" s="11">
        <v>5</v>
      </c>
      <c r="G7" t="s">
        <v>88</v>
      </c>
      <c r="I7" s="15"/>
      <c r="J7" s="17">
        <f t="shared" si="0"/>
        <v>0</v>
      </c>
    </row>
    <row r="8" spans="1:10" x14ac:dyDescent="0.35">
      <c r="A8" t="s">
        <v>17</v>
      </c>
      <c r="B8" t="s">
        <v>598</v>
      </c>
      <c r="C8" t="s">
        <v>18</v>
      </c>
      <c r="D8" t="s">
        <v>137</v>
      </c>
      <c r="E8" t="s">
        <v>51</v>
      </c>
      <c r="F8" s="11">
        <v>83</v>
      </c>
      <c r="G8" t="s">
        <v>88</v>
      </c>
      <c r="I8" s="15"/>
      <c r="J8" s="17">
        <f t="shared" si="0"/>
        <v>0</v>
      </c>
    </row>
    <row r="9" spans="1:10" x14ac:dyDescent="0.35">
      <c r="A9" t="s">
        <v>17</v>
      </c>
      <c r="B9" t="s">
        <v>598</v>
      </c>
      <c r="C9" t="s">
        <v>18</v>
      </c>
      <c r="D9" t="s">
        <v>144</v>
      </c>
      <c r="E9" t="s">
        <v>55</v>
      </c>
      <c r="F9" s="11">
        <v>2</v>
      </c>
      <c r="G9" t="s">
        <v>88</v>
      </c>
      <c r="I9" s="15"/>
      <c r="J9" s="17">
        <f t="shared" si="0"/>
        <v>0</v>
      </c>
    </row>
    <row r="10" spans="1:10" x14ac:dyDescent="0.35">
      <c r="A10" t="s">
        <v>17</v>
      </c>
      <c r="B10" t="s">
        <v>598</v>
      </c>
      <c r="C10" t="s">
        <v>18</v>
      </c>
      <c r="D10" t="s">
        <v>58</v>
      </c>
      <c r="E10" t="s">
        <v>59</v>
      </c>
      <c r="F10" s="11">
        <v>1</v>
      </c>
      <c r="G10" t="s">
        <v>26</v>
      </c>
      <c r="I10" s="15"/>
      <c r="J10" s="17">
        <f t="shared" si="0"/>
        <v>0</v>
      </c>
    </row>
    <row r="11" spans="1:10" x14ac:dyDescent="0.35">
      <c r="A11" t="s">
        <v>65</v>
      </c>
      <c r="B11" t="s">
        <v>598</v>
      </c>
      <c r="C11" t="s">
        <v>66</v>
      </c>
      <c r="D11" t="s">
        <v>67</v>
      </c>
      <c r="E11" t="s">
        <v>68</v>
      </c>
      <c r="F11" s="11">
        <v>1</v>
      </c>
      <c r="I11" s="15"/>
      <c r="J11" s="17">
        <f t="shared" si="0"/>
        <v>0</v>
      </c>
    </row>
    <row r="12" spans="1:10" x14ac:dyDescent="0.35">
      <c r="A12" t="s">
        <v>65</v>
      </c>
      <c r="B12" t="s">
        <v>598</v>
      </c>
      <c r="C12" t="s">
        <v>66</v>
      </c>
      <c r="D12" t="s">
        <v>69</v>
      </c>
      <c r="E12" t="s">
        <v>70</v>
      </c>
      <c r="F12" s="11">
        <v>100</v>
      </c>
      <c r="I12" s="15"/>
      <c r="J12" s="17">
        <f t="shared" si="0"/>
        <v>0</v>
      </c>
    </row>
    <row r="13" spans="1:10" x14ac:dyDescent="0.35">
      <c r="A13" t="s">
        <v>65</v>
      </c>
      <c r="B13" t="s">
        <v>598</v>
      </c>
      <c r="C13" t="s">
        <v>71</v>
      </c>
      <c r="D13" t="s">
        <v>72</v>
      </c>
      <c r="E13" t="s">
        <v>73</v>
      </c>
      <c r="F13" s="11">
        <v>100</v>
      </c>
      <c r="I13" s="15"/>
      <c r="J13" s="17">
        <f t="shared" si="0"/>
        <v>0</v>
      </c>
    </row>
    <row r="14" spans="1:10" x14ac:dyDescent="0.35">
      <c r="A14" t="s">
        <v>65</v>
      </c>
      <c r="B14" t="s">
        <v>598</v>
      </c>
      <c r="C14" t="s">
        <v>71</v>
      </c>
      <c r="D14" t="s">
        <v>74</v>
      </c>
      <c r="E14" t="s">
        <v>75</v>
      </c>
      <c r="F14" s="11">
        <v>1</v>
      </c>
      <c r="I14" s="15"/>
      <c r="J14" s="17">
        <f t="shared" si="0"/>
        <v>0</v>
      </c>
    </row>
    <row r="15" spans="1:10" x14ac:dyDescent="0.35">
      <c r="A15" t="s">
        <v>78</v>
      </c>
      <c r="B15" t="s">
        <v>598</v>
      </c>
      <c r="C15" t="s">
        <v>79</v>
      </c>
      <c r="D15" t="s">
        <v>80</v>
      </c>
      <c r="E15" t="s">
        <v>81</v>
      </c>
      <c r="F15" s="11">
        <v>1</v>
      </c>
      <c r="I15" s="15"/>
      <c r="J15" s="17">
        <f t="shared" si="0"/>
        <v>0</v>
      </c>
    </row>
    <row r="16" spans="1:10" x14ac:dyDescent="0.35">
      <c r="A16" t="s">
        <v>78</v>
      </c>
      <c r="B16" t="s">
        <v>598</v>
      </c>
      <c r="C16" t="s">
        <v>79</v>
      </c>
      <c r="D16" t="s">
        <v>84</v>
      </c>
      <c r="E16" t="s">
        <v>85</v>
      </c>
      <c r="F16" s="11">
        <v>2</v>
      </c>
      <c r="I16" s="15"/>
      <c r="J16" s="17">
        <f t="shared" si="0"/>
        <v>0</v>
      </c>
    </row>
    <row r="17" spans="1:10" x14ac:dyDescent="0.35">
      <c r="A17" t="s">
        <v>211</v>
      </c>
      <c r="B17" t="s">
        <v>599</v>
      </c>
      <c r="C17" t="s">
        <v>212</v>
      </c>
      <c r="D17" t="s">
        <v>213</v>
      </c>
      <c r="E17" t="s">
        <v>214</v>
      </c>
      <c r="F17">
        <v>0</v>
      </c>
      <c r="H17" t="s">
        <v>215</v>
      </c>
      <c r="I17" s="15"/>
      <c r="J17" s="17">
        <f t="shared" si="0"/>
        <v>0</v>
      </c>
    </row>
    <row r="18" spans="1:10" x14ac:dyDescent="0.35">
      <c r="A18" t="s">
        <v>211</v>
      </c>
      <c r="B18" t="s">
        <v>599</v>
      </c>
      <c r="C18" t="s">
        <v>212</v>
      </c>
      <c r="D18" t="s">
        <v>218</v>
      </c>
      <c r="E18" t="s">
        <v>219</v>
      </c>
      <c r="F18">
        <v>52</v>
      </c>
      <c r="H18" t="s">
        <v>215</v>
      </c>
      <c r="I18" s="15"/>
      <c r="J18" s="17">
        <f t="shared" si="0"/>
        <v>0</v>
      </c>
    </row>
    <row r="19" spans="1:10" x14ac:dyDescent="0.35">
      <c r="A19" t="s">
        <v>211</v>
      </c>
      <c r="B19" t="s">
        <v>599</v>
      </c>
      <c r="C19" t="s">
        <v>212</v>
      </c>
      <c r="D19" t="s">
        <v>233</v>
      </c>
      <c r="E19" t="s">
        <v>234</v>
      </c>
      <c r="F19">
        <v>2</v>
      </c>
      <c r="H19" t="s">
        <v>215</v>
      </c>
      <c r="I19" s="15"/>
      <c r="J19" s="17">
        <f t="shared" si="0"/>
        <v>0</v>
      </c>
    </row>
    <row r="20" spans="1:10" x14ac:dyDescent="0.35">
      <c r="A20" t="s">
        <v>211</v>
      </c>
      <c r="B20" t="s">
        <v>599</v>
      </c>
      <c r="C20" t="s">
        <v>212</v>
      </c>
      <c r="D20" t="s">
        <v>202</v>
      </c>
      <c r="E20" t="s">
        <v>203</v>
      </c>
      <c r="F20">
        <v>0</v>
      </c>
      <c r="H20" t="s">
        <v>215</v>
      </c>
      <c r="I20" s="15"/>
      <c r="J20" s="17">
        <f t="shared" si="0"/>
        <v>0</v>
      </c>
    </row>
    <row r="21" spans="1:10" x14ac:dyDescent="0.35">
      <c r="A21" t="s">
        <v>220</v>
      </c>
      <c r="B21" t="s">
        <v>599</v>
      </c>
      <c r="C21" t="s">
        <v>221</v>
      </c>
      <c r="D21" t="s">
        <v>235</v>
      </c>
      <c r="E21" t="s">
        <v>236</v>
      </c>
      <c r="F21">
        <v>0</v>
      </c>
      <c r="H21" t="s">
        <v>215</v>
      </c>
      <c r="I21" s="15"/>
      <c r="J21" s="17">
        <f t="shared" si="0"/>
        <v>0</v>
      </c>
    </row>
    <row r="22" spans="1:10" x14ac:dyDescent="0.35">
      <c r="A22" t="s">
        <v>220</v>
      </c>
      <c r="B22" t="s">
        <v>599</v>
      </c>
      <c r="C22" t="s">
        <v>221</v>
      </c>
      <c r="D22" t="s">
        <v>237</v>
      </c>
      <c r="E22" t="s">
        <v>238</v>
      </c>
      <c r="F22">
        <v>2</v>
      </c>
      <c r="H22" t="s">
        <v>215</v>
      </c>
      <c r="I22" s="15"/>
      <c r="J22" s="17">
        <f t="shared" si="0"/>
        <v>0</v>
      </c>
    </row>
    <row r="23" spans="1:10" x14ac:dyDescent="0.35">
      <c r="A23" t="s">
        <v>220</v>
      </c>
      <c r="B23" t="s">
        <v>599</v>
      </c>
      <c r="C23" t="s">
        <v>221</v>
      </c>
      <c r="D23" t="s">
        <v>202</v>
      </c>
      <c r="E23" t="s">
        <v>203</v>
      </c>
      <c r="F23">
        <v>0</v>
      </c>
      <c r="H23" t="s">
        <v>215</v>
      </c>
      <c r="I23" s="15"/>
      <c r="J23" s="17">
        <f t="shared" si="0"/>
        <v>0</v>
      </c>
    </row>
    <row r="24" spans="1:10" x14ac:dyDescent="0.35">
      <c r="A24" t="s">
        <v>182</v>
      </c>
      <c r="B24" t="s">
        <v>599</v>
      </c>
      <c r="C24" t="s">
        <v>183</v>
      </c>
      <c r="D24" t="s">
        <v>184</v>
      </c>
      <c r="E24" t="s">
        <v>185</v>
      </c>
      <c r="F24">
        <v>4</v>
      </c>
      <c r="H24" t="s">
        <v>186</v>
      </c>
      <c r="I24" s="15"/>
      <c r="J24" s="17">
        <f t="shared" si="0"/>
        <v>0</v>
      </c>
    </row>
    <row r="25" spans="1:10" x14ac:dyDescent="0.35">
      <c r="A25" t="s">
        <v>182</v>
      </c>
      <c r="B25" t="s">
        <v>599</v>
      </c>
      <c r="C25" t="s">
        <v>183</v>
      </c>
      <c r="D25" t="s">
        <v>187</v>
      </c>
      <c r="E25" t="s">
        <v>188</v>
      </c>
      <c r="F25">
        <v>1361</v>
      </c>
      <c r="H25" t="s">
        <v>186</v>
      </c>
      <c r="I25" s="15"/>
      <c r="J25" s="17">
        <f t="shared" si="0"/>
        <v>0</v>
      </c>
    </row>
    <row r="26" spans="1:10" x14ac:dyDescent="0.35">
      <c r="A26" t="s">
        <v>182</v>
      </c>
      <c r="B26" t="s">
        <v>599</v>
      </c>
      <c r="C26" t="s">
        <v>183</v>
      </c>
      <c r="D26" t="s">
        <v>229</v>
      </c>
      <c r="E26" t="s">
        <v>230</v>
      </c>
      <c r="F26">
        <v>10</v>
      </c>
      <c r="H26" t="s">
        <v>186</v>
      </c>
      <c r="I26" s="15"/>
      <c r="J26" s="17">
        <f t="shared" si="0"/>
        <v>0</v>
      </c>
    </row>
    <row r="27" spans="1:10" x14ac:dyDescent="0.35">
      <c r="A27" t="s">
        <v>182</v>
      </c>
      <c r="B27" t="s">
        <v>599</v>
      </c>
      <c r="C27" t="s">
        <v>189</v>
      </c>
      <c r="D27" t="s">
        <v>231</v>
      </c>
      <c r="E27" t="s">
        <v>232</v>
      </c>
      <c r="F27">
        <v>1</v>
      </c>
      <c r="H27" t="s">
        <v>192</v>
      </c>
      <c r="I27" s="15"/>
      <c r="J27" s="17">
        <f t="shared" si="0"/>
        <v>0</v>
      </c>
    </row>
    <row r="28" spans="1:10" x14ac:dyDescent="0.35">
      <c r="A28" t="s">
        <v>182</v>
      </c>
      <c r="B28" t="s">
        <v>599</v>
      </c>
      <c r="C28" t="s">
        <v>189</v>
      </c>
      <c r="D28" t="s">
        <v>193</v>
      </c>
      <c r="E28" t="s">
        <v>194</v>
      </c>
      <c r="F28">
        <v>37</v>
      </c>
      <c r="H28" t="s">
        <v>192</v>
      </c>
      <c r="I28" s="15"/>
      <c r="J28" s="17">
        <f t="shared" si="0"/>
        <v>0</v>
      </c>
    </row>
    <row r="29" spans="1:10" x14ac:dyDescent="0.35">
      <c r="A29" t="s">
        <v>182</v>
      </c>
      <c r="B29" t="s">
        <v>599</v>
      </c>
      <c r="C29" t="s">
        <v>198</v>
      </c>
      <c r="D29" t="s">
        <v>199</v>
      </c>
      <c r="E29" t="s">
        <v>200</v>
      </c>
      <c r="F29">
        <v>70</v>
      </c>
      <c r="H29" t="s">
        <v>192</v>
      </c>
      <c r="I29" s="15"/>
      <c r="J29" s="17">
        <f t="shared" si="0"/>
        <v>0</v>
      </c>
    </row>
    <row r="30" spans="1:10" x14ac:dyDescent="0.35">
      <c r="A30" t="s">
        <v>182</v>
      </c>
      <c r="B30" t="s">
        <v>599</v>
      </c>
      <c r="C30" t="s">
        <v>204</v>
      </c>
      <c r="D30" t="s">
        <v>205</v>
      </c>
      <c r="E30" t="s">
        <v>206</v>
      </c>
      <c r="F30">
        <v>2</v>
      </c>
      <c r="H30" t="s">
        <v>186</v>
      </c>
      <c r="I30" s="15"/>
      <c r="J30" s="17">
        <f t="shared" si="0"/>
        <v>0</v>
      </c>
    </row>
    <row r="31" spans="1:10" x14ac:dyDescent="0.35">
      <c r="A31" t="s">
        <v>182</v>
      </c>
      <c r="B31" t="s">
        <v>599</v>
      </c>
      <c r="C31" t="s">
        <v>204</v>
      </c>
      <c r="D31" t="s">
        <v>207</v>
      </c>
      <c r="E31" t="s">
        <v>208</v>
      </c>
      <c r="F31">
        <v>1019</v>
      </c>
      <c r="H31" t="s">
        <v>186</v>
      </c>
      <c r="I31" s="15"/>
      <c r="J31" s="17">
        <f t="shared" si="0"/>
        <v>0</v>
      </c>
    </row>
    <row r="32" spans="1:10" x14ac:dyDescent="0.35">
      <c r="A32" t="s">
        <v>182</v>
      </c>
      <c r="B32" t="s">
        <v>599</v>
      </c>
      <c r="C32" t="s">
        <v>204</v>
      </c>
      <c r="D32" t="s">
        <v>209</v>
      </c>
      <c r="E32" t="s">
        <v>210</v>
      </c>
      <c r="F32">
        <v>0</v>
      </c>
      <c r="H32" t="s">
        <v>186</v>
      </c>
      <c r="I32" s="15"/>
      <c r="J32" s="17">
        <f t="shared" si="0"/>
        <v>0</v>
      </c>
    </row>
    <row r="33" spans="1:10" x14ac:dyDescent="0.35">
      <c r="A33" t="s">
        <v>182</v>
      </c>
      <c r="B33" t="s">
        <v>599</v>
      </c>
      <c r="C33" t="s">
        <v>204</v>
      </c>
      <c r="D33" t="s">
        <v>202</v>
      </c>
      <c r="E33" t="s">
        <v>203</v>
      </c>
      <c r="F33">
        <v>0</v>
      </c>
      <c r="H33" t="s">
        <v>186</v>
      </c>
      <c r="I33" s="15"/>
      <c r="J33" s="17">
        <f t="shared" si="0"/>
        <v>0</v>
      </c>
    </row>
    <row r="34" spans="1:10" x14ac:dyDescent="0.35">
      <c r="I34" s="15"/>
      <c r="J34" s="15">
        <f>SUM(J2:J33)</f>
        <v>0</v>
      </c>
    </row>
  </sheetData>
  <autoFilter ref="A1:H1" xr:uid="{39BAD05E-CBD3-4E53-A7FD-A095F3E4ACF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3866-8444-48C6-BB81-8EE79481F7FB}">
  <dimension ref="A1:K62"/>
  <sheetViews>
    <sheetView topLeftCell="B1" workbookViewId="0">
      <pane ySplit="1" topLeftCell="A2" activePane="bottomLeft" state="frozen"/>
      <selection pane="bottomLeft" activeCell="K22" sqref="K22"/>
    </sheetView>
  </sheetViews>
  <sheetFormatPr defaultRowHeight="14.5" x14ac:dyDescent="0.35"/>
  <cols>
    <col min="1" max="1" width="36.26953125" bestFit="1" customWidth="1"/>
    <col min="2" max="2" width="23.7265625" customWidth="1"/>
    <col min="3" max="3" width="47" bestFit="1" customWidth="1"/>
    <col min="4" max="4" width="21.453125" bestFit="1" customWidth="1"/>
    <col min="5" max="5" width="57.7265625" bestFit="1" customWidth="1"/>
    <col min="6" max="6" width="18.54296875" bestFit="1" customWidth="1"/>
    <col min="7" max="7" width="16.1796875" bestFit="1" customWidth="1"/>
    <col min="8" max="9" width="15.7265625" bestFit="1" customWidth="1"/>
  </cols>
  <sheetData>
    <row r="1" spans="1:10" x14ac:dyDescent="0.35">
      <c r="A1" s="3" t="s">
        <v>600</v>
      </c>
      <c r="B1" s="3" t="s">
        <v>597</v>
      </c>
      <c r="C1" s="3" t="s">
        <v>10</v>
      </c>
      <c r="D1" s="3" t="s">
        <v>20</v>
      </c>
      <c r="E1" s="3" t="s">
        <v>21</v>
      </c>
      <c r="F1" s="10" t="s">
        <v>23</v>
      </c>
      <c r="G1" s="3" t="s">
        <v>22</v>
      </c>
      <c r="H1" s="3" t="s">
        <v>181</v>
      </c>
      <c r="I1" s="3" t="s">
        <v>609</v>
      </c>
      <c r="J1" s="3" t="s">
        <v>610</v>
      </c>
    </row>
    <row r="2" spans="1:10" x14ac:dyDescent="0.35">
      <c r="A2" t="s">
        <v>11</v>
      </c>
      <c r="B2" t="s">
        <v>598</v>
      </c>
      <c r="C2" t="s">
        <v>12</v>
      </c>
      <c r="D2" t="s">
        <v>24</v>
      </c>
      <c r="E2" t="s">
        <v>25</v>
      </c>
      <c r="F2">
        <v>1985</v>
      </c>
      <c r="G2" t="s">
        <v>26</v>
      </c>
      <c r="I2" s="15"/>
      <c r="J2" s="17">
        <f>I2*F2</f>
        <v>0</v>
      </c>
    </row>
    <row r="3" spans="1:10" x14ac:dyDescent="0.35">
      <c r="A3" t="s">
        <v>11</v>
      </c>
      <c r="B3" t="s">
        <v>598</v>
      </c>
      <c r="C3" t="s">
        <v>12</v>
      </c>
      <c r="D3" t="s">
        <v>89</v>
      </c>
      <c r="E3" t="s">
        <v>90</v>
      </c>
      <c r="F3">
        <v>92</v>
      </c>
      <c r="G3" t="s">
        <v>26</v>
      </c>
      <c r="I3" s="15"/>
      <c r="J3" s="17">
        <f t="shared" ref="J3:J61" si="0">I3*F3</f>
        <v>0</v>
      </c>
    </row>
    <row r="4" spans="1:10" x14ac:dyDescent="0.35">
      <c r="A4" t="s">
        <v>11</v>
      </c>
      <c r="B4" t="s">
        <v>598</v>
      </c>
      <c r="C4" t="s">
        <v>12</v>
      </c>
      <c r="D4" t="s">
        <v>91</v>
      </c>
      <c r="E4" t="s">
        <v>92</v>
      </c>
      <c r="F4">
        <v>2</v>
      </c>
      <c r="G4" t="s">
        <v>26</v>
      </c>
      <c r="I4" s="15"/>
      <c r="J4" s="17">
        <f t="shared" si="0"/>
        <v>0</v>
      </c>
    </row>
    <row r="5" spans="1:10" x14ac:dyDescent="0.35">
      <c r="A5" t="s">
        <v>15</v>
      </c>
      <c r="B5" t="s">
        <v>598</v>
      </c>
      <c r="C5" t="s">
        <v>16</v>
      </c>
      <c r="D5" t="s">
        <v>39</v>
      </c>
      <c r="E5" t="s">
        <v>40</v>
      </c>
      <c r="F5">
        <v>22</v>
      </c>
      <c r="G5" t="s">
        <v>29</v>
      </c>
      <c r="I5" s="15"/>
      <c r="J5" s="17">
        <f t="shared" si="0"/>
        <v>0</v>
      </c>
    </row>
    <row r="6" spans="1:10" x14ac:dyDescent="0.35">
      <c r="A6" t="s">
        <v>15</v>
      </c>
      <c r="B6" t="s">
        <v>598</v>
      </c>
      <c r="C6" t="s">
        <v>16</v>
      </c>
      <c r="D6" t="s">
        <v>41</v>
      </c>
      <c r="E6" t="s">
        <v>42</v>
      </c>
      <c r="F6">
        <v>1</v>
      </c>
      <c r="G6" t="s">
        <v>26</v>
      </c>
      <c r="I6" s="15"/>
      <c r="J6" s="17">
        <f t="shared" si="0"/>
        <v>0</v>
      </c>
    </row>
    <row r="7" spans="1:10" x14ac:dyDescent="0.35">
      <c r="A7" t="s">
        <v>15</v>
      </c>
      <c r="B7" t="s">
        <v>598</v>
      </c>
      <c r="C7" t="s">
        <v>16</v>
      </c>
      <c r="D7" t="s">
        <v>93</v>
      </c>
      <c r="E7" t="s">
        <v>94</v>
      </c>
      <c r="F7">
        <v>2</v>
      </c>
      <c r="G7" t="s">
        <v>29</v>
      </c>
      <c r="I7" s="15"/>
      <c r="J7" s="17">
        <f t="shared" si="0"/>
        <v>0</v>
      </c>
    </row>
    <row r="8" spans="1:10" x14ac:dyDescent="0.35">
      <c r="A8" t="s">
        <v>15</v>
      </c>
      <c r="B8" t="s">
        <v>598</v>
      </c>
      <c r="C8" t="s">
        <v>16</v>
      </c>
      <c r="D8" t="s">
        <v>43</v>
      </c>
      <c r="E8" t="s">
        <v>44</v>
      </c>
      <c r="F8">
        <v>2</v>
      </c>
      <c r="G8" t="s">
        <v>29</v>
      </c>
      <c r="I8" s="15"/>
      <c r="J8" s="17">
        <f t="shared" si="0"/>
        <v>0</v>
      </c>
    </row>
    <row r="9" spans="1:10" x14ac:dyDescent="0.35">
      <c r="A9" t="s">
        <v>17</v>
      </c>
      <c r="B9" t="s">
        <v>598</v>
      </c>
      <c r="C9" t="s">
        <v>18</v>
      </c>
      <c r="D9" t="s">
        <v>45</v>
      </c>
      <c r="E9" t="s">
        <v>46</v>
      </c>
      <c r="F9">
        <v>168</v>
      </c>
      <c r="G9" t="s">
        <v>29</v>
      </c>
      <c r="I9" s="15"/>
      <c r="J9" s="17">
        <f t="shared" si="0"/>
        <v>0</v>
      </c>
    </row>
    <row r="10" spans="1:10" x14ac:dyDescent="0.35">
      <c r="A10" t="s">
        <v>17</v>
      </c>
      <c r="B10" t="s">
        <v>598</v>
      </c>
      <c r="C10" t="s">
        <v>18</v>
      </c>
      <c r="D10" t="s">
        <v>47</v>
      </c>
      <c r="E10" t="s">
        <v>48</v>
      </c>
      <c r="F10">
        <v>1</v>
      </c>
      <c r="G10" t="s">
        <v>29</v>
      </c>
      <c r="I10" s="15"/>
      <c r="J10" s="17">
        <f t="shared" si="0"/>
        <v>0</v>
      </c>
    </row>
    <row r="11" spans="1:10" x14ac:dyDescent="0.35">
      <c r="A11" t="s">
        <v>17</v>
      </c>
      <c r="B11" t="s">
        <v>598</v>
      </c>
      <c r="C11" t="s">
        <v>18</v>
      </c>
      <c r="D11" t="s">
        <v>52</v>
      </c>
      <c r="E11" t="s">
        <v>53</v>
      </c>
      <c r="F11">
        <v>475</v>
      </c>
      <c r="G11" t="s">
        <v>29</v>
      </c>
      <c r="I11" s="15"/>
      <c r="J11" s="17">
        <f t="shared" si="0"/>
        <v>0</v>
      </c>
    </row>
    <row r="12" spans="1:10" x14ac:dyDescent="0.35">
      <c r="A12" t="s">
        <v>17</v>
      </c>
      <c r="B12" t="s">
        <v>598</v>
      </c>
      <c r="C12" t="s">
        <v>18</v>
      </c>
      <c r="D12" t="s">
        <v>95</v>
      </c>
      <c r="E12" t="s">
        <v>96</v>
      </c>
      <c r="F12">
        <v>24</v>
      </c>
      <c r="G12" t="s">
        <v>29</v>
      </c>
      <c r="I12" s="15"/>
      <c r="J12" s="17">
        <f t="shared" si="0"/>
        <v>0</v>
      </c>
    </row>
    <row r="13" spans="1:10" x14ac:dyDescent="0.35">
      <c r="A13" t="s">
        <v>17</v>
      </c>
      <c r="B13" t="s">
        <v>598</v>
      </c>
      <c r="C13" t="s">
        <v>18</v>
      </c>
      <c r="D13" t="s">
        <v>58</v>
      </c>
      <c r="E13" t="s">
        <v>59</v>
      </c>
      <c r="F13">
        <v>1</v>
      </c>
      <c r="G13" t="s">
        <v>26</v>
      </c>
      <c r="I13" s="15"/>
      <c r="J13" s="17">
        <f t="shared" si="0"/>
        <v>0</v>
      </c>
    </row>
    <row r="14" spans="1:10" x14ac:dyDescent="0.35">
      <c r="A14" t="s">
        <v>17</v>
      </c>
      <c r="B14" t="s">
        <v>598</v>
      </c>
      <c r="C14" t="s">
        <v>18</v>
      </c>
      <c r="D14" t="s">
        <v>97</v>
      </c>
      <c r="E14" t="s">
        <v>98</v>
      </c>
      <c r="F14">
        <v>5</v>
      </c>
      <c r="G14" t="s">
        <v>29</v>
      </c>
      <c r="I14" s="15"/>
      <c r="J14" s="17">
        <f t="shared" si="0"/>
        <v>0</v>
      </c>
    </row>
    <row r="15" spans="1:10" x14ac:dyDescent="0.35">
      <c r="A15" t="s">
        <v>100</v>
      </c>
      <c r="B15" t="s">
        <v>598</v>
      </c>
      <c r="C15" t="s">
        <v>101</v>
      </c>
      <c r="D15" t="s">
        <v>102</v>
      </c>
      <c r="E15" t="s">
        <v>103</v>
      </c>
      <c r="F15">
        <v>3000</v>
      </c>
      <c r="I15" s="15"/>
      <c r="J15" s="17">
        <f t="shared" si="0"/>
        <v>0</v>
      </c>
    </row>
    <row r="16" spans="1:10" x14ac:dyDescent="0.35">
      <c r="A16" t="s">
        <v>100</v>
      </c>
      <c r="B16" t="s">
        <v>598</v>
      </c>
      <c r="C16" t="s">
        <v>101</v>
      </c>
      <c r="D16" t="s">
        <v>104</v>
      </c>
      <c r="E16" t="s">
        <v>105</v>
      </c>
      <c r="F16">
        <v>1</v>
      </c>
      <c r="I16" s="15"/>
      <c r="J16" s="17">
        <f t="shared" si="0"/>
        <v>0</v>
      </c>
    </row>
    <row r="17" spans="1:10" x14ac:dyDescent="0.35">
      <c r="A17" t="s">
        <v>100</v>
      </c>
      <c r="B17" t="s">
        <v>598</v>
      </c>
      <c r="C17" t="s">
        <v>101</v>
      </c>
      <c r="D17" t="s">
        <v>106</v>
      </c>
      <c r="E17" t="s">
        <v>107</v>
      </c>
      <c r="F17">
        <v>100</v>
      </c>
      <c r="I17" s="15"/>
      <c r="J17" s="17">
        <f t="shared" si="0"/>
        <v>0</v>
      </c>
    </row>
    <row r="18" spans="1:10" x14ac:dyDescent="0.35">
      <c r="A18" t="s">
        <v>65</v>
      </c>
      <c r="B18" t="s">
        <v>598</v>
      </c>
      <c r="C18" t="s">
        <v>66</v>
      </c>
      <c r="D18" t="s">
        <v>67</v>
      </c>
      <c r="E18" t="s">
        <v>68</v>
      </c>
      <c r="F18">
        <v>1</v>
      </c>
      <c r="I18" s="15"/>
      <c r="J18" s="17">
        <f t="shared" si="0"/>
        <v>0</v>
      </c>
    </row>
    <row r="19" spans="1:10" x14ac:dyDescent="0.35">
      <c r="A19" t="s">
        <v>65</v>
      </c>
      <c r="B19" t="s">
        <v>598</v>
      </c>
      <c r="C19" t="s">
        <v>66</v>
      </c>
      <c r="D19" t="s">
        <v>69</v>
      </c>
      <c r="E19" t="s">
        <v>70</v>
      </c>
      <c r="F19">
        <v>210</v>
      </c>
      <c r="I19" s="15"/>
      <c r="J19" s="17">
        <f t="shared" si="0"/>
        <v>0</v>
      </c>
    </row>
    <row r="20" spans="1:10" x14ac:dyDescent="0.35">
      <c r="A20" t="s">
        <v>65</v>
      </c>
      <c r="B20" t="s">
        <v>598</v>
      </c>
      <c r="C20" t="s">
        <v>71</v>
      </c>
      <c r="D20" t="s">
        <v>72</v>
      </c>
      <c r="E20" t="s">
        <v>73</v>
      </c>
      <c r="F20">
        <v>100</v>
      </c>
      <c r="I20" s="15"/>
      <c r="J20" s="17">
        <f t="shared" si="0"/>
        <v>0</v>
      </c>
    </row>
    <row r="21" spans="1:10" x14ac:dyDescent="0.35">
      <c r="A21" t="s">
        <v>65</v>
      </c>
      <c r="B21" t="s">
        <v>598</v>
      </c>
      <c r="C21" t="s">
        <v>71</v>
      </c>
      <c r="D21" t="s">
        <v>74</v>
      </c>
      <c r="E21" t="s">
        <v>75</v>
      </c>
      <c r="F21">
        <v>1</v>
      </c>
      <c r="I21" s="15"/>
      <c r="J21" s="17">
        <f t="shared" si="0"/>
        <v>0</v>
      </c>
    </row>
    <row r="22" spans="1:10" x14ac:dyDescent="0.35">
      <c r="A22" t="s">
        <v>65</v>
      </c>
      <c r="B22" t="s">
        <v>598</v>
      </c>
      <c r="C22" t="s">
        <v>71</v>
      </c>
      <c r="D22" t="s">
        <v>108</v>
      </c>
      <c r="E22" t="s">
        <v>109</v>
      </c>
      <c r="F22">
        <v>300</v>
      </c>
      <c r="I22" s="15"/>
      <c r="J22" s="17">
        <f t="shared" si="0"/>
        <v>0</v>
      </c>
    </row>
    <row r="23" spans="1:10" x14ac:dyDescent="0.35">
      <c r="A23" t="s">
        <v>65</v>
      </c>
      <c r="B23" t="s">
        <v>598</v>
      </c>
      <c r="C23" t="s">
        <v>71</v>
      </c>
      <c r="D23" t="s">
        <v>76</v>
      </c>
      <c r="E23" t="s">
        <v>77</v>
      </c>
      <c r="F23">
        <v>3200</v>
      </c>
      <c r="I23" s="15"/>
      <c r="J23" s="17">
        <f t="shared" si="0"/>
        <v>0</v>
      </c>
    </row>
    <row r="24" spans="1:10" x14ac:dyDescent="0.35">
      <c r="A24" t="s">
        <v>78</v>
      </c>
      <c r="B24" t="s">
        <v>598</v>
      </c>
      <c r="C24" t="s">
        <v>79</v>
      </c>
      <c r="D24" t="s">
        <v>80</v>
      </c>
      <c r="E24" t="s">
        <v>81</v>
      </c>
      <c r="F24">
        <v>1</v>
      </c>
      <c r="I24" s="15"/>
      <c r="J24" s="17">
        <f t="shared" si="0"/>
        <v>0</v>
      </c>
    </row>
    <row r="25" spans="1:10" x14ac:dyDescent="0.35">
      <c r="A25" t="s">
        <v>78</v>
      </c>
      <c r="B25" t="s">
        <v>598</v>
      </c>
      <c r="C25" t="s">
        <v>79</v>
      </c>
      <c r="D25" t="s">
        <v>110</v>
      </c>
      <c r="E25" t="s">
        <v>111</v>
      </c>
      <c r="F25">
        <v>1</v>
      </c>
      <c r="I25" s="15"/>
      <c r="J25" s="17">
        <f t="shared" si="0"/>
        <v>0</v>
      </c>
    </row>
    <row r="26" spans="1:10" x14ac:dyDescent="0.35">
      <c r="A26" t="s">
        <v>78</v>
      </c>
      <c r="B26" t="s">
        <v>598</v>
      </c>
      <c r="C26" t="s">
        <v>79</v>
      </c>
      <c r="D26" t="s">
        <v>112</v>
      </c>
      <c r="E26" t="s">
        <v>113</v>
      </c>
      <c r="F26">
        <v>3</v>
      </c>
      <c r="I26" s="15"/>
      <c r="J26" s="17">
        <f t="shared" si="0"/>
        <v>0</v>
      </c>
    </row>
    <row r="27" spans="1:10" x14ac:dyDescent="0.35">
      <c r="A27" t="s">
        <v>182</v>
      </c>
      <c r="B27" t="s">
        <v>599</v>
      </c>
      <c r="C27" t="s">
        <v>183</v>
      </c>
      <c r="D27" t="s">
        <v>184</v>
      </c>
      <c r="E27" t="s">
        <v>185</v>
      </c>
      <c r="F27">
        <v>50</v>
      </c>
      <c r="I27" s="15"/>
      <c r="J27" s="17">
        <f t="shared" si="0"/>
        <v>0</v>
      </c>
    </row>
    <row r="28" spans="1:10" x14ac:dyDescent="0.35">
      <c r="A28" t="s">
        <v>182</v>
      </c>
      <c r="B28" t="s">
        <v>599</v>
      </c>
      <c r="C28" t="s">
        <v>183</v>
      </c>
      <c r="D28" t="s">
        <v>187</v>
      </c>
      <c r="E28" t="s">
        <v>188</v>
      </c>
      <c r="F28">
        <v>31</v>
      </c>
      <c r="I28" s="15"/>
      <c r="J28" s="17">
        <f t="shared" si="0"/>
        <v>0</v>
      </c>
    </row>
    <row r="29" spans="1:10" x14ac:dyDescent="0.35">
      <c r="A29" t="s">
        <v>182</v>
      </c>
      <c r="B29" t="s">
        <v>599</v>
      </c>
      <c r="C29" t="s">
        <v>183</v>
      </c>
      <c r="D29" t="s">
        <v>229</v>
      </c>
      <c r="E29" t="s">
        <v>230</v>
      </c>
      <c r="F29">
        <v>76</v>
      </c>
      <c r="I29" s="15"/>
      <c r="J29" s="17">
        <f t="shared" si="0"/>
        <v>0</v>
      </c>
    </row>
    <row r="30" spans="1:10" x14ac:dyDescent="0.35">
      <c r="A30" t="s">
        <v>182</v>
      </c>
      <c r="B30" t="s">
        <v>599</v>
      </c>
      <c r="C30" t="s">
        <v>183</v>
      </c>
      <c r="D30" t="s">
        <v>239</v>
      </c>
      <c r="E30" t="s">
        <v>240</v>
      </c>
      <c r="F30">
        <v>38</v>
      </c>
      <c r="I30" s="15"/>
      <c r="J30" s="17">
        <f t="shared" si="0"/>
        <v>0</v>
      </c>
    </row>
    <row r="31" spans="1:10" x14ac:dyDescent="0.35">
      <c r="A31" t="s">
        <v>182</v>
      </c>
      <c r="B31" t="s">
        <v>599</v>
      </c>
      <c r="C31" t="s">
        <v>189</v>
      </c>
      <c r="D31" t="s">
        <v>231</v>
      </c>
      <c r="E31" t="s">
        <v>232</v>
      </c>
      <c r="F31">
        <v>6</v>
      </c>
      <c r="I31" s="15"/>
      <c r="J31" s="17">
        <f t="shared" si="0"/>
        <v>0</v>
      </c>
    </row>
    <row r="32" spans="1:10" x14ac:dyDescent="0.35">
      <c r="A32" t="s">
        <v>182</v>
      </c>
      <c r="B32" t="s">
        <v>599</v>
      </c>
      <c r="C32" t="s">
        <v>189</v>
      </c>
      <c r="D32" t="s">
        <v>190</v>
      </c>
      <c r="E32" t="s">
        <v>191</v>
      </c>
      <c r="F32">
        <v>12</v>
      </c>
      <c r="I32" s="15"/>
      <c r="J32" s="17">
        <f t="shared" si="0"/>
        <v>0</v>
      </c>
    </row>
    <row r="33" spans="1:10" x14ac:dyDescent="0.35">
      <c r="A33" t="s">
        <v>182</v>
      </c>
      <c r="B33" t="s">
        <v>599</v>
      </c>
      <c r="C33" t="s">
        <v>189</v>
      </c>
      <c r="D33" t="s">
        <v>193</v>
      </c>
      <c r="E33" t="s">
        <v>194</v>
      </c>
      <c r="F33">
        <v>43</v>
      </c>
      <c r="I33" s="15"/>
      <c r="J33" s="17">
        <f t="shared" si="0"/>
        <v>0</v>
      </c>
    </row>
    <row r="34" spans="1:10" x14ac:dyDescent="0.35">
      <c r="A34" t="s">
        <v>182</v>
      </c>
      <c r="B34" t="s">
        <v>599</v>
      </c>
      <c r="C34" t="s">
        <v>195</v>
      </c>
      <c r="D34" t="s">
        <v>196</v>
      </c>
      <c r="E34" t="s">
        <v>197</v>
      </c>
      <c r="F34">
        <v>4</v>
      </c>
      <c r="I34" s="15"/>
      <c r="J34" s="17">
        <f t="shared" si="0"/>
        <v>0</v>
      </c>
    </row>
    <row r="35" spans="1:10" x14ac:dyDescent="0.35">
      <c r="A35" t="s">
        <v>182</v>
      </c>
      <c r="B35" t="s">
        <v>599</v>
      </c>
      <c r="C35" t="s">
        <v>195</v>
      </c>
      <c r="D35" t="s">
        <v>366</v>
      </c>
      <c r="E35" t="s">
        <v>367</v>
      </c>
      <c r="F35">
        <v>58</v>
      </c>
      <c r="I35" s="15"/>
      <c r="J35" s="17">
        <f t="shared" si="0"/>
        <v>0</v>
      </c>
    </row>
    <row r="36" spans="1:10" x14ac:dyDescent="0.35">
      <c r="A36" t="s">
        <v>182</v>
      </c>
      <c r="B36" t="s">
        <v>599</v>
      </c>
      <c r="C36" t="s">
        <v>195</v>
      </c>
      <c r="D36" t="s">
        <v>368</v>
      </c>
      <c r="E36" t="s">
        <v>369</v>
      </c>
      <c r="F36">
        <v>7</v>
      </c>
      <c r="I36" s="15"/>
      <c r="J36" s="17">
        <f t="shared" si="0"/>
        <v>0</v>
      </c>
    </row>
    <row r="37" spans="1:10" x14ac:dyDescent="0.35">
      <c r="A37" t="s">
        <v>182</v>
      </c>
      <c r="B37" t="s">
        <v>599</v>
      </c>
      <c r="C37" t="s">
        <v>198</v>
      </c>
      <c r="D37" t="s">
        <v>199</v>
      </c>
      <c r="E37" t="s">
        <v>200</v>
      </c>
      <c r="F37">
        <v>2</v>
      </c>
      <c r="I37" s="15"/>
      <c r="J37" s="17">
        <f t="shared" si="0"/>
        <v>0</v>
      </c>
    </row>
    <row r="38" spans="1:10" x14ac:dyDescent="0.35">
      <c r="A38" t="s">
        <v>182</v>
      </c>
      <c r="B38" t="s">
        <v>599</v>
      </c>
      <c r="C38" t="s">
        <v>198</v>
      </c>
      <c r="D38" t="s">
        <v>370</v>
      </c>
      <c r="E38" t="s">
        <v>371</v>
      </c>
      <c r="F38">
        <v>56</v>
      </c>
      <c r="I38" s="15"/>
      <c r="J38" s="17">
        <f t="shared" si="0"/>
        <v>0</v>
      </c>
    </row>
    <row r="39" spans="1:10" x14ac:dyDescent="0.35">
      <c r="A39" t="s">
        <v>182</v>
      </c>
      <c r="B39" t="s">
        <v>599</v>
      </c>
      <c r="C39" t="s">
        <v>198</v>
      </c>
      <c r="D39" t="s">
        <v>99</v>
      </c>
      <c r="E39" t="s">
        <v>201</v>
      </c>
      <c r="F39">
        <v>0</v>
      </c>
      <c r="I39" s="15"/>
      <c r="J39" s="17">
        <f t="shared" si="0"/>
        <v>0</v>
      </c>
    </row>
    <row r="40" spans="1:10" x14ac:dyDescent="0.35">
      <c r="A40" t="s">
        <v>182</v>
      </c>
      <c r="B40" t="s">
        <v>599</v>
      </c>
      <c r="C40" t="s">
        <v>204</v>
      </c>
      <c r="D40" t="s">
        <v>209</v>
      </c>
      <c r="E40" t="s">
        <v>210</v>
      </c>
      <c r="F40">
        <v>0</v>
      </c>
      <c r="I40" s="15"/>
      <c r="J40" s="17">
        <f t="shared" si="0"/>
        <v>0</v>
      </c>
    </row>
    <row r="41" spans="1:10" x14ac:dyDescent="0.35">
      <c r="A41" t="s">
        <v>182</v>
      </c>
      <c r="B41" t="s">
        <v>599</v>
      </c>
      <c r="C41" t="s">
        <v>204</v>
      </c>
      <c r="D41" t="s">
        <v>245</v>
      </c>
      <c r="E41" t="s">
        <v>246</v>
      </c>
      <c r="F41">
        <v>1298</v>
      </c>
      <c r="I41" s="15"/>
      <c r="J41" s="17">
        <f t="shared" si="0"/>
        <v>0</v>
      </c>
    </row>
    <row r="42" spans="1:10" x14ac:dyDescent="0.35">
      <c r="A42" t="s">
        <v>182</v>
      </c>
      <c r="B42" t="s">
        <v>599</v>
      </c>
      <c r="C42" t="s">
        <v>204</v>
      </c>
      <c r="D42" t="s">
        <v>207</v>
      </c>
      <c r="E42" t="s">
        <v>208</v>
      </c>
      <c r="F42">
        <v>934</v>
      </c>
      <c r="I42" s="15"/>
      <c r="J42" s="17">
        <f t="shared" si="0"/>
        <v>0</v>
      </c>
    </row>
    <row r="43" spans="1:10" x14ac:dyDescent="0.35">
      <c r="A43" t="s">
        <v>211</v>
      </c>
      <c r="B43" t="s">
        <v>599</v>
      </c>
      <c r="C43" t="s">
        <v>212</v>
      </c>
      <c r="D43" t="s">
        <v>372</v>
      </c>
      <c r="E43" t="s">
        <v>373</v>
      </c>
      <c r="F43">
        <v>40</v>
      </c>
      <c r="I43" s="15"/>
      <c r="J43" s="17">
        <f t="shared" si="0"/>
        <v>0</v>
      </c>
    </row>
    <row r="44" spans="1:10" x14ac:dyDescent="0.35">
      <c r="A44" t="s">
        <v>211</v>
      </c>
      <c r="B44" t="s">
        <v>599</v>
      </c>
      <c r="C44" t="s">
        <v>212</v>
      </c>
      <c r="D44" t="s">
        <v>374</v>
      </c>
      <c r="E44" t="s">
        <v>375</v>
      </c>
      <c r="F44">
        <v>8</v>
      </c>
      <c r="I44" s="15"/>
      <c r="J44" s="17">
        <f t="shared" si="0"/>
        <v>0</v>
      </c>
    </row>
    <row r="45" spans="1:10" x14ac:dyDescent="0.35">
      <c r="A45" t="s">
        <v>211</v>
      </c>
      <c r="B45" t="s">
        <v>599</v>
      </c>
      <c r="C45" t="s">
        <v>212</v>
      </c>
      <c r="D45" t="s">
        <v>376</v>
      </c>
      <c r="E45" t="s">
        <v>377</v>
      </c>
      <c r="F45">
        <v>11</v>
      </c>
      <c r="I45" s="15"/>
      <c r="J45" s="17">
        <f t="shared" si="0"/>
        <v>0</v>
      </c>
    </row>
    <row r="46" spans="1:10" x14ac:dyDescent="0.35">
      <c r="A46" t="s">
        <v>211</v>
      </c>
      <c r="B46" t="s">
        <v>599</v>
      </c>
      <c r="C46" t="s">
        <v>212</v>
      </c>
      <c r="D46" t="s">
        <v>378</v>
      </c>
      <c r="E46" t="s">
        <v>379</v>
      </c>
      <c r="F46">
        <v>0</v>
      </c>
      <c r="I46" s="15"/>
      <c r="J46" s="17">
        <f t="shared" si="0"/>
        <v>0</v>
      </c>
    </row>
    <row r="47" spans="1:10" x14ac:dyDescent="0.35">
      <c r="A47" t="s">
        <v>220</v>
      </c>
      <c r="B47" t="s">
        <v>599</v>
      </c>
      <c r="C47" t="s">
        <v>221</v>
      </c>
      <c r="D47" t="s">
        <v>256</v>
      </c>
      <c r="E47" t="s">
        <v>257</v>
      </c>
      <c r="F47">
        <v>0</v>
      </c>
      <c r="I47" s="15"/>
      <c r="J47" s="17">
        <f t="shared" si="0"/>
        <v>0</v>
      </c>
    </row>
    <row r="48" spans="1:10" x14ac:dyDescent="0.35">
      <c r="A48" t="s">
        <v>220</v>
      </c>
      <c r="B48" t="s">
        <v>599</v>
      </c>
      <c r="C48" t="s">
        <v>221</v>
      </c>
      <c r="D48" t="s">
        <v>380</v>
      </c>
      <c r="E48" t="s">
        <v>381</v>
      </c>
      <c r="F48">
        <v>2</v>
      </c>
      <c r="I48" s="15"/>
      <c r="J48" s="17">
        <f t="shared" si="0"/>
        <v>0</v>
      </c>
    </row>
    <row r="49" spans="1:11" x14ac:dyDescent="0.35">
      <c r="A49" t="s">
        <v>220</v>
      </c>
      <c r="B49" t="s">
        <v>599</v>
      </c>
      <c r="C49" t="s">
        <v>221</v>
      </c>
      <c r="D49" t="s">
        <v>382</v>
      </c>
      <c r="E49" t="s">
        <v>383</v>
      </c>
      <c r="F49">
        <v>2</v>
      </c>
      <c r="I49" s="15"/>
      <c r="J49" s="17">
        <f t="shared" si="0"/>
        <v>0</v>
      </c>
    </row>
    <row r="50" spans="1:11" x14ac:dyDescent="0.35">
      <c r="A50" s="2" t="s">
        <v>449</v>
      </c>
      <c r="B50" t="s">
        <v>599</v>
      </c>
      <c r="C50" s="2"/>
      <c r="D50" s="2" t="s">
        <v>454</v>
      </c>
      <c r="E50" s="2" t="s">
        <v>455</v>
      </c>
      <c r="F50" s="2">
        <v>1</v>
      </c>
      <c r="I50" s="15"/>
      <c r="J50" s="17">
        <f t="shared" si="0"/>
        <v>0</v>
      </c>
    </row>
    <row r="51" spans="1:11" x14ac:dyDescent="0.35">
      <c r="A51" s="2" t="s">
        <v>449</v>
      </c>
      <c r="B51" t="s">
        <v>599</v>
      </c>
      <c r="C51" s="2"/>
      <c r="D51" s="2" t="s">
        <v>454</v>
      </c>
      <c r="E51" s="2" t="s">
        <v>455</v>
      </c>
      <c r="F51" s="2">
        <v>1</v>
      </c>
      <c r="I51" s="15"/>
      <c r="J51" s="17">
        <f t="shared" si="0"/>
        <v>0</v>
      </c>
    </row>
    <row r="52" spans="1:11" x14ac:dyDescent="0.35">
      <c r="A52" s="2" t="s">
        <v>449</v>
      </c>
      <c r="B52" t="s">
        <v>599</v>
      </c>
      <c r="C52" s="2"/>
      <c r="D52" s="2" t="s">
        <v>454</v>
      </c>
      <c r="E52" s="2" t="s">
        <v>455</v>
      </c>
      <c r="F52" s="2">
        <v>1</v>
      </c>
      <c r="I52" s="15"/>
      <c r="J52" s="17">
        <f t="shared" si="0"/>
        <v>0</v>
      </c>
    </row>
    <row r="53" spans="1:11" x14ac:dyDescent="0.35">
      <c r="A53" s="2" t="s">
        <v>449</v>
      </c>
      <c r="B53" t="s">
        <v>599</v>
      </c>
      <c r="C53" s="2"/>
      <c r="D53" s="2" t="s">
        <v>454</v>
      </c>
      <c r="E53" s="2" t="s">
        <v>455</v>
      </c>
      <c r="F53" s="2">
        <v>1</v>
      </c>
      <c r="I53" s="15"/>
      <c r="J53" s="17">
        <f t="shared" si="0"/>
        <v>0</v>
      </c>
    </row>
    <row r="54" spans="1:11" x14ac:dyDescent="0.35">
      <c r="A54" s="2" t="s">
        <v>449</v>
      </c>
      <c r="B54" t="s">
        <v>599</v>
      </c>
      <c r="C54" s="2"/>
      <c r="D54" s="2" t="s">
        <v>454</v>
      </c>
      <c r="E54" s="2" t="s">
        <v>455</v>
      </c>
      <c r="F54" s="2">
        <v>1</v>
      </c>
      <c r="I54" s="15"/>
      <c r="J54" s="17">
        <f t="shared" si="0"/>
        <v>0</v>
      </c>
    </row>
    <row r="55" spans="1:11" x14ac:dyDescent="0.35">
      <c r="A55" s="2" t="s">
        <v>449</v>
      </c>
      <c r="B55" t="s">
        <v>599</v>
      </c>
      <c r="C55" s="2"/>
      <c r="D55" s="2" t="s">
        <v>454</v>
      </c>
      <c r="E55" s="2" t="s">
        <v>455</v>
      </c>
      <c r="F55" s="2">
        <v>1</v>
      </c>
      <c r="I55" s="15"/>
      <c r="J55" s="17">
        <f t="shared" si="0"/>
        <v>0</v>
      </c>
    </row>
    <row r="56" spans="1:11" x14ac:dyDescent="0.35">
      <c r="A56" s="2" t="s">
        <v>449</v>
      </c>
      <c r="B56" t="s">
        <v>599</v>
      </c>
      <c r="C56" s="2"/>
      <c r="D56" s="2" t="s">
        <v>454</v>
      </c>
      <c r="E56" s="2" t="s">
        <v>455</v>
      </c>
      <c r="F56" s="2">
        <v>1</v>
      </c>
      <c r="I56" s="15"/>
      <c r="J56" s="17">
        <f t="shared" si="0"/>
        <v>0</v>
      </c>
    </row>
    <row r="57" spans="1:11" x14ac:dyDescent="0.35">
      <c r="A57" s="2" t="s">
        <v>449</v>
      </c>
      <c r="B57" t="s">
        <v>599</v>
      </c>
      <c r="C57" s="2"/>
      <c r="D57" s="2" t="s">
        <v>454</v>
      </c>
      <c r="E57" s="2" t="s">
        <v>455</v>
      </c>
      <c r="F57" s="2">
        <v>1</v>
      </c>
      <c r="I57" s="15"/>
      <c r="J57" s="17">
        <f t="shared" si="0"/>
        <v>0</v>
      </c>
    </row>
    <row r="58" spans="1:11" x14ac:dyDescent="0.35">
      <c r="A58" s="2" t="s">
        <v>449</v>
      </c>
      <c r="B58" t="s">
        <v>599</v>
      </c>
      <c r="C58" s="2"/>
      <c r="D58" s="2" t="s">
        <v>454</v>
      </c>
      <c r="E58" s="2" t="s">
        <v>455</v>
      </c>
      <c r="F58" s="2">
        <v>1</v>
      </c>
      <c r="I58" s="15"/>
      <c r="J58" s="17">
        <f t="shared" si="0"/>
        <v>0</v>
      </c>
    </row>
    <row r="59" spans="1:11" x14ac:dyDescent="0.35">
      <c r="A59" s="2" t="s">
        <v>449</v>
      </c>
      <c r="B59" t="s">
        <v>599</v>
      </c>
      <c r="C59" s="2"/>
      <c r="D59" s="2" t="s">
        <v>454</v>
      </c>
      <c r="E59" s="2" t="s">
        <v>455</v>
      </c>
      <c r="F59" s="2">
        <v>1</v>
      </c>
      <c r="I59" s="15"/>
      <c r="J59" s="17">
        <f t="shared" si="0"/>
        <v>0</v>
      </c>
    </row>
    <row r="60" spans="1:11" x14ac:dyDescent="0.35">
      <c r="A60" s="2" t="s">
        <v>449</v>
      </c>
      <c r="B60" t="s">
        <v>599</v>
      </c>
      <c r="C60" s="2"/>
      <c r="D60" s="2" t="s">
        <v>454</v>
      </c>
      <c r="E60" s="2" t="s">
        <v>455</v>
      </c>
      <c r="F60" s="2">
        <v>1</v>
      </c>
      <c r="I60" s="15"/>
      <c r="J60" s="17">
        <f t="shared" si="0"/>
        <v>0</v>
      </c>
    </row>
    <row r="61" spans="1:11" x14ac:dyDescent="0.35">
      <c r="A61" s="2" t="s">
        <v>449</v>
      </c>
      <c r="B61" t="s">
        <v>599</v>
      </c>
      <c r="C61" s="2"/>
      <c r="D61" s="2" t="s">
        <v>454</v>
      </c>
      <c r="E61" s="2" t="s">
        <v>455</v>
      </c>
      <c r="F61" s="2">
        <v>1</v>
      </c>
      <c r="I61" s="15"/>
      <c r="J61" s="17">
        <f t="shared" si="0"/>
        <v>0</v>
      </c>
    </row>
    <row r="62" spans="1:11" x14ac:dyDescent="0.35">
      <c r="I62" s="15"/>
      <c r="J62" s="15">
        <f t="shared" ref="J62:K62" si="1">SUM(J2:J61)</f>
        <v>0</v>
      </c>
      <c r="K62" s="15"/>
    </row>
  </sheetData>
  <autoFilter ref="A1:H1" xr:uid="{E8FA3866-8444-48C6-BB81-8EE79481F7F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2563-0E5C-45FC-B7F0-FD4139EA4A4E}">
  <dimension ref="A1:J367"/>
  <sheetViews>
    <sheetView topLeftCell="B1" workbookViewId="0">
      <pane ySplit="1" topLeftCell="A2" activePane="bottomLeft" state="frozen"/>
      <selection pane="bottomLeft" activeCell="I1" sqref="I1:J1"/>
    </sheetView>
  </sheetViews>
  <sheetFormatPr defaultRowHeight="14.5" x14ac:dyDescent="0.35"/>
  <cols>
    <col min="1" max="1" width="35.26953125" bestFit="1" customWidth="1"/>
    <col min="2" max="2" width="8.1796875" bestFit="1" customWidth="1"/>
    <col min="3" max="3" width="45.7265625" bestFit="1" customWidth="1"/>
    <col min="4" max="4" width="20.7265625" bestFit="1" customWidth="1"/>
    <col min="5" max="5" width="56.453125" bestFit="1" customWidth="1"/>
    <col min="6" max="6" width="19.90625" bestFit="1" customWidth="1"/>
    <col min="7" max="7" width="14" bestFit="1" customWidth="1"/>
    <col min="8" max="8" width="33.26953125" bestFit="1" customWidth="1"/>
  </cols>
  <sheetData>
    <row r="1" spans="1:10" x14ac:dyDescent="0.35">
      <c r="A1" s="3" t="s">
        <v>600</v>
      </c>
      <c r="B1" s="3" t="s">
        <v>597</v>
      </c>
      <c r="C1" s="3" t="s">
        <v>10</v>
      </c>
      <c r="D1" s="3" t="s">
        <v>20</v>
      </c>
      <c r="E1" s="3" t="s">
        <v>21</v>
      </c>
      <c r="F1" s="10" t="s">
        <v>23</v>
      </c>
      <c r="G1" s="3" t="s">
        <v>22</v>
      </c>
      <c r="H1" s="3" t="s">
        <v>181</v>
      </c>
      <c r="I1" s="3" t="s">
        <v>609</v>
      </c>
      <c r="J1" s="3" t="s">
        <v>610</v>
      </c>
    </row>
    <row r="2" spans="1:10" x14ac:dyDescent="0.35">
      <c r="A2" t="s">
        <v>11</v>
      </c>
      <c r="B2" t="s">
        <v>598</v>
      </c>
      <c r="C2" t="s">
        <v>12</v>
      </c>
      <c r="D2" t="s">
        <v>24</v>
      </c>
      <c r="E2" t="s">
        <v>25</v>
      </c>
      <c r="F2">
        <v>100</v>
      </c>
      <c r="G2" t="s">
        <v>26</v>
      </c>
      <c r="I2" s="15"/>
      <c r="J2" s="17">
        <f>I2*F2</f>
        <v>0</v>
      </c>
    </row>
    <row r="3" spans="1:10" x14ac:dyDescent="0.35">
      <c r="A3" t="s">
        <v>11</v>
      </c>
      <c r="B3" t="s">
        <v>598</v>
      </c>
      <c r="C3" t="s">
        <v>13</v>
      </c>
      <c r="D3" t="s">
        <v>27</v>
      </c>
      <c r="E3" t="s">
        <v>28</v>
      </c>
      <c r="F3">
        <v>1</v>
      </c>
      <c r="G3" t="s">
        <v>29</v>
      </c>
      <c r="I3" s="15"/>
      <c r="J3" s="17">
        <f t="shared" ref="J3:J66" si="0">I3*F3</f>
        <v>0</v>
      </c>
    </row>
    <row r="4" spans="1:10" x14ac:dyDescent="0.35">
      <c r="A4" t="s">
        <v>11</v>
      </c>
      <c r="B4" t="s">
        <v>598</v>
      </c>
      <c r="C4" t="s">
        <v>13</v>
      </c>
      <c r="D4" t="s">
        <v>30</v>
      </c>
      <c r="E4" t="s">
        <v>31</v>
      </c>
      <c r="F4">
        <v>1</v>
      </c>
      <c r="G4" t="s">
        <v>29</v>
      </c>
      <c r="I4" s="15"/>
      <c r="J4" s="17">
        <f t="shared" si="0"/>
        <v>0</v>
      </c>
    </row>
    <row r="5" spans="1:10" x14ac:dyDescent="0.35">
      <c r="A5" t="s">
        <v>11</v>
      </c>
      <c r="B5" t="s">
        <v>598</v>
      </c>
      <c r="C5" t="s">
        <v>13</v>
      </c>
      <c r="D5" t="s">
        <v>32</v>
      </c>
      <c r="E5" t="s">
        <v>33</v>
      </c>
      <c r="F5">
        <v>1</v>
      </c>
      <c r="G5" t="s">
        <v>29</v>
      </c>
      <c r="I5" s="15"/>
      <c r="J5" s="17">
        <f t="shared" si="0"/>
        <v>0</v>
      </c>
    </row>
    <row r="6" spans="1:10" x14ac:dyDescent="0.35">
      <c r="A6" t="s">
        <v>11</v>
      </c>
      <c r="B6" t="s">
        <v>598</v>
      </c>
      <c r="C6" t="s">
        <v>13</v>
      </c>
      <c r="D6" t="s">
        <v>34</v>
      </c>
      <c r="E6" t="s">
        <v>35</v>
      </c>
      <c r="F6">
        <v>1</v>
      </c>
      <c r="G6" t="s">
        <v>26</v>
      </c>
      <c r="I6" s="15"/>
      <c r="J6" s="17">
        <f t="shared" si="0"/>
        <v>0</v>
      </c>
    </row>
    <row r="7" spans="1:10" x14ac:dyDescent="0.35">
      <c r="A7" t="s">
        <v>11</v>
      </c>
      <c r="B7" t="s">
        <v>598</v>
      </c>
      <c r="C7" t="s">
        <v>14</v>
      </c>
      <c r="D7" t="s">
        <v>36</v>
      </c>
      <c r="E7" t="s">
        <v>37</v>
      </c>
      <c r="F7">
        <v>1</v>
      </c>
      <c r="G7" t="s">
        <v>29</v>
      </c>
      <c r="I7" s="15"/>
      <c r="J7" s="17">
        <f t="shared" si="0"/>
        <v>0</v>
      </c>
    </row>
    <row r="8" spans="1:10" x14ac:dyDescent="0.35">
      <c r="A8" t="s">
        <v>11</v>
      </c>
      <c r="B8" t="s">
        <v>598</v>
      </c>
      <c r="C8" t="s">
        <v>14</v>
      </c>
      <c r="D8" t="s">
        <v>38</v>
      </c>
      <c r="E8" t="s">
        <v>35</v>
      </c>
      <c r="F8">
        <v>1</v>
      </c>
      <c r="G8" t="s">
        <v>26</v>
      </c>
      <c r="I8" s="15"/>
      <c r="J8" s="17">
        <f t="shared" si="0"/>
        <v>0</v>
      </c>
    </row>
    <row r="9" spans="1:10" x14ac:dyDescent="0.35">
      <c r="A9" t="s">
        <v>15</v>
      </c>
      <c r="B9" t="s">
        <v>598</v>
      </c>
      <c r="C9" t="s">
        <v>16</v>
      </c>
      <c r="D9" t="s">
        <v>39</v>
      </c>
      <c r="E9" t="s">
        <v>40</v>
      </c>
      <c r="F9">
        <v>11</v>
      </c>
      <c r="G9" t="s">
        <v>29</v>
      </c>
      <c r="I9" s="15"/>
      <c r="J9" s="17">
        <f t="shared" si="0"/>
        <v>0</v>
      </c>
    </row>
    <row r="10" spans="1:10" x14ac:dyDescent="0.35">
      <c r="A10" t="s">
        <v>15</v>
      </c>
      <c r="B10" t="s">
        <v>598</v>
      </c>
      <c r="C10" t="s">
        <v>16</v>
      </c>
      <c r="D10" t="s">
        <v>41</v>
      </c>
      <c r="E10" t="s">
        <v>42</v>
      </c>
      <c r="F10">
        <v>1</v>
      </c>
      <c r="G10" t="s">
        <v>26</v>
      </c>
      <c r="I10" s="15"/>
      <c r="J10" s="17">
        <f t="shared" si="0"/>
        <v>0</v>
      </c>
    </row>
    <row r="11" spans="1:10" x14ac:dyDescent="0.35">
      <c r="A11" t="s">
        <v>15</v>
      </c>
      <c r="B11" t="s">
        <v>598</v>
      </c>
      <c r="C11" t="s">
        <v>16</v>
      </c>
      <c r="D11" t="s">
        <v>93</v>
      </c>
      <c r="E11" t="s">
        <v>94</v>
      </c>
      <c r="F11">
        <v>2</v>
      </c>
      <c r="G11" t="s">
        <v>29</v>
      </c>
      <c r="I11" s="15"/>
      <c r="J11" s="17">
        <f t="shared" si="0"/>
        <v>0</v>
      </c>
    </row>
    <row r="12" spans="1:10" x14ac:dyDescent="0.35">
      <c r="A12" t="s">
        <v>17</v>
      </c>
      <c r="B12" t="s">
        <v>598</v>
      </c>
      <c r="C12" t="s">
        <v>18</v>
      </c>
      <c r="D12" t="s">
        <v>45</v>
      </c>
      <c r="E12" t="s">
        <v>46</v>
      </c>
      <c r="F12">
        <v>113</v>
      </c>
      <c r="G12" t="s">
        <v>29</v>
      </c>
      <c r="I12" s="15"/>
      <c r="J12" s="17">
        <f t="shared" si="0"/>
        <v>0</v>
      </c>
    </row>
    <row r="13" spans="1:10" x14ac:dyDescent="0.35">
      <c r="A13" t="s">
        <v>17</v>
      </c>
      <c r="B13" t="s">
        <v>598</v>
      </c>
      <c r="C13" t="s">
        <v>18</v>
      </c>
      <c r="D13" t="s">
        <v>114</v>
      </c>
      <c r="E13" t="s">
        <v>115</v>
      </c>
      <c r="F13">
        <v>6</v>
      </c>
      <c r="G13" t="s">
        <v>29</v>
      </c>
      <c r="I13" s="15"/>
      <c r="J13" s="17">
        <f t="shared" si="0"/>
        <v>0</v>
      </c>
    </row>
    <row r="14" spans="1:10" x14ac:dyDescent="0.35">
      <c r="A14" t="s">
        <v>17</v>
      </c>
      <c r="B14" t="s">
        <v>598</v>
      </c>
      <c r="C14" t="s">
        <v>18</v>
      </c>
      <c r="D14" t="s">
        <v>47</v>
      </c>
      <c r="E14" t="s">
        <v>48</v>
      </c>
      <c r="F14">
        <v>27</v>
      </c>
      <c r="G14" t="s">
        <v>29</v>
      </c>
      <c r="I14" s="15"/>
      <c r="J14" s="17">
        <f t="shared" si="0"/>
        <v>0</v>
      </c>
    </row>
    <row r="15" spans="1:10" x14ac:dyDescent="0.35">
      <c r="A15" t="s">
        <v>17</v>
      </c>
      <c r="B15" t="s">
        <v>598</v>
      </c>
      <c r="C15" t="s">
        <v>18</v>
      </c>
      <c r="D15" t="s">
        <v>49</v>
      </c>
      <c r="E15" t="s">
        <v>50</v>
      </c>
      <c r="F15">
        <v>2</v>
      </c>
      <c r="G15" t="s">
        <v>29</v>
      </c>
      <c r="I15" s="15"/>
      <c r="J15" s="17">
        <f t="shared" si="0"/>
        <v>0</v>
      </c>
    </row>
    <row r="16" spans="1:10" x14ac:dyDescent="0.35">
      <c r="A16" t="s">
        <v>17</v>
      </c>
      <c r="B16" t="s">
        <v>598</v>
      </c>
      <c r="C16" t="s">
        <v>18</v>
      </c>
      <c r="D16" t="s">
        <v>52</v>
      </c>
      <c r="E16" t="s">
        <v>53</v>
      </c>
      <c r="F16">
        <v>185</v>
      </c>
      <c r="G16" t="s">
        <v>29</v>
      </c>
      <c r="I16" s="15"/>
      <c r="J16" s="17">
        <f t="shared" si="0"/>
        <v>0</v>
      </c>
    </row>
    <row r="17" spans="1:10" x14ac:dyDescent="0.35">
      <c r="A17" t="s">
        <v>17</v>
      </c>
      <c r="B17" t="s">
        <v>598</v>
      </c>
      <c r="C17" t="s">
        <v>18</v>
      </c>
      <c r="D17" t="s">
        <v>95</v>
      </c>
      <c r="E17" t="s">
        <v>96</v>
      </c>
      <c r="F17">
        <v>111</v>
      </c>
      <c r="G17" t="s">
        <v>29</v>
      </c>
      <c r="I17" s="15"/>
      <c r="J17" s="17">
        <f t="shared" si="0"/>
        <v>0</v>
      </c>
    </row>
    <row r="18" spans="1:10" x14ac:dyDescent="0.35">
      <c r="A18" t="s">
        <v>17</v>
      </c>
      <c r="B18" t="s">
        <v>598</v>
      </c>
      <c r="C18" t="s">
        <v>18</v>
      </c>
      <c r="D18" t="s">
        <v>56</v>
      </c>
      <c r="E18" t="s">
        <v>57</v>
      </c>
      <c r="F18">
        <v>16</v>
      </c>
      <c r="G18" t="s">
        <v>29</v>
      </c>
      <c r="I18" s="15"/>
      <c r="J18" s="17">
        <f t="shared" si="0"/>
        <v>0</v>
      </c>
    </row>
    <row r="19" spans="1:10" x14ac:dyDescent="0.35">
      <c r="A19" t="s">
        <v>17</v>
      </c>
      <c r="B19" t="s">
        <v>598</v>
      </c>
      <c r="C19" t="s">
        <v>18</v>
      </c>
      <c r="D19" t="s">
        <v>58</v>
      </c>
      <c r="E19" t="s">
        <v>59</v>
      </c>
      <c r="F19">
        <v>1</v>
      </c>
      <c r="G19" t="s">
        <v>26</v>
      </c>
      <c r="I19" s="15"/>
      <c r="J19" s="17">
        <f t="shared" si="0"/>
        <v>0</v>
      </c>
    </row>
    <row r="20" spans="1:10" x14ac:dyDescent="0.35">
      <c r="A20" t="s">
        <v>17</v>
      </c>
      <c r="B20" t="s">
        <v>598</v>
      </c>
      <c r="C20" t="s">
        <v>116</v>
      </c>
      <c r="D20" t="s">
        <v>117</v>
      </c>
      <c r="E20" t="s">
        <v>118</v>
      </c>
      <c r="F20">
        <v>1</v>
      </c>
      <c r="G20" t="s">
        <v>26</v>
      </c>
      <c r="I20" s="15"/>
      <c r="J20" s="17">
        <f t="shared" si="0"/>
        <v>0</v>
      </c>
    </row>
    <row r="21" spans="1:10" x14ac:dyDescent="0.35">
      <c r="A21" t="s">
        <v>17</v>
      </c>
      <c r="B21" t="s">
        <v>598</v>
      </c>
      <c r="C21" t="s">
        <v>116</v>
      </c>
      <c r="D21" t="s">
        <v>119</v>
      </c>
      <c r="E21" t="s">
        <v>120</v>
      </c>
      <c r="F21">
        <v>22</v>
      </c>
      <c r="G21" t="s">
        <v>29</v>
      </c>
      <c r="I21" s="15"/>
      <c r="J21" s="17">
        <f t="shared" si="0"/>
        <v>0</v>
      </c>
    </row>
    <row r="22" spans="1:10" x14ac:dyDescent="0.35">
      <c r="A22" t="s">
        <v>17</v>
      </c>
      <c r="B22" t="s">
        <v>598</v>
      </c>
      <c r="C22" t="s">
        <v>116</v>
      </c>
      <c r="D22" t="s">
        <v>121</v>
      </c>
      <c r="E22" t="s">
        <v>122</v>
      </c>
      <c r="F22">
        <v>1</v>
      </c>
      <c r="G22" t="s">
        <v>29</v>
      </c>
      <c r="I22" s="15"/>
      <c r="J22" s="17">
        <f t="shared" si="0"/>
        <v>0</v>
      </c>
    </row>
    <row r="23" spans="1:10" x14ac:dyDescent="0.35">
      <c r="A23" t="s">
        <v>17</v>
      </c>
      <c r="B23" t="s">
        <v>598</v>
      </c>
      <c r="C23" t="s">
        <v>19</v>
      </c>
      <c r="D23" t="s">
        <v>62</v>
      </c>
      <c r="E23" t="s">
        <v>19</v>
      </c>
      <c r="F23">
        <v>345</v>
      </c>
      <c r="G23" t="s">
        <v>29</v>
      </c>
      <c r="I23" s="15"/>
      <c r="J23" s="17">
        <f t="shared" si="0"/>
        <v>0</v>
      </c>
    </row>
    <row r="24" spans="1:10" x14ac:dyDescent="0.35">
      <c r="A24" t="s">
        <v>17</v>
      </c>
      <c r="B24" t="s">
        <v>598</v>
      </c>
      <c r="C24" t="s">
        <v>19</v>
      </c>
      <c r="D24" t="s">
        <v>63</v>
      </c>
      <c r="E24" t="s">
        <v>64</v>
      </c>
      <c r="F24">
        <v>1</v>
      </c>
      <c r="G24" t="s">
        <v>26</v>
      </c>
      <c r="I24" s="15"/>
      <c r="J24" s="17">
        <f t="shared" si="0"/>
        <v>0</v>
      </c>
    </row>
    <row r="25" spans="1:10" x14ac:dyDescent="0.35">
      <c r="A25" t="s">
        <v>65</v>
      </c>
      <c r="B25" t="s">
        <v>598</v>
      </c>
      <c r="C25" t="s">
        <v>66</v>
      </c>
      <c r="D25" t="s">
        <v>67</v>
      </c>
      <c r="E25" t="s">
        <v>68</v>
      </c>
      <c r="F25">
        <v>1</v>
      </c>
      <c r="I25" s="15"/>
      <c r="J25" s="17">
        <f t="shared" si="0"/>
        <v>0</v>
      </c>
    </row>
    <row r="26" spans="1:10" x14ac:dyDescent="0.35">
      <c r="A26" t="s">
        <v>65</v>
      </c>
      <c r="B26" t="s">
        <v>598</v>
      </c>
      <c r="C26" t="s">
        <v>66</v>
      </c>
      <c r="D26" t="s">
        <v>69</v>
      </c>
      <c r="E26" t="s">
        <v>70</v>
      </c>
      <c r="F26">
        <v>100</v>
      </c>
      <c r="I26" s="15"/>
      <c r="J26" s="17">
        <f t="shared" si="0"/>
        <v>0</v>
      </c>
    </row>
    <row r="27" spans="1:10" x14ac:dyDescent="0.35">
      <c r="A27" t="s">
        <v>65</v>
      </c>
      <c r="B27" t="s">
        <v>598</v>
      </c>
      <c r="C27" t="s">
        <v>71</v>
      </c>
      <c r="D27" t="s">
        <v>72</v>
      </c>
      <c r="E27" t="s">
        <v>73</v>
      </c>
      <c r="F27">
        <v>840</v>
      </c>
      <c r="I27" s="15"/>
      <c r="J27" s="17">
        <f t="shared" si="0"/>
        <v>0</v>
      </c>
    </row>
    <row r="28" spans="1:10" x14ac:dyDescent="0.35">
      <c r="A28" t="s">
        <v>65</v>
      </c>
      <c r="B28" t="s">
        <v>598</v>
      </c>
      <c r="C28" t="s">
        <v>71</v>
      </c>
      <c r="D28" t="s">
        <v>74</v>
      </c>
      <c r="E28" t="s">
        <v>75</v>
      </c>
      <c r="F28">
        <v>1</v>
      </c>
      <c r="I28" s="15"/>
      <c r="J28" s="17">
        <f t="shared" si="0"/>
        <v>0</v>
      </c>
    </row>
    <row r="29" spans="1:10" x14ac:dyDescent="0.35">
      <c r="A29" t="s">
        <v>65</v>
      </c>
      <c r="B29" t="s">
        <v>598</v>
      </c>
      <c r="C29" t="s">
        <v>71</v>
      </c>
      <c r="D29" t="s">
        <v>108</v>
      </c>
      <c r="E29" t="s">
        <v>109</v>
      </c>
      <c r="F29">
        <v>740</v>
      </c>
      <c r="I29" s="15"/>
      <c r="J29" s="17">
        <f t="shared" si="0"/>
        <v>0</v>
      </c>
    </row>
    <row r="30" spans="1:10" x14ac:dyDescent="0.35">
      <c r="A30" t="s">
        <v>65</v>
      </c>
      <c r="B30" t="s">
        <v>598</v>
      </c>
      <c r="C30" t="s">
        <v>71</v>
      </c>
      <c r="D30" t="s">
        <v>76</v>
      </c>
      <c r="E30" t="s">
        <v>77</v>
      </c>
      <c r="F30">
        <v>2300</v>
      </c>
      <c r="I30" s="15"/>
      <c r="J30" s="17">
        <f t="shared" si="0"/>
        <v>0</v>
      </c>
    </row>
    <row r="31" spans="1:10" x14ac:dyDescent="0.35">
      <c r="A31" t="s">
        <v>182</v>
      </c>
      <c r="B31" t="s">
        <v>599</v>
      </c>
      <c r="C31" t="s">
        <v>183</v>
      </c>
      <c r="D31" t="s">
        <v>384</v>
      </c>
      <c r="E31" t="s">
        <v>385</v>
      </c>
      <c r="F31">
        <v>0</v>
      </c>
      <c r="H31" t="s">
        <v>386</v>
      </c>
      <c r="I31" s="15"/>
      <c r="J31" s="17">
        <f t="shared" si="0"/>
        <v>0</v>
      </c>
    </row>
    <row r="32" spans="1:10" x14ac:dyDescent="0.35">
      <c r="A32" t="s">
        <v>182</v>
      </c>
      <c r="B32" t="s">
        <v>599</v>
      </c>
      <c r="C32" t="s">
        <v>183</v>
      </c>
      <c r="D32" t="s">
        <v>387</v>
      </c>
      <c r="E32" t="s">
        <v>388</v>
      </c>
      <c r="F32">
        <v>11</v>
      </c>
      <c r="H32" t="s">
        <v>386</v>
      </c>
      <c r="I32" s="15"/>
      <c r="J32" s="17">
        <f t="shared" si="0"/>
        <v>0</v>
      </c>
    </row>
    <row r="33" spans="1:10" x14ac:dyDescent="0.35">
      <c r="A33" t="s">
        <v>182</v>
      </c>
      <c r="B33" t="s">
        <v>599</v>
      </c>
      <c r="C33" t="s">
        <v>183</v>
      </c>
      <c r="D33" t="s">
        <v>389</v>
      </c>
      <c r="E33" t="s">
        <v>390</v>
      </c>
      <c r="F33">
        <v>1322</v>
      </c>
      <c r="H33" t="s">
        <v>386</v>
      </c>
      <c r="I33" s="15"/>
      <c r="J33" s="17">
        <f t="shared" si="0"/>
        <v>0</v>
      </c>
    </row>
    <row r="34" spans="1:10" x14ac:dyDescent="0.35">
      <c r="A34" t="s">
        <v>182</v>
      </c>
      <c r="B34" t="s">
        <v>599</v>
      </c>
      <c r="C34" t="s">
        <v>183</v>
      </c>
      <c r="D34" t="s">
        <v>391</v>
      </c>
      <c r="E34" t="s">
        <v>392</v>
      </c>
      <c r="F34">
        <v>25</v>
      </c>
      <c r="H34" t="s">
        <v>386</v>
      </c>
      <c r="I34" s="15"/>
      <c r="J34" s="17">
        <f t="shared" si="0"/>
        <v>0</v>
      </c>
    </row>
    <row r="35" spans="1:10" x14ac:dyDescent="0.35">
      <c r="A35" t="s">
        <v>182</v>
      </c>
      <c r="B35" t="s">
        <v>599</v>
      </c>
      <c r="C35" t="s">
        <v>183</v>
      </c>
      <c r="D35" t="s">
        <v>202</v>
      </c>
      <c r="E35" t="s">
        <v>203</v>
      </c>
      <c r="F35">
        <v>0</v>
      </c>
      <c r="H35" t="s">
        <v>386</v>
      </c>
      <c r="I35" s="15"/>
      <c r="J35" s="17">
        <f t="shared" si="0"/>
        <v>0</v>
      </c>
    </row>
    <row r="36" spans="1:10" x14ac:dyDescent="0.35">
      <c r="A36" t="s">
        <v>182</v>
      </c>
      <c r="B36" t="s">
        <v>599</v>
      </c>
      <c r="C36" t="s">
        <v>183</v>
      </c>
      <c r="D36" t="s">
        <v>393</v>
      </c>
      <c r="E36" t="s">
        <v>394</v>
      </c>
      <c r="F36">
        <v>21</v>
      </c>
      <c r="H36" t="s">
        <v>386</v>
      </c>
      <c r="I36" s="15"/>
      <c r="J36" s="17">
        <f t="shared" si="0"/>
        <v>0</v>
      </c>
    </row>
    <row r="37" spans="1:10" x14ac:dyDescent="0.35">
      <c r="A37" t="s">
        <v>182</v>
      </c>
      <c r="B37" t="s">
        <v>599</v>
      </c>
      <c r="C37" t="s">
        <v>189</v>
      </c>
      <c r="D37" t="s">
        <v>395</v>
      </c>
      <c r="E37" t="s">
        <v>396</v>
      </c>
      <c r="F37">
        <v>4</v>
      </c>
      <c r="H37" t="s">
        <v>192</v>
      </c>
      <c r="I37" s="15"/>
      <c r="J37" s="17">
        <f t="shared" si="0"/>
        <v>0</v>
      </c>
    </row>
    <row r="38" spans="1:10" x14ac:dyDescent="0.35">
      <c r="A38" t="s">
        <v>182</v>
      </c>
      <c r="B38" t="s">
        <v>599</v>
      </c>
      <c r="C38" t="s">
        <v>189</v>
      </c>
      <c r="D38" t="s">
        <v>397</v>
      </c>
      <c r="E38" t="s">
        <v>398</v>
      </c>
      <c r="F38">
        <v>68</v>
      </c>
      <c r="H38" t="s">
        <v>192</v>
      </c>
      <c r="I38" s="15"/>
      <c r="J38" s="17">
        <f t="shared" si="0"/>
        <v>0</v>
      </c>
    </row>
    <row r="39" spans="1:10" x14ac:dyDescent="0.35">
      <c r="A39" t="s">
        <v>182</v>
      </c>
      <c r="B39" t="s">
        <v>599</v>
      </c>
      <c r="C39" t="s">
        <v>189</v>
      </c>
      <c r="D39" t="s">
        <v>399</v>
      </c>
      <c r="E39" t="s">
        <v>400</v>
      </c>
      <c r="F39">
        <v>70</v>
      </c>
      <c r="H39" t="s">
        <v>192</v>
      </c>
      <c r="I39" s="15"/>
      <c r="J39" s="17">
        <f t="shared" si="0"/>
        <v>0</v>
      </c>
    </row>
    <row r="40" spans="1:10" x14ac:dyDescent="0.35">
      <c r="A40" t="s">
        <v>182</v>
      </c>
      <c r="B40" t="s">
        <v>599</v>
      </c>
      <c r="C40" t="s">
        <v>195</v>
      </c>
      <c r="D40" t="s">
        <v>196</v>
      </c>
      <c r="E40" t="s">
        <v>197</v>
      </c>
      <c r="F40">
        <v>9</v>
      </c>
      <c r="H40" t="s">
        <v>192</v>
      </c>
      <c r="I40" s="15"/>
      <c r="J40" s="17">
        <f t="shared" si="0"/>
        <v>0</v>
      </c>
    </row>
    <row r="41" spans="1:10" x14ac:dyDescent="0.35">
      <c r="A41" t="s">
        <v>182</v>
      </c>
      <c r="B41" t="s">
        <v>599</v>
      </c>
      <c r="C41" t="s">
        <v>198</v>
      </c>
      <c r="D41" t="s">
        <v>401</v>
      </c>
      <c r="E41" t="s">
        <v>402</v>
      </c>
      <c r="F41">
        <v>0</v>
      </c>
      <c r="H41" t="s">
        <v>386</v>
      </c>
      <c r="I41" s="15"/>
      <c r="J41" s="17">
        <f t="shared" si="0"/>
        <v>0</v>
      </c>
    </row>
    <row r="42" spans="1:10" x14ac:dyDescent="0.35">
      <c r="A42" t="s">
        <v>182</v>
      </c>
      <c r="B42" t="s">
        <v>599</v>
      </c>
      <c r="C42" t="s">
        <v>198</v>
      </c>
      <c r="D42" t="s">
        <v>403</v>
      </c>
      <c r="E42" t="s">
        <v>404</v>
      </c>
      <c r="F42">
        <v>1</v>
      </c>
      <c r="H42" t="s">
        <v>386</v>
      </c>
      <c r="I42" s="15"/>
      <c r="J42" s="17">
        <f t="shared" si="0"/>
        <v>0</v>
      </c>
    </row>
    <row r="43" spans="1:10" x14ac:dyDescent="0.35">
      <c r="A43" t="s">
        <v>182</v>
      </c>
      <c r="B43" t="s">
        <v>599</v>
      </c>
      <c r="C43" t="s">
        <v>198</v>
      </c>
      <c r="D43" t="s">
        <v>405</v>
      </c>
      <c r="E43" t="s">
        <v>406</v>
      </c>
      <c r="F43">
        <v>1</v>
      </c>
      <c r="H43" t="s">
        <v>386</v>
      </c>
      <c r="I43" s="15"/>
      <c r="J43" s="17">
        <f t="shared" si="0"/>
        <v>0</v>
      </c>
    </row>
    <row r="44" spans="1:10" x14ac:dyDescent="0.35">
      <c r="A44" t="s">
        <v>182</v>
      </c>
      <c r="B44" t="s">
        <v>599</v>
      </c>
      <c r="C44" t="s">
        <v>198</v>
      </c>
      <c r="D44" t="s">
        <v>407</v>
      </c>
      <c r="E44" t="s">
        <v>408</v>
      </c>
      <c r="F44">
        <v>9</v>
      </c>
      <c r="H44" t="s">
        <v>386</v>
      </c>
      <c r="I44" s="15"/>
      <c r="J44" s="17">
        <f t="shared" si="0"/>
        <v>0</v>
      </c>
    </row>
    <row r="45" spans="1:10" x14ac:dyDescent="0.35">
      <c r="A45" t="s">
        <v>182</v>
      </c>
      <c r="B45" t="s">
        <v>599</v>
      </c>
      <c r="C45" t="s">
        <v>198</v>
      </c>
      <c r="D45" t="s">
        <v>202</v>
      </c>
      <c r="E45" t="s">
        <v>203</v>
      </c>
      <c r="F45">
        <v>0</v>
      </c>
      <c r="H45" t="s">
        <v>386</v>
      </c>
      <c r="I45" s="15"/>
      <c r="J45" s="17">
        <f t="shared" si="0"/>
        <v>0</v>
      </c>
    </row>
    <row r="46" spans="1:10" x14ac:dyDescent="0.35">
      <c r="A46" t="s">
        <v>182</v>
      </c>
      <c r="B46" t="s">
        <v>599</v>
      </c>
      <c r="C46" t="s">
        <v>204</v>
      </c>
      <c r="D46" t="s">
        <v>409</v>
      </c>
      <c r="E46" t="s">
        <v>410</v>
      </c>
      <c r="F46">
        <v>355</v>
      </c>
      <c r="H46" t="s">
        <v>386</v>
      </c>
      <c r="I46" s="15"/>
      <c r="J46" s="17">
        <f t="shared" si="0"/>
        <v>0</v>
      </c>
    </row>
    <row r="47" spans="1:10" x14ac:dyDescent="0.35">
      <c r="A47" t="s">
        <v>182</v>
      </c>
      <c r="B47" t="s">
        <v>599</v>
      </c>
      <c r="C47" t="s">
        <v>204</v>
      </c>
      <c r="D47" t="s">
        <v>411</v>
      </c>
      <c r="E47" t="s">
        <v>412</v>
      </c>
      <c r="F47">
        <v>450</v>
      </c>
      <c r="H47" t="s">
        <v>386</v>
      </c>
      <c r="I47" s="15"/>
      <c r="J47" s="17">
        <f t="shared" si="0"/>
        <v>0</v>
      </c>
    </row>
    <row r="48" spans="1:10" x14ac:dyDescent="0.35">
      <c r="A48" t="s">
        <v>182</v>
      </c>
      <c r="B48" t="s">
        <v>599</v>
      </c>
      <c r="C48" t="s">
        <v>204</v>
      </c>
      <c r="D48" t="s">
        <v>413</v>
      </c>
      <c r="E48" t="s">
        <v>414</v>
      </c>
      <c r="F48">
        <v>6057</v>
      </c>
      <c r="H48" t="s">
        <v>386</v>
      </c>
      <c r="I48" s="15"/>
      <c r="J48" s="17">
        <f t="shared" si="0"/>
        <v>0</v>
      </c>
    </row>
    <row r="49" spans="1:10" x14ac:dyDescent="0.35">
      <c r="A49" t="s">
        <v>182</v>
      </c>
      <c r="B49" t="s">
        <v>599</v>
      </c>
      <c r="C49" t="s">
        <v>204</v>
      </c>
      <c r="D49" t="s">
        <v>415</v>
      </c>
      <c r="E49" t="s">
        <v>416</v>
      </c>
      <c r="F49">
        <v>0</v>
      </c>
      <c r="H49" t="s">
        <v>386</v>
      </c>
      <c r="I49" s="15"/>
      <c r="J49" s="17">
        <f t="shared" si="0"/>
        <v>0</v>
      </c>
    </row>
    <row r="50" spans="1:10" x14ac:dyDescent="0.35">
      <c r="A50" t="s">
        <v>182</v>
      </c>
      <c r="B50" t="s">
        <v>599</v>
      </c>
      <c r="C50" t="s">
        <v>204</v>
      </c>
      <c r="D50" t="s">
        <v>202</v>
      </c>
      <c r="E50" t="s">
        <v>203</v>
      </c>
      <c r="F50">
        <v>0</v>
      </c>
      <c r="H50" t="s">
        <v>386</v>
      </c>
      <c r="I50" s="15"/>
      <c r="J50" s="17">
        <f t="shared" si="0"/>
        <v>0</v>
      </c>
    </row>
    <row r="51" spans="1:10" x14ac:dyDescent="0.35">
      <c r="A51" t="s">
        <v>211</v>
      </c>
      <c r="B51" t="s">
        <v>599</v>
      </c>
      <c r="C51" t="s">
        <v>212</v>
      </c>
      <c r="D51" t="s">
        <v>417</v>
      </c>
      <c r="E51" t="s">
        <v>217</v>
      </c>
      <c r="F51">
        <v>2</v>
      </c>
      <c r="H51" t="s">
        <v>418</v>
      </c>
      <c r="I51" s="15"/>
      <c r="J51" s="17">
        <f t="shared" si="0"/>
        <v>0</v>
      </c>
    </row>
    <row r="52" spans="1:10" x14ac:dyDescent="0.35">
      <c r="A52" t="s">
        <v>211</v>
      </c>
      <c r="B52" t="s">
        <v>599</v>
      </c>
      <c r="C52" t="s">
        <v>212</v>
      </c>
      <c r="D52" t="s">
        <v>419</v>
      </c>
      <c r="E52" t="s">
        <v>420</v>
      </c>
      <c r="F52">
        <v>42</v>
      </c>
      <c r="H52" t="s">
        <v>418</v>
      </c>
      <c r="I52" s="15"/>
      <c r="J52" s="17">
        <f t="shared" si="0"/>
        <v>0</v>
      </c>
    </row>
    <row r="53" spans="1:10" x14ac:dyDescent="0.35">
      <c r="A53" t="s">
        <v>220</v>
      </c>
      <c r="B53" t="s">
        <v>599</v>
      </c>
      <c r="C53" t="s">
        <v>221</v>
      </c>
      <c r="D53" t="s">
        <v>421</v>
      </c>
      <c r="E53" t="s">
        <v>422</v>
      </c>
      <c r="F53">
        <v>1</v>
      </c>
      <c r="H53" t="s">
        <v>418</v>
      </c>
      <c r="I53" s="15"/>
      <c r="J53" s="17">
        <f t="shared" si="0"/>
        <v>0</v>
      </c>
    </row>
    <row r="54" spans="1:10" x14ac:dyDescent="0.35">
      <c r="A54" t="s">
        <v>220</v>
      </c>
      <c r="B54" t="s">
        <v>599</v>
      </c>
      <c r="C54" t="s">
        <v>221</v>
      </c>
      <c r="D54" t="s">
        <v>423</v>
      </c>
      <c r="E54" t="s">
        <v>424</v>
      </c>
      <c r="F54">
        <v>33</v>
      </c>
      <c r="H54" t="s">
        <v>418</v>
      </c>
      <c r="I54" s="15"/>
      <c r="J54" s="17">
        <f t="shared" si="0"/>
        <v>0</v>
      </c>
    </row>
    <row r="55" spans="1:10" x14ac:dyDescent="0.35">
      <c r="A55" t="s">
        <v>220</v>
      </c>
      <c r="B55" t="s">
        <v>599</v>
      </c>
      <c r="C55" t="s">
        <v>221</v>
      </c>
      <c r="D55" t="s">
        <v>425</v>
      </c>
      <c r="E55" t="s">
        <v>426</v>
      </c>
      <c r="F55">
        <v>0</v>
      </c>
      <c r="H55" t="s">
        <v>418</v>
      </c>
      <c r="I55" s="15"/>
      <c r="J55" s="17">
        <f t="shared" si="0"/>
        <v>0</v>
      </c>
    </row>
    <row r="56" spans="1:10" x14ac:dyDescent="0.35">
      <c r="A56" t="s">
        <v>220</v>
      </c>
      <c r="B56" t="s">
        <v>599</v>
      </c>
      <c r="C56" t="s">
        <v>221</v>
      </c>
      <c r="D56" t="s">
        <v>202</v>
      </c>
      <c r="E56" t="s">
        <v>203</v>
      </c>
      <c r="F56">
        <v>0</v>
      </c>
      <c r="H56" t="s">
        <v>418</v>
      </c>
      <c r="I56" s="15"/>
      <c r="J56" s="17">
        <f t="shared" si="0"/>
        <v>0</v>
      </c>
    </row>
    <row r="57" spans="1:10" x14ac:dyDescent="0.35">
      <c r="A57" t="s">
        <v>460</v>
      </c>
      <c r="B57" t="s">
        <v>599</v>
      </c>
      <c r="D57" t="s">
        <v>487</v>
      </c>
      <c r="E57" t="s">
        <v>488</v>
      </c>
      <c r="F57">
        <v>1</v>
      </c>
      <c r="I57" s="15"/>
      <c r="J57" s="17">
        <f t="shared" si="0"/>
        <v>0</v>
      </c>
    </row>
    <row r="58" spans="1:10" x14ac:dyDescent="0.35">
      <c r="B58" t="s">
        <v>599</v>
      </c>
      <c r="D58" t="s">
        <v>489</v>
      </c>
      <c r="E58" t="s">
        <v>490</v>
      </c>
      <c r="F58">
        <v>1</v>
      </c>
      <c r="I58" s="15"/>
      <c r="J58" s="17">
        <f t="shared" si="0"/>
        <v>0</v>
      </c>
    </row>
    <row r="59" spans="1:10" x14ac:dyDescent="0.35">
      <c r="A59" t="s">
        <v>460</v>
      </c>
      <c r="B59" t="s">
        <v>599</v>
      </c>
      <c r="D59" t="s">
        <v>487</v>
      </c>
      <c r="E59" t="s">
        <v>488</v>
      </c>
      <c r="F59">
        <v>1</v>
      </c>
      <c r="I59" s="15"/>
      <c r="J59" s="17">
        <f t="shared" si="0"/>
        <v>0</v>
      </c>
    </row>
    <row r="60" spans="1:10" x14ac:dyDescent="0.35">
      <c r="B60" t="s">
        <v>599</v>
      </c>
      <c r="D60" t="s">
        <v>489</v>
      </c>
      <c r="E60" t="s">
        <v>490</v>
      </c>
      <c r="F60">
        <v>1</v>
      </c>
      <c r="I60" s="15"/>
      <c r="J60" s="17">
        <f t="shared" si="0"/>
        <v>0</v>
      </c>
    </row>
    <row r="61" spans="1:10" x14ac:dyDescent="0.35">
      <c r="A61" t="s">
        <v>460</v>
      </c>
      <c r="B61" t="s">
        <v>599</v>
      </c>
      <c r="D61" t="s">
        <v>487</v>
      </c>
      <c r="E61" t="s">
        <v>488</v>
      </c>
      <c r="F61">
        <v>1</v>
      </c>
      <c r="I61" s="15"/>
      <c r="J61" s="17">
        <f t="shared" si="0"/>
        <v>0</v>
      </c>
    </row>
    <row r="62" spans="1:10" x14ac:dyDescent="0.35">
      <c r="B62" t="s">
        <v>599</v>
      </c>
      <c r="D62" t="s">
        <v>489</v>
      </c>
      <c r="E62" t="s">
        <v>490</v>
      </c>
      <c r="F62">
        <v>1</v>
      </c>
      <c r="I62" s="15"/>
      <c r="J62" s="17">
        <f t="shared" si="0"/>
        <v>0</v>
      </c>
    </row>
    <row r="63" spans="1:10" x14ac:dyDescent="0.35">
      <c r="A63" t="s">
        <v>460</v>
      </c>
      <c r="B63" t="s">
        <v>599</v>
      </c>
      <c r="D63" t="s">
        <v>487</v>
      </c>
      <c r="E63" t="s">
        <v>488</v>
      </c>
      <c r="F63">
        <v>1</v>
      </c>
      <c r="I63" s="15"/>
      <c r="J63" s="17">
        <f t="shared" si="0"/>
        <v>0</v>
      </c>
    </row>
    <row r="64" spans="1:10" x14ac:dyDescent="0.35">
      <c r="B64" t="s">
        <v>599</v>
      </c>
      <c r="D64" t="s">
        <v>489</v>
      </c>
      <c r="E64" t="s">
        <v>490</v>
      </c>
      <c r="F64">
        <v>1</v>
      </c>
      <c r="I64" s="15"/>
      <c r="J64" s="17">
        <f t="shared" si="0"/>
        <v>0</v>
      </c>
    </row>
    <row r="65" spans="1:10" x14ac:dyDescent="0.35">
      <c r="A65" t="s">
        <v>461</v>
      </c>
      <c r="B65" t="s">
        <v>599</v>
      </c>
      <c r="D65" t="s">
        <v>491</v>
      </c>
      <c r="E65" t="s">
        <v>492</v>
      </c>
      <c r="F65">
        <v>1</v>
      </c>
      <c r="I65" s="15"/>
      <c r="J65" s="17">
        <f t="shared" si="0"/>
        <v>0</v>
      </c>
    </row>
    <row r="66" spans="1:10" x14ac:dyDescent="0.35">
      <c r="A66" t="s">
        <v>461</v>
      </c>
      <c r="B66" t="s">
        <v>599</v>
      </c>
      <c r="D66" t="s">
        <v>491</v>
      </c>
      <c r="E66" t="s">
        <v>492</v>
      </c>
      <c r="F66">
        <v>1</v>
      </c>
      <c r="I66" s="15"/>
      <c r="J66" s="17">
        <f t="shared" si="0"/>
        <v>0</v>
      </c>
    </row>
    <row r="67" spans="1:10" x14ac:dyDescent="0.35">
      <c r="A67" t="s">
        <v>461</v>
      </c>
      <c r="B67" t="s">
        <v>599</v>
      </c>
      <c r="D67" t="s">
        <v>491</v>
      </c>
      <c r="E67" t="s">
        <v>492</v>
      </c>
      <c r="F67">
        <v>1</v>
      </c>
      <c r="I67" s="15"/>
      <c r="J67" s="17">
        <f t="shared" ref="J67:J130" si="1">I67*F67</f>
        <v>0</v>
      </c>
    </row>
    <row r="68" spans="1:10" x14ac:dyDescent="0.35">
      <c r="A68" t="s">
        <v>461</v>
      </c>
      <c r="B68" t="s">
        <v>599</v>
      </c>
      <c r="D68" t="s">
        <v>491</v>
      </c>
      <c r="E68" t="s">
        <v>492</v>
      </c>
      <c r="F68">
        <v>1</v>
      </c>
      <c r="I68" s="15"/>
      <c r="J68" s="17">
        <f t="shared" si="1"/>
        <v>0</v>
      </c>
    </row>
    <row r="69" spans="1:10" x14ac:dyDescent="0.35">
      <c r="A69" t="s">
        <v>462</v>
      </c>
      <c r="B69" t="s">
        <v>599</v>
      </c>
      <c r="D69" t="s">
        <v>493</v>
      </c>
      <c r="E69" t="s">
        <v>494</v>
      </c>
      <c r="F69">
        <v>1</v>
      </c>
      <c r="I69" s="15"/>
      <c r="J69" s="17">
        <f t="shared" si="1"/>
        <v>0</v>
      </c>
    </row>
    <row r="70" spans="1:10" x14ac:dyDescent="0.35">
      <c r="A70" t="s">
        <v>460</v>
      </c>
      <c r="B70" t="s">
        <v>599</v>
      </c>
      <c r="D70" t="s">
        <v>495</v>
      </c>
      <c r="E70" t="s">
        <v>496</v>
      </c>
      <c r="F70">
        <v>1</v>
      </c>
      <c r="I70" s="15"/>
      <c r="J70" s="17">
        <f t="shared" si="1"/>
        <v>0</v>
      </c>
    </row>
    <row r="71" spans="1:10" x14ac:dyDescent="0.35">
      <c r="B71" t="s">
        <v>599</v>
      </c>
      <c r="D71" t="s">
        <v>493</v>
      </c>
      <c r="E71" t="s">
        <v>494</v>
      </c>
      <c r="F71">
        <v>1</v>
      </c>
      <c r="I71" s="15"/>
      <c r="J71" s="17">
        <f t="shared" si="1"/>
        <v>0</v>
      </c>
    </row>
    <row r="72" spans="1:10" x14ac:dyDescent="0.35">
      <c r="A72" t="s">
        <v>461</v>
      </c>
      <c r="B72" t="s">
        <v>599</v>
      </c>
      <c r="D72" t="s">
        <v>497</v>
      </c>
      <c r="E72" t="s">
        <v>492</v>
      </c>
      <c r="F72">
        <v>1</v>
      </c>
      <c r="I72" s="15"/>
      <c r="J72" s="17">
        <f t="shared" si="1"/>
        <v>0</v>
      </c>
    </row>
    <row r="73" spans="1:10" x14ac:dyDescent="0.35">
      <c r="A73" t="s">
        <v>461</v>
      </c>
      <c r="B73" t="s">
        <v>599</v>
      </c>
      <c r="D73" t="s">
        <v>497</v>
      </c>
      <c r="E73" t="s">
        <v>492</v>
      </c>
      <c r="F73">
        <v>1</v>
      </c>
      <c r="I73" s="15"/>
      <c r="J73" s="17">
        <f t="shared" si="1"/>
        <v>0</v>
      </c>
    </row>
    <row r="74" spans="1:10" x14ac:dyDescent="0.35">
      <c r="A74" t="s">
        <v>461</v>
      </c>
      <c r="B74" t="s">
        <v>599</v>
      </c>
      <c r="D74" t="s">
        <v>497</v>
      </c>
      <c r="E74" t="s">
        <v>492</v>
      </c>
      <c r="F74">
        <v>1</v>
      </c>
      <c r="I74" s="15"/>
      <c r="J74" s="17">
        <f t="shared" si="1"/>
        <v>0</v>
      </c>
    </row>
    <row r="75" spans="1:10" x14ac:dyDescent="0.35">
      <c r="A75" t="s">
        <v>461</v>
      </c>
      <c r="B75" t="s">
        <v>599</v>
      </c>
      <c r="D75" t="s">
        <v>497</v>
      </c>
      <c r="E75" t="s">
        <v>492</v>
      </c>
      <c r="F75">
        <v>1</v>
      </c>
      <c r="I75" s="15"/>
      <c r="J75" s="17">
        <f t="shared" si="1"/>
        <v>0</v>
      </c>
    </row>
    <row r="76" spans="1:10" x14ac:dyDescent="0.35">
      <c r="A76" t="s">
        <v>463</v>
      </c>
      <c r="B76" t="s">
        <v>599</v>
      </c>
      <c r="D76" t="s">
        <v>498</v>
      </c>
      <c r="E76" t="s">
        <v>499</v>
      </c>
      <c r="F76">
        <v>1</v>
      </c>
      <c r="I76" s="15"/>
      <c r="J76" s="17">
        <f t="shared" si="1"/>
        <v>0</v>
      </c>
    </row>
    <row r="77" spans="1:10" x14ac:dyDescent="0.35">
      <c r="A77" t="s">
        <v>463</v>
      </c>
      <c r="B77" t="s">
        <v>599</v>
      </c>
      <c r="D77" t="s">
        <v>498</v>
      </c>
      <c r="E77" t="s">
        <v>499</v>
      </c>
      <c r="F77">
        <v>1</v>
      </c>
      <c r="I77" s="15"/>
      <c r="J77" s="17">
        <f t="shared" si="1"/>
        <v>0</v>
      </c>
    </row>
    <row r="78" spans="1:10" x14ac:dyDescent="0.35">
      <c r="A78" t="s">
        <v>464</v>
      </c>
      <c r="B78" t="s">
        <v>599</v>
      </c>
      <c r="D78" t="s">
        <v>500</v>
      </c>
      <c r="E78" t="s">
        <v>501</v>
      </c>
      <c r="F78">
        <v>1</v>
      </c>
      <c r="I78" s="15"/>
      <c r="J78" s="17">
        <f t="shared" si="1"/>
        <v>0</v>
      </c>
    </row>
    <row r="79" spans="1:10" x14ac:dyDescent="0.35">
      <c r="A79" t="s">
        <v>464</v>
      </c>
      <c r="B79" t="s">
        <v>599</v>
      </c>
      <c r="D79" t="s">
        <v>500</v>
      </c>
      <c r="E79" t="s">
        <v>501</v>
      </c>
      <c r="F79">
        <v>1</v>
      </c>
      <c r="I79" s="15"/>
      <c r="J79" s="17">
        <f t="shared" si="1"/>
        <v>0</v>
      </c>
    </row>
    <row r="80" spans="1:10" x14ac:dyDescent="0.35">
      <c r="A80" t="s">
        <v>464</v>
      </c>
      <c r="B80" t="s">
        <v>599</v>
      </c>
      <c r="D80" t="s">
        <v>500</v>
      </c>
      <c r="E80" t="s">
        <v>501</v>
      </c>
      <c r="F80">
        <v>1</v>
      </c>
      <c r="I80" s="15"/>
      <c r="J80" s="17">
        <f t="shared" si="1"/>
        <v>0</v>
      </c>
    </row>
    <row r="81" spans="1:10" x14ac:dyDescent="0.35">
      <c r="A81" t="s">
        <v>464</v>
      </c>
      <c r="B81" t="s">
        <v>599</v>
      </c>
      <c r="D81" t="s">
        <v>500</v>
      </c>
      <c r="E81" t="s">
        <v>501</v>
      </c>
      <c r="F81">
        <v>1</v>
      </c>
      <c r="I81" s="15"/>
      <c r="J81" s="17">
        <f t="shared" si="1"/>
        <v>0</v>
      </c>
    </row>
    <row r="82" spans="1:10" x14ac:dyDescent="0.35">
      <c r="A82" t="s">
        <v>464</v>
      </c>
      <c r="B82" t="s">
        <v>599</v>
      </c>
      <c r="D82" t="s">
        <v>500</v>
      </c>
      <c r="E82" t="s">
        <v>501</v>
      </c>
      <c r="F82">
        <v>1</v>
      </c>
      <c r="I82" s="15"/>
      <c r="J82" s="17">
        <f t="shared" si="1"/>
        <v>0</v>
      </c>
    </row>
    <row r="83" spans="1:10" x14ac:dyDescent="0.35">
      <c r="A83" t="s">
        <v>464</v>
      </c>
      <c r="B83" t="s">
        <v>599</v>
      </c>
      <c r="D83" t="s">
        <v>500</v>
      </c>
      <c r="E83" t="s">
        <v>501</v>
      </c>
      <c r="F83">
        <v>1</v>
      </c>
      <c r="I83" s="15"/>
      <c r="J83" s="17">
        <f t="shared" si="1"/>
        <v>0</v>
      </c>
    </row>
    <row r="84" spans="1:10" x14ac:dyDescent="0.35">
      <c r="A84" t="s">
        <v>464</v>
      </c>
      <c r="B84" t="s">
        <v>599</v>
      </c>
      <c r="D84" t="s">
        <v>500</v>
      </c>
      <c r="E84" t="s">
        <v>501</v>
      </c>
      <c r="F84">
        <v>1</v>
      </c>
      <c r="I84" s="15"/>
      <c r="J84" s="17">
        <f t="shared" si="1"/>
        <v>0</v>
      </c>
    </row>
    <row r="85" spans="1:10" x14ac:dyDescent="0.35">
      <c r="A85" t="s">
        <v>464</v>
      </c>
      <c r="B85" t="s">
        <v>599</v>
      </c>
      <c r="D85" t="s">
        <v>500</v>
      </c>
      <c r="E85" t="s">
        <v>501</v>
      </c>
      <c r="F85">
        <v>1</v>
      </c>
      <c r="I85" s="15"/>
      <c r="J85" s="17">
        <f t="shared" si="1"/>
        <v>0</v>
      </c>
    </row>
    <row r="86" spans="1:10" x14ac:dyDescent="0.35">
      <c r="A86" t="s">
        <v>464</v>
      </c>
      <c r="B86" t="s">
        <v>599</v>
      </c>
      <c r="D86" t="s">
        <v>500</v>
      </c>
      <c r="E86" t="s">
        <v>501</v>
      </c>
      <c r="F86">
        <v>1</v>
      </c>
      <c r="I86" s="15"/>
      <c r="J86" s="17">
        <f t="shared" si="1"/>
        <v>0</v>
      </c>
    </row>
    <row r="87" spans="1:10" x14ac:dyDescent="0.35">
      <c r="A87" t="s">
        <v>464</v>
      </c>
      <c r="B87" t="s">
        <v>599</v>
      </c>
      <c r="D87" t="s">
        <v>500</v>
      </c>
      <c r="E87" t="s">
        <v>501</v>
      </c>
      <c r="F87">
        <v>1</v>
      </c>
      <c r="I87" s="15"/>
      <c r="J87" s="17">
        <f t="shared" si="1"/>
        <v>0</v>
      </c>
    </row>
    <row r="88" spans="1:10" x14ac:dyDescent="0.35">
      <c r="A88" t="s">
        <v>463</v>
      </c>
      <c r="B88" t="s">
        <v>599</v>
      </c>
      <c r="D88" t="s">
        <v>498</v>
      </c>
      <c r="E88" t="s">
        <v>499</v>
      </c>
      <c r="F88">
        <v>1</v>
      </c>
      <c r="I88" s="15"/>
      <c r="J88" s="17">
        <f t="shared" si="1"/>
        <v>0</v>
      </c>
    </row>
    <row r="89" spans="1:10" x14ac:dyDescent="0.35">
      <c r="A89" t="s">
        <v>463</v>
      </c>
      <c r="B89" t="s">
        <v>599</v>
      </c>
      <c r="D89" t="s">
        <v>498</v>
      </c>
      <c r="E89" t="s">
        <v>499</v>
      </c>
      <c r="F89">
        <v>1</v>
      </c>
      <c r="I89" s="15"/>
      <c r="J89" s="17">
        <f t="shared" si="1"/>
        <v>0</v>
      </c>
    </row>
    <row r="90" spans="1:10" x14ac:dyDescent="0.35">
      <c r="A90" t="s">
        <v>464</v>
      </c>
      <c r="B90" t="s">
        <v>599</v>
      </c>
      <c r="D90" t="s">
        <v>500</v>
      </c>
      <c r="E90" t="s">
        <v>501</v>
      </c>
      <c r="F90">
        <v>1</v>
      </c>
      <c r="I90" s="15"/>
      <c r="J90" s="17">
        <f t="shared" si="1"/>
        <v>0</v>
      </c>
    </row>
    <row r="91" spans="1:10" x14ac:dyDescent="0.35">
      <c r="A91" t="s">
        <v>464</v>
      </c>
      <c r="B91" t="s">
        <v>599</v>
      </c>
      <c r="D91" t="s">
        <v>500</v>
      </c>
      <c r="E91" t="s">
        <v>501</v>
      </c>
      <c r="F91">
        <v>1</v>
      </c>
      <c r="I91" s="15"/>
      <c r="J91" s="17">
        <f t="shared" si="1"/>
        <v>0</v>
      </c>
    </row>
    <row r="92" spans="1:10" x14ac:dyDescent="0.35">
      <c r="A92" t="s">
        <v>464</v>
      </c>
      <c r="B92" t="s">
        <v>599</v>
      </c>
      <c r="D92" t="s">
        <v>500</v>
      </c>
      <c r="E92" t="s">
        <v>501</v>
      </c>
      <c r="F92">
        <v>1</v>
      </c>
      <c r="I92" s="15"/>
      <c r="J92" s="17">
        <f t="shared" si="1"/>
        <v>0</v>
      </c>
    </row>
    <row r="93" spans="1:10" x14ac:dyDescent="0.35">
      <c r="A93" t="s">
        <v>464</v>
      </c>
      <c r="B93" t="s">
        <v>599</v>
      </c>
      <c r="D93" t="s">
        <v>500</v>
      </c>
      <c r="E93" t="s">
        <v>501</v>
      </c>
      <c r="F93">
        <v>1</v>
      </c>
      <c r="I93" s="15"/>
      <c r="J93" s="17">
        <f t="shared" si="1"/>
        <v>0</v>
      </c>
    </row>
    <row r="94" spans="1:10" x14ac:dyDescent="0.35">
      <c r="A94" t="s">
        <v>464</v>
      </c>
      <c r="B94" t="s">
        <v>599</v>
      </c>
      <c r="D94" t="s">
        <v>500</v>
      </c>
      <c r="E94" t="s">
        <v>501</v>
      </c>
      <c r="F94">
        <v>1</v>
      </c>
      <c r="I94" s="15"/>
      <c r="J94" s="17">
        <f t="shared" si="1"/>
        <v>0</v>
      </c>
    </row>
    <row r="95" spans="1:10" x14ac:dyDescent="0.35">
      <c r="A95" t="s">
        <v>464</v>
      </c>
      <c r="B95" t="s">
        <v>599</v>
      </c>
      <c r="D95" t="s">
        <v>500</v>
      </c>
      <c r="E95" t="s">
        <v>501</v>
      </c>
      <c r="F95">
        <v>1</v>
      </c>
      <c r="I95" s="15"/>
      <c r="J95" s="17">
        <f t="shared" si="1"/>
        <v>0</v>
      </c>
    </row>
    <row r="96" spans="1:10" x14ac:dyDescent="0.35">
      <c r="A96" t="s">
        <v>464</v>
      </c>
      <c r="B96" t="s">
        <v>599</v>
      </c>
      <c r="D96" t="s">
        <v>500</v>
      </c>
      <c r="E96" t="s">
        <v>501</v>
      </c>
      <c r="F96">
        <v>1</v>
      </c>
      <c r="I96" s="15"/>
      <c r="J96" s="17">
        <f t="shared" si="1"/>
        <v>0</v>
      </c>
    </row>
    <row r="97" spans="1:10" x14ac:dyDescent="0.35">
      <c r="A97" t="s">
        <v>464</v>
      </c>
      <c r="B97" t="s">
        <v>599</v>
      </c>
      <c r="D97" t="s">
        <v>500</v>
      </c>
      <c r="E97" t="s">
        <v>501</v>
      </c>
      <c r="F97">
        <v>1</v>
      </c>
      <c r="I97" s="15"/>
      <c r="J97" s="17">
        <f t="shared" si="1"/>
        <v>0</v>
      </c>
    </row>
    <row r="98" spans="1:10" x14ac:dyDescent="0.35">
      <c r="A98" t="s">
        <v>464</v>
      </c>
      <c r="B98" t="s">
        <v>599</v>
      </c>
      <c r="D98" t="s">
        <v>500</v>
      </c>
      <c r="E98" t="s">
        <v>501</v>
      </c>
      <c r="F98">
        <v>1</v>
      </c>
      <c r="I98" s="15"/>
      <c r="J98" s="17">
        <f t="shared" si="1"/>
        <v>0</v>
      </c>
    </row>
    <row r="99" spans="1:10" x14ac:dyDescent="0.35">
      <c r="A99" t="s">
        <v>464</v>
      </c>
      <c r="B99" t="s">
        <v>599</v>
      </c>
      <c r="D99" t="s">
        <v>500</v>
      </c>
      <c r="E99" t="s">
        <v>501</v>
      </c>
      <c r="F99">
        <v>1</v>
      </c>
      <c r="I99" s="15"/>
      <c r="J99" s="17">
        <f t="shared" si="1"/>
        <v>0</v>
      </c>
    </row>
    <row r="100" spans="1:10" x14ac:dyDescent="0.35">
      <c r="A100" t="s">
        <v>465</v>
      </c>
      <c r="B100" t="s">
        <v>599</v>
      </c>
      <c r="D100" t="s">
        <v>502</v>
      </c>
      <c r="E100" t="s">
        <v>503</v>
      </c>
      <c r="F100">
        <v>1</v>
      </c>
      <c r="I100" s="15"/>
      <c r="J100" s="17">
        <f t="shared" si="1"/>
        <v>0</v>
      </c>
    </row>
    <row r="101" spans="1:10" x14ac:dyDescent="0.35">
      <c r="A101" t="s">
        <v>466</v>
      </c>
      <c r="B101" t="s">
        <v>599</v>
      </c>
      <c r="D101" t="s">
        <v>504</v>
      </c>
      <c r="E101" t="s">
        <v>505</v>
      </c>
      <c r="F101">
        <v>1</v>
      </c>
      <c r="I101" s="15"/>
      <c r="J101" s="17">
        <f t="shared" si="1"/>
        <v>0</v>
      </c>
    </row>
    <row r="102" spans="1:10" x14ac:dyDescent="0.35">
      <c r="A102" t="s">
        <v>467</v>
      </c>
      <c r="B102" t="s">
        <v>599</v>
      </c>
      <c r="D102" t="s">
        <v>502</v>
      </c>
      <c r="E102" t="s">
        <v>503</v>
      </c>
      <c r="F102">
        <v>1</v>
      </c>
      <c r="I102" s="15"/>
      <c r="J102" s="17">
        <f t="shared" si="1"/>
        <v>0</v>
      </c>
    </row>
    <row r="103" spans="1:10" x14ac:dyDescent="0.35">
      <c r="A103" t="s">
        <v>468</v>
      </c>
      <c r="B103" t="s">
        <v>599</v>
      </c>
      <c r="D103" t="s">
        <v>506</v>
      </c>
      <c r="E103" t="s">
        <v>507</v>
      </c>
      <c r="F103">
        <v>1</v>
      </c>
      <c r="I103" s="15"/>
      <c r="J103" s="17">
        <f t="shared" si="1"/>
        <v>0</v>
      </c>
    </row>
    <row r="104" spans="1:10" x14ac:dyDescent="0.35">
      <c r="A104" t="s">
        <v>460</v>
      </c>
      <c r="B104" t="s">
        <v>599</v>
      </c>
      <c r="D104" t="s">
        <v>487</v>
      </c>
      <c r="E104" t="s">
        <v>488</v>
      </c>
      <c r="F104">
        <v>1</v>
      </c>
      <c r="I104" s="15"/>
      <c r="J104" s="17">
        <f t="shared" si="1"/>
        <v>0</v>
      </c>
    </row>
    <row r="105" spans="1:10" x14ac:dyDescent="0.35">
      <c r="B105" t="s">
        <v>599</v>
      </c>
      <c r="D105" t="s">
        <v>506</v>
      </c>
      <c r="E105" t="s">
        <v>507</v>
      </c>
      <c r="F105">
        <v>1</v>
      </c>
      <c r="I105" s="15"/>
      <c r="J105" s="17">
        <f t="shared" si="1"/>
        <v>0</v>
      </c>
    </row>
    <row r="106" spans="1:10" x14ac:dyDescent="0.35">
      <c r="A106" t="s">
        <v>469</v>
      </c>
      <c r="B106" t="s">
        <v>599</v>
      </c>
      <c r="D106" t="s">
        <v>508</v>
      </c>
      <c r="E106" t="s">
        <v>509</v>
      </c>
      <c r="F106">
        <v>1</v>
      </c>
      <c r="I106" s="15"/>
      <c r="J106" s="17">
        <f t="shared" si="1"/>
        <v>0</v>
      </c>
    </row>
    <row r="107" spans="1:10" x14ac:dyDescent="0.35">
      <c r="A107" t="s">
        <v>470</v>
      </c>
      <c r="B107" t="s">
        <v>599</v>
      </c>
      <c r="D107" t="s">
        <v>510</v>
      </c>
      <c r="E107" t="s">
        <v>511</v>
      </c>
      <c r="F107">
        <v>1</v>
      </c>
      <c r="I107" s="15"/>
      <c r="J107" s="17">
        <f t="shared" si="1"/>
        <v>0</v>
      </c>
    </row>
    <row r="108" spans="1:10" x14ac:dyDescent="0.35">
      <c r="A108" t="s">
        <v>470</v>
      </c>
      <c r="B108" t="s">
        <v>599</v>
      </c>
      <c r="D108" t="s">
        <v>510</v>
      </c>
      <c r="E108" t="s">
        <v>511</v>
      </c>
      <c r="F108">
        <v>1</v>
      </c>
      <c r="I108" s="15"/>
      <c r="J108" s="17">
        <f t="shared" si="1"/>
        <v>0</v>
      </c>
    </row>
    <row r="109" spans="1:10" x14ac:dyDescent="0.35">
      <c r="A109" t="s">
        <v>470</v>
      </c>
      <c r="B109" t="s">
        <v>599</v>
      </c>
      <c r="D109" t="s">
        <v>510</v>
      </c>
      <c r="E109" t="s">
        <v>511</v>
      </c>
      <c r="F109">
        <v>1</v>
      </c>
      <c r="I109" s="15"/>
      <c r="J109" s="17">
        <f t="shared" si="1"/>
        <v>0</v>
      </c>
    </row>
    <row r="110" spans="1:10" x14ac:dyDescent="0.35">
      <c r="A110" t="s">
        <v>470</v>
      </c>
      <c r="B110" t="s">
        <v>599</v>
      </c>
      <c r="D110" t="s">
        <v>510</v>
      </c>
      <c r="E110" t="s">
        <v>511</v>
      </c>
      <c r="F110">
        <v>1</v>
      </c>
      <c r="I110" s="15"/>
      <c r="J110" s="17">
        <f t="shared" si="1"/>
        <v>0</v>
      </c>
    </row>
    <row r="111" spans="1:10" x14ac:dyDescent="0.35">
      <c r="A111" t="s">
        <v>470</v>
      </c>
      <c r="B111" t="s">
        <v>599</v>
      </c>
      <c r="D111" t="s">
        <v>510</v>
      </c>
      <c r="E111" t="s">
        <v>511</v>
      </c>
      <c r="F111">
        <v>1</v>
      </c>
      <c r="I111" s="15"/>
      <c r="J111" s="17">
        <f t="shared" si="1"/>
        <v>0</v>
      </c>
    </row>
    <row r="112" spans="1:10" x14ac:dyDescent="0.35">
      <c r="A112" t="s">
        <v>470</v>
      </c>
      <c r="B112" t="s">
        <v>599</v>
      </c>
      <c r="D112" t="s">
        <v>510</v>
      </c>
      <c r="E112" t="s">
        <v>511</v>
      </c>
      <c r="F112">
        <v>1</v>
      </c>
      <c r="I112" s="15"/>
      <c r="J112" s="17">
        <f t="shared" si="1"/>
        <v>0</v>
      </c>
    </row>
    <row r="113" spans="1:10" x14ac:dyDescent="0.35">
      <c r="A113" t="s">
        <v>471</v>
      </c>
      <c r="B113" t="s">
        <v>599</v>
      </c>
      <c r="D113" t="s">
        <v>512</v>
      </c>
      <c r="E113" t="s">
        <v>513</v>
      </c>
      <c r="F113">
        <v>1</v>
      </c>
      <c r="I113" s="15"/>
      <c r="J113" s="17">
        <f t="shared" si="1"/>
        <v>0</v>
      </c>
    </row>
    <row r="114" spans="1:10" x14ac:dyDescent="0.35">
      <c r="A114" t="s">
        <v>471</v>
      </c>
      <c r="B114" t="s">
        <v>599</v>
      </c>
      <c r="D114" t="s">
        <v>512</v>
      </c>
      <c r="E114" t="s">
        <v>513</v>
      </c>
      <c r="F114">
        <v>1</v>
      </c>
      <c r="I114" s="15"/>
      <c r="J114" s="17">
        <f t="shared" si="1"/>
        <v>0</v>
      </c>
    </row>
    <row r="115" spans="1:10" x14ac:dyDescent="0.35">
      <c r="A115" t="s">
        <v>471</v>
      </c>
      <c r="B115" t="s">
        <v>599</v>
      </c>
      <c r="D115" t="s">
        <v>512</v>
      </c>
      <c r="E115" t="s">
        <v>513</v>
      </c>
      <c r="F115">
        <v>1</v>
      </c>
      <c r="I115" s="15"/>
      <c r="J115" s="17">
        <f t="shared" si="1"/>
        <v>0</v>
      </c>
    </row>
    <row r="116" spans="1:10" x14ac:dyDescent="0.35">
      <c r="A116" t="s">
        <v>471</v>
      </c>
      <c r="B116" t="s">
        <v>599</v>
      </c>
      <c r="D116" t="s">
        <v>512</v>
      </c>
      <c r="E116" t="s">
        <v>513</v>
      </c>
      <c r="F116">
        <v>1</v>
      </c>
      <c r="I116" s="15"/>
      <c r="J116" s="17">
        <f t="shared" si="1"/>
        <v>0</v>
      </c>
    </row>
    <row r="117" spans="1:10" x14ac:dyDescent="0.35">
      <c r="A117" t="s">
        <v>471</v>
      </c>
      <c r="B117" t="s">
        <v>599</v>
      </c>
      <c r="D117" t="s">
        <v>512</v>
      </c>
      <c r="E117" t="s">
        <v>513</v>
      </c>
      <c r="F117">
        <v>1</v>
      </c>
      <c r="I117" s="15"/>
      <c r="J117" s="17">
        <f t="shared" si="1"/>
        <v>0</v>
      </c>
    </row>
    <row r="118" spans="1:10" x14ac:dyDescent="0.35">
      <c r="A118" t="s">
        <v>471</v>
      </c>
      <c r="B118" t="s">
        <v>599</v>
      </c>
      <c r="D118" t="s">
        <v>512</v>
      </c>
      <c r="E118" t="s">
        <v>513</v>
      </c>
      <c r="F118">
        <v>1</v>
      </c>
      <c r="I118" s="15"/>
      <c r="J118" s="17">
        <f t="shared" si="1"/>
        <v>0</v>
      </c>
    </row>
    <row r="119" spans="1:10" x14ac:dyDescent="0.35">
      <c r="A119" t="s">
        <v>472</v>
      </c>
      <c r="B119" t="s">
        <v>599</v>
      </c>
      <c r="D119" t="s">
        <v>514</v>
      </c>
      <c r="E119" t="s">
        <v>515</v>
      </c>
      <c r="F119">
        <v>1</v>
      </c>
      <c r="I119" s="15"/>
      <c r="J119" s="17">
        <f t="shared" si="1"/>
        <v>0</v>
      </c>
    </row>
    <row r="120" spans="1:10" x14ac:dyDescent="0.35">
      <c r="A120" t="s">
        <v>472</v>
      </c>
      <c r="B120" t="s">
        <v>599</v>
      </c>
      <c r="D120" t="s">
        <v>514</v>
      </c>
      <c r="E120" t="s">
        <v>515</v>
      </c>
      <c r="F120">
        <v>1</v>
      </c>
      <c r="I120" s="15"/>
      <c r="J120" s="17">
        <f t="shared" si="1"/>
        <v>0</v>
      </c>
    </row>
    <row r="121" spans="1:10" x14ac:dyDescent="0.35">
      <c r="A121" t="s">
        <v>472</v>
      </c>
      <c r="B121" t="s">
        <v>599</v>
      </c>
      <c r="D121" t="s">
        <v>514</v>
      </c>
      <c r="E121" t="s">
        <v>515</v>
      </c>
      <c r="F121">
        <v>1</v>
      </c>
      <c r="I121" s="15"/>
      <c r="J121" s="17">
        <f t="shared" si="1"/>
        <v>0</v>
      </c>
    </row>
    <row r="122" spans="1:10" x14ac:dyDescent="0.35">
      <c r="A122" t="s">
        <v>472</v>
      </c>
      <c r="B122" t="s">
        <v>599</v>
      </c>
      <c r="D122" t="s">
        <v>514</v>
      </c>
      <c r="E122" t="s">
        <v>515</v>
      </c>
      <c r="F122">
        <v>1</v>
      </c>
      <c r="I122" s="15"/>
      <c r="J122" s="17">
        <f t="shared" si="1"/>
        <v>0</v>
      </c>
    </row>
    <row r="123" spans="1:10" x14ac:dyDescent="0.35">
      <c r="A123" t="s">
        <v>472</v>
      </c>
      <c r="B123" t="s">
        <v>599</v>
      </c>
      <c r="D123" t="s">
        <v>514</v>
      </c>
      <c r="E123" t="s">
        <v>515</v>
      </c>
      <c r="F123">
        <v>1</v>
      </c>
      <c r="I123" s="15"/>
      <c r="J123" s="17">
        <f t="shared" si="1"/>
        <v>0</v>
      </c>
    </row>
    <row r="124" spans="1:10" x14ac:dyDescent="0.35">
      <c r="A124" t="s">
        <v>472</v>
      </c>
      <c r="B124" t="s">
        <v>599</v>
      </c>
      <c r="D124" t="s">
        <v>514</v>
      </c>
      <c r="E124" t="s">
        <v>515</v>
      </c>
      <c r="F124">
        <v>1</v>
      </c>
      <c r="I124" s="15"/>
      <c r="J124" s="17">
        <f t="shared" si="1"/>
        <v>0</v>
      </c>
    </row>
    <row r="125" spans="1:10" x14ac:dyDescent="0.35">
      <c r="A125" t="s">
        <v>472</v>
      </c>
      <c r="B125" t="s">
        <v>599</v>
      </c>
      <c r="D125" t="s">
        <v>514</v>
      </c>
      <c r="E125" t="s">
        <v>515</v>
      </c>
      <c r="F125">
        <v>1</v>
      </c>
      <c r="I125" s="15"/>
      <c r="J125" s="17">
        <f t="shared" si="1"/>
        <v>0</v>
      </c>
    </row>
    <row r="126" spans="1:10" x14ac:dyDescent="0.35">
      <c r="A126" t="s">
        <v>472</v>
      </c>
      <c r="B126" t="s">
        <v>599</v>
      </c>
      <c r="D126" t="s">
        <v>514</v>
      </c>
      <c r="E126" t="s">
        <v>515</v>
      </c>
      <c r="F126">
        <v>1</v>
      </c>
      <c r="I126" s="15"/>
      <c r="J126" s="17">
        <f t="shared" si="1"/>
        <v>0</v>
      </c>
    </row>
    <row r="127" spans="1:10" x14ac:dyDescent="0.35">
      <c r="A127" t="s">
        <v>472</v>
      </c>
      <c r="B127" t="s">
        <v>599</v>
      </c>
      <c r="D127" t="s">
        <v>514</v>
      </c>
      <c r="E127" t="s">
        <v>515</v>
      </c>
      <c r="F127">
        <v>1</v>
      </c>
      <c r="I127" s="15"/>
      <c r="J127" s="17">
        <f t="shared" si="1"/>
        <v>0</v>
      </c>
    </row>
    <row r="128" spans="1:10" x14ac:dyDescent="0.35">
      <c r="A128" t="s">
        <v>472</v>
      </c>
      <c r="B128" t="s">
        <v>599</v>
      </c>
      <c r="D128" t="s">
        <v>514</v>
      </c>
      <c r="E128" t="s">
        <v>515</v>
      </c>
      <c r="F128">
        <v>1</v>
      </c>
      <c r="I128" s="15"/>
      <c r="J128" s="17">
        <f t="shared" si="1"/>
        <v>0</v>
      </c>
    </row>
    <row r="129" spans="1:10" x14ac:dyDescent="0.35">
      <c r="A129" t="s">
        <v>472</v>
      </c>
      <c r="B129" t="s">
        <v>599</v>
      </c>
      <c r="D129" t="s">
        <v>514</v>
      </c>
      <c r="E129" t="s">
        <v>515</v>
      </c>
      <c r="F129">
        <v>1</v>
      </c>
      <c r="I129" s="15"/>
      <c r="J129" s="17">
        <f t="shared" si="1"/>
        <v>0</v>
      </c>
    </row>
    <row r="130" spans="1:10" x14ac:dyDescent="0.35">
      <c r="A130" t="s">
        <v>472</v>
      </c>
      <c r="B130" t="s">
        <v>599</v>
      </c>
      <c r="D130" t="s">
        <v>514</v>
      </c>
      <c r="E130" t="s">
        <v>515</v>
      </c>
      <c r="F130">
        <v>1</v>
      </c>
      <c r="I130" s="15"/>
      <c r="J130" s="17">
        <f t="shared" si="1"/>
        <v>0</v>
      </c>
    </row>
    <row r="131" spans="1:10" x14ac:dyDescent="0.35">
      <c r="A131" t="s">
        <v>473</v>
      </c>
      <c r="B131" t="s">
        <v>599</v>
      </c>
      <c r="D131" t="s">
        <v>516</v>
      </c>
      <c r="E131" t="s">
        <v>517</v>
      </c>
      <c r="F131">
        <v>1</v>
      </c>
      <c r="I131" s="15"/>
      <c r="J131" s="17">
        <f t="shared" ref="J131:J194" si="2">I131*F131</f>
        <v>0</v>
      </c>
    </row>
    <row r="132" spans="1:10" x14ac:dyDescent="0.35">
      <c r="A132" t="s">
        <v>473</v>
      </c>
      <c r="B132" t="s">
        <v>599</v>
      </c>
      <c r="D132" t="s">
        <v>516</v>
      </c>
      <c r="E132" t="s">
        <v>517</v>
      </c>
      <c r="F132">
        <v>1</v>
      </c>
      <c r="I132" s="15"/>
      <c r="J132" s="17">
        <f t="shared" si="2"/>
        <v>0</v>
      </c>
    </row>
    <row r="133" spans="1:10" x14ac:dyDescent="0.35">
      <c r="A133" t="s">
        <v>473</v>
      </c>
      <c r="B133" t="s">
        <v>599</v>
      </c>
      <c r="D133" t="s">
        <v>516</v>
      </c>
      <c r="E133" t="s">
        <v>517</v>
      </c>
      <c r="F133">
        <v>1</v>
      </c>
      <c r="I133" s="15"/>
      <c r="J133" s="17">
        <f t="shared" si="2"/>
        <v>0</v>
      </c>
    </row>
    <row r="134" spans="1:10" x14ac:dyDescent="0.35">
      <c r="A134" t="s">
        <v>473</v>
      </c>
      <c r="B134" t="s">
        <v>599</v>
      </c>
      <c r="D134" t="s">
        <v>516</v>
      </c>
      <c r="E134" t="s">
        <v>517</v>
      </c>
      <c r="F134">
        <v>1</v>
      </c>
      <c r="I134" s="15"/>
      <c r="J134" s="17">
        <f t="shared" si="2"/>
        <v>0</v>
      </c>
    </row>
    <row r="135" spans="1:10" x14ac:dyDescent="0.35">
      <c r="A135" t="s">
        <v>473</v>
      </c>
      <c r="B135" t="s">
        <v>599</v>
      </c>
      <c r="D135" t="s">
        <v>516</v>
      </c>
      <c r="E135" t="s">
        <v>517</v>
      </c>
      <c r="F135">
        <v>1</v>
      </c>
      <c r="I135" s="15"/>
      <c r="J135" s="17">
        <f t="shared" si="2"/>
        <v>0</v>
      </c>
    </row>
    <row r="136" spans="1:10" x14ac:dyDescent="0.35">
      <c r="A136" t="s">
        <v>473</v>
      </c>
      <c r="B136" t="s">
        <v>599</v>
      </c>
      <c r="D136" t="s">
        <v>516</v>
      </c>
      <c r="E136" t="s">
        <v>517</v>
      </c>
      <c r="F136">
        <v>1</v>
      </c>
      <c r="I136" s="15"/>
      <c r="J136" s="17">
        <f t="shared" si="2"/>
        <v>0</v>
      </c>
    </row>
    <row r="137" spans="1:10" x14ac:dyDescent="0.35">
      <c r="A137" t="s">
        <v>473</v>
      </c>
      <c r="B137" t="s">
        <v>599</v>
      </c>
      <c r="D137" t="s">
        <v>516</v>
      </c>
      <c r="E137" t="s">
        <v>517</v>
      </c>
      <c r="F137">
        <v>1</v>
      </c>
      <c r="I137" s="15"/>
      <c r="J137" s="17">
        <f t="shared" si="2"/>
        <v>0</v>
      </c>
    </row>
    <row r="138" spans="1:10" x14ac:dyDescent="0.35">
      <c r="A138" t="s">
        <v>473</v>
      </c>
      <c r="B138" t="s">
        <v>599</v>
      </c>
      <c r="D138" t="s">
        <v>516</v>
      </c>
      <c r="E138" t="s">
        <v>517</v>
      </c>
      <c r="F138">
        <v>1</v>
      </c>
      <c r="I138" s="15"/>
      <c r="J138" s="17">
        <f t="shared" si="2"/>
        <v>0</v>
      </c>
    </row>
    <row r="139" spans="1:10" x14ac:dyDescent="0.35">
      <c r="A139" t="s">
        <v>473</v>
      </c>
      <c r="B139" t="s">
        <v>599</v>
      </c>
      <c r="D139" t="s">
        <v>516</v>
      </c>
      <c r="E139" t="s">
        <v>517</v>
      </c>
      <c r="F139">
        <v>1</v>
      </c>
      <c r="I139" s="15"/>
      <c r="J139" s="17">
        <f t="shared" si="2"/>
        <v>0</v>
      </c>
    </row>
    <row r="140" spans="1:10" x14ac:dyDescent="0.35">
      <c r="A140" t="s">
        <v>473</v>
      </c>
      <c r="B140" t="s">
        <v>599</v>
      </c>
      <c r="D140" t="s">
        <v>516</v>
      </c>
      <c r="E140" t="s">
        <v>517</v>
      </c>
      <c r="F140">
        <v>1</v>
      </c>
      <c r="I140" s="15"/>
      <c r="J140" s="17">
        <f t="shared" si="2"/>
        <v>0</v>
      </c>
    </row>
    <row r="141" spans="1:10" x14ac:dyDescent="0.35">
      <c r="A141" t="s">
        <v>461</v>
      </c>
      <c r="B141" t="s">
        <v>599</v>
      </c>
      <c r="D141" t="s">
        <v>491</v>
      </c>
      <c r="E141" t="s">
        <v>492</v>
      </c>
      <c r="F141">
        <v>1</v>
      </c>
      <c r="I141" s="15"/>
      <c r="J141" s="17">
        <f t="shared" si="2"/>
        <v>0</v>
      </c>
    </row>
    <row r="142" spans="1:10" x14ac:dyDescent="0.35">
      <c r="A142" t="s">
        <v>471</v>
      </c>
      <c r="B142" t="s">
        <v>599</v>
      </c>
      <c r="D142" t="s">
        <v>512</v>
      </c>
      <c r="E142" t="s">
        <v>513</v>
      </c>
      <c r="F142">
        <v>1</v>
      </c>
      <c r="I142" s="15"/>
      <c r="J142" s="17">
        <f t="shared" si="2"/>
        <v>0</v>
      </c>
    </row>
    <row r="143" spans="1:10" x14ac:dyDescent="0.35">
      <c r="A143" t="s">
        <v>471</v>
      </c>
      <c r="B143" t="s">
        <v>599</v>
      </c>
      <c r="D143" t="s">
        <v>512</v>
      </c>
      <c r="E143" t="s">
        <v>513</v>
      </c>
      <c r="F143">
        <v>1</v>
      </c>
      <c r="I143" s="15"/>
      <c r="J143" s="17">
        <f t="shared" si="2"/>
        <v>0</v>
      </c>
    </row>
    <row r="144" spans="1:10" x14ac:dyDescent="0.35">
      <c r="A144" t="s">
        <v>471</v>
      </c>
      <c r="B144" t="s">
        <v>599</v>
      </c>
      <c r="D144" t="s">
        <v>512</v>
      </c>
      <c r="E144" t="s">
        <v>513</v>
      </c>
      <c r="F144">
        <v>1</v>
      </c>
      <c r="I144" s="15"/>
      <c r="J144" s="17">
        <f t="shared" si="2"/>
        <v>0</v>
      </c>
    </row>
    <row r="145" spans="1:10" x14ac:dyDescent="0.35">
      <c r="A145" t="s">
        <v>471</v>
      </c>
      <c r="B145" t="s">
        <v>599</v>
      </c>
      <c r="D145" t="s">
        <v>512</v>
      </c>
      <c r="E145" t="s">
        <v>513</v>
      </c>
      <c r="F145">
        <v>1</v>
      </c>
      <c r="I145" s="15"/>
      <c r="J145" s="17">
        <f t="shared" si="2"/>
        <v>0</v>
      </c>
    </row>
    <row r="146" spans="1:10" x14ac:dyDescent="0.35">
      <c r="A146" t="s">
        <v>471</v>
      </c>
      <c r="B146" t="s">
        <v>599</v>
      </c>
      <c r="D146" t="s">
        <v>512</v>
      </c>
      <c r="E146" t="s">
        <v>513</v>
      </c>
      <c r="F146">
        <v>1</v>
      </c>
      <c r="I146" s="15"/>
      <c r="J146" s="17">
        <f t="shared" si="2"/>
        <v>0</v>
      </c>
    </row>
    <row r="147" spans="1:10" x14ac:dyDescent="0.35">
      <c r="A147" t="s">
        <v>471</v>
      </c>
      <c r="B147" t="s">
        <v>599</v>
      </c>
      <c r="D147" t="s">
        <v>512</v>
      </c>
      <c r="E147" t="s">
        <v>513</v>
      </c>
      <c r="F147">
        <v>1</v>
      </c>
      <c r="I147" s="15"/>
      <c r="J147" s="17">
        <f t="shared" si="2"/>
        <v>0</v>
      </c>
    </row>
    <row r="148" spans="1:10" x14ac:dyDescent="0.35">
      <c r="A148" t="s">
        <v>471</v>
      </c>
      <c r="B148" t="s">
        <v>599</v>
      </c>
      <c r="D148" t="s">
        <v>512</v>
      </c>
      <c r="E148" t="s">
        <v>513</v>
      </c>
      <c r="F148">
        <v>1</v>
      </c>
      <c r="I148" s="15"/>
      <c r="J148" s="17">
        <f t="shared" si="2"/>
        <v>0</v>
      </c>
    </row>
    <row r="149" spans="1:10" x14ac:dyDescent="0.35">
      <c r="A149" t="s">
        <v>471</v>
      </c>
      <c r="B149" t="s">
        <v>599</v>
      </c>
      <c r="D149" t="s">
        <v>512</v>
      </c>
      <c r="E149" t="s">
        <v>513</v>
      </c>
      <c r="F149">
        <v>1</v>
      </c>
      <c r="I149" s="15"/>
      <c r="J149" s="17">
        <f t="shared" si="2"/>
        <v>0</v>
      </c>
    </row>
    <row r="150" spans="1:10" x14ac:dyDescent="0.35">
      <c r="A150" t="s">
        <v>471</v>
      </c>
      <c r="B150" t="s">
        <v>599</v>
      </c>
      <c r="D150" t="s">
        <v>512</v>
      </c>
      <c r="E150" t="s">
        <v>513</v>
      </c>
      <c r="F150">
        <v>1</v>
      </c>
      <c r="I150" s="15"/>
      <c r="J150" s="17">
        <f t="shared" si="2"/>
        <v>0</v>
      </c>
    </row>
    <row r="151" spans="1:10" x14ac:dyDescent="0.35">
      <c r="A151" t="s">
        <v>471</v>
      </c>
      <c r="B151" t="s">
        <v>599</v>
      </c>
      <c r="D151" t="s">
        <v>512</v>
      </c>
      <c r="E151" t="s">
        <v>513</v>
      </c>
      <c r="F151">
        <v>1</v>
      </c>
      <c r="I151" s="15"/>
      <c r="J151" s="17">
        <f t="shared" si="2"/>
        <v>0</v>
      </c>
    </row>
    <row r="152" spans="1:10" x14ac:dyDescent="0.35">
      <c r="A152" t="s">
        <v>472</v>
      </c>
      <c r="B152" t="s">
        <v>599</v>
      </c>
      <c r="D152" t="s">
        <v>514</v>
      </c>
      <c r="E152" t="s">
        <v>515</v>
      </c>
      <c r="F152">
        <v>1</v>
      </c>
      <c r="I152" s="15"/>
      <c r="J152" s="17">
        <f t="shared" si="2"/>
        <v>0</v>
      </c>
    </row>
    <row r="153" spans="1:10" x14ac:dyDescent="0.35">
      <c r="A153" t="s">
        <v>474</v>
      </c>
      <c r="B153" t="s">
        <v>599</v>
      </c>
      <c r="D153" t="s">
        <v>518</v>
      </c>
      <c r="E153" t="s">
        <v>519</v>
      </c>
      <c r="F153">
        <v>1</v>
      </c>
      <c r="I153" s="15"/>
      <c r="J153" s="17">
        <f t="shared" si="2"/>
        <v>0</v>
      </c>
    </row>
    <row r="154" spans="1:10" x14ac:dyDescent="0.35">
      <c r="B154" t="s">
        <v>599</v>
      </c>
      <c r="D154" t="s">
        <v>520</v>
      </c>
      <c r="E154" t="s">
        <v>521</v>
      </c>
      <c r="F154">
        <v>1</v>
      </c>
      <c r="I154" s="15"/>
      <c r="J154" s="17">
        <f t="shared" si="2"/>
        <v>0</v>
      </c>
    </row>
    <row r="155" spans="1:10" x14ac:dyDescent="0.35">
      <c r="B155" t="s">
        <v>599</v>
      </c>
      <c r="D155" t="s">
        <v>522</v>
      </c>
      <c r="E155" t="s">
        <v>523</v>
      </c>
      <c r="F155">
        <v>1</v>
      </c>
      <c r="I155" s="15"/>
      <c r="J155" s="17">
        <f t="shared" si="2"/>
        <v>0</v>
      </c>
    </row>
    <row r="156" spans="1:10" x14ac:dyDescent="0.35">
      <c r="B156" t="s">
        <v>599</v>
      </c>
      <c r="D156" t="s">
        <v>524</v>
      </c>
      <c r="E156" t="s">
        <v>525</v>
      </c>
      <c r="F156">
        <v>1</v>
      </c>
      <c r="I156" s="15"/>
      <c r="J156" s="17">
        <f t="shared" si="2"/>
        <v>0</v>
      </c>
    </row>
    <row r="157" spans="1:10" x14ac:dyDescent="0.35">
      <c r="B157" t="s">
        <v>599</v>
      </c>
      <c r="D157" t="s">
        <v>526</v>
      </c>
      <c r="E157" t="s">
        <v>527</v>
      </c>
      <c r="F157">
        <v>1</v>
      </c>
      <c r="I157" s="15"/>
      <c r="J157" s="17">
        <f t="shared" si="2"/>
        <v>0</v>
      </c>
    </row>
    <row r="158" spans="1:10" x14ac:dyDescent="0.35">
      <c r="B158" t="s">
        <v>599</v>
      </c>
      <c r="D158" t="s">
        <v>528</v>
      </c>
      <c r="E158" t="s">
        <v>529</v>
      </c>
      <c r="F158">
        <v>1</v>
      </c>
      <c r="I158" s="15"/>
      <c r="J158" s="17">
        <f t="shared" si="2"/>
        <v>0</v>
      </c>
    </row>
    <row r="159" spans="1:10" x14ac:dyDescent="0.35">
      <c r="A159" t="s">
        <v>474</v>
      </c>
      <c r="B159" t="s">
        <v>599</v>
      </c>
      <c r="D159" t="s">
        <v>518</v>
      </c>
      <c r="E159" t="s">
        <v>519</v>
      </c>
      <c r="F159">
        <v>1</v>
      </c>
      <c r="I159" s="15"/>
      <c r="J159" s="17">
        <f t="shared" si="2"/>
        <v>0</v>
      </c>
    </row>
    <row r="160" spans="1:10" x14ac:dyDescent="0.35">
      <c r="B160" t="s">
        <v>599</v>
      </c>
      <c r="D160" t="s">
        <v>524</v>
      </c>
      <c r="E160" t="s">
        <v>525</v>
      </c>
      <c r="F160">
        <v>1</v>
      </c>
      <c r="I160" s="15"/>
      <c r="J160" s="17">
        <f t="shared" si="2"/>
        <v>0</v>
      </c>
    </row>
    <row r="161" spans="1:10" x14ac:dyDescent="0.35">
      <c r="B161" t="s">
        <v>599</v>
      </c>
      <c r="D161" t="s">
        <v>522</v>
      </c>
      <c r="E161" t="s">
        <v>523</v>
      </c>
      <c r="F161">
        <v>1</v>
      </c>
      <c r="I161" s="15"/>
      <c r="J161" s="17">
        <f t="shared" si="2"/>
        <v>0</v>
      </c>
    </row>
    <row r="162" spans="1:10" x14ac:dyDescent="0.35">
      <c r="B162" t="s">
        <v>599</v>
      </c>
      <c r="D162" t="s">
        <v>520</v>
      </c>
      <c r="E162" t="s">
        <v>521</v>
      </c>
      <c r="F162">
        <v>1</v>
      </c>
      <c r="I162" s="15"/>
      <c r="J162" s="17">
        <f t="shared" si="2"/>
        <v>0</v>
      </c>
    </row>
    <row r="163" spans="1:10" x14ac:dyDescent="0.35">
      <c r="B163" t="s">
        <v>599</v>
      </c>
      <c r="D163" t="s">
        <v>528</v>
      </c>
      <c r="E163" t="s">
        <v>529</v>
      </c>
      <c r="F163">
        <v>1</v>
      </c>
      <c r="I163" s="15"/>
      <c r="J163" s="17">
        <f t="shared" si="2"/>
        <v>0</v>
      </c>
    </row>
    <row r="164" spans="1:10" x14ac:dyDescent="0.35">
      <c r="B164" t="s">
        <v>599</v>
      </c>
      <c r="D164" t="s">
        <v>526</v>
      </c>
      <c r="E164" t="s">
        <v>527</v>
      </c>
      <c r="F164">
        <v>1</v>
      </c>
      <c r="I164" s="15"/>
      <c r="J164" s="17">
        <f t="shared" si="2"/>
        <v>0</v>
      </c>
    </row>
    <row r="165" spans="1:10" x14ac:dyDescent="0.35">
      <c r="A165" t="s">
        <v>474</v>
      </c>
      <c r="B165" t="s">
        <v>599</v>
      </c>
      <c r="D165" t="s">
        <v>518</v>
      </c>
      <c r="E165" t="s">
        <v>519</v>
      </c>
      <c r="F165">
        <v>1</v>
      </c>
      <c r="I165" s="15"/>
      <c r="J165" s="17">
        <f t="shared" si="2"/>
        <v>0</v>
      </c>
    </row>
    <row r="166" spans="1:10" x14ac:dyDescent="0.35">
      <c r="B166" t="s">
        <v>599</v>
      </c>
      <c r="D166" t="s">
        <v>522</v>
      </c>
      <c r="E166" t="s">
        <v>523</v>
      </c>
      <c r="F166">
        <v>1</v>
      </c>
      <c r="I166" s="15"/>
      <c r="J166" s="17">
        <f t="shared" si="2"/>
        <v>0</v>
      </c>
    </row>
    <row r="167" spans="1:10" x14ac:dyDescent="0.35">
      <c r="B167" t="s">
        <v>599</v>
      </c>
      <c r="D167" t="s">
        <v>520</v>
      </c>
      <c r="E167" t="s">
        <v>521</v>
      </c>
      <c r="F167">
        <v>1</v>
      </c>
      <c r="I167" s="15"/>
      <c r="J167" s="17">
        <f t="shared" si="2"/>
        <v>0</v>
      </c>
    </row>
    <row r="168" spans="1:10" x14ac:dyDescent="0.35">
      <c r="B168" t="s">
        <v>599</v>
      </c>
      <c r="D168" t="s">
        <v>526</v>
      </c>
      <c r="E168" t="s">
        <v>527</v>
      </c>
      <c r="F168">
        <v>1</v>
      </c>
      <c r="I168" s="15"/>
      <c r="J168" s="17">
        <f t="shared" si="2"/>
        <v>0</v>
      </c>
    </row>
    <row r="169" spans="1:10" x14ac:dyDescent="0.35">
      <c r="B169" t="s">
        <v>599</v>
      </c>
      <c r="D169" t="s">
        <v>524</v>
      </c>
      <c r="E169" t="s">
        <v>525</v>
      </c>
      <c r="F169">
        <v>1</v>
      </c>
      <c r="I169" s="15"/>
      <c r="J169" s="17">
        <f t="shared" si="2"/>
        <v>0</v>
      </c>
    </row>
    <row r="170" spans="1:10" x14ac:dyDescent="0.35">
      <c r="B170" t="s">
        <v>599</v>
      </c>
      <c r="D170" t="s">
        <v>528</v>
      </c>
      <c r="E170" t="s">
        <v>529</v>
      </c>
      <c r="F170">
        <v>1</v>
      </c>
      <c r="I170" s="15"/>
      <c r="J170" s="17">
        <f t="shared" si="2"/>
        <v>0</v>
      </c>
    </row>
    <row r="171" spans="1:10" x14ac:dyDescent="0.35">
      <c r="A171" t="s">
        <v>474</v>
      </c>
      <c r="B171" t="s">
        <v>599</v>
      </c>
      <c r="D171" t="s">
        <v>518</v>
      </c>
      <c r="E171" t="s">
        <v>519</v>
      </c>
      <c r="F171">
        <v>1</v>
      </c>
      <c r="I171" s="15"/>
      <c r="J171" s="17">
        <f t="shared" si="2"/>
        <v>0</v>
      </c>
    </row>
    <row r="172" spans="1:10" x14ac:dyDescent="0.35">
      <c r="B172" t="s">
        <v>599</v>
      </c>
      <c r="D172" t="s">
        <v>528</v>
      </c>
      <c r="E172" t="s">
        <v>529</v>
      </c>
      <c r="F172">
        <v>1</v>
      </c>
      <c r="I172" s="15"/>
      <c r="J172" s="17">
        <f t="shared" si="2"/>
        <v>0</v>
      </c>
    </row>
    <row r="173" spans="1:10" x14ac:dyDescent="0.35">
      <c r="B173" t="s">
        <v>599</v>
      </c>
      <c r="D173" t="s">
        <v>520</v>
      </c>
      <c r="E173" t="s">
        <v>521</v>
      </c>
      <c r="F173">
        <v>1</v>
      </c>
      <c r="I173" s="15"/>
      <c r="J173" s="17">
        <f t="shared" si="2"/>
        <v>0</v>
      </c>
    </row>
    <row r="174" spans="1:10" x14ac:dyDescent="0.35">
      <c r="B174" t="s">
        <v>599</v>
      </c>
      <c r="D174" t="s">
        <v>524</v>
      </c>
      <c r="E174" t="s">
        <v>525</v>
      </c>
      <c r="F174">
        <v>1</v>
      </c>
      <c r="I174" s="15"/>
      <c r="J174" s="17">
        <f t="shared" si="2"/>
        <v>0</v>
      </c>
    </row>
    <row r="175" spans="1:10" x14ac:dyDescent="0.35">
      <c r="B175" t="s">
        <v>599</v>
      </c>
      <c r="D175" t="s">
        <v>522</v>
      </c>
      <c r="E175" t="s">
        <v>523</v>
      </c>
      <c r="F175">
        <v>1</v>
      </c>
      <c r="I175" s="15"/>
      <c r="J175" s="17">
        <f t="shared" si="2"/>
        <v>0</v>
      </c>
    </row>
    <row r="176" spans="1:10" x14ac:dyDescent="0.35">
      <c r="B176" t="s">
        <v>599</v>
      </c>
      <c r="D176" t="s">
        <v>526</v>
      </c>
      <c r="E176" t="s">
        <v>527</v>
      </c>
      <c r="F176">
        <v>1</v>
      </c>
      <c r="I176" s="15"/>
      <c r="J176" s="17">
        <f t="shared" si="2"/>
        <v>0</v>
      </c>
    </row>
    <row r="177" spans="1:10" x14ac:dyDescent="0.35">
      <c r="A177" t="s">
        <v>473</v>
      </c>
      <c r="B177" t="s">
        <v>599</v>
      </c>
      <c r="D177" t="s">
        <v>516</v>
      </c>
      <c r="E177" t="s">
        <v>517</v>
      </c>
      <c r="F177">
        <v>1</v>
      </c>
      <c r="I177" s="15"/>
      <c r="J177" s="17">
        <f t="shared" si="2"/>
        <v>0</v>
      </c>
    </row>
    <row r="178" spans="1:10" x14ac:dyDescent="0.35">
      <c r="A178" t="s">
        <v>473</v>
      </c>
      <c r="B178" t="s">
        <v>599</v>
      </c>
      <c r="D178" t="s">
        <v>516</v>
      </c>
      <c r="E178" t="s">
        <v>517</v>
      </c>
      <c r="F178">
        <v>1</v>
      </c>
      <c r="I178" s="15"/>
      <c r="J178" s="17">
        <f t="shared" si="2"/>
        <v>0</v>
      </c>
    </row>
    <row r="179" spans="1:10" x14ac:dyDescent="0.35">
      <c r="A179" t="s">
        <v>473</v>
      </c>
      <c r="B179" t="s">
        <v>599</v>
      </c>
      <c r="D179" t="s">
        <v>516</v>
      </c>
      <c r="E179" t="s">
        <v>517</v>
      </c>
      <c r="F179">
        <v>1</v>
      </c>
      <c r="I179" s="15"/>
      <c r="J179" s="17">
        <f t="shared" si="2"/>
        <v>0</v>
      </c>
    </row>
    <row r="180" spans="1:10" x14ac:dyDescent="0.35">
      <c r="A180" t="s">
        <v>473</v>
      </c>
      <c r="B180" t="s">
        <v>599</v>
      </c>
      <c r="D180" t="s">
        <v>516</v>
      </c>
      <c r="E180" t="s">
        <v>517</v>
      </c>
      <c r="F180">
        <v>1</v>
      </c>
      <c r="I180" s="15"/>
      <c r="J180" s="17">
        <f t="shared" si="2"/>
        <v>0</v>
      </c>
    </row>
    <row r="181" spans="1:10" x14ac:dyDescent="0.35">
      <c r="A181" t="s">
        <v>473</v>
      </c>
      <c r="B181" t="s">
        <v>599</v>
      </c>
      <c r="D181" t="s">
        <v>516</v>
      </c>
      <c r="E181" t="s">
        <v>517</v>
      </c>
      <c r="F181">
        <v>1</v>
      </c>
      <c r="I181" s="15"/>
      <c r="J181" s="17">
        <f t="shared" si="2"/>
        <v>0</v>
      </c>
    </row>
    <row r="182" spans="1:10" x14ac:dyDescent="0.35">
      <c r="A182" t="s">
        <v>473</v>
      </c>
      <c r="B182" t="s">
        <v>599</v>
      </c>
      <c r="D182" t="s">
        <v>516</v>
      </c>
      <c r="E182" t="s">
        <v>517</v>
      </c>
      <c r="F182">
        <v>1</v>
      </c>
      <c r="I182" s="15"/>
      <c r="J182" s="17">
        <f t="shared" si="2"/>
        <v>0</v>
      </c>
    </row>
    <row r="183" spans="1:10" x14ac:dyDescent="0.35">
      <c r="A183" t="s">
        <v>473</v>
      </c>
      <c r="B183" t="s">
        <v>599</v>
      </c>
      <c r="D183" t="s">
        <v>516</v>
      </c>
      <c r="E183" t="s">
        <v>517</v>
      </c>
      <c r="F183">
        <v>1</v>
      </c>
      <c r="I183" s="15"/>
      <c r="J183" s="17">
        <f t="shared" si="2"/>
        <v>0</v>
      </c>
    </row>
    <row r="184" spans="1:10" x14ac:dyDescent="0.35">
      <c r="A184" t="s">
        <v>473</v>
      </c>
      <c r="B184" t="s">
        <v>599</v>
      </c>
      <c r="D184" t="s">
        <v>516</v>
      </c>
      <c r="E184" t="s">
        <v>517</v>
      </c>
      <c r="F184">
        <v>1</v>
      </c>
      <c r="I184" s="15"/>
      <c r="J184" s="17">
        <f t="shared" si="2"/>
        <v>0</v>
      </c>
    </row>
    <row r="185" spans="1:10" x14ac:dyDescent="0.35">
      <c r="A185" t="s">
        <v>473</v>
      </c>
      <c r="B185" t="s">
        <v>599</v>
      </c>
      <c r="D185" t="s">
        <v>516</v>
      </c>
      <c r="E185" t="s">
        <v>517</v>
      </c>
      <c r="F185">
        <v>1</v>
      </c>
      <c r="I185" s="15"/>
      <c r="J185" s="17">
        <f t="shared" si="2"/>
        <v>0</v>
      </c>
    </row>
    <row r="186" spans="1:10" x14ac:dyDescent="0.35">
      <c r="A186" t="s">
        <v>473</v>
      </c>
      <c r="B186" t="s">
        <v>599</v>
      </c>
      <c r="D186" t="s">
        <v>516</v>
      </c>
      <c r="E186" t="s">
        <v>517</v>
      </c>
      <c r="F186">
        <v>1</v>
      </c>
      <c r="I186" s="15"/>
      <c r="J186" s="17">
        <f t="shared" si="2"/>
        <v>0</v>
      </c>
    </row>
    <row r="187" spans="1:10" x14ac:dyDescent="0.35">
      <c r="A187" t="s">
        <v>461</v>
      </c>
      <c r="B187" t="s">
        <v>599</v>
      </c>
      <c r="D187" t="s">
        <v>491</v>
      </c>
      <c r="E187" t="s">
        <v>492</v>
      </c>
      <c r="F187">
        <v>1</v>
      </c>
      <c r="I187" s="15"/>
      <c r="J187" s="17">
        <f t="shared" si="2"/>
        <v>0</v>
      </c>
    </row>
    <row r="188" spans="1:10" x14ac:dyDescent="0.35">
      <c r="A188" t="s">
        <v>471</v>
      </c>
      <c r="B188" t="s">
        <v>599</v>
      </c>
      <c r="D188" t="s">
        <v>512</v>
      </c>
      <c r="E188" t="s">
        <v>513</v>
      </c>
      <c r="F188">
        <v>1</v>
      </c>
      <c r="I188" s="15"/>
      <c r="J188" s="17">
        <f t="shared" si="2"/>
        <v>0</v>
      </c>
    </row>
    <row r="189" spans="1:10" x14ac:dyDescent="0.35">
      <c r="A189" t="s">
        <v>471</v>
      </c>
      <c r="B189" t="s">
        <v>599</v>
      </c>
      <c r="D189" t="s">
        <v>512</v>
      </c>
      <c r="E189" t="s">
        <v>513</v>
      </c>
      <c r="F189">
        <v>1</v>
      </c>
      <c r="I189" s="15"/>
      <c r="J189" s="17">
        <f t="shared" si="2"/>
        <v>0</v>
      </c>
    </row>
    <row r="190" spans="1:10" x14ac:dyDescent="0.35">
      <c r="A190" t="s">
        <v>471</v>
      </c>
      <c r="B190" t="s">
        <v>599</v>
      </c>
      <c r="D190" t="s">
        <v>512</v>
      </c>
      <c r="E190" t="s">
        <v>513</v>
      </c>
      <c r="F190">
        <v>1</v>
      </c>
      <c r="I190" s="15"/>
      <c r="J190" s="17">
        <f t="shared" si="2"/>
        <v>0</v>
      </c>
    </row>
    <row r="191" spans="1:10" x14ac:dyDescent="0.35">
      <c r="A191" t="s">
        <v>471</v>
      </c>
      <c r="B191" t="s">
        <v>599</v>
      </c>
      <c r="D191" t="s">
        <v>512</v>
      </c>
      <c r="E191" t="s">
        <v>513</v>
      </c>
      <c r="F191">
        <v>1</v>
      </c>
      <c r="I191" s="15"/>
      <c r="J191" s="17">
        <f t="shared" si="2"/>
        <v>0</v>
      </c>
    </row>
    <row r="192" spans="1:10" x14ac:dyDescent="0.35">
      <c r="A192" t="s">
        <v>471</v>
      </c>
      <c r="B192" t="s">
        <v>599</v>
      </c>
      <c r="D192" t="s">
        <v>512</v>
      </c>
      <c r="E192" t="s">
        <v>513</v>
      </c>
      <c r="F192">
        <v>1</v>
      </c>
      <c r="I192" s="15"/>
      <c r="J192" s="17">
        <f t="shared" si="2"/>
        <v>0</v>
      </c>
    </row>
    <row r="193" spans="1:10" x14ac:dyDescent="0.35">
      <c r="A193" t="s">
        <v>471</v>
      </c>
      <c r="B193" t="s">
        <v>599</v>
      </c>
      <c r="D193" t="s">
        <v>512</v>
      </c>
      <c r="E193" t="s">
        <v>513</v>
      </c>
      <c r="F193">
        <v>1</v>
      </c>
      <c r="I193" s="15"/>
      <c r="J193" s="17">
        <f t="shared" si="2"/>
        <v>0</v>
      </c>
    </row>
    <row r="194" spans="1:10" x14ac:dyDescent="0.35">
      <c r="A194" t="s">
        <v>471</v>
      </c>
      <c r="B194" t="s">
        <v>599</v>
      </c>
      <c r="D194" t="s">
        <v>512</v>
      </c>
      <c r="E194" t="s">
        <v>513</v>
      </c>
      <c r="F194">
        <v>1</v>
      </c>
      <c r="I194" s="15"/>
      <c r="J194" s="17">
        <f t="shared" si="2"/>
        <v>0</v>
      </c>
    </row>
    <row r="195" spans="1:10" x14ac:dyDescent="0.35">
      <c r="A195" t="s">
        <v>471</v>
      </c>
      <c r="B195" t="s">
        <v>599</v>
      </c>
      <c r="D195" t="s">
        <v>512</v>
      </c>
      <c r="E195" t="s">
        <v>513</v>
      </c>
      <c r="F195">
        <v>1</v>
      </c>
      <c r="I195" s="15"/>
      <c r="J195" s="17">
        <f t="shared" ref="J195:J258" si="3">I195*F195</f>
        <v>0</v>
      </c>
    </row>
    <row r="196" spans="1:10" x14ac:dyDescent="0.35">
      <c r="A196" t="s">
        <v>471</v>
      </c>
      <c r="B196" t="s">
        <v>599</v>
      </c>
      <c r="D196" t="s">
        <v>512</v>
      </c>
      <c r="E196" t="s">
        <v>513</v>
      </c>
      <c r="F196">
        <v>1</v>
      </c>
      <c r="I196" s="15"/>
      <c r="J196" s="17">
        <f t="shared" si="3"/>
        <v>0</v>
      </c>
    </row>
    <row r="197" spans="1:10" x14ac:dyDescent="0.35">
      <c r="A197" t="s">
        <v>471</v>
      </c>
      <c r="B197" t="s">
        <v>599</v>
      </c>
      <c r="D197" t="s">
        <v>512</v>
      </c>
      <c r="E197" t="s">
        <v>513</v>
      </c>
      <c r="F197">
        <v>1</v>
      </c>
      <c r="I197" s="15"/>
      <c r="J197" s="17">
        <f t="shared" si="3"/>
        <v>0</v>
      </c>
    </row>
    <row r="198" spans="1:10" x14ac:dyDescent="0.35">
      <c r="A198" t="s">
        <v>472</v>
      </c>
      <c r="B198" t="s">
        <v>599</v>
      </c>
      <c r="D198" t="s">
        <v>514</v>
      </c>
      <c r="E198" t="s">
        <v>515</v>
      </c>
      <c r="F198">
        <v>1</v>
      </c>
      <c r="I198" s="15"/>
      <c r="J198" s="17">
        <f t="shared" si="3"/>
        <v>0</v>
      </c>
    </row>
    <row r="199" spans="1:10" x14ac:dyDescent="0.35">
      <c r="A199" t="s">
        <v>473</v>
      </c>
      <c r="B199" t="s">
        <v>599</v>
      </c>
      <c r="D199" t="s">
        <v>516</v>
      </c>
      <c r="E199" t="s">
        <v>517</v>
      </c>
      <c r="F199">
        <v>1</v>
      </c>
      <c r="I199" s="15"/>
      <c r="J199" s="17">
        <f t="shared" si="3"/>
        <v>0</v>
      </c>
    </row>
    <row r="200" spans="1:10" x14ac:dyDescent="0.35">
      <c r="A200" t="s">
        <v>473</v>
      </c>
      <c r="B200" t="s">
        <v>599</v>
      </c>
      <c r="D200" t="s">
        <v>516</v>
      </c>
      <c r="E200" t="s">
        <v>517</v>
      </c>
      <c r="F200">
        <v>1</v>
      </c>
      <c r="I200" s="15"/>
      <c r="J200" s="17">
        <f t="shared" si="3"/>
        <v>0</v>
      </c>
    </row>
    <row r="201" spans="1:10" x14ac:dyDescent="0.35">
      <c r="A201" t="s">
        <v>473</v>
      </c>
      <c r="B201" t="s">
        <v>599</v>
      </c>
      <c r="D201" t="s">
        <v>516</v>
      </c>
      <c r="E201" t="s">
        <v>517</v>
      </c>
      <c r="F201">
        <v>1</v>
      </c>
      <c r="I201" s="15"/>
      <c r="J201" s="17">
        <f t="shared" si="3"/>
        <v>0</v>
      </c>
    </row>
    <row r="202" spans="1:10" x14ac:dyDescent="0.35">
      <c r="A202" t="s">
        <v>473</v>
      </c>
      <c r="B202" t="s">
        <v>599</v>
      </c>
      <c r="D202" t="s">
        <v>516</v>
      </c>
      <c r="E202" t="s">
        <v>517</v>
      </c>
      <c r="F202">
        <v>1</v>
      </c>
      <c r="I202" s="15"/>
      <c r="J202" s="17">
        <f t="shared" si="3"/>
        <v>0</v>
      </c>
    </row>
    <row r="203" spans="1:10" x14ac:dyDescent="0.35">
      <c r="A203" t="s">
        <v>473</v>
      </c>
      <c r="B203" t="s">
        <v>599</v>
      </c>
      <c r="D203" t="s">
        <v>516</v>
      </c>
      <c r="E203" t="s">
        <v>517</v>
      </c>
      <c r="F203">
        <v>1</v>
      </c>
      <c r="I203" s="15"/>
      <c r="J203" s="17">
        <f t="shared" si="3"/>
        <v>0</v>
      </c>
    </row>
    <row r="204" spans="1:10" x14ac:dyDescent="0.35">
      <c r="A204" t="s">
        <v>473</v>
      </c>
      <c r="B204" t="s">
        <v>599</v>
      </c>
      <c r="D204" t="s">
        <v>516</v>
      </c>
      <c r="E204" t="s">
        <v>517</v>
      </c>
      <c r="F204">
        <v>1</v>
      </c>
      <c r="I204" s="15"/>
      <c r="J204" s="17">
        <f t="shared" si="3"/>
        <v>0</v>
      </c>
    </row>
    <row r="205" spans="1:10" x14ac:dyDescent="0.35">
      <c r="A205" t="s">
        <v>473</v>
      </c>
      <c r="B205" t="s">
        <v>599</v>
      </c>
      <c r="D205" t="s">
        <v>516</v>
      </c>
      <c r="E205" t="s">
        <v>517</v>
      </c>
      <c r="F205">
        <v>1</v>
      </c>
      <c r="I205" s="15"/>
      <c r="J205" s="17">
        <f t="shared" si="3"/>
        <v>0</v>
      </c>
    </row>
    <row r="206" spans="1:10" x14ac:dyDescent="0.35">
      <c r="A206" t="s">
        <v>473</v>
      </c>
      <c r="B206" t="s">
        <v>599</v>
      </c>
      <c r="D206" t="s">
        <v>516</v>
      </c>
      <c r="E206" t="s">
        <v>517</v>
      </c>
      <c r="F206">
        <v>1</v>
      </c>
      <c r="I206" s="15"/>
      <c r="J206" s="17">
        <f t="shared" si="3"/>
        <v>0</v>
      </c>
    </row>
    <row r="207" spans="1:10" x14ac:dyDescent="0.35">
      <c r="A207" t="s">
        <v>473</v>
      </c>
      <c r="B207" t="s">
        <v>599</v>
      </c>
      <c r="D207" t="s">
        <v>516</v>
      </c>
      <c r="E207" t="s">
        <v>517</v>
      </c>
      <c r="F207">
        <v>1</v>
      </c>
      <c r="I207" s="15"/>
      <c r="J207" s="17">
        <f t="shared" si="3"/>
        <v>0</v>
      </c>
    </row>
    <row r="208" spans="1:10" x14ac:dyDescent="0.35">
      <c r="A208" t="s">
        <v>473</v>
      </c>
      <c r="B208" t="s">
        <v>599</v>
      </c>
      <c r="D208" t="s">
        <v>516</v>
      </c>
      <c r="E208" t="s">
        <v>517</v>
      </c>
      <c r="F208">
        <v>1</v>
      </c>
      <c r="I208" s="15"/>
      <c r="J208" s="17">
        <f t="shared" si="3"/>
        <v>0</v>
      </c>
    </row>
    <row r="209" spans="1:10" x14ac:dyDescent="0.35">
      <c r="A209" t="s">
        <v>472</v>
      </c>
      <c r="B209" t="s">
        <v>599</v>
      </c>
      <c r="D209" t="s">
        <v>514</v>
      </c>
      <c r="E209" t="s">
        <v>515</v>
      </c>
      <c r="F209">
        <v>1</v>
      </c>
      <c r="I209" s="15"/>
      <c r="J209" s="17">
        <f t="shared" si="3"/>
        <v>0</v>
      </c>
    </row>
    <row r="210" spans="1:10" x14ac:dyDescent="0.35">
      <c r="A210" t="s">
        <v>471</v>
      </c>
      <c r="B210" t="s">
        <v>599</v>
      </c>
      <c r="D210" t="s">
        <v>512</v>
      </c>
      <c r="E210" t="s">
        <v>513</v>
      </c>
      <c r="F210">
        <v>1</v>
      </c>
      <c r="I210" s="15"/>
      <c r="J210" s="17">
        <f t="shared" si="3"/>
        <v>0</v>
      </c>
    </row>
    <row r="211" spans="1:10" x14ac:dyDescent="0.35">
      <c r="A211" t="s">
        <v>471</v>
      </c>
      <c r="B211" t="s">
        <v>599</v>
      </c>
      <c r="D211" t="s">
        <v>512</v>
      </c>
      <c r="E211" t="s">
        <v>513</v>
      </c>
      <c r="F211">
        <v>1</v>
      </c>
      <c r="I211" s="15"/>
      <c r="J211" s="17">
        <f t="shared" si="3"/>
        <v>0</v>
      </c>
    </row>
    <row r="212" spans="1:10" x14ac:dyDescent="0.35">
      <c r="A212" t="s">
        <v>471</v>
      </c>
      <c r="B212" t="s">
        <v>599</v>
      </c>
      <c r="D212" t="s">
        <v>512</v>
      </c>
      <c r="E212" t="s">
        <v>513</v>
      </c>
      <c r="F212">
        <v>1</v>
      </c>
      <c r="I212" s="15"/>
      <c r="J212" s="17">
        <f t="shared" si="3"/>
        <v>0</v>
      </c>
    </row>
    <row r="213" spans="1:10" x14ac:dyDescent="0.35">
      <c r="A213" t="s">
        <v>471</v>
      </c>
      <c r="B213" t="s">
        <v>599</v>
      </c>
      <c r="D213" t="s">
        <v>512</v>
      </c>
      <c r="E213" t="s">
        <v>513</v>
      </c>
      <c r="F213">
        <v>1</v>
      </c>
      <c r="I213" s="15"/>
      <c r="J213" s="17">
        <f t="shared" si="3"/>
        <v>0</v>
      </c>
    </row>
    <row r="214" spans="1:10" x14ac:dyDescent="0.35">
      <c r="A214" t="s">
        <v>475</v>
      </c>
      <c r="B214" t="s">
        <v>599</v>
      </c>
      <c r="D214" t="s">
        <v>281</v>
      </c>
      <c r="E214" t="s">
        <v>282</v>
      </c>
      <c r="F214">
        <v>1</v>
      </c>
      <c r="I214" s="15"/>
      <c r="J214" s="17">
        <f t="shared" si="3"/>
        <v>0</v>
      </c>
    </row>
    <row r="215" spans="1:10" x14ac:dyDescent="0.35">
      <c r="B215" t="s">
        <v>599</v>
      </c>
      <c r="D215" t="s">
        <v>530</v>
      </c>
      <c r="E215" t="s">
        <v>531</v>
      </c>
      <c r="F215">
        <v>1</v>
      </c>
      <c r="I215" s="15"/>
      <c r="J215" s="17">
        <f t="shared" si="3"/>
        <v>0</v>
      </c>
    </row>
    <row r="216" spans="1:10" x14ac:dyDescent="0.35">
      <c r="B216" t="s">
        <v>599</v>
      </c>
      <c r="D216" t="s">
        <v>532</v>
      </c>
      <c r="E216" t="s">
        <v>533</v>
      </c>
      <c r="F216">
        <v>1</v>
      </c>
      <c r="I216" s="15"/>
      <c r="J216" s="17">
        <f t="shared" si="3"/>
        <v>0</v>
      </c>
    </row>
    <row r="217" spans="1:10" x14ac:dyDescent="0.35">
      <c r="B217" t="s">
        <v>599</v>
      </c>
      <c r="D217" t="s">
        <v>534</v>
      </c>
      <c r="E217" t="s">
        <v>535</v>
      </c>
      <c r="F217">
        <v>1</v>
      </c>
      <c r="I217" s="15"/>
      <c r="J217" s="17">
        <f t="shared" si="3"/>
        <v>0</v>
      </c>
    </row>
    <row r="218" spans="1:10" x14ac:dyDescent="0.35">
      <c r="B218" t="s">
        <v>599</v>
      </c>
      <c r="D218" t="s">
        <v>534</v>
      </c>
      <c r="E218" t="s">
        <v>535</v>
      </c>
      <c r="F218">
        <v>1</v>
      </c>
      <c r="I218" s="15"/>
      <c r="J218" s="17">
        <f t="shared" si="3"/>
        <v>0</v>
      </c>
    </row>
    <row r="219" spans="1:10" x14ac:dyDescent="0.35">
      <c r="B219" t="s">
        <v>599</v>
      </c>
      <c r="D219" t="s">
        <v>534</v>
      </c>
      <c r="E219" t="s">
        <v>535</v>
      </c>
      <c r="F219">
        <v>1</v>
      </c>
      <c r="I219" s="15"/>
      <c r="J219" s="17">
        <f t="shared" si="3"/>
        <v>0</v>
      </c>
    </row>
    <row r="220" spans="1:10" x14ac:dyDescent="0.35">
      <c r="B220" t="s">
        <v>599</v>
      </c>
      <c r="D220" t="s">
        <v>536</v>
      </c>
      <c r="E220" t="s">
        <v>537</v>
      </c>
      <c r="F220">
        <v>1</v>
      </c>
      <c r="I220" s="15"/>
      <c r="J220" s="17">
        <f t="shared" si="3"/>
        <v>0</v>
      </c>
    </row>
    <row r="221" spans="1:10" x14ac:dyDescent="0.35">
      <c r="B221" t="s">
        <v>599</v>
      </c>
      <c r="D221" t="s">
        <v>538</v>
      </c>
      <c r="E221" t="s">
        <v>539</v>
      </c>
      <c r="F221">
        <v>1</v>
      </c>
      <c r="I221" s="15"/>
      <c r="J221" s="17">
        <f t="shared" si="3"/>
        <v>0</v>
      </c>
    </row>
    <row r="222" spans="1:10" x14ac:dyDescent="0.35">
      <c r="B222" t="s">
        <v>599</v>
      </c>
      <c r="D222" t="s">
        <v>540</v>
      </c>
      <c r="E222" t="s">
        <v>541</v>
      </c>
      <c r="F222">
        <v>1</v>
      </c>
      <c r="I222" s="15"/>
      <c r="J222" s="17">
        <f t="shared" si="3"/>
        <v>0</v>
      </c>
    </row>
    <row r="223" spans="1:10" x14ac:dyDescent="0.35">
      <c r="B223" t="s">
        <v>599</v>
      </c>
      <c r="D223" t="s">
        <v>542</v>
      </c>
      <c r="E223" t="s">
        <v>543</v>
      </c>
      <c r="F223">
        <v>1</v>
      </c>
      <c r="I223" s="15"/>
      <c r="J223" s="17">
        <f t="shared" si="3"/>
        <v>0</v>
      </c>
    </row>
    <row r="224" spans="1:10" x14ac:dyDescent="0.35">
      <c r="B224" t="s">
        <v>599</v>
      </c>
      <c r="D224" t="s">
        <v>542</v>
      </c>
      <c r="E224" t="s">
        <v>543</v>
      </c>
      <c r="F224">
        <v>1</v>
      </c>
      <c r="I224" s="15"/>
      <c r="J224" s="17">
        <f t="shared" si="3"/>
        <v>0</v>
      </c>
    </row>
    <row r="225" spans="1:10" x14ac:dyDescent="0.35">
      <c r="B225" t="s">
        <v>599</v>
      </c>
      <c r="D225" t="s">
        <v>542</v>
      </c>
      <c r="E225" t="s">
        <v>543</v>
      </c>
      <c r="F225">
        <v>1</v>
      </c>
      <c r="I225" s="15"/>
      <c r="J225" s="17">
        <f t="shared" si="3"/>
        <v>0</v>
      </c>
    </row>
    <row r="226" spans="1:10" x14ac:dyDescent="0.35">
      <c r="B226" t="s">
        <v>599</v>
      </c>
      <c r="D226" t="s">
        <v>542</v>
      </c>
      <c r="E226" t="s">
        <v>543</v>
      </c>
      <c r="F226">
        <v>1</v>
      </c>
      <c r="I226" s="15"/>
      <c r="J226" s="17">
        <f t="shared" si="3"/>
        <v>0</v>
      </c>
    </row>
    <row r="227" spans="1:10" x14ac:dyDescent="0.35">
      <c r="B227" t="s">
        <v>599</v>
      </c>
      <c r="D227" t="s">
        <v>542</v>
      </c>
      <c r="E227" t="s">
        <v>543</v>
      </c>
      <c r="F227">
        <v>1</v>
      </c>
      <c r="I227" s="15"/>
      <c r="J227" s="17">
        <f t="shared" si="3"/>
        <v>0</v>
      </c>
    </row>
    <row r="228" spans="1:10" x14ac:dyDescent="0.35">
      <c r="B228" t="s">
        <v>599</v>
      </c>
      <c r="D228" t="s">
        <v>542</v>
      </c>
      <c r="E228" t="s">
        <v>543</v>
      </c>
      <c r="F228">
        <v>1</v>
      </c>
      <c r="I228" s="15"/>
      <c r="J228" s="17">
        <f t="shared" si="3"/>
        <v>0</v>
      </c>
    </row>
    <row r="229" spans="1:10" x14ac:dyDescent="0.35">
      <c r="A229" t="s">
        <v>476</v>
      </c>
      <c r="B229" t="s">
        <v>599</v>
      </c>
      <c r="D229" t="s">
        <v>544</v>
      </c>
      <c r="E229" t="s">
        <v>545</v>
      </c>
      <c r="F229">
        <v>1</v>
      </c>
      <c r="I229" s="15"/>
      <c r="J229" s="17">
        <f t="shared" si="3"/>
        <v>0</v>
      </c>
    </row>
    <row r="230" spans="1:10" x14ac:dyDescent="0.35">
      <c r="A230" t="s">
        <v>476</v>
      </c>
      <c r="B230" t="s">
        <v>599</v>
      </c>
      <c r="D230" t="s">
        <v>544</v>
      </c>
      <c r="E230" t="s">
        <v>545</v>
      </c>
      <c r="F230">
        <v>1</v>
      </c>
      <c r="I230" s="15"/>
      <c r="J230" s="17">
        <f t="shared" si="3"/>
        <v>0</v>
      </c>
    </row>
    <row r="231" spans="1:10" x14ac:dyDescent="0.35">
      <c r="A231" t="s">
        <v>476</v>
      </c>
      <c r="B231" t="s">
        <v>599</v>
      </c>
      <c r="D231" t="s">
        <v>544</v>
      </c>
      <c r="E231" t="s">
        <v>545</v>
      </c>
      <c r="F231">
        <v>1</v>
      </c>
      <c r="I231" s="15"/>
      <c r="J231" s="17">
        <f t="shared" si="3"/>
        <v>0</v>
      </c>
    </row>
    <row r="232" spans="1:10" x14ac:dyDescent="0.35">
      <c r="A232" t="s">
        <v>476</v>
      </c>
      <c r="B232" t="s">
        <v>599</v>
      </c>
      <c r="D232" t="s">
        <v>544</v>
      </c>
      <c r="E232" t="s">
        <v>545</v>
      </c>
      <c r="F232">
        <v>1</v>
      </c>
      <c r="I232" s="15"/>
      <c r="J232" s="17">
        <f t="shared" si="3"/>
        <v>0</v>
      </c>
    </row>
    <row r="233" spans="1:10" x14ac:dyDescent="0.35">
      <c r="A233" t="s">
        <v>476</v>
      </c>
      <c r="B233" t="s">
        <v>599</v>
      </c>
      <c r="D233" t="s">
        <v>544</v>
      </c>
      <c r="E233" t="s">
        <v>545</v>
      </c>
      <c r="F233">
        <v>1</v>
      </c>
      <c r="I233" s="15"/>
      <c r="J233" s="17">
        <f t="shared" si="3"/>
        <v>0</v>
      </c>
    </row>
    <row r="234" spans="1:10" x14ac:dyDescent="0.35">
      <c r="A234" t="s">
        <v>477</v>
      </c>
      <c r="B234" t="s">
        <v>599</v>
      </c>
      <c r="D234" t="s">
        <v>546</v>
      </c>
      <c r="E234" t="s">
        <v>547</v>
      </c>
      <c r="F234">
        <v>1</v>
      </c>
      <c r="I234" s="15"/>
      <c r="J234" s="17">
        <f t="shared" si="3"/>
        <v>0</v>
      </c>
    </row>
    <row r="235" spans="1:10" x14ac:dyDescent="0.35">
      <c r="A235" t="s">
        <v>478</v>
      </c>
      <c r="B235" t="s">
        <v>599</v>
      </c>
      <c r="D235" t="s">
        <v>548</v>
      </c>
      <c r="E235" t="s">
        <v>549</v>
      </c>
      <c r="F235">
        <v>1</v>
      </c>
      <c r="I235" s="15"/>
      <c r="J235" s="17">
        <f t="shared" si="3"/>
        <v>0</v>
      </c>
    </row>
    <row r="236" spans="1:10" x14ac:dyDescent="0.35">
      <c r="A236" t="s">
        <v>479</v>
      </c>
      <c r="B236" t="s">
        <v>599</v>
      </c>
      <c r="D236" t="s">
        <v>550</v>
      </c>
      <c r="E236" t="s">
        <v>551</v>
      </c>
      <c r="F236">
        <v>1</v>
      </c>
      <c r="I236" s="15"/>
      <c r="J236" s="17">
        <f t="shared" si="3"/>
        <v>0</v>
      </c>
    </row>
    <row r="237" spans="1:10" x14ac:dyDescent="0.35">
      <c r="A237" t="s">
        <v>449</v>
      </c>
      <c r="B237" t="s">
        <v>599</v>
      </c>
      <c r="D237" t="s">
        <v>454</v>
      </c>
      <c r="E237" t="s">
        <v>455</v>
      </c>
      <c r="F237">
        <v>1</v>
      </c>
      <c r="I237" s="15"/>
      <c r="J237" s="17">
        <f t="shared" si="3"/>
        <v>0</v>
      </c>
    </row>
    <row r="238" spans="1:10" x14ac:dyDescent="0.35">
      <c r="B238" t="s">
        <v>599</v>
      </c>
      <c r="D238" t="s">
        <v>552</v>
      </c>
      <c r="E238" t="s">
        <v>553</v>
      </c>
      <c r="F238">
        <v>1</v>
      </c>
      <c r="I238" s="15"/>
      <c r="J238" s="17">
        <f t="shared" si="3"/>
        <v>0</v>
      </c>
    </row>
    <row r="239" spans="1:10" x14ac:dyDescent="0.35">
      <c r="B239" t="s">
        <v>599</v>
      </c>
      <c r="D239" t="s">
        <v>554</v>
      </c>
      <c r="E239" t="s">
        <v>543</v>
      </c>
      <c r="F239">
        <v>1</v>
      </c>
      <c r="I239" s="15"/>
      <c r="J239" s="17">
        <f t="shared" si="3"/>
        <v>0</v>
      </c>
    </row>
    <row r="240" spans="1:10" x14ac:dyDescent="0.35">
      <c r="B240" t="s">
        <v>599</v>
      </c>
      <c r="D240" t="s">
        <v>532</v>
      </c>
      <c r="E240" t="s">
        <v>533</v>
      </c>
      <c r="F240">
        <v>1</v>
      </c>
      <c r="I240" s="15"/>
      <c r="J240" s="17">
        <f t="shared" si="3"/>
        <v>0</v>
      </c>
    </row>
    <row r="241" spans="2:10" x14ac:dyDescent="0.35">
      <c r="B241" t="s">
        <v>599</v>
      </c>
      <c r="D241" t="s">
        <v>555</v>
      </c>
      <c r="E241" t="s">
        <v>556</v>
      </c>
      <c r="F241">
        <v>2</v>
      </c>
      <c r="I241" s="15"/>
      <c r="J241" s="17">
        <f t="shared" si="3"/>
        <v>0</v>
      </c>
    </row>
    <row r="242" spans="2:10" x14ac:dyDescent="0.35">
      <c r="B242" t="s">
        <v>599</v>
      </c>
      <c r="D242" t="s">
        <v>554</v>
      </c>
      <c r="E242" t="s">
        <v>543</v>
      </c>
      <c r="F242">
        <v>1</v>
      </c>
      <c r="I242" s="15"/>
      <c r="J242" s="17">
        <f t="shared" si="3"/>
        <v>0</v>
      </c>
    </row>
    <row r="243" spans="2:10" x14ac:dyDescent="0.35">
      <c r="B243" t="s">
        <v>599</v>
      </c>
      <c r="D243" t="s">
        <v>554</v>
      </c>
      <c r="E243" t="s">
        <v>543</v>
      </c>
      <c r="F243">
        <v>1</v>
      </c>
      <c r="I243" s="15"/>
      <c r="J243" s="17">
        <f t="shared" si="3"/>
        <v>0</v>
      </c>
    </row>
    <row r="244" spans="2:10" x14ac:dyDescent="0.35">
      <c r="B244" t="s">
        <v>599</v>
      </c>
      <c r="D244" t="s">
        <v>557</v>
      </c>
      <c r="E244" t="s">
        <v>535</v>
      </c>
      <c r="F244">
        <v>1</v>
      </c>
      <c r="I244" s="15"/>
      <c r="J244" s="17">
        <f t="shared" si="3"/>
        <v>0</v>
      </c>
    </row>
    <row r="245" spans="2:10" x14ac:dyDescent="0.35">
      <c r="B245" t="s">
        <v>599</v>
      </c>
      <c r="D245" t="s">
        <v>557</v>
      </c>
      <c r="E245" t="s">
        <v>535</v>
      </c>
      <c r="F245">
        <v>1</v>
      </c>
      <c r="I245" s="15"/>
      <c r="J245" s="17">
        <f t="shared" si="3"/>
        <v>0</v>
      </c>
    </row>
    <row r="246" spans="2:10" x14ac:dyDescent="0.35">
      <c r="B246" t="s">
        <v>599</v>
      </c>
      <c r="D246" t="s">
        <v>557</v>
      </c>
      <c r="E246" t="s">
        <v>535</v>
      </c>
      <c r="F246">
        <v>1</v>
      </c>
      <c r="I246" s="15"/>
      <c r="J246" s="17">
        <f t="shared" si="3"/>
        <v>0</v>
      </c>
    </row>
    <row r="247" spans="2:10" x14ac:dyDescent="0.35">
      <c r="B247" t="s">
        <v>599</v>
      </c>
      <c r="D247" t="s">
        <v>558</v>
      </c>
      <c r="E247" t="s">
        <v>559</v>
      </c>
      <c r="F247">
        <v>1</v>
      </c>
      <c r="I247" s="15"/>
      <c r="J247" s="17">
        <f t="shared" si="3"/>
        <v>0</v>
      </c>
    </row>
    <row r="248" spans="2:10" x14ac:dyDescent="0.35">
      <c r="B248" t="s">
        <v>599</v>
      </c>
      <c r="D248" t="s">
        <v>554</v>
      </c>
      <c r="E248" t="s">
        <v>543</v>
      </c>
      <c r="F248">
        <v>1</v>
      </c>
      <c r="I248" s="15"/>
      <c r="J248" s="17">
        <f t="shared" si="3"/>
        <v>0</v>
      </c>
    </row>
    <row r="249" spans="2:10" x14ac:dyDescent="0.35">
      <c r="B249" t="s">
        <v>599</v>
      </c>
      <c r="D249" t="s">
        <v>554</v>
      </c>
      <c r="E249" t="s">
        <v>543</v>
      </c>
      <c r="F249">
        <v>1</v>
      </c>
      <c r="I249" s="15"/>
      <c r="J249" s="17">
        <f t="shared" si="3"/>
        <v>0</v>
      </c>
    </row>
    <row r="250" spans="2:10" x14ac:dyDescent="0.35">
      <c r="B250" t="s">
        <v>599</v>
      </c>
      <c r="D250" t="s">
        <v>554</v>
      </c>
      <c r="E250" t="s">
        <v>543</v>
      </c>
      <c r="F250">
        <v>1</v>
      </c>
      <c r="I250" s="15"/>
      <c r="J250" s="17">
        <f t="shared" si="3"/>
        <v>0</v>
      </c>
    </row>
    <row r="251" spans="2:10" x14ac:dyDescent="0.35">
      <c r="B251" t="s">
        <v>599</v>
      </c>
      <c r="D251" t="s">
        <v>554</v>
      </c>
      <c r="E251" t="s">
        <v>543</v>
      </c>
      <c r="F251">
        <v>1</v>
      </c>
      <c r="I251" s="15"/>
      <c r="J251" s="17">
        <f t="shared" si="3"/>
        <v>0</v>
      </c>
    </row>
    <row r="252" spans="2:10" x14ac:dyDescent="0.35">
      <c r="B252" t="s">
        <v>599</v>
      </c>
      <c r="D252" t="s">
        <v>557</v>
      </c>
      <c r="E252" t="s">
        <v>535</v>
      </c>
      <c r="F252">
        <v>1</v>
      </c>
      <c r="I252" s="15"/>
      <c r="J252" s="17">
        <f t="shared" si="3"/>
        <v>0</v>
      </c>
    </row>
    <row r="253" spans="2:10" x14ac:dyDescent="0.35">
      <c r="B253" t="s">
        <v>599</v>
      </c>
      <c r="D253" t="s">
        <v>560</v>
      </c>
      <c r="E253" t="s">
        <v>561</v>
      </c>
      <c r="F253">
        <v>1</v>
      </c>
      <c r="I253" s="15"/>
      <c r="J253" s="17">
        <f t="shared" si="3"/>
        <v>0</v>
      </c>
    </row>
    <row r="254" spans="2:10" x14ac:dyDescent="0.35">
      <c r="B254" t="s">
        <v>599</v>
      </c>
      <c r="D254" t="s">
        <v>562</v>
      </c>
      <c r="E254" t="s">
        <v>563</v>
      </c>
      <c r="F254">
        <v>1</v>
      </c>
      <c r="I254" s="15"/>
      <c r="J254" s="17">
        <f t="shared" si="3"/>
        <v>0</v>
      </c>
    </row>
    <row r="255" spans="2:10" x14ac:dyDescent="0.35">
      <c r="B255" t="s">
        <v>599</v>
      </c>
      <c r="D255" t="s">
        <v>554</v>
      </c>
      <c r="E255" t="s">
        <v>543</v>
      </c>
      <c r="F255">
        <v>1</v>
      </c>
      <c r="I255" s="15"/>
      <c r="J255" s="17">
        <f t="shared" si="3"/>
        <v>0</v>
      </c>
    </row>
    <row r="256" spans="2:10" x14ac:dyDescent="0.35">
      <c r="B256" t="s">
        <v>599</v>
      </c>
      <c r="D256" t="s">
        <v>554</v>
      </c>
      <c r="E256" t="s">
        <v>543</v>
      </c>
      <c r="F256">
        <v>1</v>
      </c>
      <c r="I256" s="15"/>
      <c r="J256" s="17">
        <f t="shared" si="3"/>
        <v>0</v>
      </c>
    </row>
    <row r="257" spans="1:10" x14ac:dyDescent="0.35">
      <c r="B257" t="s">
        <v>599</v>
      </c>
      <c r="D257" t="s">
        <v>554</v>
      </c>
      <c r="E257" t="s">
        <v>543</v>
      </c>
      <c r="F257">
        <v>1</v>
      </c>
      <c r="I257" s="15"/>
      <c r="J257" s="17">
        <f t="shared" si="3"/>
        <v>0</v>
      </c>
    </row>
    <row r="258" spans="1:10" x14ac:dyDescent="0.35">
      <c r="B258" t="s">
        <v>599</v>
      </c>
      <c r="D258" t="s">
        <v>557</v>
      </c>
      <c r="E258" t="s">
        <v>535</v>
      </c>
      <c r="F258">
        <v>1</v>
      </c>
      <c r="I258" s="15"/>
      <c r="J258" s="17">
        <f t="shared" si="3"/>
        <v>0</v>
      </c>
    </row>
    <row r="259" spans="1:10" x14ac:dyDescent="0.35">
      <c r="B259" t="s">
        <v>599</v>
      </c>
      <c r="D259" t="s">
        <v>560</v>
      </c>
      <c r="E259" t="s">
        <v>561</v>
      </c>
      <c r="F259">
        <v>1</v>
      </c>
      <c r="I259" s="15"/>
      <c r="J259" s="17">
        <f t="shared" ref="J259:J322" si="4">I259*F259</f>
        <v>0</v>
      </c>
    </row>
    <row r="260" spans="1:10" x14ac:dyDescent="0.35">
      <c r="B260" t="s">
        <v>599</v>
      </c>
      <c r="D260" t="s">
        <v>554</v>
      </c>
      <c r="E260" t="s">
        <v>543</v>
      </c>
      <c r="F260">
        <v>1</v>
      </c>
      <c r="I260" s="15"/>
      <c r="J260" s="17">
        <f t="shared" si="4"/>
        <v>0</v>
      </c>
    </row>
    <row r="261" spans="1:10" x14ac:dyDescent="0.35">
      <c r="B261" t="s">
        <v>599</v>
      </c>
      <c r="D261" t="s">
        <v>562</v>
      </c>
      <c r="E261" t="s">
        <v>563</v>
      </c>
      <c r="F261">
        <v>1</v>
      </c>
      <c r="I261" s="15"/>
      <c r="J261" s="17">
        <f t="shared" si="4"/>
        <v>0</v>
      </c>
    </row>
    <row r="262" spans="1:10" x14ac:dyDescent="0.35">
      <c r="B262" t="s">
        <v>599</v>
      </c>
      <c r="D262" t="s">
        <v>554</v>
      </c>
      <c r="E262" t="s">
        <v>543</v>
      </c>
      <c r="F262">
        <v>1</v>
      </c>
      <c r="I262" s="15"/>
      <c r="J262" s="17">
        <f t="shared" si="4"/>
        <v>0</v>
      </c>
    </row>
    <row r="263" spans="1:10" x14ac:dyDescent="0.35">
      <c r="B263" t="s">
        <v>599</v>
      </c>
      <c r="D263" t="s">
        <v>554</v>
      </c>
      <c r="E263" t="s">
        <v>543</v>
      </c>
      <c r="F263">
        <v>1</v>
      </c>
      <c r="I263" s="15"/>
      <c r="J263" s="17">
        <f t="shared" si="4"/>
        <v>0</v>
      </c>
    </row>
    <row r="264" spans="1:10" x14ac:dyDescent="0.35">
      <c r="B264" t="s">
        <v>599</v>
      </c>
      <c r="D264" t="s">
        <v>554</v>
      </c>
      <c r="E264" t="s">
        <v>543</v>
      </c>
      <c r="F264">
        <v>1</v>
      </c>
      <c r="I264" s="15"/>
      <c r="J264" s="17">
        <f t="shared" si="4"/>
        <v>0</v>
      </c>
    </row>
    <row r="265" spans="1:10" x14ac:dyDescent="0.35">
      <c r="B265" t="s">
        <v>599</v>
      </c>
      <c r="D265" t="s">
        <v>557</v>
      </c>
      <c r="E265" t="s">
        <v>535</v>
      </c>
      <c r="F265">
        <v>1</v>
      </c>
      <c r="I265" s="15"/>
      <c r="J265" s="17">
        <f t="shared" si="4"/>
        <v>0</v>
      </c>
    </row>
    <row r="266" spans="1:10" x14ac:dyDescent="0.35">
      <c r="B266" t="s">
        <v>599</v>
      </c>
      <c r="D266" t="s">
        <v>564</v>
      </c>
      <c r="E266" t="s">
        <v>565</v>
      </c>
      <c r="F266">
        <v>1</v>
      </c>
      <c r="I266" s="15"/>
      <c r="J266" s="17">
        <f t="shared" si="4"/>
        <v>0</v>
      </c>
    </row>
    <row r="267" spans="1:10" x14ac:dyDescent="0.35">
      <c r="A267" t="s">
        <v>449</v>
      </c>
      <c r="B267" t="s">
        <v>599</v>
      </c>
      <c r="D267" t="s">
        <v>454</v>
      </c>
      <c r="E267" t="s">
        <v>455</v>
      </c>
      <c r="F267">
        <v>1</v>
      </c>
      <c r="I267" s="15"/>
      <c r="J267" s="17">
        <f t="shared" si="4"/>
        <v>0</v>
      </c>
    </row>
    <row r="268" spans="1:10" x14ac:dyDescent="0.35">
      <c r="B268" t="s">
        <v>599</v>
      </c>
      <c r="D268" t="s">
        <v>560</v>
      </c>
      <c r="E268" t="s">
        <v>561</v>
      </c>
      <c r="F268">
        <v>1</v>
      </c>
      <c r="I268" s="15"/>
      <c r="J268" s="17">
        <f t="shared" si="4"/>
        <v>0</v>
      </c>
    </row>
    <row r="269" spans="1:10" x14ac:dyDescent="0.35">
      <c r="B269" t="s">
        <v>599</v>
      </c>
      <c r="D269" t="s">
        <v>558</v>
      </c>
      <c r="E269" t="s">
        <v>559</v>
      </c>
      <c r="F269">
        <v>1</v>
      </c>
      <c r="I269" s="15"/>
      <c r="J269" s="17">
        <f t="shared" si="4"/>
        <v>0</v>
      </c>
    </row>
    <row r="270" spans="1:10" x14ac:dyDescent="0.35">
      <c r="B270" t="s">
        <v>599</v>
      </c>
      <c r="D270" t="s">
        <v>562</v>
      </c>
      <c r="E270" t="s">
        <v>563</v>
      </c>
      <c r="F270">
        <v>1</v>
      </c>
      <c r="I270" s="15"/>
      <c r="J270" s="17">
        <f t="shared" si="4"/>
        <v>0</v>
      </c>
    </row>
    <row r="271" spans="1:10" x14ac:dyDescent="0.35">
      <c r="B271" t="s">
        <v>599</v>
      </c>
      <c r="D271" t="s">
        <v>554</v>
      </c>
      <c r="E271" t="s">
        <v>543</v>
      </c>
      <c r="F271">
        <v>1</v>
      </c>
      <c r="I271" s="15"/>
      <c r="J271" s="17">
        <f t="shared" si="4"/>
        <v>0</v>
      </c>
    </row>
    <row r="272" spans="1:10" x14ac:dyDescent="0.35">
      <c r="B272" t="s">
        <v>599</v>
      </c>
      <c r="D272" t="s">
        <v>557</v>
      </c>
      <c r="E272" t="s">
        <v>535</v>
      </c>
      <c r="F272">
        <v>1</v>
      </c>
      <c r="I272" s="15"/>
      <c r="J272" s="17">
        <f t="shared" si="4"/>
        <v>0</v>
      </c>
    </row>
    <row r="273" spans="2:10" x14ac:dyDescent="0.35">
      <c r="B273" t="s">
        <v>599</v>
      </c>
      <c r="D273" t="s">
        <v>554</v>
      </c>
      <c r="E273" t="s">
        <v>543</v>
      </c>
      <c r="F273">
        <v>1</v>
      </c>
      <c r="I273" s="15"/>
      <c r="J273" s="17">
        <f t="shared" si="4"/>
        <v>0</v>
      </c>
    </row>
    <row r="274" spans="2:10" x14ac:dyDescent="0.35">
      <c r="B274" t="s">
        <v>599</v>
      </c>
      <c r="D274" t="s">
        <v>554</v>
      </c>
      <c r="E274" t="s">
        <v>543</v>
      </c>
      <c r="F274">
        <v>1</v>
      </c>
      <c r="I274" s="15"/>
      <c r="J274" s="17">
        <f t="shared" si="4"/>
        <v>0</v>
      </c>
    </row>
    <row r="275" spans="2:10" x14ac:dyDescent="0.35">
      <c r="B275" t="s">
        <v>599</v>
      </c>
      <c r="D275" t="s">
        <v>554</v>
      </c>
      <c r="E275" t="s">
        <v>543</v>
      </c>
      <c r="F275">
        <v>1</v>
      </c>
      <c r="I275" s="15"/>
      <c r="J275" s="17">
        <f t="shared" si="4"/>
        <v>0</v>
      </c>
    </row>
    <row r="276" spans="2:10" x14ac:dyDescent="0.35">
      <c r="B276" t="s">
        <v>599</v>
      </c>
      <c r="D276" t="s">
        <v>557</v>
      </c>
      <c r="E276" t="s">
        <v>535</v>
      </c>
      <c r="F276">
        <v>1</v>
      </c>
      <c r="I276" s="15"/>
      <c r="J276" s="17">
        <f t="shared" si="4"/>
        <v>0</v>
      </c>
    </row>
    <row r="277" spans="2:10" x14ac:dyDescent="0.35">
      <c r="B277" t="s">
        <v>599</v>
      </c>
      <c r="D277" t="s">
        <v>560</v>
      </c>
      <c r="E277" t="s">
        <v>561</v>
      </c>
      <c r="F277">
        <v>1</v>
      </c>
      <c r="I277" s="15"/>
      <c r="J277" s="17">
        <f t="shared" si="4"/>
        <v>0</v>
      </c>
    </row>
    <row r="278" spans="2:10" x14ac:dyDescent="0.35">
      <c r="B278" t="s">
        <v>599</v>
      </c>
      <c r="D278" t="s">
        <v>557</v>
      </c>
      <c r="E278" t="s">
        <v>535</v>
      </c>
      <c r="F278">
        <v>1</v>
      </c>
      <c r="I278" s="15"/>
      <c r="J278" s="17">
        <f t="shared" si="4"/>
        <v>0</v>
      </c>
    </row>
    <row r="279" spans="2:10" x14ac:dyDescent="0.35">
      <c r="B279" t="s">
        <v>599</v>
      </c>
      <c r="D279" t="s">
        <v>554</v>
      </c>
      <c r="E279" t="s">
        <v>543</v>
      </c>
      <c r="F279">
        <v>1</v>
      </c>
      <c r="I279" s="15"/>
      <c r="J279" s="17">
        <f t="shared" si="4"/>
        <v>0</v>
      </c>
    </row>
    <row r="280" spans="2:10" x14ac:dyDescent="0.35">
      <c r="B280" t="s">
        <v>599</v>
      </c>
      <c r="D280" t="s">
        <v>554</v>
      </c>
      <c r="E280" t="s">
        <v>543</v>
      </c>
      <c r="F280">
        <v>1</v>
      </c>
      <c r="I280" s="15"/>
      <c r="J280" s="17">
        <f t="shared" si="4"/>
        <v>0</v>
      </c>
    </row>
    <row r="281" spans="2:10" x14ac:dyDescent="0.35">
      <c r="B281" t="s">
        <v>599</v>
      </c>
      <c r="D281" t="s">
        <v>562</v>
      </c>
      <c r="E281" t="s">
        <v>563</v>
      </c>
      <c r="F281">
        <v>1</v>
      </c>
      <c r="I281" s="15"/>
      <c r="J281" s="17">
        <f t="shared" si="4"/>
        <v>0</v>
      </c>
    </row>
    <row r="282" spans="2:10" x14ac:dyDescent="0.35">
      <c r="B282" t="s">
        <v>599</v>
      </c>
      <c r="D282" t="s">
        <v>554</v>
      </c>
      <c r="E282" t="s">
        <v>543</v>
      </c>
      <c r="F282">
        <v>1</v>
      </c>
      <c r="I282" s="15"/>
      <c r="J282" s="17">
        <f t="shared" si="4"/>
        <v>0</v>
      </c>
    </row>
    <row r="283" spans="2:10" x14ac:dyDescent="0.35">
      <c r="B283" t="s">
        <v>599</v>
      </c>
      <c r="D283" t="s">
        <v>557</v>
      </c>
      <c r="E283" t="s">
        <v>535</v>
      </c>
      <c r="F283">
        <v>1</v>
      </c>
      <c r="I283" s="15"/>
      <c r="J283" s="17">
        <f t="shared" si="4"/>
        <v>0</v>
      </c>
    </row>
    <row r="284" spans="2:10" x14ac:dyDescent="0.35">
      <c r="B284" t="s">
        <v>599</v>
      </c>
      <c r="D284" t="s">
        <v>557</v>
      </c>
      <c r="E284" t="s">
        <v>535</v>
      </c>
      <c r="F284">
        <v>1</v>
      </c>
      <c r="I284" s="15"/>
      <c r="J284" s="17">
        <f t="shared" si="4"/>
        <v>0</v>
      </c>
    </row>
    <row r="285" spans="2:10" x14ac:dyDescent="0.35">
      <c r="B285" t="s">
        <v>599</v>
      </c>
      <c r="D285" t="s">
        <v>554</v>
      </c>
      <c r="E285" t="s">
        <v>543</v>
      </c>
      <c r="F285">
        <v>1</v>
      </c>
      <c r="I285" s="15"/>
      <c r="J285" s="17">
        <f t="shared" si="4"/>
        <v>0</v>
      </c>
    </row>
    <row r="286" spans="2:10" x14ac:dyDescent="0.35">
      <c r="B286" t="s">
        <v>599</v>
      </c>
      <c r="D286" t="s">
        <v>554</v>
      </c>
      <c r="E286" t="s">
        <v>543</v>
      </c>
      <c r="F286">
        <v>1</v>
      </c>
      <c r="I286" s="15"/>
      <c r="J286" s="17">
        <f t="shared" si="4"/>
        <v>0</v>
      </c>
    </row>
    <row r="287" spans="2:10" x14ac:dyDescent="0.35">
      <c r="B287" t="s">
        <v>599</v>
      </c>
      <c r="D287" t="s">
        <v>564</v>
      </c>
      <c r="E287" t="s">
        <v>565</v>
      </c>
      <c r="F287">
        <v>1</v>
      </c>
      <c r="I287" s="15"/>
      <c r="J287" s="17">
        <f t="shared" si="4"/>
        <v>0</v>
      </c>
    </row>
    <row r="288" spans="2:10" x14ac:dyDescent="0.35">
      <c r="B288" t="s">
        <v>599</v>
      </c>
      <c r="D288" t="s">
        <v>554</v>
      </c>
      <c r="E288" t="s">
        <v>543</v>
      </c>
      <c r="F288">
        <v>1</v>
      </c>
      <c r="I288" s="15"/>
      <c r="J288" s="17">
        <f t="shared" si="4"/>
        <v>0</v>
      </c>
    </row>
    <row r="289" spans="1:10" x14ac:dyDescent="0.35">
      <c r="B289" t="s">
        <v>599</v>
      </c>
      <c r="D289" t="s">
        <v>554</v>
      </c>
      <c r="E289" t="s">
        <v>543</v>
      </c>
      <c r="F289">
        <v>1</v>
      </c>
      <c r="I289" s="15"/>
      <c r="J289" s="17">
        <f t="shared" si="4"/>
        <v>0</v>
      </c>
    </row>
    <row r="290" spans="1:10" x14ac:dyDescent="0.35">
      <c r="B290" t="s">
        <v>599</v>
      </c>
      <c r="D290" t="s">
        <v>552</v>
      </c>
      <c r="E290" t="s">
        <v>553</v>
      </c>
      <c r="F290">
        <v>1</v>
      </c>
      <c r="I290" s="15"/>
      <c r="J290" s="17">
        <f t="shared" si="4"/>
        <v>0</v>
      </c>
    </row>
    <row r="291" spans="1:10" x14ac:dyDescent="0.35">
      <c r="B291" t="s">
        <v>599</v>
      </c>
      <c r="D291" t="s">
        <v>557</v>
      </c>
      <c r="E291" t="s">
        <v>535</v>
      </c>
      <c r="F291">
        <v>1</v>
      </c>
      <c r="I291" s="15"/>
      <c r="J291" s="17">
        <f t="shared" si="4"/>
        <v>0</v>
      </c>
    </row>
    <row r="292" spans="1:10" x14ac:dyDescent="0.35">
      <c r="B292" t="s">
        <v>599</v>
      </c>
      <c r="D292" t="s">
        <v>554</v>
      </c>
      <c r="E292" t="s">
        <v>543</v>
      </c>
      <c r="F292">
        <v>1</v>
      </c>
      <c r="I292" s="15"/>
      <c r="J292" s="17">
        <f t="shared" si="4"/>
        <v>0</v>
      </c>
    </row>
    <row r="293" spans="1:10" x14ac:dyDescent="0.35">
      <c r="B293" t="s">
        <v>599</v>
      </c>
      <c r="D293" t="s">
        <v>554</v>
      </c>
      <c r="E293" t="s">
        <v>543</v>
      </c>
      <c r="F293">
        <v>1</v>
      </c>
      <c r="I293" s="15"/>
      <c r="J293" s="17">
        <f t="shared" si="4"/>
        <v>0</v>
      </c>
    </row>
    <row r="294" spans="1:10" x14ac:dyDescent="0.35">
      <c r="B294" t="s">
        <v>599</v>
      </c>
      <c r="D294" t="s">
        <v>554</v>
      </c>
      <c r="E294" t="s">
        <v>543</v>
      </c>
      <c r="F294">
        <v>1</v>
      </c>
      <c r="I294" s="15"/>
      <c r="J294" s="17">
        <f t="shared" si="4"/>
        <v>0</v>
      </c>
    </row>
    <row r="295" spans="1:10" x14ac:dyDescent="0.35">
      <c r="B295" t="s">
        <v>599</v>
      </c>
      <c r="D295" t="s">
        <v>532</v>
      </c>
      <c r="E295" t="s">
        <v>533</v>
      </c>
      <c r="F295">
        <v>1</v>
      </c>
      <c r="I295" s="15"/>
      <c r="J295" s="17">
        <f t="shared" si="4"/>
        <v>0</v>
      </c>
    </row>
    <row r="296" spans="1:10" x14ac:dyDescent="0.35">
      <c r="B296" t="s">
        <v>599</v>
      </c>
      <c r="D296" t="s">
        <v>555</v>
      </c>
      <c r="E296" t="s">
        <v>556</v>
      </c>
      <c r="F296">
        <v>2</v>
      </c>
      <c r="I296" s="15"/>
      <c r="J296" s="17">
        <f t="shared" si="4"/>
        <v>0</v>
      </c>
    </row>
    <row r="297" spans="1:10" x14ac:dyDescent="0.35">
      <c r="A297" t="s">
        <v>480</v>
      </c>
      <c r="B297" t="s">
        <v>599</v>
      </c>
      <c r="D297" t="s">
        <v>566</v>
      </c>
      <c r="E297" t="s">
        <v>567</v>
      </c>
      <c r="F297">
        <v>1</v>
      </c>
      <c r="I297" s="15"/>
      <c r="J297" s="17">
        <f t="shared" si="4"/>
        <v>0</v>
      </c>
    </row>
    <row r="298" spans="1:10" x14ac:dyDescent="0.35">
      <c r="A298" t="s">
        <v>481</v>
      </c>
      <c r="B298" t="s">
        <v>599</v>
      </c>
      <c r="D298" t="s">
        <v>568</v>
      </c>
      <c r="E298" t="s">
        <v>569</v>
      </c>
      <c r="F298">
        <v>1</v>
      </c>
      <c r="I298" s="15"/>
      <c r="J298" s="17">
        <f t="shared" si="4"/>
        <v>0</v>
      </c>
    </row>
    <row r="299" spans="1:10" x14ac:dyDescent="0.35">
      <c r="A299" t="s">
        <v>482</v>
      </c>
      <c r="B299" t="s">
        <v>599</v>
      </c>
      <c r="D299" t="s">
        <v>570</v>
      </c>
      <c r="E299" t="s">
        <v>571</v>
      </c>
      <c r="F299">
        <v>150</v>
      </c>
      <c r="I299" s="15"/>
      <c r="J299" s="17">
        <f t="shared" si="4"/>
        <v>0</v>
      </c>
    </row>
    <row r="300" spans="1:10" x14ac:dyDescent="0.35">
      <c r="A300" t="s">
        <v>483</v>
      </c>
      <c r="B300" t="s">
        <v>599</v>
      </c>
      <c r="D300" t="s">
        <v>572</v>
      </c>
      <c r="E300" t="s">
        <v>573</v>
      </c>
      <c r="F300">
        <v>1</v>
      </c>
      <c r="I300" s="15"/>
      <c r="J300" s="17">
        <f t="shared" si="4"/>
        <v>0</v>
      </c>
    </row>
    <row r="301" spans="1:10" x14ac:dyDescent="0.35">
      <c r="A301" t="s">
        <v>451</v>
      </c>
      <c r="B301" t="s">
        <v>599</v>
      </c>
      <c r="D301" t="s">
        <v>458</v>
      </c>
      <c r="E301" t="s">
        <v>459</v>
      </c>
      <c r="F301">
        <v>1</v>
      </c>
      <c r="I301" s="15"/>
      <c r="J301" s="17">
        <f t="shared" si="4"/>
        <v>0</v>
      </c>
    </row>
    <row r="302" spans="1:10" x14ac:dyDescent="0.35">
      <c r="B302" t="s">
        <v>599</v>
      </c>
      <c r="D302" t="s">
        <v>560</v>
      </c>
      <c r="E302" t="s">
        <v>561</v>
      </c>
      <c r="F302">
        <v>1</v>
      </c>
      <c r="I302" s="15"/>
      <c r="J302" s="17">
        <f t="shared" si="4"/>
        <v>0</v>
      </c>
    </row>
    <row r="303" spans="1:10" x14ac:dyDescent="0.35">
      <c r="B303" t="s">
        <v>599</v>
      </c>
      <c r="D303" t="s">
        <v>574</v>
      </c>
      <c r="E303" t="s">
        <v>575</v>
      </c>
      <c r="F303">
        <v>1</v>
      </c>
      <c r="I303" s="15"/>
      <c r="J303" s="17">
        <f t="shared" si="4"/>
        <v>0</v>
      </c>
    </row>
    <row r="304" spans="1:10" x14ac:dyDescent="0.35">
      <c r="B304" t="s">
        <v>599</v>
      </c>
      <c r="D304" t="s">
        <v>574</v>
      </c>
      <c r="E304" t="s">
        <v>575</v>
      </c>
      <c r="F304">
        <v>1</v>
      </c>
      <c r="I304" s="15"/>
      <c r="J304" s="17">
        <f t="shared" si="4"/>
        <v>0</v>
      </c>
    </row>
    <row r="305" spans="2:10" x14ac:dyDescent="0.35">
      <c r="B305" t="s">
        <v>599</v>
      </c>
      <c r="D305" t="s">
        <v>552</v>
      </c>
      <c r="E305" t="s">
        <v>553</v>
      </c>
      <c r="F305">
        <v>1</v>
      </c>
      <c r="I305" s="15"/>
      <c r="J305" s="17">
        <f t="shared" si="4"/>
        <v>0</v>
      </c>
    </row>
    <row r="306" spans="2:10" x14ac:dyDescent="0.35">
      <c r="B306" t="s">
        <v>599</v>
      </c>
      <c r="D306" t="s">
        <v>554</v>
      </c>
      <c r="E306" t="s">
        <v>543</v>
      </c>
      <c r="F306">
        <v>1</v>
      </c>
      <c r="I306" s="15"/>
      <c r="J306" s="17">
        <f t="shared" si="4"/>
        <v>0</v>
      </c>
    </row>
    <row r="307" spans="2:10" x14ac:dyDescent="0.35">
      <c r="B307" t="s">
        <v>599</v>
      </c>
      <c r="D307" t="s">
        <v>554</v>
      </c>
      <c r="E307" t="s">
        <v>543</v>
      </c>
      <c r="F307">
        <v>1</v>
      </c>
      <c r="I307" s="15"/>
      <c r="J307" s="17">
        <f t="shared" si="4"/>
        <v>0</v>
      </c>
    </row>
    <row r="308" spans="2:10" x14ac:dyDescent="0.35">
      <c r="B308" t="s">
        <v>599</v>
      </c>
      <c r="D308" t="s">
        <v>554</v>
      </c>
      <c r="E308" t="s">
        <v>543</v>
      </c>
      <c r="F308">
        <v>1</v>
      </c>
      <c r="I308" s="15"/>
      <c r="J308" s="17">
        <f t="shared" si="4"/>
        <v>0</v>
      </c>
    </row>
    <row r="309" spans="2:10" x14ac:dyDescent="0.35">
      <c r="B309" t="s">
        <v>599</v>
      </c>
      <c r="D309" t="s">
        <v>562</v>
      </c>
      <c r="E309" t="s">
        <v>563</v>
      </c>
      <c r="F309">
        <v>1</v>
      </c>
      <c r="I309" s="15"/>
      <c r="J309" s="17">
        <f t="shared" si="4"/>
        <v>0</v>
      </c>
    </row>
    <row r="310" spans="2:10" x14ac:dyDescent="0.35">
      <c r="B310" t="s">
        <v>599</v>
      </c>
      <c r="D310" t="s">
        <v>554</v>
      </c>
      <c r="E310" t="s">
        <v>543</v>
      </c>
      <c r="F310">
        <v>1</v>
      </c>
      <c r="I310" s="15"/>
      <c r="J310" s="17">
        <f t="shared" si="4"/>
        <v>0</v>
      </c>
    </row>
    <row r="311" spans="2:10" x14ac:dyDescent="0.35">
      <c r="B311" t="s">
        <v>599</v>
      </c>
      <c r="D311" t="s">
        <v>552</v>
      </c>
      <c r="E311" t="s">
        <v>553</v>
      </c>
      <c r="F311">
        <v>1</v>
      </c>
      <c r="I311" s="15"/>
      <c r="J311" s="17">
        <f t="shared" si="4"/>
        <v>0</v>
      </c>
    </row>
    <row r="312" spans="2:10" x14ac:dyDescent="0.35">
      <c r="B312" t="s">
        <v>599</v>
      </c>
      <c r="D312" t="s">
        <v>554</v>
      </c>
      <c r="E312" t="s">
        <v>543</v>
      </c>
      <c r="F312">
        <v>1</v>
      </c>
      <c r="I312" s="15"/>
      <c r="J312" s="17">
        <f t="shared" si="4"/>
        <v>0</v>
      </c>
    </row>
    <row r="313" spans="2:10" x14ac:dyDescent="0.35">
      <c r="B313" t="s">
        <v>599</v>
      </c>
      <c r="D313" t="s">
        <v>564</v>
      </c>
      <c r="E313" t="s">
        <v>565</v>
      </c>
      <c r="F313">
        <v>1</v>
      </c>
      <c r="I313" s="15"/>
      <c r="J313" s="17">
        <f t="shared" si="4"/>
        <v>0</v>
      </c>
    </row>
    <row r="314" spans="2:10" x14ac:dyDescent="0.35">
      <c r="B314" t="s">
        <v>599</v>
      </c>
      <c r="D314" t="s">
        <v>560</v>
      </c>
      <c r="E314" t="s">
        <v>561</v>
      </c>
      <c r="F314">
        <v>1</v>
      </c>
      <c r="I314" s="15"/>
      <c r="J314" s="17">
        <f t="shared" si="4"/>
        <v>0</v>
      </c>
    </row>
    <row r="315" spans="2:10" x14ac:dyDescent="0.35">
      <c r="B315" t="s">
        <v>599</v>
      </c>
      <c r="D315" t="s">
        <v>574</v>
      </c>
      <c r="E315" t="s">
        <v>575</v>
      </c>
      <c r="F315">
        <v>1</v>
      </c>
      <c r="I315" s="15"/>
      <c r="J315" s="17">
        <f t="shared" si="4"/>
        <v>0</v>
      </c>
    </row>
    <row r="316" spans="2:10" x14ac:dyDescent="0.35">
      <c r="B316" t="s">
        <v>599</v>
      </c>
      <c r="D316" t="s">
        <v>558</v>
      </c>
      <c r="E316" t="s">
        <v>559</v>
      </c>
      <c r="F316">
        <v>1</v>
      </c>
      <c r="I316" s="15"/>
      <c r="J316" s="17">
        <f t="shared" si="4"/>
        <v>0</v>
      </c>
    </row>
    <row r="317" spans="2:10" x14ac:dyDescent="0.35">
      <c r="B317" t="s">
        <v>599</v>
      </c>
      <c r="D317" t="s">
        <v>554</v>
      </c>
      <c r="E317" t="s">
        <v>543</v>
      </c>
      <c r="F317">
        <v>1</v>
      </c>
      <c r="I317" s="15"/>
      <c r="J317" s="17">
        <f t="shared" si="4"/>
        <v>0</v>
      </c>
    </row>
    <row r="318" spans="2:10" x14ac:dyDescent="0.35">
      <c r="B318" t="s">
        <v>599</v>
      </c>
      <c r="D318" t="s">
        <v>554</v>
      </c>
      <c r="E318" t="s">
        <v>543</v>
      </c>
      <c r="F318">
        <v>1</v>
      </c>
      <c r="I318" s="15"/>
      <c r="J318" s="17">
        <f t="shared" si="4"/>
        <v>0</v>
      </c>
    </row>
    <row r="319" spans="2:10" x14ac:dyDescent="0.35">
      <c r="B319" t="s">
        <v>599</v>
      </c>
      <c r="D319" t="s">
        <v>574</v>
      </c>
      <c r="E319" t="s">
        <v>575</v>
      </c>
      <c r="F319">
        <v>1</v>
      </c>
      <c r="I319" s="15"/>
      <c r="J319" s="17">
        <f t="shared" si="4"/>
        <v>0</v>
      </c>
    </row>
    <row r="320" spans="2:10" x14ac:dyDescent="0.35">
      <c r="B320" t="s">
        <v>599</v>
      </c>
      <c r="D320" t="s">
        <v>554</v>
      </c>
      <c r="E320" t="s">
        <v>543</v>
      </c>
      <c r="F320">
        <v>1</v>
      </c>
      <c r="I320" s="15"/>
      <c r="J320" s="17">
        <f t="shared" si="4"/>
        <v>0</v>
      </c>
    </row>
    <row r="321" spans="2:10" x14ac:dyDescent="0.35">
      <c r="B321" t="s">
        <v>599</v>
      </c>
      <c r="D321" t="s">
        <v>574</v>
      </c>
      <c r="E321" t="s">
        <v>575</v>
      </c>
      <c r="F321">
        <v>1</v>
      </c>
      <c r="I321" s="15"/>
      <c r="J321" s="17">
        <f t="shared" si="4"/>
        <v>0</v>
      </c>
    </row>
    <row r="322" spans="2:10" x14ac:dyDescent="0.35">
      <c r="B322" t="s">
        <v>599</v>
      </c>
      <c r="D322" t="s">
        <v>538</v>
      </c>
      <c r="E322" t="s">
        <v>539</v>
      </c>
      <c r="F322">
        <v>2</v>
      </c>
      <c r="I322" s="15"/>
      <c r="J322" s="17">
        <f t="shared" si="4"/>
        <v>0</v>
      </c>
    </row>
    <row r="323" spans="2:10" x14ac:dyDescent="0.35">
      <c r="B323" t="s">
        <v>599</v>
      </c>
      <c r="D323" t="s">
        <v>574</v>
      </c>
      <c r="E323" t="s">
        <v>575</v>
      </c>
      <c r="F323">
        <v>1</v>
      </c>
      <c r="I323" s="15"/>
      <c r="J323" s="17">
        <f t="shared" ref="J323:J366" si="5">I323*F323</f>
        <v>0</v>
      </c>
    </row>
    <row r="324" spans="2:10" x14ac:dyDescent="0.35">
      <c r="B324" t="s">
        <v>599</v>
      </c>
      <c r="D324" t="s">
        <v>554</v>
      </c>
      <c r="E324" t="s">
        <v>543</v>
      </c>
      <c r="F324">
        <v>1</v>
      </c>
      <c r="I324" s="15"/>
      <c r="J324" s="17">
        <f t="shared" si="5"/>
        <v>0</v>
      </c>
    </row>
    <row r="325" spans="2:10" x14ac:dyDescent="0.35">
      <c r="B325" t="s">
        <v>599</v>
      </c>
      <c r="D325" t="s">
        <v>554</v>
      </c>
      <c r="E325" t="s">
        <v>543</v>
      </c>
      <c r="F325">
        <v>1</v>
      </c>
      <c r="I325" s="15"/>
      <c r="J325" s="17">
        <f t="shared" si="5"/>
        <v>0</v>
      </c>
    </row>
    <row r="326" spans="2:10" x14ac:dyDescent="0.35">
      <c r="B326" t="s">
        <v>599</v>
      </c>
      <c r="D326" t="s">
        <v>554</v>
      </c>
      <c r="E326" t="s">
        <v>543</v>
      </c>
      <c r="F326">
        <v>1</v>
      </c>
      <c r="I326" s="15"/>
      <c r="J326" s="17">
        <f t="shared" si="5"/>
        <v>0</v>
      </c>
    </row>
    <row r="327" spans="2:10" x14ac:dyDescent="0.35">
      <c r="B327" t="s">
        <v>599</v>
      </c>
      <c r="D327" t="s">
        <v>554</v>
      </c>
      <c r="E327" t="s">
        <v>543</v>
      </c>
      <c r="F327">
        <v>1</v>
      </c>
      <c r="I327" s="15"/>
      <c r="J327" s="17">
        <f t="shared" si="5"/>
        <v>0</v>
      </c>
    </row>
    <row r="328" spans="2:10" x14ac:dyDescent="0.35">
      <c r="B328" t="s">
        <v>599</v>
      </c>
      <c r="D328" t="s">
        <v>554</v>
      </c>
      <c r="E328" t="s">
        <v>543</v>
      </c>
      <c r="F328">
        <v>1</v>
      </c>
      <c r="I328" s="15"/>
      <c r="J328" s="17">
        <f t="shared" si="5"/>
        <v>0</v>
      </c>
    </row>
    <row r="329" spans="2:10" x14ac:dyDescent="0.35">
      <c r="B329" t="s">
        <v>599</v>
      </c>
      <c r="D329" t="s">
        <v>574</v>
      </c>
      <c r="E329" t="s">
        <v>575</v>
      </c>
      <c r="F329">
        <v>1</v>
      </c>
      <c r="I329" s="15"/>
      <c r="J329" s="17">
        <f t="shared" si="5"/>
        <v>0</v>
      </c>
    </row>
    <row r="330" spans="2:10" x14ac:dyDescent="0.35">
      <c r="B330" t="s">
        <v>599</v>
      </c>
      <c r="D330" t="s">
        <v>554</v>
      </c>
      <c r="E330" t="s">
        <v>543</v>
      </c>
      <c r="F330">
        <v>1</v>
      </c>
      <c r="I330" s="15"/>
      <c r="J330" s="17">
        <f t="shared" si="5"/>
        <v>0</v>
      </c>
    </row>
    <row r="331" spans="2:10" x14ac:dyDescent="0.35">
      <c r="B331" t="s">
        <v>599</v>
      </c>
      <c r="D331" t="s">
        <v>554</v>
      </c>
      <c r="E331" t="s">
        <v>543</v>
      </c>
      <c r="F331">
        <v>1</v>
      </c>
      <c r="I331" s="15"/>
      <c r="J331" s="17">
        <f t="shared" si="5"/>
        <v>0</v>
      </c>
    </row>
    <row r="332" spans="2:10" x14ac:dyDescent="0.35">
      <c r="B332" t="s">
        <v>599</v>
      </c>
      <c r="D332" t="s">
        <v>554</v>
      </c>
      <c r="E332" t="s">
        <v>543</v>
      </c>
      <c r="F332">
        <v>1</v>
      </c>
      <c r="I332" s="15"/>
      <c r="J332" s="17">
        <f t="shared" si="5"/>
        <v>0</v>
      </c>
    </row>
    <row r="333" spans="2:10" x14ac:dyDescent="0.35">
      <c r="B333" t="s">
        <v>599</v>
      </c>
      <c r="D333" t="s">
        <v>574</v>
      </c>
      <c r="E333" t="s">
        <v>575</v>
      </c>
      <c r="F333">
        <v>1</v>
      </c>
      <c r="I333" s="15"/>
      <c r="J333" s="17">
        <f t="shared" si="5"/>
        <v>0</v>
      </c>
    </row>
    <row r="334" spans="2:10" x14ac:dyDescent="0.35">
      <c r="B334" t="s">
        <v>599</v>
      </c>
      <c r="D334" t="s">
        <v>574</v>
      </c>
      <c r="E334" t="s">
        <v>575</v>
      </c>
      <c r="F334">
        <v>1</v>
      </c>
      <c r="I334" s="15"/>
      <c r="J334" s="17">
        <f t="shared" si="5"/>
        <v>0</v>
      </c>
    </row>
    <row r="335" spans="2:10" x14ac:dyDescent="0.35">
      <c r="B335" t="s">
        <v>599</v>
      </c>
      <c r="D335" t="s">
        <v>554</v>
      </c>
      <c r="E335" t="s">
        <v>543</v>
      </c>
      <c r="F335">
        <v>1</v>
      </c>
      <c r="I335" s="15"/>
      <c r="J335" s="17">
        <f t="shared" si="5"/>
        <v>0</v>
      </c>
    </row>
    <row r="336" spans="2:10" x14ac:dyDescent="0.35">
      <c r="B336" t="s">
        <v>599</v>
      </c>
      <c r="D336" t="s">
        <v>554</v>
      </c>
      <c r="E336" t="s">
        <v>543</v>
      </c>
      <c r="F336">
        <v>1</v>
      </c>
      <c r="I336" s="15"/>
      <c r="J336" s="17">
        <f t="shared" si="5"/>
        <v>0</v>
      </c>
    </row>
    <row r="337" spans="1:10" x14ac:dyDescent="0.35">
      <c r="B337" t="s">
        <v>599</v>
      </c>
      <c r="D337" t="s">
        <v>554</v>
      </c>
      <c r="E337" t="s">
        <v>543</v>
      </c>
      <c r="F337">
        <v>1</v>
      </c>
      <c r="I337" s="15"/>
      <c r="J337" s="17">
        <f t="shared" si="5"/>
        <v>0</v>
      </c>
    </row>
    <row r="338" spans="1:10" x14ac:dyDescent="0.35">
      <c r="B338" t="s">
        <v>599</v>
      </c>
      <c r="D338" t="s">
        <v>574</v>
      </c>
      <c r="E338" t="s">
        <v>575</v>
      </c>
      <c r="F338">
        <v>1</v>
      </c>
      <c r="I338" s="15"/>
      <c r="J338" s="17">
        <f t="shared" si="5"/>
        <v>0</v>
      </c>
    </row>
    <row r="339" spans="1:10" x14ac:dyDescent="0.35">
      <c r="B339" t="s">
        <v>599</v>
      </c>
      <c r="D339" t="s">
        <v>532</v>
      </c>
      <c r="E339" t="s">
        <v>533</v>
      </c>
      <c r="F339">
        <v>1</v>
      </c>
      <c r="I339" s="15"/>
      <c r="J339" s="17">
        <f t="shared" si="5"/>
        <v>0</v>
      </c>
    </row>
    <row r="340" spans="1:10" x14ac:dyDescent="0.35">
      <c r="B340" t="s">
        <v>599</v>
      </c>
      <c r="D340" t="s">
        <v>574</v>
      </c>
      <c r="E340" t="s">
        <v>575</v>
      </c>
      <c r="F340">
        <v>1</v>
      </c>
      <c r="I340" s="15"/>
      <c r="J340" s="17">
        <f t="shared" si="5"/>
        <v>0</v>
      </c>
    </row>
    <row r="341" spans="1:10" x14ac:dyDescent="0.35">
      <c r="B341" t="s">
        <v>599</v>
      </c>
      <c r="D341" t="s">
        <v>554</v>
      </c>
      <c r="E341" t="s">
        <v>543</v>
      </c>
      <c r="F341">
        <v>1</v>
      </c>
      <c r="I341" s="15"/>
      <c r="J341" s="17">
        <f t="shared" si="5"/>
        <v>0</v>
      </c>
    </row>
    <row r="342" spans="1:10" x14ac:dyDescent="0.35">
      <c r="B342" t="s">
        <v>599</v>
      </c>
      <c r="D342" t="s">
        <v>554</v>
      </c>
      <c r="E342" t="s">
        <v>543</v>
      </c>
      <c r="F342">
        <v>1</v>
      </c>
      <c r="I342" s="15"/>
      <c r="J342" s="17">
        <f t="shared" si="5"/>
        <v>0</v>
      </c>
    </row>
    <row r="343" spans="1:10" x14ac:dyDescent="0.35">
      <c r="B343" t="s">
        <v>599</v>
      </c>
      <c r="D343" t="s">
        <v>554</v>
      </c>
      <c r="E343" t="s">
        <v>543</v>
      </c>
      <c r="F343">
        <v>1</v>
      </c>
      <c r="I343" s="15"/>
      <c r="J343" s="17">
        <f t="shared" si="5"/>
        <v>0</v>
      </c>
    </row>
    <row r="344" spans="1:10" x14ac:dyDescent="0.35">
      <c r="B344" t="s">
        <v>599</v>
      </c>
      <c r="D344" t="s">
        <v>574</v>
      </c>
      <c r="E344" t="s">
        <v>575</v>
      </c>
      <c r="F344">
        <v>1</v>
      </c>
      <c r="I344" s="15"/>
      <c r="J344" s="17">
        <f t="shared" si="5"/>
        <v>0</v>
      </c>
    </row>
    <row r="345" spans="1:10" x14ac:dyDescent="0.35">
      <c r="B345" t="s">
        <v>599</v>
      </c>
      <c r="D345" t="s">
        <v>562</v>
      </c>
      <c r="E345" t="s">
        <v>563</v>
      </c>
      <c r="F345">
        <v>1</v>
      </c>
      <c r="I345" s="15"/>
      <c r="J345" s="17">
        <f t="shared" si="5"/>
        <v>0</v>
      </c>
    </row>
    <row r="346" spans="1:10" x14ac:dyDescent="0.35">
      <c r="B346" t="s">
        <v>599</v>
      </c>
      <c r="D346" t="s">
        <v>554</v>
      </c>
      <c r="E346" t="s">
        <v>543</v>
      </c>
      <c r="F346">
        <v>1</v>
      </c>
      <c r="I346" s="15"/>
      <c r="J346" s="17">
        <f t="shared" si="5"/>
        <v>0</v>
      </c>
    </row>
    <row r="347" spans="1:10" x14ac:dyDescent="0.35">
      <c r="B347" t="s">
        <v>599</v>
      </c>
      <c r="D347" t="s">
        <v>554</v>
      </c>
      <c r="E347" t="s">
        <v>543</v>
      </c>
      <c r="F347">
        <v>1</v>
      </c>
      <c r="I347" s="15"/>
      <c r="J347" s="17">
        <f t="shared" si="5"/>
        <v>0</v>
      </c>
    </row>
    <row r="348" spans="1:10" x14ac:dyDescent="0.35">
      <c r="A348" t="s">
        <v>473</v>
      </c>
      <c r="B348" t="s">
        <v>599</v>
      </c>
      <c r="D348" t="s">
        <v>576</v>
      </c>
      <c r="E348" t="s">
        <v>517</v>
      </c>
      <c r="F348">
        <v>1</v>
      </c>
      <c r="I348" s="15"/>
      <c r="J348" s="17">
        <f t="shared" si="5"/>
        <v>0</v>
      </c>
    </row>
    <row r="349" spans="1:10" x14ac:dyDescent="0.35">
      <c r="A349" t="s">
        <v>473</v>
      </c>
      <c r="B349" t="s">
        <v>599</v>
      </c>
      <c r="D349" t="s">
        <v>576</v>
      </c>
      <c r="E349" t="s">
        <v>517</v>
      </c>
      <c r="F349">
        <v>1</v>
      </c>
      <c r="I349" s="15"/>
      <c r="J349" s="17">
        <f t="shared" si="5"/>
        <v>0</v>
      </c>
    </row>
    <row r="350" spans="1:10" x14ac:dyDescent="0.35">
      <c r="A350" t="s">
        <v>472</v>
      </c>
      <c r="B350" t="s">
        <v>599</v>
      </c>
      <c r="D350" t="s">
        <v>577</v>
      </c>
      <c r="E350" t="s">
        <v>515</v>
      </c>
      <c r="F350">
        <v>1</v>
      </c>
      <c r="I350" s="15"/>
      <c r="J350" s="17">
        <f t="shared" si="5"/>
        <v>0</v>
      </c>
    </row>
    <row r="351" spans="1:10" x14ac:dyDescent="0.35">
      <c r="A351" t="s">
        <v>484</v>
      </c>
      <c r="B351" t="s">
        <v>599</v>
      </c>
      <c r="D351" t="s">
        <v>578</v>
      </c>
      <c r="E351" t="s">
        <v>579</v>
      </c>
      <c r="F351">
        <v>1</v>
      </c>
      <c r="I351" s="15"/>
      <c r="J351" s="17">
        <f t="shared" si="5"/>
        <v>0</v>
      </c>
    </row>
    <row r="352" spans="1:10" x14ac:dyDescent="0.35">
      <c r="A352" t="s">
        <v>473</v>
      </c>
      <c r="B352" t="s">
        <v>599</v>
      </c>
      <c r="D352" t="s">
        <v>576</v>
      </c>
      <c r="E352" t="s">
        <v>517</v>
      </c>
      <c r="F352">
        <v>1</v>
      </c>
      <c r="I352" s="15"/>
      <c r="J352" s="17">
        <f t="shared" si="5"/>
        <v>0</v>
      </c>
    </row>
    <row r="353" spans="1:10" x14ac:dyDescent="0.35">
      <c r="A353" t="s">
        <v>473</v>
      </c>
      <c r="B353" t="s">
        <v>599</v>
      </c>
      <c r="D353" t="s">
        <v>576</v>
      </c>
      <c r="E353" t="s">
        <v>517</v>
      </c>
      <c r="F353">
        <v>1</v>
      </c>
      <c r="I353" s="15"/>
      <c r="J353" s="17">
        <f t="shared" si="5"/>
        <v>0</v>
      </c>
    </row>
    <row r="354" spans="1:10" x14ac:dyDescent="0.35">
      <c r="A354" t="s">
        <v>472</v>
      </c>
      <c r="B354" t="s">
        <v>599</v>
      </c>
      <c r="D354" t="s">
        <v>577</v>
      </c>
      <c r="E354" t="s">
        <v>515</v>
      </c>
      <c r="F354">
        <v>1</v>
      </c>
      <c r="I354" s="15"/>
      <c r="J354" s="17">
        <f t="shared" si="5"/>
        <v>0</v>
      </c>
    </row>
    <row r="355" spans="1:10" x14ac:dyDescent="0.35">
      <c r="A355" t="s">
        <v>484</v>
      </c>
      <c r="B355" t="s">
        <v>599</v>
      </c>
      <c r="D355" t="s">
        <v>578</v>
      </c>
      <c r="E355" t="s">
        <v>579</v>
      </c>
      <c r="F355">
        <v>1</v>
      </c>
      <c r="I355" s="15"/>
      <c r="J355" s="17">
        <f t="shared" si="5"/>
        <v>0</v>
      </c>
    </row>
    <row r="356" spans="1:10" x14ac:dyDescent="0.35">
      <c r="A356" t="s">
        <v>485</v>
      </c>
      <c r="B356" t="s">
        <v>599</v>
      </c>
      <c r="D356" t="s">
        <v>580</v>
      </c>
      <c r="E356" t="s">
        <v>581</v>
      </c>
      <c r="F356">
        <v>1</v>
      </c>
      <c r="I356" s="15"/>
      <c r="J356" s="17">
        <f t="shared" si="5"/>
        <v>0</v>
      </c>
    </row>
    <row r="357" spans="1:10" x14ac:dyDescent="0.35">
      <c r="B357" t="s">
        <v>599</v>
      </c>
      <c r="D357" t="s">
        <v>582</v>
      </c>
      <c r="E357" t="s">
        <v>583</v>
      </c>
      <c r="F357">
        <v>1</v>
      </c>
      <c r="I357" s="15"/>
      <c r="J357" s="17">
        <f t="shared" si="5"/>
        <v>0</v>
      </c>
    </row>
    <row r="358" spans="1:10" x14ac:dyDescent="0.35">
      <c r="B358" t="s">
        <v>599</v>
      </c>
      <c r="D358" t="s">
        <v>584</v>
      </c>
      <c r="E358" t="s">
        <v>585</v>
      </c>
      <c r="F358">
        <v>1</v>
      </c>
      <c r="I358" s="15"/>
      <c r="J358" s="17">
        <f t="shared" si="5"/>
        <v>0</v>
      </c>
    </row>
    <row r="359" spans="1:10" x14ac:dyDescent="0.35">
      <c r="B359" t="s">
        <v>599</v>
      </c>
      <c r="D359" t="s">
        <v>586</v>
      </c>
      <c r="E359" t="s">
        <v>587</v>
      </c>
      <c r="F359">
        <v>1</v>
      </c>
      <c r="I359" s="15"/>
      <c r="J359" s="17">
        <f t="shared" si="5"/>
        <v>0</v>
      </c>
    </row>
    <row r="360" spans="1:10" x14ac:dyDescent="0.35">
      <c r="B360" t="s">
        <v>599</v>
      </c>
      <c r="D360" t="s">
        <v>588</v>
      </c>
      <c r="E360" t="s">
        <v>589</v>
      </c>
      <c r="F360">
        <v>1</v>
      </c>
      <c r="I360" s="15"/>
      <c r="J360" s="17">
        <f t="shared" si="5"/>
        <v>0</v>
      </c>
    </row>
    <row r="361" spans="1:10" x14ac:dyDescent="0.35">
      <c r="A361" t="s">
        <v>486</v>
      </c>
      <c r="B361" t="s">
        <v>599</v>
      </c>
      <c r="D361" t="s">
        <v>590</v>
      </c>
      <c r="E361" t="s">
        <v>591</v>
      </c>
      <c r="F361">
        <v>1</v>
      </c>
      <c r="I361" s="15"/>
      <c r="J361" s="17">
        <f t="shared" si="5"/>
        <v>0</v>
      </c>
    </row>
    <row r="362" spans="1:10" x14ac:dyDescent="0.35">
      <c r="B362" t="s">
        <v>599</v>
      </c>
      <c r="D362" t="s">
        <v>592</v>
      </c>
      <c r="E362" t="s">
        <v>593</v>
      </c>
      <c r="F362">
        <v>1</v>
      </c>
      <c r="I362" s="15"/>
      <c r="J362" s="17">
        <f t="shared" si="5"/>
        <v>0</v>
      </c>
    </row>
    <row r="363" spans="1:10" x14ac:dyDescent="0.35">
      <c r="A363" t="s">
        <v>486</v>
      </c>
      <c r="B363" t="s">
        <v>599</v>
      </c>
      <c r="D363" t="s">
        <v>590</v>
      </c>
      <c r="E363" t="s">
        <v>591</v>
      </c>
      <c r="F363">
        <v>1</v>
      </c>
      <c r="I363" s="15"/>
      <c r="J363" s="17">
        <f t="shared" si="5"/>
        <v>0</v>
      </c>
    </row>
    <row r="364" spans="1:10" x14ac:dyDescent="0.35">
      <c r="B364" t="s">
        <v>599</v>
      </c>
      <c r="D364" t="s">
        <v>592</v>
      </c>
      <c r="E364" t="s">
        <v>593</v>
      </c>
      <c r="F364">
        <v>1</v>
      </c>
      <c r="I364" s="15"/>
      <c r="J364" s="17">
        <f t="shared" si="5"/>
        <v>0</v>
      </c>
    </row>
    <row r="365" spans="1:10" x14ac:dyDescent="0.35">
      <c r="A365" t="s">
        <v>486</v>
      </c>
      <c r="B365" t="s">
        <v>599</v>
      </c>
      <c r="D365" t="s">
        <v>590</v>
      </c>
      <c r="E365" t="s">
        <v>591</v>
      </c>
      <c r="F365">
        <v>1</v>
      </c>
      <c r="I365" s="15"/>
      <c r="J365" s="17">
        <f t="shared" si="5"/>
        <v>0</v>
      </c>
    </row>
    <row r="366" spans="1:10" x14ac:dyDescent="0.35">
      <c r="D366" t="s">
        <v>592</v>
      </c>
      <c r="E366" t="s">
        <v>593</v>
      </c>
      <c r="F366">
        <v>1</v>
      </c>
      <c r="I366" s="15"/>
      <c r="J366" s="17">
        <f t="shared" si="5"/>
        <v>0</v>
      </c>
    </row>
    <row r="367" spans="1:10" x14ac:dyDescent="0.35">
      <c r="I367" s="15"/>
      <c r="J367" s="15">
        <f>SUM(J2:J366)</f>
        <v>0</v>
      </c>
    </row>
  </sheetData>
  <autoFilter ref="A1:H24" xr:uid="{58C32563-0E5C-45FC-B7F0-FD4139EA4A4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3F4A-531D-4AFB-B957-75566874E0AD}">
  <dimension ref="A1:J29"/>
  <sheetViews>
    <sheetView workbookViewId="0">
      <pane ySplit="1" topLeftCell="A2" activePane="bottomLeft" state="frozen"/>
      <selection pane="bottomLeft" activeCell="I1" sqref="I1:J1"/>
    </sheetView>
  </sheetViews>
  <sheetFormatPr defaultRowHeight="14.5" x14ac:dyDescent="0.35"/>
  <cols>
    <col min="1" max="1" width="36.26953125" bestFit="1" customWidth="1"/>
    <col min="2" max="3" width="24.81640625" customWidth="1"/>
    <col min="4" max="4" width="19.1796875" bestFit="1" customWidth="1"/>
    <col min="5" max="5" width="49.453125" customWidth="1"/>
    <col min="6" max="6" width="18.54296875" style="11" bestFit="1" customWidth="1"/>
    <col min="7" max="8" width="18" bestFit="1" customWidth="1"/>
    <col min="9" max="9" width="15.7265625" bestFit="1" customWidth="1"/>
  </cols>
  <sheetData>
    <row r="1" spans="1:10" x14ac:dyDescent="0.35">
      <c r="A1" s="3" t="s">
        <v>600</v>
      </c>
      <c r="B1" s="3" t="s">
        <v>597</v>
      </c>
      <c r="C1" s="3" t="s">
        <v>10</v>
      </c>
      <c r="D1" s="3" t="s">
        <v>20</v>
      </c>
      <c r="E1" s="3" t="s">
        <v>21</v>
      </c>
      <c r="F1" s="10" t="s">
        <v>23</v>
      </c>
      <c r="G1" s="3" t="s">
        <v>22</v>
      </c>
      <c r="H1" s="3" t="s">
        <v>181</v>
      </c>
      <c r="I1" s="3" t="s">
        <v>609</v>
      </c>
      <c r="J1" s="3" t="s">
        <v>610</v>
      </c>
    </row>
    <row r="2" spans="1:10" x14ac:dyDescent="0.35">
      <c r="A2" t="s">
        <v>11</v>
      </c>
      <c r="B2" t="s">
        <v>598</v>
      </c>
      <c r="C2" t="s">
        <v>12</v>
      </c>
      <c r="D2" t="s">
        <v>24</v>
      </c>
      <c r="E2" t="s">
        <v>25</v>
      </c>
      <c r="F2" s="11">
        <v>100</v>
      </c>
      <c r="G2" t="s">
        <v>26</v>
      </c>
      <c r="I2" s="15"/>
      <c r="J2" s="17">
        <f>I2*F2</f>
        <v>0</v>
      </c>
    </row>
    <row r="3" spans="1:10" x14ac:dyDescent="0.35">
      <c r="A3" t="s">
        <v>11</v>
      </c>
      <c r="B3" t="s">
        <v>598</v>
      </c>
      <c r="C3" t="s">
        <v>12</v>
      </c>
      <c r="D3" t="s">
        <v>123</v>
      </c>
      <c r="E3" t="s">
        <v>124</v>
      </c>
      <c r="F3" s="11">
        <v>1</v>
      </c>
      <c r="G3" t="s">
        <v>26</v>
      </c>
      <c r="I3" s="15"/>
      <c r="J3" s="17">
        <f t="shared" ref="J3:J28" si="0">I3*F3</f>
        <v>0</v>
      </c>
    </row>
    <row r="4" spans="1:10" x14ac:dyDescent="0.35">
      <c r="A4" t="s">
        <v>11</v>
      </c>
      <c r="B4" t="s">
        <v>598</v>
      </c>
      <c r="C4" t="s">
        <v>12</v>
      </c>
      <c r="D4" t="s">
        <v>125</v>
      </c>
      <c r="E4" t="s">
        <v>126</v>
      </c>
      <c r="F4" s="11">
        <v>1</v>
      </c>
      <c r="G4" t="s">
        <v>26</v>
      </c>
      <c r="I4" s="15"/>
      <c r="J4" s="17">
        <f t="shared" si="0"/>
        <v>0</v>
      </c>
    </row>
    <row r="5" spans="1:10" x14ac:dyDescent="0.35">
      <c r="A5" t="s">
        <v>17</v>
      </c>
      <c r="B5" t="s">
        <v>598</v>
      </c>
      <c r="C5" t="s">
        <v>18</v>
      </c>
      <c r="D5" t="s">
        <v>45</v>
      </c>
      <c r="E5" t="s">
        <v>46</v>
      </c>
      <c r="F5" s="11">
        <v>10</v>
      </c>
      <c r="G5" t="s">
        <v>29</v>
      </c>
      <c r="I5" s="15"/>
      <c r="J5" s="17">
        <f t="shared" si="0"/>
        <v>0</v>
      </c>
    </row>
    <row r="6" spans="1:10" x14ac:dyDescent="0.35">
      <c r="A6" t="s">
        <v>17</v>
      </c>
      <c r="B6" t="s">
        <v>598</v>
      </c>
      <c r="C6" t="s">
        <v>18</v>
      </c>
      <c r="D6" t="s">
        <v>52</v>
      </c>
      <c r="E6" t="s">
        <v>53</v>
      </c>
      <c r="F6" s="11">
        <v>50</v>
      </c>
      <c r="G6" t="s">
        <v>29</v>
      </c>
      <c r="I6" s="15"/>
      <c r="J6" s="17">
        <f t="shared" si="0"/>
        <v>0</v>
      </c>
    </row>
    <row r="7" spans="1:10" x14ac:dyDescent="0.35">
      <c r="A7" t="s">
        <v>17</v>
      </c>
      <c r="B7" t="s">
        <v>598</v>
      </c>
      <c r="C7" t="s">
        <v>18</v>
      </c>
      <c r="D7" t="s">
        <v>95</v>
      </c>
      <c r="E7" t="s">
        <v>96</v>
      </c>
      <c r="F7" s="11">
        <v>8</v>
      </c>
      <c r="G7" t="s">
        <v>29</v>
      </c>
      <c r="I7" s="15"/>
      <c r="J7" s="17">
        <f t="shared" si="0"/>
        <v>0</v>
      </c>
    </row>
    <row r="8" spans="1:10" x14ac:dyDescent="0.35">
      <c r="A8" t="s">
        <v>17</v>
      </c>
      <c r="B8" t="s">
        <v>598</v>
      </c>
      <c r="C8" t="s">
        <v>18</v>
      </c>
      <c r="D8" t="s">
        <v>127</v>
      </c>
      <c r="E8" t="s">
        <v>96</v>
      </c>
      <c r="F8" s="11">
        <v>14</v>
      </c>
      <c r="G8" t="s">
        <v>88</v>
      </c>
      <c r="I8" s="15"/>
      <c r="J8" s="17">
        <f t="shared" si="0"/>
        <v>0</v>
      </c>
    </row>
    <row r="9" spans="1:10" x14ac:dyDescent="0.35">
      <c r="A9" t="s">
        <v>17</v>
      </c>
      <c r="B9" t="s">
        <v>598</v>
      </c>
      <c r="C9" t="s">
        <v>18</v>
      </c>
      <c r="D9" t="s">
        <v>58</v>
      </c>
      <c r="E9" t="s">
        <v>59</v>
      </c>
      <c r="F9" s="11">
        <v>1</v>
      </c>
      <c r="G9" t="s">
        <v>26</v>
      </c>
      <c r="I9" s="15"/>
      <c r="J9" s="17">
        <f t="shared" si="0"/>
        <v>0</v>
      </c>
    </row>
    <row r="10" spans="1:10" x14ac:dyDescent="0.35">
      <c r="A10" t="s">
        <v>17</v>
      </c>
      <c r="B10" t="s">
        <v>598</v>
      </c>
      <c r="C10" t="s">
        <v>18</v>
      </c>
      <c r="D10" t="s">
        <v>97</v>
      </c>
      <c r="E10" t="s">
        <v>98</v>
      </c>
      <c r="F10" s="11">
        <v>10</v>
      </c>
      <c r="G10" t="s">
        <v>29</v>
      </c>
      <c r="I10" s="15"/>
      <c r="J10" s="17">
        <f t="shared" si="0"/>
        <v>0</v>
      </c>
    </row>
    <row r="11" spans="1:10" x14ac:dyDescent="0.35">
      <c r="A11" t="s">
        <v>65</v>
      </c>
      <c r="B11" t="s">
        <v>598</v>
      </c>
      <c r="C11" t="s">
        <v>71</v>
      </c>
      <c r="D11" t="s">
        <v>72</v>
      </c>
      <c r="E11" t="s">
        <v>73</v>
      </c>
      <c r="F11" s="11">
        <v>3000</v>
      </c>
      <c r="I11" s="15"/>
      <c r="J11" s="17">
        <f t="shared" si="0"/>
        <v>0</v>
      </c>
    </row>
    <row r="12" spans="1:10" x14ac:dyDescent="0.35">
      <c r="A12" t="s">
        <v>65</v>
      </c>
      <c r="B12" t="s">
        <v>598</v>
      </c>
      <c r="C12" t="s">
        <v>71</v>
      </c>
      <c r="D12" t="s">
        <v>74</v>
      </c>
      <c r="E12" t="s">
        <v>75</v>
      </c>
      <c r="F12" s="11">
        <v>1</v>
      </c>
      <c r="I12" s="15"/>
      <c r="J12" s="17">
        <f t="shared" si="0"/>
        <v>0</v>
      </c>
    </row>
    <row r="13" spans="1:10" x14ac:dyDescent="0.35">
      <c r="A13" t="s">
        <v>78</v>
      </c>
      <c r="B13" t="s">
        <v>598</v>
      </c>
      <c r="C13" t="s">
        <v>79</v>
      </c>
      <c r="D13" t="s">
        <v>128</v>
      </c>
      <c r="E13" t="s">
        <v>129</v>
      </c>
      <c r="F13" s="11">
        <v>4</v>
      </c>
      <c r="I13" s="15"/>
      <c r="J13" s="17">
        <f t="shared" si="0"/>
        <v>0</v>
      </c>
    </row>
    <row r="14" spans="1:10" x14ac:dyDescent="0.35">
      <c r="A14" t="s">
        <v>78</v>
      </c>
      <c r="B14" t="s">
        <v>598</v>
      </c>
      <c r="C14" t="s">
        <v>79</v>
      </c>
      <c r="D14" t="s">
        <v>130</v>
      </c>
      <c r="E14" t="s">
        <v>131</v>
      </c>
      <c r="F14" s="11">
        <v>15</v>
      </c>
      <c r="I14" s="15"/>
      <c r="J14" s="17">
        <f t="shared" si="0"/>
        <v>0</v>
      </c>
    </row>
    <row r="15" spans="1:10" x14ac:dyDescent="0.35">
      <c r="A15" t="s">
        <v>78</v>
      </c>
      <c r="B15" t="s">
        <v>598</v>
      </c>
      <c r="C15" t="s">
        <v>79</v>
      </c>
      <c r="D15" t="s">
        <v>80</v>
      </c>
      <c r="E15" t="s">
        <v>81</v>
      </c>
      <c r="F15" s="11">
        <v>1</v>
      </c>
      <c r="I15" s="15"/>
      <c r="J15" s="17">
        <f t="shared" si="0"/>
        <v>0</v>
      </c>
    </row>
    <row r="16" spans="1:10" x14ac:dyDescent="0.35">
      <c r="A16" t="s">
        <v>78</v>
      </c>
      <c r="B16" t="s">
        <v>598</v>
      </c>
      <c r="C16" t="s">
        <v>79</v>
      </c>
      <c r="D16" t="s">
        <v>132</v>
      </c>
      <c r="E16" t="s">
        <v>133</v>
      </c>
      <c r="F16" s="11">
        <v>1</v>
      </c>
      <c r="I16" s="15"/>
      <c r="J16" s="17">
        <f t="shared" si="0"/>
        <v>0</v>
      </c>
    </row>
    <row r="17" spans="1:10" x14ac:dyDescent="0.35">
      <c r="A17" t="s">
        <v>78</v>
      </c>
      <c r="B17" t="s">
        <v>598</v>
      </c>
      <c r="C17" t="s">
        <v>79</v>
      </c>
      <c r="D17" t="s">
        <v>134</v>
      </c>
      <c r="E17" t="s">
        <v>135</v>
      </c>
      <c r="F17" s="11">
        <v>4</v>
      </c>
      <c r="I17" s="15"/>
      <c r="J17" s="17">
        <f t="shared" si="0"/>
        <v>0</v>
      </c>
    </row>
    <row r="18" spans="1:10" x14ac:dyDescent="0.35">
      <c r="A18" t="s">
        <v>182</v>
      </c>
      <c r="B18" t="s">
        <v>599</v>
      </c>
      <c r="C18" t="s">
        <v>189</v>
      </c>
      <c r="D18" t="s">
        <v>193</v>
      </c>
      <c r="E18" t="s">
        <v>194</v>
      </c>
      <c r="F18" s="11">
        <v>42</v>
      </c>
      <c r="H18" t="s">
        <v>192</v>
      </c>
      <c r="I18" s="15"/>
      <c r="J18" s="17">
        <f t="shared" si="0"/>
        <v>0</v>
      </c>
    </row>
    <row r="19" spans="1:10" x14ac:dyDescent="0.35">
      <c r="A19" t="s">
        <v>182</v>
      </c>
      <c r="B19" t="s">
        <v>599</v>
      </c>
      <c r="C19" t="s">
        <v>204</v>
      </c>
      <c r="D19" t="s">
        <v>207</v>
      </c>
      <c r="E19" t="s">
        <v>208</v>
      </c>
      <c r="F19" s="11">
        <v>2489</v>
      </c>
      <c r="H19" t="s">
        <v>186</v>
      </c>
      <c r="I19" s="15"/>
      <c r="J19" s="17">
        <f t="shared" si="0"/>
        <v>0</v>
      </c>
    </row>
    <row r="20" spans="1:10" x14ac:dyDescent="0.35">
      <c r="A20" t="s">
        <v>182</v>
      </c>
      <c r="B20" t="s">
        <v>599</v>
      </c>
      <c r="C20" t="s">
        <v>204</v>
      </c>
      <c r="D20" t="s">
        <v>209</v>
      </c>
      <c r="E20" t="s">
        <v>210</v>
      </c>
      <c r="F20" s="11">
        <v>0</v>
      </c>
      <c r="H20" t="s">
        <v>186</v>
      </c>
      <c r="I20" s="15"/>
      <c r="J20" s="17">
        <f t="shared" si="0"/>
        <v>0</v>
      </c>
    </row>
    <row r="21" spans="1:10" x14ac:dyDescent="0.35">
      <c r="A21" t="s">
        <v>182</v>
      </c>
      <c r="B21" t="s">
        <v>599</v>
      </c>
      <c r="C21" t="s">
        <v>204</v>
      </c>
      <c r="D21" t="s">
        <v>202</v>
      </c>
      <c r="E21" t="s">
        <v>203</v>
      </c>
      <c r="F21" s="11">
        <v>0</v>
      </c>
      <c r="H21" t="s">
        <v>186</v>
      </c>
      <c r="I21" s="15"/>
      <c r="J21" s="17">
        <f t="shared" si="0"/>
        <v>0</v>
      </c>
    </row>
    <row r="22" spans="1:10" x14ac:dyDescent="0.35">
      <c r="A22" t="s">
        <v>211</v>
      </c>
      <c r="B22" t="s">
        <v>599</v>
      </c>
      <c r="C22" t="s">
        <v>212</v>
      </c>
      <c r="D22" t="s">
        <v>213</v>
      </c>
      <c r="E22" t="s">
        <v>214</v>
      </c>
      <c r="F22" s="11">
        <v>0</v>
      </c>
      <c r="H22" t="s">
        <v>215</v>
      </c>
      <c r="I22" s="15"/>
      <c r="J22" s="17">
        <f t="shared" si="0"/>
        <v>0</v>
      </c>
    </row>
    <row r="23" spans="1:10" x14ac:dyDescent="0.35">
      <c r="A23" t="s">
        <v>211</v>
      </c>
      <c r="B23" t="s">
        <v>599</v>
      </c>
      <c r="C23" t="s">
        <v>212</v>
      </c>
      <c r="D23" t="s">
        <v>218</v>
      </c>
      <c r="E23" t="s">
        <v>219</v>
      </c>
      <c r="F23" s="11">
        <v>105</v>
      </c>
      <c r="H23" t="s">
        <v>215</v>
      </c>
      <c r="I23" s="15"/>
      <c r="J23" s="17">
        <f t="shared" si="0"/>
        <v>0</v>
      </c>
    </row>
    <row r="24" spans="1:10" x14ac:dyDescent="0.35">
      <c r="A24" t="s">
        <v>211</v>
      </c>
      <c r="B24" t="s">
        <v>599</v>
      </c>
      <c r="C24" t="s">
        <v>212</v>
      </c>
      <c r="D24" t="s">
        <v>202</v>
      </c>
      <c r="E24" t="s">
        <v>203</v>
      </c>
      <c r="F24" s="11">
        <v>0</v>
      </c>
      <c r="H24" t="s">
        <v>215</v>
      </c>
      <c r="I24" s="15"/>
      <c r="J24" s="17">
        <f t="shared" si="0"/>
        <v>0</v>
      </c>
    </row>
    <row r="25" spans="1:10" x14ac:dyDescent="0.35">
      <c r="A25" t="s">
        <v>220</v>
      </c>
      <c r="B25" t="s">
        <v>599</v>
      </c>
      <c r="C25" t="s">
        <v>221</v>
      </c>
      <c r="D25" t="s">
        <v>427</v>
      </c>
      <c r="E25" t="s">
        <v>422</v>
      </c>
      <c r="F25" s="11">
        <v>1</v>
      </c>
      <c r="H25" t="s">
        <v>215</v>
      </c>
      <c r="I25" s="15"/>
      <c r="J25" s="17">
        <f t="shared" si="0"/>
        <v>0</v>
      </c>
    </row>
    <row r="26" spans="1:10" x14ac:dyDescent="0.35">
      <c r="A26" t="s">
        <v>220</v>
      </c>
      <c r="B26" t="s">
        <v>599</v>
      </c>
      <c r="C26" t="s">
        <v>221</v>
      </c>
      <c r="D26" t="s">
        <v>235</v>
      </c>
      <c r="E26" t="s">
        <v>236</v>
      </c>
      <c r="F26" s="11">
        <v>0</v>
      </c>
      <c r="H26" t="s">
        <v>215</v>
      </c>
      <c r="I26" s="15"/>
      <c r="J26" s="17">
        <f t="shared" si="0"/>
        <v>0</v>
      </c>
    </row>
    <row r="27" spans="1:10" x14ac:dyDescent="0.35">
      <c r="A27" t="s">
        <v>220</v>
      </c>
      <c r="B27" t="s">
        <v>599</v>
      </c>
      <c r="C27" t="s">
        <v>221</v>
      </c>
      <c r="D27" t="s">
        <v>202</v>
      </c>
      <c r="E27" t="s">
        <v>203</v>
      </c>
      <c r="F27" s="11">
        <v>0</v>
      </c>
      <c r="H27" t="s">
        <v>215</v>
      </c>
      <c r="I27" s="15"/>
      <c r="J27" s="17">
        <f t="shared" si="0"/>
        <v>0</v>
      </c>
    </row>
    <row r="28" spans="1:10" x14ac:dyDescent="0.35">
      <c r="A28" s="2" t="s">
        <v>594</v>
      </c>
      <c r="B28" t="s">
        <v>599</v>
      </c>
      <c r="D28" s="2" t="s">
        <v>595</v>
      </c>
      <c r="E28" s="2" t="s">
        <v>596</v>
      </c>
      <c r="F28" s="11">
        <v>1</v>
      </c>
      <c r="I28" s="15"/>
      <c r="J28" s="17">
        <f t="shared" si="0"/>
        <v>0</v>
      </c>
    </row>
    <row r="29" spans="1:10" x14ac:dyDescent="0.35">
      <c r="I29" s="15"/>
      <c r="J29" s="15">
        <f>SUM(J2:J28)</f>
        <v>0</v>
      </c>
    </row>
  </sheetData>
  <autoFilter ref="A1:H28" xr:uid="{C9D53F4A-531D-4AFB-B957-75566874E0AD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8694-D5E5-419A-8DDB-B4592015E20F}">
  <dimension ref="A1:J37"/>
  <sheetViews>
    <sheetView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7.81640625" bestFit="1" customWidth="1"/>
    <col min="2" max="2" width="17.81640625" customWidth="1"/>
    <col min="3" max="3" width="45.7265625" bestFit="1" customWidth="1"/>
    <col min="4" max="4" width="20.7265625" bestFit="1" customWidth="1"/>
    <col min="5" max="5" width="53.81640625" bestFit="1" customWidth="1"/>
    <col min="6" max="7" width="18" bestFit="1" customWidth="1"/>
    <col min="8" max="8" width="15.7265625" bestFit="1" customWidth="1"/>
  </cols>
  <sheetData>
    <row r="1" spans="1:10" x14ac:dyDescent="0.35">
      <c r="A1" s="3" t="s">
        <v>600</v>
      </c>
      <c r="B1" s="3" t="s">
        <v>597</v>
      </c>
      <c r="C1" s="3" t="s">
        <v>10</v>
      </c>
      <c r="D1" s="3" t="s">
        <v>20</v>
      </c>
      <c r="E1" s="3" t="s">
        <v>21</v>
      </c>
      <c r="F1" s="10" t="s">
        <v>23</v>
      </c>
      <c r="G1" s="3" t="s">
        <v>22</v>
      </c>
      <c r="H1" s="3" t="s">
        <v>181</v>
      </c>
      <c r="I1" s="3" t="s">
        <v>609</v>
      </c>
      <c r="J1" s="3" t="s">
        <v>610</v>
      </c>
    </row>
    <row r="2" spans="1:10" x14ac:dyDescent="0.35">
      <c r="A2" t="s">
        <v>11</v>
      </c>
      <c r="B2" t="s">
        <v>598</v>
      </c>
      <c r="C2" t="s">
        <v>12</v>
      </c>
      <c r="D2" t="s">
        <v>24</v>
      </c>
      <c r="E2" t="s">
        <v>25</v>
      </c>
      <c r="F2">
        <v>100</v>
      </c>
      <c r="G2" t="s">
        <v>26</v>
      </c>
      <c r="I2" s="15"/>
      <c r="J2" s="17">
        <f>I2*F2</f>
        <v>0</v>
      </c>
    </row>
    <row r="3" spans="1:10" x14ac:dyDescent="0.35">
      <c r="A3" t="s">
        <v>11</v>
      </c>
      <c r="B3" t="s">
        <v>598</v>
      </c>
      <c r="C3" t="s">
        <v>13</v>
      </c>
      <c r="D3" t="s">
        <v>27</v>
      </c>
      <c r="E3" t="s">
        <v>28</v>
      </c>
      <c r="F3">
        <v>1</v>
      </c>
      <c r="G3" t="s">
        <v>29</v>
      </c>
      <c r="I3" s="15"/>
      <c r="J3" s="17">
        <f>I3*F3</f>
        <v>0</v>
      </c>
    </row>
    <row r="4" spans="1:10" x14ac:dyDescent="0.35">
      <c r="A4" t="s">
        <v>11</v>
      </c>
      <c r="B4" t="s">
        <v>598</v>
      </c>
      <c r="C4" t="s">
        <v>13</v>
      </c>
      <c r="D4" t="s">
        <v>30</v>
      </c>
      <c r="E4" t="s">
        <v>31</v>
      </c>
      <c r="F4">
        <v>1</v>
      </c>
      <c r="G4" t="s">
        <v>29</v>
      </c>
      <c r="I4" s="15"/>
      <c r="J4" s="17">
        <f>I4*F4</f>
        <v>0</v>
      </c>
    </row>
    <row r="5" spans="1:10" x14ac:dyDescent="0.35">
      <c r="A5" t="s">
        <v>11</v>
      </c>
      <c r="B5" t="s">
        <v>598</v>
      </c>
      <c r="C5" t="s">
        <v>13</v>
      </c>
      <c r="D5" t="s">
        <v>32</v>
      </c>
      <c r="E5" t="s">
        <v>33</v>
      </c>
      <c r="F5">
        <v>1</v>
      </c>
      <c r="G5" t="s">
        <v>29</v>
      </c>
      <c r="I5" s="15"/>
      <c r="J5" s="17">
        <f t="shared" ref="J5:J36" si="0">I5*F5</f>
        <v>0</v>
      </c>
    </row>
    <row r="6" spans="1:10" x14ac:dyDescent="0.35">
      <c r="A6" t="s">
        <v>11</v>
      </c>
      <c r="B6" t="s">
        <v>598</v>
      </c>
      <c r="C6" t="s">
        <v>13</v>
      </c>
      <c r="D6" t="s">
        <v>34</v>
      </c>
      <c r="E6" t="s">
        <v>35</v>
      </c>
      <c r="F6">
        <v>1</v>
      </c>
      <c r="G6" t="s">
        <v>26</v>
      </c>
      <c r="I6" s="15"/>
      <c r="J6" s="17">
        <f t="shared" si="0"/>
        <v>0</v>
      </c>
    </row>
    <row r="7" spans="1:10" x14ac:dyDescent="0.35">
      <c r="A7" t="s">
        <v>11</v>
      </c>
      <c r="B7" t="s">
        <v>598</v>
      </c>
      <c r="C7" t="s">
        <v>14</v>
      </c>
      <c r="D7" t="s">
        <v>36</v>
      </c>
      <c r="E7" t="s">
        <v>37</v>
      </c>
      <c r="F7">
        <v>1</v>
      </c>
      <c r="G7" t="s">
        <v>29</v>
      </c>
      <c r="I7" s="15"/>
      <c r="J7" s="17">
        <f t="shared" si="0"/>
        <v>0</v>
      </c>
    </row>
    <row r="8" spans="1:10" x14ac:dyDescent="0.35">
      <c r="A8" t="s">
        <v>11</v>
      </c>
      <c r="B8" t="s">
        <v>598</v>
      </c>
      <c r="C8" t="s">
        <v>14</v>
      </c>
      <c r="D8" t="s">
        <v>38</v>
      </c>
      <c r="E8" t="s">
        <v>35</v>
      </c>
      <c r="F8">
        <v>1</v>
      </c>
      <c r="G8" t="s">
        <v>26</v>
      </c>
      <c r="I8" s="15"/>
      <c r="J8" s="17">
        <f t="shared" si="0"/>
        <v>0</v>
      </c>
    </row>
    <row r="9" spans="1:10" x14ac:dyDescent="0.35">
      <c r="A9" t="s">
        <v>15</v>
      </c>
      <c r="B9" t="s">
        <v>598</v>
      </c>
      <c r="C9" t="s">
        <v>16</v>
      </c>
      <c r="D9" t="s">
        <v>39</v>
      </c>
      <c r="E9" t="s">
        <v>40</v>
      </c>
      <c r="F9">
        <v>7</v>
      </c>
      <c r="G9" t="s">
        <v>29</v>
      </c>
      <c r="I9" s="15"/>
      <c r="J9" s="17">
        <f t="shared" si="0"/>
        <v>0</v>
      </c>
    </row>
    <row r="10" spans="1:10" x14ac:dyDescent="0.35">
      <c r="A10" t="s">
        <v>15</v>
      </c>
      <c r="B10" t="s">
        <v>598</v>
      </c>
      <c r="C10" t="s">
        <v>16</v>
      </c>
      <c r="D10" t="s">
        <v>41</v>
      </c>
      <c r="E10" t="s">
        <v>42</v>
      </c>
      <c r="F10">
        <v>1</v>
      </c>
      <c r="G10" t="s">
        <v>26</v>
      </c>
      <c r="I10" s="15"/>
      <c r="J10" s="17">
        <f t="shared" si="0"/>
        <v>0</v>
      </c>
    </row>
    <row r="11" spans="1:10" x14ac:dyDescent="0.35">
      <c r="A11" t="s">
        <v>17</v>
      </c>
      <c r="B11" t="s">
        <v>598</v>
      </c>
      <c r="C11" t="s">
        <v>18</v>
      </c>
      <c r="D11" t="s">
        <v>136</v>
      </c>
      <c r="E11" t="s">
        <v>46</v>
      </c>
      <c r="F11">
        <v>3</v>
      </c>
      <c r="G11" t="s">
        <v>88</v>
      </c>
      <c r="I11" s="15"/>
      <c r="J11" s="17">
        <f t="shared" si="0"/>
        <v>0</v>
      </c>
    </row>
    <row r="12" spans="1:10" x14ac:dyDescent="0.35">
      <c r="A12" t="s">
        <v>17</v>
      </c>
      <c r="B12" t="s">
        <v>598</v>
      </c>
      <c r="C12" t="s">
        <v>18</v>
      </c>
      <c r="D12" t="s">
        <v>45</v>
      </c>
      <c r="E12" t="s">
        <v>46</v>
      </c>
      <c r="F12">
        <v>4</v>
      </c>
      <c r="G12" t="s">
        <v>29</v>
      </c>
      <c r="I12" s="15"/>
      <c r="J12" s="17">
        <f t="shared" si="0"/>
        <v>0</v>
      </c>
    </row>
    <row r="13" spans="1:10" x14ac:dyDescent="0.35">
      <c r="A13" t="s">
        <v>17</v>
      </c>
      <c r="B13" t="s">
        <v>598</v>
      </c>
      <c r="C13" t="s">
        <v>18</v>
      </c>
      <c r="D13" t="s">
        <v>47</v>
      </c>
      <c r="E13" t="s">
        <v>48</v>
      </c>
      <c r="F13">
        <v>6</v>
      </c>
      <c r="G13" t="s">
        <v>29</v>
      </c>
      <c r="I13" s="15"/>
      <c r="J13" s="17">
        <f t="shared" si="0"/>
        <v>0</v>
      </c>
    </row>
    <row r="14" spans="1:10" x14ac:dyDescent="0.35">
      <c r="A14" t="s">
        <v>17</v>
      </c>
      <c r="B14" t="s">
        <v>598</v>
      </c>
      <c r="C14" t="s">
        <v>18</v>
      </c>
      <c r="D14" t="s">
        <v>137</v>
      </c>
      <c r="E14" t="s">
        <v>51</v>
      </c>
      <c r="F14">
        <v>21</v>
      </c>
      <c r="G14" t="s">
        <v>88</v>
      </c>
      <c r="I14" s="15"/>
      <c r="J14" s="17">
        <f t="shared" si="0"/>
        <v>0</v>
      </c>
    </row>
    <row r="15" spans="1:10" x14ac:dyDescent="0.35">
      <c r="A15" t="s">
        <v>17</v>
      </c>
      <c r="B15" t="s">
        <v>598</v>
      </c>
      <c r="C15" t="s">
        <v>18</v>
      </c>
      <c r="D15" t="s">
        <v>138</v>
      </c>
      <c r="E15" t="s">
        <v>53</v>
      </c>
      <c r="F15">
        <v>13</v>
      </c>
      <c r="G15" t="s">
        <v>88</v>
      </c>
      <c r="I15" s="15"/>
      <c r="J15" s="17">
        <f t="shared" si="0"/>
        <v>0</v>
      </c>
    </row>
    <row r="16" spans="1:10" x14ac:dyDescent="0.35">
      <c r="A16" t="s">
        <v>17</v>
      </c>
      <c r="B16" t="s">
        <v>598</v>
      </c>
      <c r="C16" t="s">
        <v>18</v>
      </c>
      <c r="D16" t="s">
        <v>139</v>
      </c>
      <c r="E16" t="s">
        <v>140</v>
      </c>
      <c r="F16">
        <v>2</v>
      </c>
      <c r="G16" t="s">
        <v>29</v>
      </c>
      <c r="I16" s="15"/>
      <c r="J16" s="17">
        <f t="shared" si="0"/>
        <v>0</v>
      </c>
    </row>
    <row r="17" spans="1:10" x14ac:dyDescent="0.35">
      <c r="A17" t="s">
        <v>17</v>
      </c>
      <c r="B17" t="s">
        <v>598</v>
      </c>
      <c r="C17" t="s">
        <v>18</v>
      </c>
      <c r="D17" t="s">
        <v>52</v>
      </c>
      <c r="E17" t="s">
        <v>53</v>
      </c>
      <c r="F17">
        <v>2</v>
      </c>
      <c r="G17" t="s">
        <v>29</v>
      </c>
      <c r="I17" s="15"/>
      <c r="J17" s="17">
        <f t="shared" si="0"/>
        <v>0</v>
      </c>
    </row>
    <row r="18" spans="1:10" x14ac:dyDescent="0.35">
      <c r="A18" t="s">
        <v>17</v>
      </c>
      <c r="B18" t="s">
        <v>598</v>
      </c>
      <c r="C18" t="s">
        <v>18</v>
      </c>
      <c r="D18" t="s">
        <v>141</v>
      </c>
      <c r="E18" t="s">
        <v>54</v>
      </c>
      <c r="F18">
        <v>68</v>
      </c>
      <c r="G18" t="s">
        <v>88</v>
      </c>
      <c r="I18" s="15"/>
      <c r="J18" s="17">
        <f t="shared" si="0"/>
        <v>0</v>
      </c>
    </row>
    <row r="19" spans="1:10" x14ac:dyDescent="0.35">
      <c r="A19" t="s">
        <v>17</v>
      </c>
      <c r="B19" t="s">
        <v>598</v>
      </c>
      <c r="C19" t="s">
        <v>18</v>
      </c>
      <c r="D19" t="s">
        <v>142</v>
      </c>
      <c r="E19" t="s">
        <v>143</v>
      </c>
      <c r="F19">
        <v>105</v>
      </c>
      <c r="G19" t="s">
        <v>88</v>
      </c>
      <c r="I19" s="15"/>
      <c r="J19" s="17">
        <f t="shared" si="0"/>
        <v>0</v>
      </c>
    </row>
    <row r="20" spans="1:10" x14ac:dyDescent="0.35">
      <c r="A20" t="s">
        <v>17</v>
      </c>
      <c r="B20" t="s">
        <v>598</v>
      </c>
      <c r="C20" t="s">
        <v>18</v>
      </c>
      <c r="D20" t="s">
        <v>127</v>
      </c>
      <c r="E20" t="s">
        <v>96</v>
      </c>
      <c r="F20">
        <v>7</v>
      </c>
      <c r="G20" t="s">
        <v>88</v>
      </c>
      <c r="I20" s="15"/>
      <c r="J20" s="17">
        <f t="shared" si="0"/>
        <v>0</v>
      </c>
    </row>
    <row r="21" spans="1:10" x14ac:dyDescent="0.35">
      <c r="A21" t="s">
        <v>17</v>
      </c>
      <c r="B21" t="s">
        <v>598</v>
      </c>
      <c r="C21" t="s">
        <v>18</v>
      </c>
      <c r="D21" t="s">
        <v>144</v>
      </c>
      <c r="E21" t="s">
        <v>55</v>
      </c>
      <c r="F21">
        <v>137</v>
      </c>
      <c r="G21" t="s">
        <v>88</v>
      </c>
      <c r="I21" s="15"/>
      <c r="J21" s="17">
        <f t="shared" si="0"/>
        <v>0</v>
      </c>
    </row>
    <row r="22" spans="1:10" x14ac:dyDescent="0.35">
      <c r="A22" t="s">
        <v>17</v>
      </c>
      <c r="B22" t="s">
        <v>598</v>
      </c>
      <c r="C22" t="s">
        <v>18</v>
      </c>
      <c r="D22" t="s">
        <v>58</v>
      </c>
      <c r="E22" t="s">
        <v>59</v>
      </c>
      <c r="F22">
        <v>1</v>
      </c>
      <c r="G22" t="s">
        <v>26</v>
      </c>
      <c r="I22" s="15"/>
      <c r="J22" s="17">
        <f t="shared" si="0"/>
        <v>0</v>
      </c>
    </row>
    <row r="23" spans="1:10" x14ac:dyDescent="0.35">
      <c r="A23" t="s">
        <v>17</v>
      </c>
      <c r="B23" t="s">
        <v>598</v>
      </c>
      <c r="C23" t="s">
        <v>18</v>
      </c>
      <c r="D23" t="s">
        <v>60</v>
      </c>
      <c r="E23" t="s">
        <v>61</v>
      </c>
      <c r="F23">
        <v>2</v>
      </c>
      <c r="G23" t="s">
        <v>29</v>
      </c>
      <c r="I23" s="15"/>
      <c r="J23" s="17">
        <f t="shared" si="0"/>
        <v>0</v>
      </c>
    </row>
    <row r="24" spans="1:10" x14ac:dyDescent="0.35">
      <c r="A24" t="s">
        <v>17</v>
      </c>
      <c r="B24" t="s">
        <v>598</v>
      </c>
      <c r="C24" t="s">
        <v>18</v>
      </c>
      <c r="D24" t="s">
        <v>145</v>
      </c>
      <c r="E24" t="s">
        <v>146</v>
      </c>
      <c r="F24">
        <v>1</v>
      </c>
      <c r="G24" t="s">
        <v>88</v>
      </c>
      <c r="I24" s="15"/>
      <c r="J24" s="17">
        <f t="shared" si="0"/>
        <v>0</v>
      </c>
    </row>
    <row r="25" spans="1:10" x14ac:dyDescent="0.35">
      <c r="A25" t="s">
        <v>17</v>
      </c>
      <c r="B25" t="s">
        <v>598</v>
      </c>
      <c r="C25" t="s">
        <v>19</v>
      </c>
      <c r="D25" t="s">
        <v>147</v>
      </c>
      <c r="E25" t="s">
        <v>19</v>
      </c>
      <c r="F25">
        <v>500</v>
      </c>
      <c r="G25" t="s">
        <v>88</v>
      </c>
      <c r="I25" s="15"/>
      <c r="J25" s="17">
        <f t="shared" si="0"/>
        <v>0</v>
      </c>
    </row>
    <row r="26" spans="1:10" x14ac:dyDescent="0.35">
      <c r="A26" t="s">
        <v>17</v>
      </c>
      <c r="B26" t="s">
        <v>598</v>
      </c>
      <c r="C26" t="s">
        <v>19</v>
      </c>
      <c r="D26" t="s">
        <v>63</v>
      </c>
      <c r="E26" t="s">
        <v>64</v>
      </c>
      <c r="F26">
        <v>1</v>
      </c>
      <c r="G26" t="s">
        <v>26</v>
      </c>
      <c r="I26" s="15"/>
      <c r="J26" s="17">
        <f t="shared" si="0"/>
        <v>0</v>
      </c>
    </row>
    <row r="27" spans="1:10" x14ac:dyDescent="0.35">
      <c r="A27" t="s">
        <v>65</v>
      </c>
      <c r="B27" t="s">
        <v>598</v>
      </c>
      <c r="C27" t="s">
        <v>66</v>
      </c>
      <c r="D27" t="s">
        <v>67</v>
      </c>
      <c r="E27" t="s">
        <v>68</v>
      </c>
      <c r="F27">
        <v>1</v>
      </c>
      <c r="I27" s="15"/>
      <c r="J27" s="17">
        <f t="shared" si="0"/>
        <v>0</v>
      </c>
    </row>
    <row r="28" spans="1:10" x14ac:dyDescent="0.35">
      <c r="A28" t="s">
        <v>65</v>
      </c>
      <c r="B28" t="s">
        <v>598</v>
      </c>
      <c r="C28" t="s">
        <v>66</v>
      </c>
      <c r="D28" t="s">
        <v>69</v>
      </c>
      <c r="E28" t="s">
        <v>70</v>
      </c>
      <c r="F28">
        <v>100</v>
      </c>
      <c r="I28" s="15"/>
      <c r="J28" s="17">
        <f t="shared" si="0"/>
        <v>0</v>
      </c>
    </row>
    <row r="29" spans="1:10" x14ac:dyDescent="0.35">
      <c r="A29" t="s">
        <v>65</v>
      </c>
      <c r="B29" t="s">
        <v>598</v>
      </c>
      <c r="C29" t="s">
        <v>71</v>
      </c>
      <c r="D29" t="s">
        <v>72</v>
      </c>
      <c r="E29" t="s">
        <v>73</v>
      </c>
      <c r="F29">
        <v>5500</v>
      </c>
      <c r="I29" s="15"/>
      <c r="J29" s="17">
        <f t="shared" si="0"/>
        <v>0</v>
      </c>
    </row>
    <row r="30" spans="1:10" x14ac:dyDescent="0.35">
      <c r="A30" t="s">
        <v>65</v>
      </c>
      <c r="B30" t="s">
        <v>598</v>
      </c>
      <c r="C30" t="s">
        <v>71</v>
      </c>
      <c r="D30" t="s">
        <v>74</v>
      </c>
      <c r="E30" t="s">
        <v>75</v>
      </c>
      <c r="F30">
        <v>1</v>
      </c>
      <c r="I30" s="15"/>
      <c r="J30" s="17">
        <f t="shared" si="0"/>
        <v>0</v>
      </c>
    </row>
    <row r="31" spans="1:10" x14ac:dyDescent="0.35">
      <c r="A31" t="s">
        <v>182</v>
      </c>
      <c r="B31" t="s">
        <v>599</v>
      </c>
      <c r="C31" t="s">
        <v>189</v>
      </c>
      <c r="D31" t="s">
        <v>231</v>
      </c>
      <c r="E31" t="s">
        <v>232</v>
      </c>
      <c r="F31">
        <v>50</v>
      </c>
      <c r="I31" s="15"/>
      <c r="J31" s="17">
        <f t="shared" si="0"/>
        <v>0</v>
      </c>
    </row>
    <row r="32" spans="1:10" x14ac:dyDescent="0.35">
      <c r="A32" t="s">
        <v>182</v>
      </c>
      <c r="B32" t="s">
        <v>599</v>
      </c>
      <c r="C32" t="s">
        <v>189</v>
      </c>
      <c r="D32" t="s">
        <v>190</v>
      </c>
      <c r="E32" t="s">
        <v>191</v>
      </c>
      <c r="F32">
        <v>24</v>
      </c>
      <c r="I32" s="15"/>
      <c r="J32" s="17">
        <f t="shared" si="0"/>
        <v>0</v>
      </c>
    </row>
    <row r="33" spans="1:10" x14ac:dyDescent="0.35">
      <c r="A33" t="s">
        <v>182</v>
      </c>
      <c r="B33" t="s">
        <v>599</v>
      </c>
      <c r="C33" t="s">
        <v>189</v>
      </c>
      <c r="D33" t="s">
        <v>193</v>
      </c>
      <c r="E33" t="s">
        <v>194</v>
      </c>
      <c r="F33">
        <v>4</v>
      </c>
      <c r="I33" s="15"/>
      <c r="J33" s="17">
        <f t="shared" si="0"/>
        <v>0</v>
      </c>
    </row>
    <row r="34" spans="1:10" x14ac:dyDescent="0.35">
      <c r="A34" t="s">
        <v>182</v>
      </c>
      <c r="B34" t="s">
        <v>599</v>
      </c>
      <c r="C34" t="s">
        <v>204</v>
      </c>
      <c r="D34" t="s">
        <v>209</v>
      </c>
      <c r="E34" t="s">
        <v>210</v>
      </c>
      <c r="F34">
        <v>0</v>
      </c>
      <c r="I34" s="15"/>
      <c r="J34" s="17">
        <f t="shared" si="0"/>
        <v>0</v>
      </c>
    </row>
    <row r="35" spans="1:10" x14ac:dyDescent="0.35">
      <c r="A35" t="s">
        <v>182</v>
      </c>
      <c r="B35" t="s">
        <v>599</v>
      </c>
      <c r="C35" t="s">
        <v>204</v>
      </c>
      <c r="D35" t="s">
        <v>245</v>
      </c>
      <c r="E35" t="s">
        <v>246</v>
      </c>
      <c r="F35">
        <v>40</v>
      </c>
      <c r="I35" s="15"/>
      <c r="J35" s="17">
        <f t="shared" si="0"/>
        <v>0</v>
      </c>
    </row>
    <row r="36" spans="1:10" x14ac:dyDescent="0.35">
      <c r="A36" t="s">
        <v>182</v>
      </c>
      <c r="B36" t="s">
        <v>599</v>
      </c>
      <c r="C36" t="s">
        <v>204</v>
      </c>
      <c r="D36" t="s">
        <v>207</v>
      </c>
      <c r="E36" t="s">
        <v>208</v>
      </c>
      <c r="F36">
        <v>1011</v>
      </c>
      <c r="I36" s="15"/>
      <c r="J36" s="17">
        <f t="shared" si="0"/>
        <v>0</v>
      </c>
    </row>
    <row r="37" spans="1:10" x14ac:dyDescent="0.35">
      <c r="I37" s="15"/>
      <c r="J37" s="15">
        <f>SUM(J2:J36)</f>
        <v>0</v>
      </c>
    </row>
  </sheetData>
  <autoFilter ref="A1:H36" xr:uid="{6AEA8694-D5E5-419A-8DDB-B4592015E20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10EB4-1F00-4FB7-94E3-6A33B713D598}">
  <dimension ref="A1:J42"/>
  <sheetViews>
    <sheetView topLeftCell="B1" workbookViewId="0">
      <pane ySplit="1" topLeftCell="A2" activePane="bottomLeft" state="frozen"/>
      <selection pane="bottomLeft" activeCell="I1" sqref="I1:J1"/>
    </sheetView>
  </sheetViews>
  <sheetFormatPr defaultRowHeight="14.5" x14ac:dyDescent="0.35"/>
  <cols>
    <col min="1" max="1" width="36.26953125" bestFit="1" customWidth="1"/>
    <col min="2" max="2" width="35.26953125" customWidth="1"/>
    <col min="3" max="3" width="45.7265625" bestFit="1" customWidth="1"/>
    <col min="4" max="4" width="20.7265625" bestFit="1" customWidth="1"/>
    <col min="5" max="5" width="55.26953125" bestFit="1" customWidth="1"/>
    <col min="6" max="7" width="18" bestFit="1" customWidth="1"/>
    <col min="8" max="8" width="25.54296875" bestFit="1" customWidth="1"/>
  </cols>
  <sheetData>
    <row r="1" spans="1:10" x14ac:dyDescent="0.35">
      <c r="A1" s="3" t="s">
        <v>600</v>
      </c>
      <c r="B1" s="3" t="s">
        <v>597</v>
      </c>
      <c r="C1" s="3" t="s">
        <v>10</v>
      </c>
      <c r="D1" s="3" t="s">
        <v>20</v>
      </c>
      <c r="E1" s="3" t="s">
        <v>21</v>
      </c>
      <c r="F1" s="10" t="s">
        <v>23</v>
      </c>
      <c r="G1" s="3" t="s">
        <v>22</v>
      </c>
      <c r="H1" s="3" t="s">
        <v>181</v>
      </c>
      <c r="I1" s="3" t="s">
        <v>609</v>
      </c>
      <c r="J1" s="3" t="s">
        <v>610</v>
      </c>
    </row>
    <row r="2" spans="1:10" x14ac:dyDescent="0.35">
      <c r="A2" t="s">
        <v>11</v>
      </c>
      <c r="B2" t="s">
        <v>598</v>
      </c>
      <c r="C2" t="s">
        <v>12</v>
      </c>
      <c r="D2" t="s">
        <v>24</v>
      </c>
      <c r="E2" t="s">
        <v>25</v>
      </c>
      <c r="F2">
        <v>100</v>
      </c>
      <c r="G2" t="s">
        <v>26</v>
      </c>
      <c r="I2" s="15"/>
      <c r="J2" s="17">
        <f>I2*F2</f>
        <v>0</v>
      </c>
    </row>
    <row r="3" spans="1:10" x14ac:dyDescent="0.35">
      <c r="A3" t="s">
        <v>11</v>
      </c>
      <c r="B3" t="s">
        <v>598</v>
      </c>
      <c r="C3" t="s">
        <v>13</v>
      </c>
      <c r="D3" t="s">
        <v>173</v>
      </c>
      <c r="E3" t="s">
        <v>28</v>
      </c>
      <c r="F3">
        <v>1</v>
      </c>
      <c r="G3" t="s">
        <v>88</v>
      </c>
      <c r="I3" s="15"/>
      <c r="J3" s="17">
        <f t="shared" ref="J3:J41" si="0">I3*F3</f>
        <v>0</v>
      </c>
    </row>
    <row r="4" spans="1:10" x14ac:dyDescent="0.35">
      <c r="A4" t="s">
        <v>11</v>
      </c>
      <c r="B4" t="s">
        <v>598</v>
      </c>
      <c r="C4" t="s">
        <v>13</v>
      </c>
      <c r="D4" t="s">
        <v>174</v>
      </c>
      <c r="E4" t="s">
        <v>31</v>
      </c>
      <c r="F4">
        <v>1</v>
      </c>
      <c r="G4" t="s">
        <v>88</v>
      </c>
      <c r="I4" s="15"/>
      <c r="J4" s="17">
        <f t="shared" si="0"/>
        <v>0</v>
      </c>
    </row>
    <row r="5" spans="1:10" x14ac:dyDescent="0.35">
      <c r="A5" t="s">
        <v>11</v>
      </c>
      <c r="B5" t="s">
        <v>598</v>
      </c>
      <c r="C5" t="s">
        <v>13</v>
      </c>
      <c r="D5" t="s">
        <v>32</v>
      </c>
      <c r="E5" t="s">
        <v>33</v>
      </c>
      <c r="F5">
        <v>1</v>
      </c>
      <c r="G5" t="s">
        <v>29</v>
      </c>
      <c r="I5" s="15"/>
      <c r="J5" s="17">
        <f t="shared" si="0"/>
        <v>0</v>
      </c>
    </row>
    <row r="6" spans="1:10" x14ac:dyDescent="0.35">
      <c r="A6" t="s">
        <v>11</v>
      </c>
      <c r="B6" t="s">
        <v>598</v>
      </c>
      <c r="C6" t="s">
        <v>13</v>
      </c>
      <c r="D6" t="s">
        <v>34</v>
      </c>
      <c r="E6" t="s">
        <v>35</v>
      </c>
      <c r="F6">
        <v>1</v>
      </c>
      <c r="G6" t="s">
        <v>26</v>
      </c>
      <c r="I6" s="15"/>
      <c r="J6" s="17">
        <f t="shared" si="0"/>
        <v>0</v>
      </c>
    </row>
    <row r="7" spans="1:10" x14ac:dyDescent="0.35">
      <c r="A7" t="s">
        <v>11</v>
      </c>
      <c r="B7" t="s">
        <v>598</v>
      </c>
      <c r="C7" t="s">
        <v>14</v>
      </c>
      <c r="D7" t="s">
        <v>38</v>
      </c>
      <c r="E7" t="s">
        <v>35</v>
      </c>
      <c r="F7">
        <v>1</v>
      </c>
      <c r="G7" t="s">
        <v>26</v>
      </c>
      <c r="I7" s="15"/>
      <c r="J7" s="17">
        <f t="shared" si="0"/>
        <v>0</v>
      </c>
    </row>
    <row r="8" spans="1:10" x14ac:dyDescent="0.35">
      <c r="A8" t="s">
        <v>11</v>
      </c>
      <c r="B8" t="s">
        <v>598</v>
      </c>
      <c r="C8" t="s">
        <v>14</v>
      </c>
      <c r="D8" t="s">
        <v>175</v>
      </c>
      <c r="E8" t="s">
        <v>37</v>
      </c>
      <c r="F8">
        <v>1</v>
      </c>
      <c r="G8" t="s">
        <v>88</v>
      </c>
      <c r="I8" s="15"/>
      <c r="J8" s="17">
        <f t="shared" si="0"/>
        <v>0</v>
      </c>
    </row>
    <row r="9" spans="1:10" x14ac:dyDescent="0.35">
      <c r="A9" t="s">
        <v>17</v>
      </c>
      <c r="B9" t="s">
        <v>598</v>
      </c>
      <c r="C9" t="s">
        <v>18</v>
      </c>
      <c r="D9" t="s">
        <v>137</v>
      </c>
      <c r="E9" t="s">
        <v>51</v>
      </c>
      <c r="F9">
        <v>24</v>
      </c>
      <c r="G9" t="s">
        <v>88</v>
      </c>
      <c r="I9" s="15"/>
      <c r="J9" s="17">
        <f t="shared" si="0"/>
        <v>0</v>
      </c>
    </row>
    <row r="10" spans="1:10" x14ac:dyDescent="0.35">
      <c r="A10" t="s">
        <v>17</v>
      </c>
      <c r="B10" t="s">
        <v>598</v>
      </c>
      <c r="C10" t="s">
        <v>18</v>
      </c>
      <c r="D10" t="s">
        <v>141</v>
      </c>
      <c r="E10" t="s">
        <v>54</v>
      </c>
      <c r="F10">
        <v>26</v>
      </c>
      <c r="G10" t="s">
        <v>88</v>
      </c>
      <c r="I10" s="15"/>
      <c r="J10" s="17">
        <f t="shared" si="0"/>
        <v>0</v>
      </c>
    </row>
    <row r="11" spans="1:10" x14ac:dyDescent="0.35">
      <c r="A11" t="s">
        <v>17</v>
      </c>
      <c r="B11" t="s">
        <v>598</v>
      </c>
      <c r="C11" t="s">
        <v>18</v>
      </c>
      <c r="D11" t="s">
        <v>58</v>
      </c>
      <c r="E11" t="s">
        <v>59</v>
      </c>
      <c r="F11">
        <v>1</v>
      </c>
      <c r="G11" t="s">
        <v>26</v>
      </c>
      <c r="I11" s="15"/>
      <c r="J11" s="17">
        <f t="shared" si="0"/>
        <v>0</v>
      </c>
    </row>
    <row r="12" spans="1:10" x14ac:dyDescent="0.35">
      <c r="A12" t="s">
        <v>17</v>
      </c>
      <c r="B12" t="s">
        <v>598</v>
      </c>
      <c r="C12" t="s">
        <v>19</v>
      </c>
      <c r="D12" t="s">
        <v>147</v>
      </c>
      <c r="E12" t="s">
        <v>19</v>
      </c>
      <c r="F12">
        <v>50</v>
      </c>
      <c r="G12" t="s">
        <v>88</v>
      </c>
      <c r="I12" s="15"/>
      <c r="J12" s="17">
        <f t="shared" si="0"/>
        <v>0</v>
      </c>
    </row>
    <row r="13" spans="1:10" x14ac:dyDescent="0.35">
      <c r="A13" t="s">
        <v>17</v>
      </c>
      <c r="B13" t="s">
        <v>598</v>
      </c>
      <c r="C13" t="s">
        <v>19</v>
      </c>
      <c r="D13" t="s">
        <v>63</v>
      </c>
      <c r="E13" t="s">
        <v>64</v>
      </c>
      <c r="F13">
        <v>1</v>
      </c>
      <c r="G13" t="s">
        <v>26</v>
      </c>
      <c r="I13" s="15"/>
      <c r="J13" s="17">
        <f t="shared" si="0"/>
        <v>0</v>
      </c>
    </row>
    <row r="14" spans="1:10" x14ac:dyDescent="0.35">
      <c r="A14" t="s">
        <v>65</v>
      </c>
      <c r="B14" t="s">
        <v>598</v>
      </c>
      <c r="C14" t="s">
        <v>66</v>
      </c>
      <c r="D14" t="s">
        <v>67</v>
      </c>
      <c r="E14" t="s">
        <v>68</v>
      </c>
      <c r="F14">
        <v>1</v>
      </c>
      <c r="I14" s="15"/>
      <c r="J14" s="17">
        <f t="shared" si="0"/>
        <v>0</v>
      </c>
    </row>
    <row r="15" spans="1:10" x14ac:dyDescent="0.35">
      <c r="A15" t="s">
        <v>65</v>
      </c>
      <c r="B15" t="s">
        <v>598</v>
      </c>
      <c r="C15" t="s">
        <v>66</v>
      </c>
      <c r="D15" t="s">
        <v>69</v>
      </c>
      <c r="E15" t="s">
        <v>70</v>
      </c>
      <c r="F15">
        <v>100</v>
      </c>
      <c r="I15" s="15"/>
      <c r="J15" s="17">
        <f t="shared" si="0"/>
        <v>0</v>
      </c>
    </row>
    <row r="16" spans="1:10" x14ac:dyDescent="0.35">
      <c r="A16" t="s">
        <v>65</v>
      </c>
      <c r="B16" t="s">
        <v>598</v>
      </c>
      <c r="C16" t="s">
        <v>71</v>
      </c>
      <c r="D16" t="s">
        <v>72</v>
      </c>
      <c r="E16" t="s">
        <v>73</v>
      </c>
      <c r="F16">
        <v>500</v>
      </c>
      <c r="I16" s="15"/>
      <c r="J16" s="17">
        <f t="shared" si="0"/>
        <v>0</v>
      </c>
    </row>
    <row r="17" spans="1:10" x14ac:dyDescent="0.35">
      <c r="A17" t="s">
        <v>65</v>
      </c>
      <c r="B17" t="s">
        <v>598</v>
      </c>
      <c r="C17" t="s">
        <v>71</v>
      </c>
      <c r="D17" t="s">
        <v>74</v>
      </c>
      <c r="E17" t="s">
        <v>75</v>
      </c>
      <c r="F17">
        <v>1</v>
      </c>
      <c r="I17" s="15"/>
      <c r="J17" s="17">
        <f t="shared" si="0"/>
        <v>0</v>
      </c>
    </row>
    <row r="18" spans="1:10" x14ac:dyDescent="0.35">
      <c r="A18" t="s">
        <v>78</v>
      </c>
      <c r="B18" t="s">
        <v>598</v>
      </c>
      <c r="C18" t="s">
        <v>79</v>
      </c>
      <c r="D18" t="s">
        <v>128</v>
      </c>
      <c r="E18" t="s">
        <v>129</v>
      </c>
      <c r="F18">
        <v>1</v>
      </c>
      <c r="I18" s="15"/>
      <c r="J18" s="17">
        <f t="shared" si="0"/>
        <v>0</v>
      </c>
    </row>
    <row r="19" spans="1:10" x14ac:dyDescent="0.35">
      <c r="A19" t="s">
        <v>78</v>
      </c>
      <c r="B19" t="s">
        <v>598</v>
      </c>
      <c r="C19" t="s">
        <v>79</v>
      </c>
      <c r="D19" t="s">
        <v>130</v>
      </c>
      <c r="E19" t="s">
        <v>131</v>
      </c>
      <c r="F19">
        <v>1</v>
      </c>
      <c r="I19" s="15"/>
      <c r="J19" s="17">
        <f t="shared" si="0"/>
        <v>0</v>
      </c>
    </row>
    <row r="20" spans="1:10" x14ac:dyDescent="0.35">
      <c r="A20" t="s">
        <v>78</v>
      </c>
      <c r="B20" t="s">
        <v>598</v>
      </c>
      <c r="C20" t="s">
        <v>79</v>
      </c>
      <c r="D20" t="s">
        <v>80</v>
      </c>
      <c r="E20" t="s">
        <v>81</v>
      </c>
      <c r="F20">
        <v>1</v>
      </c>
      <c r="I20" s="15"/>
      <c r="J20" s="17">
        <f t="shared" si="0"/>
        <v>0</v>
      </c>
    </row>
    <row r="21" spans="1:10" x14ac:dyDescent="0.35">
      <c r="A21" t="s">
        <v>148</v>
      </c>
      <c r="B21" t="s">
        <v>598</v>
      </c>
      <c r="C21" t="s">
        <v>149</v>
      </c>
      <c r="D21" t="s">
        <v>150</v>
      </c>
      <c r="E21" t="s">
        <v>151</v>
      </c>
      <c r="F21">
        <v>330</v>
      </c>
      <c r="I21" s="15"/>
      <c r="J21" s="17">
        <f t="shared" si="0"/>
        <v>0</v>
      </c>
    </row>
    <row r="22" spans="1:10" x14ac:dyDescent="0.35">
      <c r="A22" t="s">
        <v>148</v>
      </c>
      <c r="B22" t="s">
        <v>598</v>
      </c>
      <c r="C22" t="s">
        <v>149</v>
      </c>
      <c r="D22" t="s">
        <v>152</v>
      </c>
      <c r="E22" t="s">
        <v>153</v>
      </c>
      <c r="F22">
        <v>1</v>
      </c>
      <c r="I22" s="15"/>
      <c r="J22" s="17">
        <f t="shared" si="0"/>
        <v>0</v>
      </c>
    </row>
    <row r="23" spans="1:10" x14ac:dyDescent="0.35">
      <c r="A23" t="s">
        <v>247</v>
      </c>
      <c r="B23" t="s">
        <v>599</v>
      </c>
      <c r="C23" t="s">
        <v>248</v>
      </c>
      <c r="D23" t="s">
        <v>249</v>
      </c>
      <c r="E23" t="s">
        <v>250</v>
      </c>
      <c r="F23">
        <v>0</v>
      </c>
      <c r="H23" t="s">
        <v>186</v>
      </c>
      <c r="I23" s="15"/>
      <c r="J23" s="17">
        <f t="shared" si="0"/>
        <v>0</v>
      </c>
    </row>
    <row r="24" spans="1:10" x14ac:dyDescent="0.35">
      <c r="A24" t="s">
        <v>247</v>
      </c>
      <c r="B24" t="s">
        <v>599</v>
      </c>
      <c r="C24" t="s">
        <v>248</v>
      </c>
      <c r="D24" t="s">
        <v>202</v>
      </c>
      <c r="E24" t="s">
        <v>203</v>
      </c>
      <c r="F24">
        <v>0</v>
      </c>
      <c r="H24" t="s">
        <v>186</v>
      </c>
      <c r="I24" s="15"/>
      <c r="J24" s="17">
        <f t="shared" si="0"/>
        <v>0</v>
      </c>
    </row>
    <row r="25" spans="1:10" x14ac:dyDescent="0.35">
      <c r="A25" t="s">
        <v>211</v>
      </c>
      <c r="B25" t="s">
        <v>599</v>
      </c>
      <c r="C25" t="s">
        <v>212</v>
      </c>
      <c r="D25" t="s">
        <v>213</v>
      </c>
      <c r="E25" t="s">
        <v>214</v>
      </c>
      <c r="F25">
        <v>0</v>
      </c>
      <c r="H25" t="s">
        <v>215</v>
      </c>
      <c r="I25" s="15"/>
      <c r="J25" s="17">
        <f t="shared" si="0"/>
        <v>0</v>
      </c>
    </row>
    <row r="26" spans="1:10" x14ac:dyDescent="0.35">
      <c r="A26" t="s">
        <v>211</v>
      </c>
      <c r="B26" t="s">
        <v>599</v>
      </c>
      <c r="C26" t="s">
        <v>212</v>
      </c>
      <c r="D26" t="s">
        <v>218</v>
      </c>
      <c r="E26" t="s">
        <v>219</v>
      </c>
      <c r="F26">
        <v>44</v>
      </c>
      <c r="H26" t="s">
        <v>215</v>
      </c>
      <c r="I26" s="15"/>
      <c r="J26" s="17">
        <f t="shared" si="0"/>
        <v>0</v>
      </c>
    </row>
    <row r="27" spans="1:10" x14ac:dyDescent="0.35">
      <c r="A27" t="s">
        <v>211</v>
      </c>
      <c r="B27" t="s">
        <v>599</v>
      </c>
      <c r="C27" t="s">
        <v>212</v>
      </c>
      <c r="D27" t="s">
        <v>233</v>
      </c>
      <c r="E27" t="s">
        <v>234</v>
      </c>
      <c r="F27">
        <v>17</v>
      </c>
      <c r="H27" t="s">
        <v>215</v>
      </c>
      <c r="I27" s="15"/>
      <c r="J27" s="17">
        <f t="shared" si="0"/>
        <v>0</v>
      </c>
    </row>
    <row r="28" spans="1:10" x14ac:dyDescent="0.35">
      <c r="A28" t="s">
        <v>211</v>
      </c>
      <c r="B28" t="s">
        <v>599</v>
      </c>
      <c r="C28" t="s">
        <v>212</v>
      </c>
      <c r="D28" t="s">
        <v>202</v>
      </c>
      <c r="E28" t="s">
        <v>203</v>
      </c>
      <c r="F28">
        <v>0</v>
      </c>
      <c r="H28" t="s">
        <v>215</v>
      </c>
      <c r="I28" s="15"/>
      <c r="J28" s="17">
        <f t="shared" si="0"/>
        <v>0</v>
      </c>
    </row>
    <row r="29" spans="1:10" x14ac:dyDescent="0.35">
      <c r="A29" t="s">
        <v>220</v>
      </c>
      <c r="B29" t="s">
        <v>599</v>
      </c>
      <c r="C29" t="s">
        <v>221</v>
      </c>
      <c r="D29" t="s">
        <v>235</v>
      </c>
      <c r="E29" t="s">
        <v>236</v>
      </c>
      <c r="F29">
        <v>0</v>
      </c>
      <c r="H29" t="s">
        <v>215</v>
      </c>
      <c r="I29" s="15"/>
      <c r="J29" s="17">
        <f t="shared" si="0"/>
        <v>0</v>
      </c>
    </row>
    <row r="30" spans="1:10" x14ac:dyDescent="0.35">
      <c r="A30" t="s">
        <v>220</v>
      </c>
      <c r="B30" t="s">
        <v>599</v>
      </c>
      <c r="C30" t="s">
        <v>221</v>
      </c>
      <c r="D30" t="s">
        <v>202</v>
      </c>
      <c r="E30" t="s">
        <v>203</v>
      </c>
      <c r="F30">
        <v>0</v>
      </c>
      <c r="H30" t="s">
        <v>215</v>
      </c>
      <c r="I30" s="15"/>
      <c r="J30" s="17">
        <f t="shared" si="0"/>
        <v>0</v>
      </c>
    </row>
    <row r="31" spans="1:10" x14ac:dyDescent="0.35">
      <c r="A31" t="s">
        <v>182</v>
      </c>
      <c r="B31" t="s">
        <v>599</v>
      </c>
      <c r="C31" t="s">
        <v>183</v>
      </c>
      <c r="D31" t="s">
        <v>187</v>
      </c>
      <c r="E31" t="s">
        <v>188</v>
      </c>
      <c r="F31">
        <v>90</v>
      </c>
      <c r="H31" t="s">
        <v>186</v>
      </c>
      <c r="I31" s="15"/>
      <c r="J31" s="17">
        <f t="shared" si="0"/>
        <v>0</v>
      </c>
    </row>
    <row r="32" spans="1:10" x14ac:dyDescent="0.35">
      <c r="A32" t="s">
        <v>182</v>
      </c>
      <c r="B32" t="s">
        <v>599</v>
      </c>
      <c r="C32" t="s">
        <v>183</v>
      </c>
      <c r="D32" t="s">
        <v>239</v>
      </c>
      <c r="E32" t="s">
        <v>240</v>
      </c>
      <c r="F32">
        <v>23</v>
      </c>
      <c r="H32" t="s">
        <v>186</v>
      </c>
      <c r="I32" s="15"/>
      <c r="J32" s="17">
        <f t="shared" si="0"/>
        <v>0</v>
      </c>
    </row>
    <row r="33" spans="1:10" x14ac:dyDescent="0.35">
      <c r="A33" t="s">
        <v>182</v>
      </c>
      <c r="B33" t="s">
        <v>599</v>
      </c>
      <c r="C33" t="s">
        <v>198</v>
      </c>
      <c r="D33" t="s">
        <v>199</v>
      </c>
      <c r="E33" t="s">
        <v>200</v>
      </c>
      <c r="F33">
        <v>1</v>
      </c>
      <c r="H33" t="s">
        <v>186</v>
      </c>
      <c r="I33" s="15"/>
      <c r="J33" s="17">
        <f t="shared" si="0"/>
        <v>0</v>
      </c>
    </row>
    <row r="34" spans="1:10" x14ac:dyDescent="0.35">
      <c r="A34" t="s">
        <v>182</v>
      </c>
      <c r="B34" t="s">
        <v>599</v>
      </c>
      <c r="C34" t="s">
        <v>198</v>
      </c>
      <c r="D34" t="s">
        <v>241</v>
      </c>
      <c r="E34" t="s">
        <v>242</v>
      </c>
      <c r="F34">
        <v>4</v>
      </c>
      <c r="H34" t="s">
        <v>186</v>
      </c>
      <c r="I34" s="15"/>
      <c r="J34" s="17">
        <f t="shared" si="0"/>
        <v>0</v>
      </c>
    </row>
    <row r="35" spans="1:10" x14ac:dyDescent="0.35">
      <c r="A35" t="s">
        <v>182</v>
      </c>
      <c r="B35" t="s">
        <v>599</v>
      </c>
      <c r="C35" t="s">
        <v>198</v>
      </c>
      <c r="D35" t="s">
        <v>99</v>
      </c>
      <c r="E35" t="s">
        <v>201</v>
      </c>
      <c r="F35">
        <v>0</v>
      </c>
      <c r="H35" t="s">
        <v>186</v>
      </c>
      <c r="I35" s="15"/>
      <c r="J35" s="17">
        <f t="shared" si="0"/>
        <v>0</v>
      </c>
    </row>
    <row r="36" spans="1:10" x14ac:dyDescent="0.35">
      <c r="A36" t="s">
        <v>182</v>
      </c>
      <c r="B36" t="s">
        <v>599</v>
      </c>
      <c r="C36" t="s">
        <v>198</v>
      </c>
      <c r="D36" t="s">
        <v>202</v>
      </c>
      <c r="E36" t="s">
        <v>203</v>
      </c>
      <c r="F36">
        <v>0</v>
      </c>
      <c r="H36" t="s">
        <v>186</v>
      </c>
      <c r="I36" s="15"/>
      <c r="J36" s="17">
        <f t="shared" si="0"/>
        <v>0</v>
      </c>
    </row>
    <row r="37" spans="1:10" x14ac:dyDescent="0.35">
      <c r="A37" t="s">
        <v>182</v>
      </c>
      <c r="B37" t="s">
        <v>599</v>
      </c>
      <c r="C37" t="s">
        <v>204</v>
      </c>
      <c r="D37" t="s">
        <v>243</v>
      </c>
      <c r="E37" t="s">
        <v>244</v>
      </c>
      <c r="F37">
        <v>1098</v>
      </c>
      <c r="H37" t="s">
        <v>186</v>
      </c>
      <c r="I37" s="15"/>
      <c r="J37" s="17">
        <f t="shared" si="0"/>
        <v>0</v>
      </c>
    </row>
    <row r="38" spans="1:10" x14ac:dyDescent="0.35">
      <c r="A38" t="s">
        <v>182</v>
      </c>
      <c r="B38" t="s">
        <v>599</v>
      </c>
      <c r="C38" t="s">
        <v>204</v>
      </c>
      <c r="D38" t="s">
        <v>245</v>
      </c>
      <c r="E38" t="s">
        <v>246</v>
      </c>
      <c r="F38">
        <v>11</v>
      </c>
      <c r="H38" t="s">
        <v>186</v>
      </c>
      <c r="I38" s="15"/>
      <c r="J38" s="17">
        <f t="shared" si="0"/>
        <v>0</v>
      </c>
    </row>
    <row r="39" spans="1:10" x14ac:dyDescent="0.35">
      <c r="A39" t="s">
        <v>182</v>
      </c>
      <c r="B39" t="s">
        <v>599</v>
      </c>
      <c r="C39" t="s">
        <v>204</v>
      </c>
      <c r="D39" t="s">
        <v>207</v>
      </c>
      <c r="E39" t="s">
        <v>208</v>
      </c>
      <c r="F39">
        <v>221</v>
      </c>
      <c r="H39" t="s">
        <v>186</v>
      </c>
      <c r="I39" s="15"/>
      <c r="J39" s="17">
        <f t="shared" si="0"/>
        <v>0</v>
      </c>
    </row>
    <row r="40" spans="1:10" x14ac:dyDescent="0.35">
      <c r="A40" t="s">
        <v>182</v>
      </c>
      <c r="B40" t="s">
        <v>599</v>
      </c>
      <c r="C40" t="s">
        <v>204</v>
      </c>
      <c r="D40" t="s">
        <v>209</v>
      </c>
      <c r="E40" t="s">
        <v>210</v>
      </c>
      <c r="F40">
        <v>0</v>
      </c>
      <c r="H40" t="s">
        <v>186</v>
      </c>
      <c r="I40" s="15"/>
      <c r="J40" s="17">
        <f t="shared" si="0"/>
        <v>0</v>
      </c>
    </row>
    <row r="41" spans="1:10" x14ac:dyDescent="0.35">
      <c r="A41" t="s">
        <v>182</v>
      </c>
      <c r="B41" t="s">
        <v>599</v>
      </c>
      <c r="C41" t="s">
        <v>204</v>
      </c>
      <c r="D41" t="s">
        <v>202</v>
      </c>
      <c r="E41" t="s">
        <v>203</v>
      </c>
      <c r="F41">
        <v>0</v>
      </c>
      <c r="H41" t="s">
        <v>186</v>
      </c>
      <c r="I41" s="15"/>
      <c r="J41" s="17">
        <f t="shared" si="0"/>
        <v>0</v>
      </c>
    </row>
    <row r="42" spans="1:10" x14ac:dyDescent="0.35">
      <c r="I42" s="15"/>
      <c r="J42" s="15">
        <f>SUM(J2:J41)</f>
        <v>0</v>
      </c>
    </row>
  </sheetData>
  <autoFilter ref="A1:H41" xr:uid="{F3110EB4-1F00-4FB7-94E3-6A33B713D598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B14C-7B56-4CB6-AE15-116D9E23F328}">
  <dimension ref="A1:J36"/>
  <sheetViews>
    <sheetView topLeftCell="B1" workbookViewId="0">
      <selection activeCell="I1" sqref="I1:J1"/>
    </sheetView>
  </sheetViews>
  <sheetFormatPr defaultRowHeight="14.5" x14ac:dyDescent="0.35"/>
  <cols>
    <col min="1" max="1" width="35.26953125" bestFit="1" customWidth="1"/>
    <col min="2" max="2" width="35.26953125" customWidth="1"/>
    <col min="3" max="3" width="45.7265625" bestFit="1" customWidth="1"/>
    <col min="4" max="4" width="20.7265625" bestFit="1" customWidth="1"/>
    <col min="5" max="5" width="53.81640625" bestFit="1" customWidth="1"/>
    <col min="6" max="7" width="18" bestFit="1" customWidth="1"/>
    <col min="8" max="9" width="25.54296875" bestFit="1" customWidth="1"/>
  </cols>
  <sheetData>
    <row r="1" spans="1:10" x14ac:dyDescent="0.35">
      <c r="A1" s="3" t="s">
        <v>600</v>
      </c>
      <c r="B1" s="3" t="s">
        <v>597</v>
      </c>
      <c r="C1" s="3" t="s">
        <v>10</v>
      </c>
      <c r="D1" s="3" t="s">
        <v>20</v>
      </c>
      <c r="E1" s="3" t="s">
        <v>21</v>
      </c>
      <c r="F1" s="10" t="s">
        <v>23</v>
      </c>
      <c r="G1" s="3" t="s">
        <v>22</v>
      </c>
      <c r="H1" s="3" t="s">
        <v>181</v>
      </c>
      <c r="I1" s="3" t="s">
        <v>609</v>
      </c>
      <c r="J1" s="3" t="s">
        <v>610</v>
      </c>
    </row>
    <row r="2" spans="1:10" x14ac:dyDescent="0.35">
      <c r="A2" t="s">
        <v>11</v>
      </c>
      <c r="B2" t="s">
        <v>598</v>
      </c>
      <c r="C2" t="s">
        <v>12</v>
      </c>
      <c r="D2" t="s">
        <v>24</v>
      </c>
      <c r="E2" t="s">
        <v>25</v>
      </c>
      <c r="F2">
        <v>100</v>
      </c>
      <c r="G2" t="s">
        <v>26</v>
      </c>
      <c r="I2" s="15"/>
      <c r="J2" s="17">
        <f>I2*F2</f>
        <v>0</v>
      </c>
    </row>
    <row r="3" spans="1:10" x14ac:dyDescent="0.35">
      <c r="A3" t="s">
        <v>11</v>
      </c>
      <c r="B3" t="s">
        <v>598</v>
      </c>
      <c r="C3" t="s">
        <v>13</v>
      </c>
      <c r="D3" t="s">
        <v>27</v>
      </c>
      <c r="E3" t="s">
        <v>28</v>
      </c>
      <c r="F3">
        <v>1</v>
      </c>
      <c r="G3" t="s">
        <v>29</v>
      </c>
      <c r="I3" s="15"/>
      <c r="J3" s="17">
        <f t="shared" ref="J3:J35" si="0">I3*F3</f>
        <v>0</v>
      </c>
    </row>
    <row r="4" spans="1:10" x14ac:dyDescent="0.35">
      <c r="A4" t="s">
        <v>11</v>
      </c>
      <c r="B4" t="s">
        <v>598</v>
      </c>
      <c r="C4" t="s">
        <v>13</v>
      </c>
      <c r="D4" t="s">
        <v>30</v>
      </c>
      <c r="E4" t="s">
        <v>31</v>
      </c>
      <c r="F4">
        <v>1</v>
      </c>
      <c r="G4" t="s">
        <v>29</v>
      </c>
      <c r="I4" s="15"/>
      <c r="J4" s="17">
        <f t="shared" si="0"/>
        <v>0</v>
      </c>
    </row>
    <row r="5" spans="1:10" x14ac:dyDescent="0.35">
      <c r="A5" t="s">
        <v>11</v>
      </c>
      <c r="B5" t="s">
        <v>598</v>
      </c>
      <c r="C5" t="s">
        <v>13</v>
      </c>
      <c r="D5" t="s">
        <v>32</v>
      </c>
      <c r="E5" t="s">
        <v>33</v>
      </c>
      <c r="F5">
        <v>1</v>
      </c>
      <c r="G5" t="s">
        <v>29</v>
      </c>
      <c r="I5" s="15"/>
      <c r="J5" s="17">
        <f t="shared" si="0"/>
        <v>0</v>
      </c>
    </row>
    <row r="6" spans="1:10" x14ac:dyDescent="0.35">
      <c r="A6" t="s">
        <v>11</v>
      </c>
      <c r="B6" t="s">
        <v>598</v>
      </c>
      <c r="C6" t="s">
        <v>13</v>
      </c>
      <c r="D6" t="s">
        <v>34</v>
      </c>
      <c r="E6" t="s">
        <v>35</v>
      </c>
      <c r="F6">
        <v>1</v>
      </c>
      <c r="G6" t="s">
        <v>26</v>
      </c>
      <c r="I6" s="15"/>
      <c r="J6" s="17">
        <f t="shared" si="0"/>
        <v>0</v>
      </c>
    </row>
    <row r="7" spans="1:10" x14ac:dyDescent="0.35">
      <c r="A7" t="s">
        <v>15</v>
      </c>
      <c r="B7" t="s">
        <v>598</v>
      </c>
      <c r="C7" t="s">
        <v>16</v>
      </c>
      <c r="D7" t="s">
        <v>39</v>
      </c>
      <c r="E7" t="s">
        <v>40</v>
      </c>
      <c r="F7">
        <v>21</v>
      </c>
      <c r="G7" t="s">
        <v>29</v>
      </c>
      <c r="I7" s="15"/>
      <c r="J7" s="17">
        <f t="shared" si="0"/>
        <v>0</v>
      </c>
    </row>
    <row r="8" spans="1:10" x14ac:dyDescent="0.35">
      <c r="A8" t="s">
        <v>15</v>
      </c>
      <c r="B8" t="s">
        <v>598</v>
      </c>
      <c r="C8" t="s">
        <v>16</v>
      </c>
      <c r="D8" t="s">
        <v>41</v>
      </c>
      <c r="E8" t="s">
        <v>42</v>
      </c>
      <c r="F8">
        <v>1</v>
      </c>
      <c r="G8" t="s">
        <v>26</v>
      </c>
      <c r="I8" s="15"/>
      <c r="J8" s="17">
        <f t="shared" si="0"/>
        <v>0</v>
      </c>
    </row>
    <row r="9" spans="1:10" x14ac:dyDescent="0.35">
      <c r="A9" t="s">
        <v>15</v>
      </c>
      <c r="B9" t="s">
        <v>598</v>
      </c>
      <c r="C9" t="s">
        <v>16</v>
      </c>
      <c r="D9" t="s">
        <v>154</v>
      </c>
      <c r="E9" t="s">
        <v>40</v>
      </c>
      <c r="F9">
        <v>13</v>
      </c>
      <c r="G9" t="s">
        <v>88</v>
      </c>
      <c r="I9" s="15"/>
      <c r="J9" s="17">
        <f t="shared" si="0"/>
        <v>0</v>
      </c>
    </row>
    <row r="10" spans="1:10" x14ac:dyDescent="0.35">
      <c r="A10" t="s">
        <v>17</v>
      </c>
      <c r="B10" t="s">
        <v>598</v>
      </c>
      <c r="C10" t="s">
        <v>18</v>
      </c>
      <c r="D10" t="s">
        <v>136</v>
      </c>
      <c r="E10" t="s">
        <v>46</v>
      </c>
      <c r="F10">
        <v>18</v>
      </c>
      <c r="G10" t="s">
        <v>88</v>
      </c>
      <c r="I10" s="15"/>
      <c r="J10" s="17">
        <f t="shared" si="0"/>
        <v>0</v>
      </c>
    </row>
    <row r="11" spans="1:10" x14ac:dyDescent="0.35">
      <c r="A11" t="s">
        <v>17</v>
      </c>
      <c r="B11" t="s">
        <v>598</v>
      </c>
      <c r="C11" t="s">
        <v>18</v>
      </c>
      <c r="D11" t="s">
        <v>251</v>
      </c>
      <c r="E11" t="s">
        <v>115</v>
      </c>
      <c r="F11">
        <v>2</v>
      </c>
      <c r="G11" t="s">
        <v>88</v>
      </c>
      <c r="I11" s="15"/>
      <c r="J11" s="17">
        <f t="shared" si="0"/>
        <v>0</v>
      </c>
    </row>
    <row r="12" spans="1:10" x14ac:dyDescent="0.35">
      <c r="A12" t="s">
        <v>17</v>
      </c>
      <c r="B12" t="s">
        <v>598</v>
      </c>
      <c r="C12" t="s">
        <v>18</v>
      </c>
      <c r="D12" t="s">
        <v>138</v>
      </c>
      <c r="E12" t="s">
        <v>53</v>
      </c>
      <c r="F12">
        <v>60</v>
      </c>
      <c r="G12" t="s">
        <v>88</v>
      </c>
      <c r="I12" s="15"/>
      <c r="J12" s="17">
        <f t="shared" si="0"/>
        <v>0</v>
      </c>
    </row>
    <row r="13" spans="1:10" x14ac:dyDescent="0.35">
      <c r="A13" t="s">
        <v>17</v>
      </c>
      <c r="B13" t="s">
        <v>598</v>
      </c>
      <c r="C13" t="s">
        <v>18</v>
      </c>
      <c r="D13" t="s">
        <v>58</v>
      </c>
      <c r="E13" t="s">
        <v>59</v>
      </c>
      <c r="F13">
        <v>1</v>
      </c>
      <c r="G13" t="s">
        <v>26</v>
      </c>
      <c r="I13" s="15"/>
      <c r="J13" s="17">
        <f t="shared" si="0"/>
        <v>0</v>
      </c>
    </row>
    <row r="14" spans="1:10" x14ac:dyDescent="0.35">
      <c r="A14" t="s">
        <v>17</v>
      </c>
      <c r="B14" t="s">
        <v>598</v>
      </c>
      <c r="C14" t="s">
        <v>18</v>
      </c>
      <c r="D14" t="s">
        <v>180</v>
      </c>
      <c r="E14" t="s">
        <v>57</v>
      </c>
      <c r="F14">
        <v>5</v>
      </c>
      <c r="G14" t="s">
        <v>88</v>
      </c>
      <c r="I14" s="15"/>
      <c r="J14" s="17">
        <f t="shared" si="0"/>
        <v>0</v>
      </c>
    </row>
    <row r="15" spans="1:10" x14ac:dyDescent="0.35">
      <c r="A15" t="s">
        <v>17</v>
      </c>
      <c r="B15" t="s">
        <v>598</v>
      </c>
      <c r="C15" t="s">
        <v>116</v>
      </c>
      <c r="D15" t="s">
        <v>155</v>
      </c>
      <c r="E15" t="s">
        <v>156</v>
      </c>
      <c r="F15">
        <v>4</v>
      </c>
      <c r="G15" t="s">
        <v>88</v>
      </c>
      <c r="I15" s="15"/>
      <c r="J15" s="17">
        <f t="shared" si="0"/>
        <v>0</v>
      </c>
    </row>
    <row r="16" spans="1:10" x14ac:dyDescent="0.35">
      <c r="A16" t="s">
        <v>17</v>
      </c>
      <c r="B16" t="s">
        <v>598</v>
      </c>
      <c r="C16" t="s">
        <v>116</v>
      </c>
      <c r="D16" t="s">
        <v>117</v>
      </c>
      <c r="E16" t="s">
        <v>118</v>
      </c>
      <c r="F16">
        <v>1</v>
      </c>
      <c r="G16" t="s">
        <v>26</v>
      </c>
      <c r="I16" s="15"/>
      <c r="J16" s="17">
        <f t="shared" si="0"/>
        <v>0</v>
      </c>
    </row>
    <row r="17" spans="1:10" x14ac:dyDescent="0.35">
      <c r="A17" t="s">
        <v>65</v>
      </c>
      <c r="B17" t="s">
        <v>598</v>
      </c>
      <c r="C17" t="s">
        <v>66</v>
      </c>
      <c r="D17" t="s">
        <v>67</v>
      </c>
      <c r="E17" t="s">
        <v>68</v>
      </c>
      <c r="F17">
        <v>1</v>
      </c>
      <c r="I17" s="15"/>
      <c r="J17" s="17">
        <f t="shared" si="0"/>
        <v>0</v>
      </c>
    </row>
    <row r="18" spans="1:10" x14ac:dyDescent="0.35">
      <c r="A18" t="s">
        <v>65</v>
      </c>
      <c r="B18" t="s">
        <v>598</v>
      </c>
      <c r="C18" t="s">
        <v>66</v>
      </c>
      <c r="D18" t="s">
        <v>69</v>
      </c>
      <c r="E18" t="s">
        <v>70</v>
      </c>
      <c r="F18">
        <v>100</v>
      </c>
      <c r="I18" s="15"/>
      <c r="J18" s="17">
        <f t="shared" si="0"/>
        <v>0</v>
      </c>
    </row>
    <row r="19" spans="1:10" x14ac:dyDescent="0.35">
      <c r="A19" t="s">
        <v>65</v>
      </c>
      <c r="B19" t="s">
        <v>598</v>
      </c>
      <c r="C19" t="s">
        <v>71</v>
      </c>
      <c r="D19" t="s">
        <v>72</v>
      </c>
      <c r="E19" t="s">
        <v>73</v>
      </c>
      <c r="F19">
        <v>150</v>
      </c>
      <c r="I19" s="15"/>
      <c r="J19" s="17">
        <f t="shared" si="0"/>
        <v>0</v>
      </c>
    </row>
    <row r="20" spans="1:10" x14ac:dyDescent="0.35">
      <c r="A20" t="s">
        <v>65</v>
      </c>
      <c r="B20" t="s">
        <v>598</v>
      </c>
      <c r="C20" t="s">
        <v>71</v>
      </c>
      <c r="D20" t="s">
        <v>74</v>
      </c>
      <c r="E20" t="s">
        <v>75</v>
      </c>
      <c r="F20">
        <v>1</v>
      </c>
      <c r="I20" s="15"/>
      <c r="J20" s="17">
        <f t="shared" si="0"/>
        <v>0</v>
      </c>
    </row>
    <row r="21" spans="1:10" x14ac:dyDescent="0.35">
      <c r="A21" t="s">
        <v>65</v>
      </c>
      <c r="B21" t="s">
        <v>598</v>
      </c>
      <c r="C21" t="s">
        <v>71</v>
      </c>
      <c r="D21" t="s">
        <v>108</v>
      </c>
      <c r="E21" t="s">
        <v>109</v>
      </c>
      <c r="F21">
        <v>200</v>
      </c>
      <c r="I21" s="15"/>
      <c r="J21" s="17">
        <f t="shared" si="0"/>
        <v>0</v>
      </c>
    </row>
    <row r="22" spans="1:10" x14ac:dyDescent="0.35">
      <c r="A22" t="s">
        <v>220</v>
      </c>
      <c r="B22" t="s">
        <v>599</v>
      </c>
      <c r="C22" t="s">
        <v>221</v>
      </c>
      <c r="D22" t="s">
        <v>256</v>
      </c>
      <c r="E22" t="s">
        <v>257</v>
      </c>
      <c r="F22">
        <v>1</v>
      </c>
      <c r="G22" t="s">
        <v>192</v>
      </c>
      <c r="I22" s="15"/>
      <c r="J22" s="17">
        <f t="shared" si="0"/>
        <v>0</v>
      </c>
    </row>
    <row r="23" spans="1:10" x14ac:dyDescent="0.35">
      <c r="A23" t="s">
        <v>182</v>
      </c>
      <c r="B23" t="s">
        <v>599</v>
      </c>
      <c r="C23" t="s">
        <v>183</v>
      </c>
      <c r="D23" t="s">
        <v>252</v>
      </c>
      <c r="E23" t="s">
        <v>253</v>
      </c>
      <c r="F23">
        <v>0</v>
      </c>
      <c r="H23" t="s">
        <v>186</v>
      </c>
      <c r="I23" s="15"/>
      <c r="J23" s="17">
        <f t="shared" si="0"/>
        <v>0</v>
      </c>
    </row>
    <row r="24" spans="1:10" x14ac:dyDescent="0.35">
      <c r="A24" t="s">
        <v>182</v>
      </c>
      <c r="B24" t="s">
        <v>599</v>
      </c>
      <c r="C24" t="s">
        <v>183</v>
      </c>
      <c r="D24" t="s">
        <v>184</v>
      </c>
      <c r="E24" t="s">
        <v>185</v>
      </c>
      <c r="F24">
        <v>3</v>
      </c>
      <c r="H24" t="s">
        <v>186</v>
      </c>
      <c r="I24" s="15"/>
      <c r="J24" s="17">
        <f t="shared" si="0"/>
        <v>0</v>
      </c>
    </row>
    <row r="25" spans="1:10" x14ac:dyDescent="0.35">
      <c r="A25" t="s">
        <v>182</v>
      </c>
      <c r="B25" t="s">
        <v>599</v>
      </c>
      <c r="C25" t="s">
        <v>183</v>
      </c>
      <c r="D25" t="s">
        <v>187</v>
      </c>
      <c r="E25" t="s">
        <v>188</v>
      </c>
      <c r="F25">
        <v>31</v>
      </c>
      <c r="H25" t="s">
        <v>186</v>
      </c>
      <c r="I25" s="15"/>
      <c r="J25" s="17">
        <f t="shared" si="0"/>
        <v>0</v>
      </c>
    </row>
    <row r="26" spans="1:10" x14ac:dyDescent="0.35">
      <c r="A26" t="s">
        <v>182</v>
      </c>
      <c r="B26" t="s">
        <v>599</v>
      </c>
      <c r="C26" t="s">
        <v>183</v>
      </c>
      <c r="D26" t="s">
        <v>229</v>
      </c>
      <c r="E26" t="s">
        <v>230</v>
      </c>
      <c r="F26">
        <v>82</v>
      </c>
      <c r="H26" t="s">
        <v>186</v>
      </c>
      <c r="I26" s="15"/>
      <c r="J26" s="17">
        <f t="shared" si="0"/>
        <v>0</v>
      </c>
    </row>
    <row r="27" spans="1:10" x14ac:dyDescent="0.35">
      <c r="A27" t="s">
        <v>182</v>
      </c>
      <c r="B27" t="s">
        <v>599</v>
      </c>
      <c r="C27" t="s">
        <v>183</v>
      </c>
      <c r="D27" t="s">
        <v>254</v>
      </c>
      <c r="E27" t="s">
        <v>255</v>
      </c>
      <c r="F27">
        <v>10</v>
      </c>
      <c r="H27" t="s">
        <v>186</v>
      </c>
      <c r="I27" s="15"/>
      <c r="J27" s="17">
        <f t="shared" si="0"/>
        <v>0</v>
      </c>
    </row>
    <row r="28" spans="1:10" x14ac:dyDescent="0.35">
      <c r="A28" t="s">
        <v>182</v>
      </c>
      <c r="B28" t="s">
        <v>599</v>
      </c>
      <c r="C28" t="s">
        <v>183</v>
      </c>
      <c r="D28" t="s">
        <v>202</v>
      </c>
      <c r="E28" t="s">
        <v>203</v>
      </c>
      <c r="F28">
        <v>0</v>
      </c>
      <c r="H28" t="s">
        <v>186</v>
      </c>
      <c r="I28" s="15"/>
      <c r="J28" s="17">
        <f t="shared" si="0"/>
        <v>0</v>
      </c>
    </row>
    <row r="29" spans="1:10" x14ac:dyDescent="0.35">
      <c r="A29" t="s">
        <v>182</v>
      </c>
      <c r="B29" t="s">
        <v>599</v>
      </c>
      <c r="C29" t="s">
        <v>189</v>
      </c>
      <c r="D29" t="s">
        <v>231</v>
      </c>
      <c r="E29" t="s">
        <v>232</v>
      </c>
      <c r="F29">
        <v>46</v>
      </c>
      <c r="H29" t="s">
        <v>192</v>
      </c>
      <c r="I29" s="15"/>
      <c r="J29" s="17">
        <f t="shared" si="0"/>
        <v>0</v>
      </c>
    </row>
    <row r="30" spans="1:10" x14ac:dyDescent="0.35">
      <c r="A30" t="s">
        <v>182</v>
      </c>
      <c r="B30" t="s">
        <v>599</v>
      </c>
      <c r="C30" t="s">
        <v>189</v>
      </c>
      <c r="D30" t="s">
        <v>190</v>
      </c>
      <c r="E30" t="s">
        <v>191</v>
      </c>
      <c r="F30">
        <v>29</v>
      </c>
      <c r="H30" t="s">
        <v>192</v>
      </c>
      <c r="I30" s="15"/>
      <c r="J30" s="17">
        <f t="shared" si="0"/>
        <v>0</v>
      </c>
    </row>
    <row r="31" spans="1:10" x14ac:dyDescent="0.35">
      <c r="A31" t="s">
        <v>182</v>
      </c>
      <c r="B31" t="s">
        <v>599</v>
      </c>
      <c r="C31" t="s">
        <v>189</v>
      </c>
      <c r="D31" t="s">
        <v>193</v>
      </c>
      <c r="E31" t="s">
        <v>194</v>
      </c>
      <c r="F31">
        <v>707</v>
      </c>
      <c r="H31" t="s">
        <v>192</v>
      </c>
      <c r="I31" s="15"/>
      <c r="J31" s="17">
        <f t="shared" si="0"/>
        <v>0</v>
      </c>
    </row>
    <row r="32" spans="1:10" x14ac:dyDescent="0.35">
      <c r="A32" t="s">
        <v>182</v>
      </c>
      <c r="B32" t="s">
        <v>599</v>
      </c>
      <c r="C32" t="s">
        <v>204</v>
      </c>
      <c r="D32" t="s">
        <v>245</v>
      </c>
      <c r="E32" t="s">
        <v>246</v>
      </c>
      <c r="F32">
        <v>22</v>
      </c>
      <c r="H32" t="s">
        <v>186</v>
      </c>
      <c r="I32" s="15"/>
      <c r="J32" s="17">
        <f t="shared" si="0"/>
        <v>0</v>
      </c>
    </row>
    <row r="33" spans="1:10" x14ac:dyDescent="0.35">
      <c r="A33" t="s">
        <v>182</v>
      </c>
      <c r="B33" t="s">
        <v>599</v>
      </c>
      <c r="C33" t="s">
        <v>204</v>
      </c>
      <c r="D33" t="s">
        <v>207</v>
      </c>
      <c r="E33" t="s">
        <v>208</v>
      </c>
      <c r="F33">
        <v>1528</v>
      </c>
      <c r="H33" t="s">
        <v>186</v>
      </c>
      <c r="I33" s="15"/>
      <c r="J33" s="17">
        <f t="shared" si="0"/>
        <v>0</v>
      </c>
    </row>
    <row r="34" spans="1:10" x14ac:dyDescent="0.35">
      <c r="A34" t="s">
        <v>182</v>
      </c>
      <c r="B34" t="s">
        <v>599</v>
      </c>
      <c r="C34" t="s">
        <v>204</v>
      </c>
      <c r="D34" t="s">
        <v>209</v>
      </c>
      <c r="E34" t="s">
        <v>210</v>
      </c>
      <c r="F34">
        <v>0</v>
      </c>
      <c r="H34" t="s">
        <v>186</v>
      </c>
      <c r="I34" s="15"/>
      <c r="J34" s="17">
        <f t="shared" si="0"/>
        <v>0</v>
      </c>
    </row>
    <row r="35" spans="1:10" x14ac:dyDescent="0.35">
      <c r="A35" t="s">
        <v>182</v>
      </c>
      <c r="B35" t="s">
        <v>599</v>
      </c>
      <c r="C35" t="s">
        <v>204</v>
      </c>
      <c r="D35" t="s">
        <v>202</v>
      </c>
      <c r="E35" t="s">
        <v>203</v>
      </c>
      <c r="F35">
        <v>0</v>
      </c>
      <c r="H35" t="s">
        <v>186</v>
      </c>
      <c r="I35" s="15"/>
      <c r="J35" s="17">
        <f t="shared" si="0"/>
        <v>0</v>
      </c>
    </row>
    <row r="36" spans="1:10" x14ac:dyDescent="0.35">
      <c r="I36" s="15"/>
      <c r="J36" s="15">
        <f>SUM(J2:J35)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5242-33D5-442F-93E0-BD4B18C563BD}">
  <dimension ref="A1:J69"/>
  <sheetViews>
    <sheetView topLeftCell="B1" workbookViewId="0">
      <pane ySplit="1" topLeftCell="A29" activePane="bottomLeft" state="frozen"/>
      <selection pane="bottomLeft" activeCell="J70" sqref="J70"/>
    </sheetView>
  </sheetViews>
  <sheetFormatPr defaultRowHeight="14.5" x14ac:dyDescent="0.35"/>
  <cols>
    <col min="1" max="1" width="35.26953125" bestFit="1" customWidth="1"/>
    <col min="2" max="2" width="35.26953125" customWidth="1"/>
    <col min="3" max="3" width="45.7265625" bestFit="1" customWidth="1"/>
    <col min="4" max="4" width="20.7265625" bestFit="1" customWidth="1"/>
    <col min="5" max="5" width="53.81640625" bestFit="1" customWidth="1"/>
    <col min="6" max="6" width="18" bestFit="1" customWidth="1"/>
    <col min="7" max="9" width="16.26953125" bestFit="1" customWidth="1"/>
  </cols>
  <sheetData>
    <row r="1" spans="1:10" x14ac:dyDescent="0.35">
      <c r="A1" s="3" t="s">
        <v>600</v>
      </c>
      <c r="B1" s="3" t="s">
        <v>597</v>
      </c>
      <c r="C1" s="3" t="s">
        <v>10</v>
      </c>
      <c r="D1" s="3" t="s">
        <v>20</v>
      </c>
      <c r="E1" s="3" t="s">
        <v>21</v>
      </c>
      <c r="F1" s="10" t="s">
        <v>23</v>
      </c>
      <c r="G1" s="3" t="s">
        <v>22</v>
      </c>
      <c r="H1" s="3" t="s">
        <v>181</v>
      </c>
      <c r="I1" s="3" t="s">
        <v>609</v>
      </c>
      <c r="J1" s="3" t="s">
        <v>610</v>
      </c>
    </row>
    <row r="2" spans="1:10" x14ac:dyDescent="0.35">
      <c r="A2" t="s">
        <v>11</v>
      </c>
      <c r="C2" t="s">
        <v>12</v>
      </c>
      <c r="D2" t="s">
        <v>24</v>
      </c>
      <c r="E2" t="s">
        <v>25</v>
      </c>
      <c r="F2">
        <v>100</v>
      </c>
      <c r="G2" t="s">
        <v>26</v>
      </c>
      <c r="I2" s="15"/>
      <c r="J2" s="17">
        <f t="shared" ref="J2:J28" si="0">I2*F2</f>
        <v>0</v>
      </c>
    </row>
    <row r="3" spans="1:10" x14ac:dyDescent="0.35">
      <c r="A3" t="s">
        <v>11</v>
      </c>
      <c r="C3" t="s">
        <v>13</v>
      </c>
      <c r="D3" t="s">
        <v>27</v>
      </c>
      <c r="E3" t="s">
        <v>28</v>
      </c>
      <c r="F3">
        <v>1</v>
      </c>
      <c r="G3" t="s">
        <v>29</v>
      </c>
      <c r="I3" s="15"/>
      <c r="J3" s="17">
        <f t="shared" si="0"/>
        <v>0</v>
      </c>
    </row>
    <row r="4" spans="1:10" x14ac:dyDescent="0.35">
      <c r="A4" t="s">
        <v>11</v>
      </c>
      <c r="C4" t="s">
        <v>13</v>
      </c>
      <c r="D4" t="s">
        <v>30</v>
      </c>
      <c r="E4" t="s">
        <v>31</v>
      </c>
      <c r="F4">
        <v>1</v>
      </c>
      <c r="G4" t="s">
        <v>29</v>
      </c>
      <c r="I4" s="15"/>
      <c r="J4" s="17">
        <f t="shared" si="0"/>
        <v>0</v>
      </c>
    </row>
    <row r="5" spans="1:10" x14ac:dyDescent="0.35">
      <c r="A5" t="s">
        <v>11</v>
      </c>
      <c r="C5" t="s">
        <v>13</v>
      </c>
      <c r="D5" t="s">
        <v>32</v>
      </c>
      <c r="E5" t="s">
        <v>33</v>
      </c>
      <c r="F5">
        <v>1</v>
      </c>
      <c r="G5" t="s">
        <v>29</v>
      </c>
      <c r="I5" s="15"/>
      <c r="J5" s="17">
        <f t="shared" si="0"/>
        <v>0</v>
      </c>
    </row>
    <row r="6" spans="1:10" x14ac:dyDescent="0.35">
      <c r="A6" t="s">
        <v>11</v>
      </c>
      <c r="C6" t="s">
        <v>13</v>
      </c>
      <c r="D6" t="s">
        <v>34</v>
      </c>
      <c r="E6" t="s">
        <v>35</v>
      </c>
      <c r="F6">
        <v>1</v>
      </c>
      <c r="G6" t="s">
        <v>26</v>
      </c>
      <c r="I6" s="15"/>
      <c r="J6" s="17">
        <f t="shared" si="0"/>
        <v>0</v>
      </c>
    </row>
    <row r="7" spans="1:10" x14ac:dyDescent="0.35">
      <c r="A7" t="s">
        <v>11</v>
      </c>
      <c r="C7" t="s">
        <v>14</v>
      </c>
      <c r="D7" t="s">
        <v>36</v>
      </c>
      <c r="E7" t="s">
        <v>37</v>
      </c>
      <c r="F7">
        <v>1</v>
      </c>
      <c r="G7" t="s">
        <v>29</v>
      </c>
      <c r="I7" s="15"/>
      <c r="J7" s="17">
        <f t="shared" si="0"/>
        <v>0</v>
      </c>
    </row>
    <row r="8" spans="1:10" x14ac:dyDescent="0.35">
      <c r="A8" t="s">
        <v>11</v>
      </c>
      <c r="C8" t="s">
        <v>14</v>
      </c>
      <c r="D8" t="s">
        <v>38</v>
      </c>
      <c r="E8" t="s">
        <v>35</v>
      </c>
      <c r="F8">
        <v>1</v>
      </c>
      <c r="G8" t="s">
        <v>26</v>
      </c>
      <c r="I8" s="15"/>
      <c r="J8" s="17">
        <f t="shared" si="0"/>
        <v>0</v>
      </c>
    </row>
    <row r="9" spans="1:10" x14ac:dyDescent="0.35">
      <c r="A9" t="s">
        <v>15</v>
      </c>
      <c r="C9" t="s">
        <v>16</v>
      </c>
      <c r="D9" t="s">
        <v>39</v>
      </c>
      <c r="E9" t="s">
        <v>40</v>
      </c>
      <c r="F9">
        <v>11</v>
      </c>
      <c r="G9" t="s">
        <v>29</v>
      </c>
      <c r="I9" s="15"/>
      <c r="J9" s="17">
        <f t="shared" si="0"/>
        <v>0</v>
      </c>
    </row>
    <row r="10" spans="1:10" x14ac:dyDescent="0.35">
      <c r="A10" t="s">
        <v>15</v>
      </c>
      <c r="C10" t="s">
        <v>16</v>
      </c>
      <c r="D10" t="s">
        <v>41</v>
      </c>
      <c r="E10" t="s">
        <v>42</v>
      </c>
      <c r="F10">
        <v>1</v>
      </c>
      <c r="G10" t="s">
        <v>26</v>
      </c>
      <c r="I10" s="15"/>
      <c r="J10" s="17">
        <f t="shared" si="0"/>
        <v>0</v>
      </c>
    </row>
    <row r="11" spans="1:10" x14ac:dyDescent="0.35">
      <c r="A11" t="s">
        <v>15</v>
      </c>
      <c r="C11" t="s">
        <v>16</v>
      </c>
      <c r="D11" t="s">
        <v>93</v>
      </c>
      <c r="E11" t="s">
        <v>94</v>
      </c>
      <c r="F11">
        <v>2</v>
      </c>
      <c r="G11" t="s">
        <v>29</v>
      </c>
      <c r="I11" s="15"/>
      <c r="J11" s="17">
        <f t="shared" si="0"/>
        <v>0</v>
      </c>
    </row>
    <row r="12" spans="1:10" x14ac:dyDescent="0.35">
      <c r="A12" t="s">
        <v>17</v>
      </c>
      <c r="C12" t="s">
        <v>18</v>
      </c>
      <c r="D12" t="s">
        <v>177</v>
      </c>
      <c r="E12" t="s">
        <v>50</v>
      </c>
      <c r="F12">
        <v>2</v>
      </c>
      <c r="G12" t="s">
        <v>88</v>
      </c>
      <c r="I12" s="15"/>
      <c r="J12" s="17">
        <f t="shared" si="0"/>
        <v>0</v>
      </c>
    </row>
    <row r="13" spans="1:10" x14ac:dyDescent="0.35">
      <c r="A13" t="s">
        <v>17</v>
      </c>
      <c r="C13" t="s">
        <v>18</v>
      </c>
      <c r="D13" t="s">
        <v>45</v>
      </c>
      <c r="E13" t="s">
        <v>46</v>
      </c>
      <c r="F13">
        <v>1</v>
      </c>
      <c r="G13" t="s">
        <v>29</v>
      </c>
      <c r="I13" s="15"/>
      <c r="J13" s="17">
        <f t="shared" si="0"/>
        <v>0</v>
      </c>
    </row>
    <row r="14" spans="1:10" x14ac:dyDescent="0.35">
      <c r="A14" t="s">
        <v>17</v>
      </c>
      <c r="C14" t="s">
        <v>18</v>
      </c>
      <c r="D14" t="s">
        <v>430</v>
      </c>
      <c r="E14" t="s">
        <v>431</v>
      </c>
      <c r="F14">
        <v>3</v>
      </c>
      <c r="G14" t="s">
        <v>29</v>
      </c>
      <c r="I14" s="15"/>
      <c r="J14" s="17">
        <f t="shared" si="0"/>
        <v>0</v>
      </c>
    </row>
    <row r="15" spans="1:10" x14ac:dyDescent="0.35">
      <c r="A15" t="s">
        <v>17</v>
      </c>
      <c r="C15" t="s">
        <v>18</v>
      </c>
      <c r="D15" t="s">
        <v>86</v>
      </c>
      <c r="E15" t="s">
        <v>87</v>
      </c>
      <c r="F15">
        <v>3</v>
      </c>
      <c r="G15" t="s">
        <v>88</v>
      </c>
      <c r="I15" s="15"/>
      <c r="J15" s="17">
        <f t="shared" si="0"/>
        <v>0</v>
      </c>
    </row>
    <row r="16" spans="1:10" x14ac:dyDescent="0.35">
      <c r="A16" t="s">
        <v>17</v>
      </c>
      <c r="C16" t="s">
        <v>18</v>
      </c>
      <c r="D16" t="s">
        <v>47</v>
      </c>
      <c r="E16" t="s">
        <v>48</v>
      </c>
      <c r="F16">
        <v>9</v>
      </c>
      <c r="G16" t="s">
        <v>29</v>
      </c>
      <c r="I16" s="15"/>
      <c r="J16" s="17">
        <f t="shared" si="0"/>
        <v>0</v>
      </c>
    </row>
    <row r="17" spans="1:10" x14ac:dyDescent="0.35">
      <c r="A17" t="s">
        <v>17</v>
      </c>
      <c r="C17" t="s">
        <v>18</v>
      </c>
      <c r="D17" t="s">
        <v>432</v>
      </c>
      <c r="E17" t="s">
        <v>87</v>
      </c>
      <c r="F17">
        <v>5</v>
      </c>
      <c r="G17" t="s">
        <v>29</v>
      </c>
      <c r="I17" s="15"/>
      <c r="J17" s="17">
        <f t="shared" si="0"/>
        <v>0</v>
      </c>
    </row>
    <row r="18" spans="1:10" x14ac:dyDescent="0.35">
      <c r="A18" t="s">
        <v>17</v>
      </c>
      <c r="C18" t="s">
        <v>18</v>
      </c>
      <c r="D18" t="s">
        <v>433</v>
      </c>
      <c r="E18" t="s">
        <v>434</v>
      </c>
      <c r="F18">
        <v>1</v>
      </c>
      <c r="G18" t="s">
        <v>29</v>
      </c>
      <c r="I18" s="15"/>
      <c r="J18" s="17">
        <f t="shared" si="0"/>
        <v>0</v>
      </c>
    </row>
    <row r="19" spans="1:10" x14ac:dyDescent="0.35">
      <c r="A19" t="s">
        <v>17</v>
      </c>
      <c r="C19" t="s">
        <v>18</v>
      </c>
      <c r="D19" t="s">
        <v>137</v>
      </c>
      <c r="E19" t="s">
        <v>51</v>
      </c>
      <c r="F19">
        <v>2</v>
      </c>
      <c r="G19" t="s">
        <v>88</v>
      </c>
      <c r="I19" s="15"/>
      <c r="J19" s="17">
        <f t="shared" si="0"/>
        <v>0</v>
      </c>
    </row>
    <row r="20" spans="1:10" x14ac:dyDescent="0.35">
      <c r="A20" t="s">
        <v>17</v>
      </c>
      <c r="C20" t="s">
        <v>18</v>
      </c>
      <c r="D20" t="s">
        <v>435</v>
      </c>
      <c r="E20" t="s">
        <v>51</v>
      </c>
      <c r="F20">
        <v>1</v>
      </c>
      <c r="G20" t="s">
        <v>29</v>
      </c>
      <c r="I20" s="15"/>
      <c r="J20" s="17">
        <f t="shared" si="0"/>
        <v>0</v>
      </c>
    </row>
    <row r="21" spans="1:10" x14ac:dyDescent="0.35">
      <c r="A21" t="s">
        <v>17</v>
      </c>
      <c r="C21" t="s">
        <v>18</v>
      </c>
      <c r="D21" t="s">
        <v>138</v>
      </c>
      <c r="E21" t="s">
        <v>53</v>
      </c>
      <c r="F21">
        <v>11</v>
      </c>
      <c r="G21" t="s">
        <v>88</v>
      </c>
      <c r="I21" s="15"/>
      <c r="J21" s="17">
        <f t="shared" si="0"/>
        <v>0</v>
      </c>
    </row>
    <row r="22" spans="1:10" x14ac:dyDescent="0.35">
      <c r="A22" t="s">
        <v>17</v>
      </c>
      <c r="C22" t="s">
        <v>18</v>
      </c>
      <c r="D22" t="s">
        <v>52</v>
      </c>
      <c r="E22" t="s">
        <v>53</v>
      </c>
      <c r="F22">
        <v>75</v>
      </c>
      <c r="G22" t="s">
        <v>29</v>
      </c>
      <c r="I22" s="15"/>
      <c r="J22" s="17">
        <f t="shared" si="0"/>
        <v>0</v>
      </c>
    </row>
    <row r="23" spans="1:10" x14ac:dyDescent="0.35">
      <c r="A23" t="s">
        <v>17</v>
      </c>
      <c r="C23" t="s">
        <v>18</v>
      </c>
      <c r="D23" t="s">
        <v>141</v>
      </c>
      <c r="E23" t="s">
        <v>54</v>
      </c>
      <c r="F23">
        <v>12</v>
      </c>
      <c r="G23" t="s">
        <v>88</v>
      </c>
      <c r="I23" s="15"/>
      <c r="J23" s="17">
        <f t="shared" si="0"/>
        <v>0</v>
      </c>
    </row>
    <row r="24" spans="1:10" x14ac:dyDescent="0.35">
      <c r="A24" t="s">
        <v>17</v>
      </c>
      <c r="C24" t="s">
        <v>18</v>
      </c>
      <c r="D24" t="s">
        <v>142</v>
      </c>
      <c r="E24" t="s">
        <v>143</v>
      </c>
      <c r="F24">
        <v>187</v>
      </c>
      <c r="G24" t="s">
        <v>88</v>
      </c>
      <c r="I24" s="15"/>
      <c r="J24" s="17">
        <f t="shared" si="0"/>
        <v>0</v>
      </c>
    </row>
    <row r="25" spans="1:10" x14ac:dyDescent="0.35">
      <c r="A25" t="s">
        <v>17</v>
      </c>
      <c r="C25" t="s">
        <v>18</v>
      </c>
      <c r="D25" t="s">
        <v>436</v>
      </c>
      <c r="E25" t="s">
        <v>143</v>
      </c>
      <c r="F25">
        <v>187</v>
      </c>
      <c r="G25" t="s">
        <v>29</v>
      </c>
      <c r="I25" s="15"/>
      <c r="J25" s="17">
        <f t="shared" si="0"/>
        <v>0</v>
      </c>
    </row>
    <row r="26" spans="1:10" x14ac:dyDescent="0.35">
      <c r="A26" t="s">
        <v>17</v>
      </c>
      <c r="C26" t="s">
        <v>18</v>
      </c>
      <c r="D26" t="s">
        <v>437</v>
      </c>
      <c r="E26" t="s">
        <v>438</v>
      </c>
      <c r="F26">
        <v>5</v>
      </c>
      <c r="G26" t="s">
        <v>88</v>
      </c>
      <c r="I26" s="15"/>
      <c r="J26" s="17">
        <f t="shared" si="0"/>
        <v>0</v>
      </c>
    </row>
    <row r="27" spans="1:10" x14ac:dyDescent="0.35">
      <c r="A27" t="s">
        <v>17</v>
      </c>
      <c r="C27" t="s">
        <v>18</v>
      </c>
      <c r="D27" t="s">
        <v>95</v>
      </c>
      <c r="E27" t="s">
        <v>96</v>
      </c>
      <c r="F27">
        <v>5</v>
      </c>
      <c r="G27" t="s">
        <v>29</v>
      </c>
      <c r="I27" s="15"/>
      <c r="J27" s="17">
        <f t="shared" si="0"/>
        <v>0</v>
      </c>
    </row>
    <row r="28" spans="1:10" x14ac:dyDescent="0.35">
      <c r="A28" t="s">
        <v>17</v>
      </c>
      <c r="C28" t="s">
        <v>18</v>
      </c>
      <c r="D28" t="s">
        <v>127</v>
      </c>
      <c r="E28" t="s">
        <v>96</v>
      </c>
      <c r="F28">
        <v>74</v>
      </c>
      <c r="G28" t="s">
        <v>88</v>
      </c>
      <c r="I28" s="15"/>
      <c r="J28" s="17">
        <f t="shared" si="0"/>
        <v>0</v>
      </c>
    </row>
    <row r="29" spans="1:10" x14ac:dyDescent="0.35">
      <c r="A29" t="s">
        <v>17</v>
      </c>
      <c r="C29" t="s">
        <v>18</v>
      </c>
      <c r="D29" t="s">
        <v>439</v>
      </c>
      <c r="E29" t="s">
        <v>98</v>
      </c>
      <c r="F29">
        <v>2</v>
      </c>
      <c r="G29" t="s">
        <v>88</v>
      </c>
      <c r="I29" s="15"/>
      <c r="J29" s="17">
        <f>I29*F29</f>
        <v>0</v>
      </c>
    </row>
    <row r="30" spans="1:10" x14ac:dyDescent="0.35">
      <c r="A30" t="s">
        <v>17</v>
      </c>
      <c r="C30" t="s">
        <v>18</v>
      </c>
      <c r="D30" t="s">
        <v>440</v>
      </c>
      <c r="E30" t="s">
        <v>441</v>
      </c>
      <c r="F30">
        <v>36</v>
      </c>
      <c r="G30" t="s">
        <v>29</v>
      </c>
      <c r="I30" s="15"/>
      <c r="J30" s="17">
        <f t="shared" ref="J30:J68" si="1">I30*F30</f>
        <v>0</v>
      </c>
    </row>
    <row r="31" spans="1:10" x14ac:dyDescent="0.35">
      <c r="A31" t="s">
        <v>17</v>
      </c>
      <c r="C31" t="s">
        <v>18</v>
      </c>
      <c r="D31" t="s">
        <v>144</v>
      </c>
      <c r="E31" t="s">
        <v>55</v>
      </c>
      <c r="F31">
        <v>232</v>
      </c>
      <c r="G31" t="s">
        <v>88</v>
      </c>
      <c r="I31" s="15"/>
      <c r="J31" s="17">
        <f t="shared" si="1"/>
        <v>0</v>
      </c>
    </row>
    <row r="32" spans="1:10" x14ac:dyDescent="0.35">
      <c r="A32" t="s">
        <v>17</v>
      </c>
      <c r="C32" t="s">
        <v>18</v>
      </c>
      <c r="D32" t="s">
        <v>442</v>
      </c>
      <c r="E32" t="s">
        <v>443</v>
      </c>
      <c r="F32">
        <v>1</v>
      </c>
      <c r="G32" t="s">
        <v>29</v>
      </c>
      <c r="I32" s="15"/>
      <c r="J32" s="17">
        <f t="shared" si="1"/>
        <v>0</v>
      </c>
    </row>
    <row r="33" spans="1:10" x14ac:dyDescent="0.35">
      <c r="A33" t="s">
        <v>17</v>
      </c>
      <c r="C33" t="s">
        <v>18</v>
      </c>
      <c r="D33" t="s">
        <v>444</v>
      </c>
      <c r="E33" t="s">
        <v>55</v>
      </c>
      <c r="F33">
        <v>42</v>
      </c>
      <c r="G33" t="s">
        <v>29</v>
      </c>
      <c r="I33" s="15"/>
      <c r="J33" s="17">
        <f t="shared" si="1"/>
        <v>0</v>
      </c>
    </row>
    <row r="34" spans="1:10" x14ac:dyDescent="0.35">
      <c r="A34" t="s">
        <v>17</v>
      </c>
      <c r="C34" t="s">
        <v>18</v>
      </c>
      <c r="D34" t="s">
        <v>56</v>
      </c>
      <c r="E34" t="s">
        <v>57</v>
      </c>
      <c r="F34">
        <v>9</v>
      </c>
      <c r="G34" t="s">
        <v>29</v>
      </c>
      <c r="I34" s="15"/>
      <c r="J34" s="17">
        <f t="shared" si="1"/>
        <v>0</v>
      </c>
    </row>
    <row r="35" spans="1:10" x14ac:dyDescent="0.35">
      <c r="A35" t="s">
        <v>17</v>
      </c>
      <c r="C35" t="s">
        <v>18</v>
      </c>
      <c r="D35" t="s">
        <v>445</v>
      </c>
      <c r="E35" t="s">
        <v>446</v>
      </c>
      <c r="F35">
        <v>15</v>
      </c>
      <c r="G35" t="s">
        <v>88</v>
      </c>
      <c r="I35" s="15"/>
      <c r="J35" s="17">
        <f t="shared" si="1"/>
        <v>0</v>
      </c>
    </row>
    <row r="36" spans="1:10" x14ac:dyDescent="0.35">
      <c r="A36" t="s">
        <v>17</v>
      </c>
      <c r="C36" t="s">
        <v>18</v>
      </c>
      <c r="D36" t="s">
        <v>58</v>
      </c>
      <c r="E36" t="s">
        <v>59</v>
      </c>
      <c r="F36">
        <v>1</v>
      </c>
      <c r="G36" t="s">
        <v>26</v>
      </c>
      <c r="I36" s="15"/>
      <c r="J36" s="17">
        <f t="shared" si="1"/>
        <v>0</v>
      </c>
    </row>
    <row r="37" spans="1:10" x14ac:dyDescent="0.35">
      <c r="A37" t="s">
        <v>17</v>
      </c>
      <c r="C37" t="s">
        <v>18</v>
      </c>
      <c r="D37" t="s">
        <v>447</v>
      </c>
      <c r="E37" t="s">
        <v>446</v>
      </c>
      <c r="F37">
        <v>2</v>
      </c>
      <c r="G37" t="s">
        <v>29</v>
      </c>
      <c r="I37" s="15"/>
      <c r="J37" s="17">
        <f t="shared" si="1"/>
        <v>0</v>
      </c>
    </row>
    <row r="38" spans="1:10" x14ac:dyDescent="0.35">
      <c r="A38" t="s">
        <v>17</v>
      </c>
      <c r="C38" t="s">
        <v>18</v>
      </c>
      <c r="D38" t="s">
        <v>97</v>
      </c>
      <c r="E38" t="s">
        <v>98</v>
      </c>
      <c r="F38">
        <v>3</v>
      </c>
      <c r="G38" t="s">
        <v>29</v>
      </c>
      <c r="I38" s="15"/>
      <c r="J38" s="17">
        <f t="shared" si="1"/>
        <v>0</v>
      </c>
    </row>
    <row r="39" spans="1:10" x14ac:dyDescent="0.35">
      <c r="A39" t="s">
        <v>17</v>
      </c>
      <c r="C39" t="s">
        <v>18</v>
      </c>
      <c r="D39" t="s">
        <v>145</v>
      </c>
      <c r="E39" t="s">
        <v>146</v>
      </c>
      <c r="F39">
        <v>161</v>
      </c>
      <c r="G39" t="s">
        <v>88</v>
      </c>
      <c r="I39" s="15"/>
      <c r="J39" s="17">
        <f t="shared" si="1"/>
        <v>0</v>
      </c>
    </row>
    <row r="40" spans="1:10" x14ac:dyDescent="0.35">
      <c r="A40" t="s">
        <v>17</v>
      </c>
      <c r="C40" t="s">
        <v>19</v>
      </c>
      <c r="D40" t="s">
        <v>147</v>
      </c>
      <c r="E40" t="s">
        <v>19</v>
      </c>
      <c r="F40">
        <v>275</v>
      </c>
      <c r="G40" t="s">
        <v>88</v>
      </c>
      <c r="I40" s="15"/>
      <c r="J40" s="17">
        <f t="shared" si="1"/>
        <v>0</v>
      </c>
    </row>
    <row r="41" spans="1:10" x14ac:dyDescent="0.35">
      <c r="A41" t="s">
        <v>17</v>
      </c>
      <c r="C41" t="s">
        <v>19</v>
      </c>
      <c r="D41" t="s">
        <v>62</v>
      </c>
      <c r="E41" t="s">
        <v>19</v>
      </c>
      <c r="F41">
        <v>8</v>
      </c>
      <c r="G41" t="s">
        <v>29</v>
      </c>
      <c r="I41" s="15"/>
      <c r="J41" s="17">
        <f t="shared" si="1"/>
        <v>0</v>
      </c>
    </row>
    <row r="42" spans="1:10" x14ac:dyDescent="0.35">
      <c r="A42" t="s">
        <v>17</v>
      </c>
      <c r="C42" t="s">
        <v>19</v>
      </c>
      <c r="D42" t="s">
        <v>63</v>
      </c>
      <c r="E42" t="s">
        <v>64</v>
      </c>
      <c r="F42">
        <v>1</v>
      </c>
      <c r="G42" t="s">
        <v>26</v>
      </c>
      <c r="I42" s="15"/>
      <c r="J42" s="17">
        <f t="shared" si="1"/>
        <v>0</v>
      </c>
    </row>
    <row r="43" spans="1:10" x14ac:dyDescent="0.35">
      <c r="A43" t="s">
        <v>65</v>
      </c>
      <c r="C43" t="s">
        <v>66</v>
      </c>
      <c r="D43" t="s">
        <v>67</v>
      </c>
      <c r="E43" t="s">
        <v>68</v>
      </c>
      <c r="F43">
        <v>1</v>
      </c>
      <c r="I43" s="15"/>
      <c r="J43" s="17">
        <f t="shared" si="1"/>
        <v>0</v>
      </c>
    </row>
    <row r="44" spans="1:10" x14ac:dyDescent="0.35">
      <c r="A44" t="s">
        <v>65</v>
      </c>
      <c r="C44" t="s">
        <v>66</v>
      </c>
      <c r="D44" t="s">
        <v>69</v>
      </c>
      <c r="E44" t="s">
        <v>70</v>
      </c>
      <c r="F44">
        <v>100</v>
      </c>
      <c r="I44" s="15"/>
      <c r="J44" s="17">
        <f t="shared" si="1"/>
        <v>0</v>
      </c>
    </row>
    <row r="45" spans="1:10" x14ac:dyDescent="0.35">
      <c r="A45" t="s">
        <v>65</v>
      </c>
      <c r="C45" t="s">
        <v>71</v>
      </c>
      <c r="D45" t="s">
        <v>72</v>
      </c>
      <c r="E45" t="s">
        <v>73</v>
      </c>
      <c r="F45">
        <v>100</v>
      </c>
      <c r="I45" s="15"/>
      <c r="J45" s="17">
        <f t="shared" si="1"/>
        <v>0</v>
      </c>
    </row>
    <row r="46" spans="1:10" x14ac:dyDescent="0.35">
      <c r="A46" t="s">
        <v>65</v>
      </c>
      <c r="C46" t="s">
        <v>71</v>
      </c>
      <c r="D46" t="s">
        <v>74</v>
      </c>
      <c r="E46" t="s">
        <v>75</v>
      </c>
      <c r="F46">
        <v>1</v>
      </c>
      <c r="I46" s="15"/>
      <c r="J46" s="17">
        <f t="shared" si="1"/>
        <v>0</v>
      </c>
    </row>
    <row r="47" spans="1:10" x14ac:dyDescent="0.35">
      <c r="A47" t="s">
        <v>65</v>
      </c>
      <c r="C47" t="s">
        <v>71</v>
      </c>
      <c r="D47" t="s">
        <v>108</v>
      </c>
      <c r="E47" t="s">
        <v>109</v>
      </c>
      <c r="F47">
        <v>1000</v>
      </c>
      <c r="I47" s="15"/>
      <c r="J47" s="17">
        <f t="shared" si="1"/>
        <v>0</v>
      </c>
    </row>
    <row r="48" spans="1:10" x14ac:dyDescent="0.35">
      <c r="A48" t="s">
        <v>65</v>
      </c>
      <c r="C48" t="s">
        <v>71</v>
      </c>
      <c r="D48" t="s">
        <v>76</v>
      </c>
      <c r="E48" t="s">
        <v>77</v>
      </c>
      <c r="F48">
        <v>2000</v>
      </c>
      <c r="I48" s="15"/>
      <c r="J48" s="17">
        <f t="shared" si="1"/>
        <v>0</v>
      </c>
    </row>
    <row r="49" spans="1:10" x14ac:dyDescent="0.35">
      <c r="A49" t="s">
        <v>220</v>
      </c>
      <c r="C49" t="s">
        <v>221</v>
      </c>
      <c r="D49" t="s">
        <v>427</v>
      </c>
      <c r="E49" t="s">
        <v>422</v>
      </c>
      <c r="F49">
        <v>5</v>
      </c>
      <c r="H49" t="s">
        <v>215</v>
      </c>
      <c r="I49" s="15"/>
      <c r="J49" s="17">
        <f t="shared" si="1"/>
        <v>0</v>
      </c>
    </row>
    <row r="50" spans="1:10" x14ac:dyDescent="0.35">
      <c r="A50" t="s">
        <v>220</v>
      </c>
      <c r="C50" t="s">
        <v>221</v>
      </c>
      <c r="D50" t="s">
        <v>235</v>
      </c>
      <c r="E50" t="s">
        <v>236</v>
      </c>
      <c r="F50">
        <v>0</v>
      </c>
      <c r="H50" t="s">
        <v>215</v>
      </c>
      <c r="I50" s="15"/>
      <c r="J50" s="17">
        <f t="shared" si="1"/>
        <v>0</v>
      </c>
    </row>
    <row r="51" spans="1:10" x14ac:dyDescent="0.35">
      <c r="A51" t="s">
        <v>220</v>
      </c>
      <c r="C51" t="s">
        <v>221</v>
      </c>
      <c r="D51" t="s">
        <v>202</v>
      </c>
      <c r="E51" t="s">
        <v>203</v>
      </c>
      <c r="F51">
        <v>0</v>
      </c>
      <c r="H51" t="s">
        <v>215</v>
      </c>
      <c r="I51" s="15"/>
      <c r="J51" s="17">
        <f t="shared" si="1"/>
        <v>0</v>
      </c>
    </row>
    <row r="52" spans="1:10" x14ac:dyDescent="0.35">
      <c r="A52" t="s">
        <v>220</v>
      </c>
      <c r="C52" t="s">
        <v>225</v>
      </c>
      <c r="D52" t="s">
        <v>226</v>
      </c>
      <c r="E52" t="s">
        <v>227</v>
      </c>
      <c r="F52">
        <v>0</v>
      </c>
      <c r="H52" t="s">
        <v>228</v>
      </c>
      <c r="I52" s="15"/>
      <c r="J52" s="17">
        <f t="shared" si="1"/>
        <v>0</v>
      </c>
    </row>
    <row r="53" spans="1:10" x14ac:dyDescent="0.35">
      <c r="A53" t="s">
        <v>220</v>
      </c>
      <c r="C53" t="s">
        <v>225</v>
      </c>
      <c r="D53" t="s">
        <v>202</v>
      </c>
      <c r="E53" t="s">
        <v>203</v>
      </c>
      <c r="F53">
        <v>0</v>
      </c>
      <c r="H53" t="s">
        <v>228</v>
      </c>
      <c r="I53" s="15"/>
      <c r="J53" s="17">
        <f t="shared" si="1"/>
        <v>0</v>
      </c>
    </row>
    <row r="54" spans="1:10" x14ac:dyDescent="0.35">
      <c r="A54" t="s">
        <v>182</v>
      </c>
      <c r="C54" t="s">
        <v>183</v>
      </c>
      <c r="D54" t="s">
        <v>184</v>
      </c>
      <c r="E54" t="s">
        <v>185</v>
      </c>
      <c r="F54">
        <v>106</v>
      </c>
      <c r="I54" s="15"/>
      <c r="J54" s="17">
        <f t="shared" si="1"/>
        <v>0</v>
      </c>
    </row>
    <row r="55" spans="1:10" x14ac:dyDescent="0.35">
      <c r="A55" t="s">
        <v>182</v>
      </c>
      <c r="C55" t="s">
        <v>183</v>
      </c>
      <c r="D55" t="s">
        <v>187</v>
      </c>
      <c r="E55" t="s">
        <v>188</v>
      </c>
      <c r="F55">
        <v>1102</v>
      </c>
      <c r="I55" s="15"/>
      <c r="J55" s="17">
        <f t="shared" si="1"/>
        <v>0</v>
      </c>
    </row>
    <row r="56" spans="1:10" x14ac:dyDescent="0.35">
      <c r="A56" t="s">
        <v>182</v>
      </c>
      <c r="C56" t="s">
        <v>183</v>
      </c>
      <c r="D56" t="s">
        <v>229</v>
      </c>
      <c r="E56" t="s">
        <v>230</v>
      </c>
      <c r="F56">
        <v>1536</v>
      </c>
      <c r="I56" s="15"/>
      <c r="J56" s="17">
        <f t="shared" si="1"/>
        <v>0</v>
      </c>
    </row>
    <row r="57" spans="1:10" x14ac:dyDescent="0.35">
      <c r="A57" t="s">
        <v>182</v>
      </c>
      <c r="C57" t="s">
        <v>183</v>
      </c>
      <c r="D57" t="s">
        <v>254</v>
      </c>
      <c r="E57" t="s">
        <v>255</v>
      </c>
      <c r="F57">
        <v>150</v>
      </c>
      <c r="I57" s="15"/>
      <c r="J57" s="17">
        <f t="shared" si="1"/>
        <v>0</v>
      </c>
    </row>
    <row r="58" spans="1:10" x14ac:dyDescent="0.35">
      <c r="A58" t="s">
        <v>182</v>
      </c>
      <c r="C58" t="s">
        <v>183</v>
      </c>
      <c r="D58" t="s">
        <v>239</v>
      </c>
      <c r="E58" t="s">
        <v>240</v>
      </c>
      <c r="F58">
        <v>100</v>
      </c>
      <c r="I58" s="15"/>
      <c r="J58" s="17">
        <f t="shared" si="1"/>
        <v>0</v>
      </c>
    </row>
    <row r="59" spans="1:10" x14ac:dyDescent="0.35">
      <c r="A59" t="s">
        <v>182</v>
      </c>
      <c r="C59" t="s">
        <v>189</v>
      </c>
      <c r="D59" t="s">
        <v>231</v>
      </c>
      <c r="E59" t="s">
        <v>232</v>
      </c>
      <c r="F59">
        <v>1</v>
      </c>
      <c r="I59" s="15"/>
      <c r="J59" s="17">
        <f t="shared" si="1"/>
        <v>0</v>
      </c>
    </row>
    <row r="60" spans="1:10" x14ac:dyDescent="0.35">
      <c r="A60" t="s">
        <v>182</v>
      </c>
      <c r="C60" t="s">
        <v>189</v>
      </c>
      <c r="D60" t="s">
        <v>193</v>
      </c>
      <c r="E60" t="s">
        <v>194</v>
      </c>
      <c r="F60">
        <v>166</v>
      </c>
      <c r="I60" s="15"/>
      <c r="J60" s="17">
        <f t="shared" si="1"/>
        <v>0</v>
      </c>
    </row>
    <row r="61" spans="1:10" x14ac:dyDescent="0.35">
      <c r="A61" t="s">
        <v>182</v>
      </c>
      <c r="C61" t="s">
        <v>198</v>
      </c>
      <c r="D61" t="s">
        <v>199</v>
      </c>
      <c r="E61" t="s">
        <v>200</v>
      </c>
      <c r="F61">
        <v>284</v>
      </c>
      <c r="I61" s="15"/>
      <c r="J61" s="17">
        <f t="shared" si="1"/>
        <v>0</v>
      </c>
    </row>
    <row r="62" spans="1:10" x14ac:dyDescent="0.35">
      <c r="A62" t="s">
        <v>182</v>
      </c>
      <c r="C62" t="s">
        <v>198</v>
      </c>
      <c r="D62" t="s">
        <v>370</v>
      </c>
      <c r="E62" t="s">
        <v>371</v>
      </c>
      <c r="F62">
        <v>2075</v>
      </c>
      <c r="I62" s="15"/>
      <c r="J62" s="17">
        <f t="shared" si="1"/>
        <v>0</v>
      </c>
    </row>
    <row r="63" spans="1:10" x14ac:dyDescent="0.35">
      <c r="A63" t="s">
        <v>182</v>
      </c>
      <c r="C63" t="s">
        <v>198</v>
      </c>
      <c r="D63" t="s">
        <v>241</v>
      </c>
      <c r="E63" t="s">
        <v>242</v>
      </c>
      <c r="F63">
        <v>2</v>
      </c>
      <c r="I63" s="15"/>
      <c r="J63" s="17">
        <f t="shared" si="1"/>
        <v>0</v>
      </c>
    </row>
    <row r="64" spans="1:10" x14ac:dyDescent="0.35">
      <c r="A64" t="s">
        <v>182</v>
      </c>
      <c r="C64" t="s">
        <v>198</v>
      </c>
      <c r="D64" t="s">
        <v>99</v>
      </c>
      <c r="E64" t="s">
        <v>201</v>
      </c>
      <c r="F64">
        <v>0</v>
      </c>
      <c r="I64" s="15"/>
      <c r="J64" s="17">
        <f t="shared" si="1"/>
        <v>0</v>
      </c>
    </row>
    <row r="65" spans="1:10" x14ac:dyDescent="0.35">
      <c r="A65" t="s">
        <v>182</v>
      </c>
      <c r="C65" t="s">
        <v>198</v>
      </c>
      <c r="D65" t="s">
        <v>202</v>
      </c>
      <c r="E65" t="s">
        <v>203</v>
      </c>
      <c r="F65">
        <v>0</v>
      </c>
      <c r="I65" s="15"/>
      <c r="J65" s="17">
        <f t="shared" si="1"/>
        <v>0</v>
      </c>
    </row>
    <row r="66" spans="1:10" x14ac:dyDescent="0.35">
      <c r="A66" t="s">
        <v>182</v>
      </c>
      <c r="C66" t="s">
        <v>204</v>
      </c>
      <c r="D66" t="s">
        <v>209</v>
      </c>
      <c r="E66" t="s">
        <v>210</v>
      </c>
      <c r="F66">
        <v>0</v>
      </c>
      <c r="I66" s="15"/>
      <c r="J66" s="17">
        <f t="shared" si="1"/>
        <v>0</v>
      </c>
    </row>
    <row r="67" spans="1:10" x14ac:dyDescent="0.35">
      <c r="A67" t="s">
        <v>182</v>
      </c>
      <c r="C67" t="s">
        <v>204</v>
      </c>
      <c r="D67" t="s">
        <v>205</v>
      </c>
      <c r="E67" t="s">
        <v>206</v>
      </c>
      <c r="F67">
        <v>16</v>
      </c>
      <c r="I67" s="15"/>
      <c r="J67" s="17">
        <f t="shared" si="1"/>
        <v>0</v>
      </c>
    </row>
    <row r="68" spans="1:10" x14ac:dyDescent="0.35">
      <c r="A68" t="s">
        <v>182</v>
      </c>
      <c r="C68" t="s">
        <v>204</v>
      </c>
      <c r="D68" t="s">
        <v>207</v>
      </c>
      <c r="E68" t="s">
        <v>208</v>
      </c>
      <c r="F68">
        <v>8105</v>
      </c>
      <c r="I68" s="15"/>
      <c r="J68" s="17">
        <f t="shared" si="1"/>
        <v>0</v>
      </c>
    </row>
    <row r="69" spans="1:10" x14ac:dyDescent="0.35">
      <c r="I69" s="15"/>
      <c r="J69" s="15">
        <f>SUM(J2:J68)</f>
        <v>0</v>
      </c>
    </row>
  </sheetData>
  <autoFilter ref="A1:H42" xr:uid="{7D625242-33D5-442F-93E0-BD4B18C563BD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E80C-7308-4E77-85E9-1F9F1C71B892}">
  <dimension ref="A1:J58"/>
  <sheetViews>
    <sheetView workbookViewId="0">
      <pane ySplit="1" topLeftCell="A2" activePane="bottomLeft" state="frozen"/>
      <selection pane="bottomLeft" activeCell="I24" sqref="I24"/>
    </sheetView>
  </sheetViews>
  <sheetFormatPr defaultRowHeight="14.5" x14ac:dyDescent="0.35"/>
  <cols>
    <col min="1" max="1" width="18.81640625" bestFit="1" customWidth="1"/>
    <col min="2" max="2" width="8.54296875" bestFit="1" customWidth="1"/>
    <col min="3" max="3" width="9.81640625" bestFit="1" customWidth="1"/>
    <col min="4" max="4" width="29" customWidth="1"/>
    <col min="5" max="5" width="74.7265625" customWidth="1"/>
    <col min="6" max="6" width="17.26953125" customWidth="1"/>
    <col min="7" max="7" width="17.54296875" customWidth="1"/>
    <col min="8" max="8" width="29.26953125" customWidth="1"/>
  </cols>
  <sheetData>
    <row r="1" spans="1:10" x14ac:dyDescent="0.35">
      <c r="A1" s="3" t="s">
        <v>600</v>
      </c>
      <c r="B1" s="3" t="s">
        <v>597</v>
      </c>
      <c r="C1" s="3" t="s">
        <v>10</v>
      </c>
      <c r="D1" s="3" t="s">
        <v>20</v>
      </c>
      <c r="E1" s="3" t="s">
        <v>21</v>
      </c>
      <c r="F1" s="10" t="s">
        <v>23</v>
      </c>
      <c r="G1" s="3" t="s">
        <v>22</v>
      </c>
      <c r="H1" s="3" t="s">
        <v>181</v>
      </c>
      <c r="I1" s="3" t="s">
        <v>609</v>
      </c>
      <c r="J1" s="3" t="s">
        <v>610</v>
      </c>
    </row>
    <row r="2" spans="1:10" x14ac:dyDescent="0.35">
      <c r="B2" t="s">
        <v>598</v>
      </c>
      <c r="C2" s="4" t="s">
        <v>261</v>
      </c>
      <c r="D2" s="4" t="s">
        <v>259</v>
      </c>
      <c r="E2" s="5" t="s">
        <v>260</v>
      </c>
      <c r="F2" s="6">
        <v>1</v>
      </c>
      <c r="H2" s="4"/>
      <c r="I2" s="15"/>
      <c r="J2" s="17">
        <f t="shared" ref="J2:J17" si="0">I2*F2</f>
        <v>0</v>
      </c>
    </row>
    <row r="3" spans="1:10" x14ac:dyDescent="0.35">
      <c r="B3" t="s">
        <v>598</v>
      </c>
      <c r="C3" s="4" t="s">
        <v>263</v>
      </c>
      <c r="D3" s="4" t="s">
        <v>262</v>
      </c>
      <c r="E3" s="5" t="s">
        <v>75</v>
      </c>
      <c r="F3" s="6">
        <v>1</v>
      </c>
      <c r="H3" s="4"/>
      <c r="I3" s="15"/>
      <c r="J3" s="17">
        <f t="shared" si="0"/>
        <v>0</v>
      </c>
    </row>
    <row r="4" spans="1:10" x14ac:dyDescent="0.35">
      <c r="B4" t="s">
        <v>598</v>
      </c>
      <c r="C4" s="4" t="s">
        <v>261</v>
      </c>
      <c r="D4" s="4" t="s">
        <v>264</v>
      </c>
      <c r="E4" s="5" t="s">
        <v>265</v>
      </c>
      <c r="F4" s="6">
        <v>5000</v>
      </c>
      <c r="H4" s="4"/>
      <c r="I4" s="15"/>
      <c r="J4" s="17">
        <f t="shared" si="0"/>
        <v>0</v>
      </c>
    </row>
    <row r="5" spans="1:10" x14ac:dyDescent="0.35">
      <c r="B5" t="s">
        <v>598</v>
      </c>
      <c r="C5" s="4" t="s">
        <v>268</v>
      </c>
      <c r="D5" s="4" t="s">
        <v>266</v>
      </c>
      <c r="E5" s="5" t="s">
        <v>267</v>
      </c>
      <c r="F5" s="6">
        <v>1</v>
      </c>
      <c r="H5" s="4"/>
      <c r="I5" s="15"/>
      <c r="J5" s="17">
        <f t="shared" si="0"/>
        <v>0</v>
      </c>
    </row>
    <row r="6" spans="1:10" x14ac:dyDescent="0.35">
      <c r="B6" t="s">
        <v>598</v>
      </c>
      <c r="C6" s="4" t="s">
        <v>268</v>
      </c>
      <c r="D6" s="4" t="s">
        <v>269</v>
      </c>
      <c r="E6" s="5" t="s">
        <v>270</v>
      </c>
      <c r="F6" s="6">
        <v>1</v>
      </c>
      <c r="H6" s="4"/>
      <c r="I6" s="15"/>
      <c r="J6" s="17">
        <f t="shared" si="0"/>
        <v>0</v>
      </c>
    </row>
    <row r="7" spans="1:10" x14ac:dyDescent="0.35">
      <c r="B7" t="s">
        <v>598</v>
      </c>
      <c r="C7" s="4" t="s">
        <v>263</v>
      </c>
      <c r="D7" s="4" t="s">
        <v>271</v>
      </c>
      <c r="E7" s="5" t="s">
        <v>272</v>
      </c>
      <c r="F7" s="6">
        <v>1</v>
      </c>
      <c r="H7" s="4"/>
      <c r="I7" s="15"/>
      <c r="J7" s="17">
        <f t="shared" si="0"/>
        <v>0</v>
      </c>
    </row>
    <row r="8" spans="1:10" x14ac:dyDescent="0.35">
      <c r="B8" t="s">
        <v>598</v>
      </c>
      <c r="C8" s="4" t="s">
        <v>261</v>
      </c>
      <c r="D8" s="4" t="s">
        <v>259</v>
      </c>
      <c r="E8" s="5" t="s">
        <v>260</v>
      </c>
      <c r="F8" s="6">
        <v>1</v>
      </c>
      <c r="H8" s="4"/>
      <c r="I8" s="15"/>
      <c r="J8" s="17">
        <f t="shared" si="0"/>
        <v>0</v>
      </c>
    </row>
    <row r="9" spans="1:10" x14ac:dyDescent="0.35">
      <c r="B9" t="s">
        <v>598</v>
      </c>
      <c r="C9" s="4" t="s">
        <v>261</v>
      </c>
      <c r="D9" s="4" t="s">
        <v>264</v>
      </c>
      <c r="E9" s="5" t="s">
        <v>265</v>
      </c>
      <c r="F9" s="6">
        <v>100</v>
      </c>
      <c r="H9" s="4"/>
      <c r="I9" s="15"/>
      <c r="J9" s="17">
        <f t="shared" si="0"/>
        <v>0</v>
      </c>
    </row>
    <row r="10" spans="1:10" x14ac:dyDescent="0.35">
      <c r="B10" t="s">
        <v>598</v>
      </c>
      <c r="C10" s="4" t="s">
        <v>263</v>
      </c>
      <c r="D10" s="4" t="s">
        <v>273</v>
      </c>
      <c r="E10" s="5" t="s">
        <v>274</v>
      </c>
      <c r="F10" s="6">
        <v>1</v>
      </c>
      <c r="H10" s="4"/>
      <c r="I10" s="15"/>
      <c r="J10" s="17">
        <f t="shared" si="0"/>
        <v>0</v>
      </c>
    </row>
    <row r="11" spans="1:10" x14ac:dyDescent="0.35">
      <c r="I11" s="15"/>
      <c r="J11" s="17">
        <f t="shared" si="0"/>
        <v>0</v>
      </c>
    </row>
    <row r="12" spans="1:10" x14ac:dyDescent="0.35">
      <c r="B12" t="s">
        <v>599</v>
      </c>
      <c r="D12" t="s">
        <v>275</v>
      </c>
      <c r="E12" t="s">
        <v>276</v>
      </c>
      <c r="F12">
        <v>1</v>
      </c>
      <c r="I12" s="15"/>
      <c r="J12" s="17">
        <f t="shared" si="0"/>
        <v>0</v>
      </c>
    </row>
    <row r="13" spans="1:10" x14ac:dyDescent="0.35">
      <c r="B13" t="s">
        <v>599</v>
      </c>
      <c r="D13" t="s">
        <v>277</v>
      </c>
      <c r="E13" t="s">
        <v>278</v>
      </c>
      <c r="F13">
        <v>1</v>
      </c>
      <c r="I13" s="15"/>
      <c r="J13" s="17">
        <f t="shared" si="0"/>
        <v>0</v>
      </c>
    </row>
    <row r="14" spans="1:10" x14ac:dyDescent="0.35">
      <c r="B14" t="s">
        <v>599</v>
      </c>
      <c r="D14" t="s">
        <v>279</v>
      </c>
      <c r="E14" t="s">
        <v>280</v>
      </c>
      <c r="F14">
        <v>1</v>
      </c>
      <c r="I14" s="15"/>
      <c r="J14" s="17">
        <f t="shared" si="0"/>
        <v>0</v>
      </c>
    </row>
    <row r="15" spans="1:10" x14ac:dyDescent="0.35">
      <c r="B15" t="s">
        <v>599</v>
      </c>
      <c r="D15" t="s">
        <v>281</v>
      </c>
      <c r="E15" t="s">
        <v>282</v>
      </c>
      <c r="F15">
        <v>2</v>
      </c>
      <c r="I15" s="15"/>
      <c r="J15" s="17">
        <f t="shared" si="0"/>
        <v>0</v>
      </c>
    </row>
    <row r="16" spans="1:10" x14ac:dyDescent="0.35">
      <c r="B16" t="s">
        <v>599</v>
      </c>
      <c r="D16" t="s">
        <v>283</v>
      </c>
      <c r="E16" t="s">
        <v>284</v>
      </c>
      <c r="F16">
        <v>66</v>
      </c>
      <c r="I16" s="15"/>
      <c r="J16" s="17">
        <f t="shared" si="0"/>
        <v>0</v>
      </c>
    </row>
    <row r="17" spans="2:10" x14ac:dyDescent="0.35">
      <c r="B17" t="s">
        <v>599</v>
      </c>
      <c r="D17" t="s">
        <v>285</v>
      </c>
      <c r="E17" t="s">
        <v>286</v>
      </c>
      <c r="F17">
        <v>7</v>
      </c>
      <c r="I17" s="15"/>
      <c r="J17" s="17">
        <f t="shared" si="0"/>
        <v>0</v>
      </c>
    </row>
    <row r="18" spans="2:10" x14ac:dyDescent="0.35">
      <c r="B18" t="s">
        <v>599</v>
      </c>
      <c r="D18" t="s">
        <v>287</v>
      </c>
      <c r="E18" t="s">
        <v>288</v>
      </c>
      <c r="F18">
        <v>2</v>
      </c>
      <c r="I18" s="15"/>
      <c r="J18" s="17">
        <f>I18*F18</f>
        <v>0</v>
      </c>
    </row>
    <row r="19" spans="2:10" x14ac:dyDescent="0.35">
      <c r="B19" t="s">
        <v>599</v>
      </c>
      <c r="D19" t="s">
        <v>289</v>
      </c>
      <c r="E19" t="s">
        <v>290</v>
      </c>
      <c r="F19">
        <v>4</v>
      </c>
      <c r="I19" s="15"/>
      <c r="J19" s="17">
        <f t="shared" ref="J19:J57" si="1">I19*F19</f>
        <v>0</v>
      </c>
    </row>
    <row r="20" spans="2:10" x14ac:dyDescent="0.35">
      <c r="B20" t="s">
        <v>599</v>
      </c>
      <c r="D20" t="s">
        <v>291</v>
      </c>
      <c r="E20" t="s">
        <v>292</v>
      </c>
      <c r="F20">
        <v>4</v>
      </c>
      <c r="I20" s="15"/>
      <c r="J20" s="17">
        <f t="shared" si="1"/>
        <v>0</v>
      </c>
    </row>
    <row r="21" spans="2:10" x14ac:dyDescent="0.35">
      <c r="B21" t="s">
        <v>599</v>
      </c>
      <c r="D21" t="s">
        <v>293</v>
      </c>
      <c r="E21" t="s">
        <v>294</v>
      </c>
      <c r="F21">
        <v>3</v>
      </c>
      <c r="I21" s="15"/>
      <c r="J21" s="17">
        <f t="shared" si="1"/>
        <v>0</v>
      </c>
    </row>
    <row r="22" spans="2:10" x14ac:dyDescent="0.35">
      <c r="B22" t="s">
        <v>599</v>
      </c>
      <c r="D22" t="s">
        <v>295</v>
      </c>
      <c r="E22" t="s">
        <v>296</v>
      </c>
      <c r="F22">
        <v>1</v>
      </c>
      <c r="I22" s="15"/>
      <c r="J22" s="17">
        <f t="shared" si="1"/>
        <v>0</v>
      </c>
    </row>
    <row r="23" spans="2:10" x14ac:dyDescent="0.35">
      <c r="B23" t="s">
        <v>599</v>
      </c>
      <c r="D23" t="s">
        <v>297</v>
      </c>
      <c r="E23" t="s">
        <v>298</v>
      </c>
      <c r="F23">
        <v>3</v>
      </c>
      <c r="I23" s="15"/>
      <c r="J23" s="17">
        <f t="shared" si="1"/>
        <v>0</v>
      </c>
    </row>
    <row r="24" spans="2:10" x14ac:dyDescent="0.35">
      <c r="B24" t="s">
        <v>599</v>
      </c>
      <c r="D24" t="s">
        <v>299</v>
      </c>
      <c r="E24" t="s">
        <v>300</v>
      </c>
      <c r="F24">
        <v>93</v>
      </c>
      <c r="I24" s="15"/>
      <c r="J24" s="17">
        <f t="shared" si="1"/>
        <v>0</v>
      </c>
    </row>
    <row r="25" spans="2:10" x14ac:dyDescent="0.35">
      <c r="B25" t="s">
        <v>599</v>
      </c>
      <c r="D25" t="s">
        <v>301</v>
      </c>
      <c r="E25" t="s">
        <v>302</v>
      </c>
      <c r="F25">
        <v>93</v>
      </c>
      <c r="I25" s="15"/>
      <c r="J25" s="17">
        <f t="shared" si="1"/>
        <v>0</v>
      </c>
    </row>
    <row r="26" spans="2:10" x14ac:dyDescent="0.35">
      <c r="B26" t="s">
        <v>599</v>
      </c>
      <c r="D26" t="s">
        <v>303</v>
      </c>
      <c r="E26" t="s">
        <v>304</v>
      </c>
      <c r="F26">
        <v>3</v>
      </c>
      <c r="I26" s="15"/>
      <c r="J26" s="17">
        <f t="shared" si="1"/>
        <v>0</v>
      </c>
    </row>
    <row r="27" spans="2:10" x14ac:dyDescent="0.35">
      <c r="B27" t="s">
        <v>599</v>
      </c>
      <c r="D27" t="s">
        <v>305</v>
      </c>
      <c r="E27" t="s">
        <v>306</v>
      </c>
      <c r="F27">
        <v>2</v>
      </c>
      <c r="I27" s="15"/>
      <c r="J27" s="17">
        <f t="shared" si="1"/>
        <v>0</v>
      </c>
    </row>
    <row r="28" spans="2:10" x14ac:dyDescent="0.35">
      <c r="B28" t="s">
        <v>599</v>
      </c>
      <c r="D28" t="s">
        <v>307</v>
      </c>
      <c r="E28" t="s">
        <v>308</v>
      </c>
      <c r="F28">
        <v>2</v>
      </c>
      <c r="I28" s="15"/>
      <c r="J28" s="17">
        <f t="shared" si="1"/>
        <v>0</v>
      </c>
    </row>
    <row r="29" spans="2:10" x14ac:dyDescent="0.35">
      <c r="B29" t="s">
        <v>599</v>
      </c>
      <c r="D29" t="s">
        <v>309</v>
      </c>
      <c r="E29" t="s">
        <v>310</v>
      </c>
      <c r="F29">
        <v>3</v>
      </c>
      <c r="I29" s="15"/>
      <c r="J29" s="17">
        <f t="shared" si="1"/>
        <v>0</v>
      </c>
    </row>
    <row r="30" spans="2:10" x14ac:dyDescent="0.35">
      <c r="B30" t="s">
        <v>599</v>
      </c>
      <c r="D30" t="s">
        <v>311</v>
      </c>
      <c r="E30" t="s">
        <v>312</v>
      </c>
      <c r="F30">
        <v>3</v>
      </c>
      <c r="I30" s="15"/>
      <c r="J30" s="17">
        <f t="shared" si="1"/>
        <v>0</v>
      </c>
    </row>
    <row r="31" spans="2:10" x14ac:dyDescent="0.35">
      <c r="B31" t="s">
        <v>599</v>
      </c>
      <c r="D31" t="s">
        <v>313</v>
      </c>
      <c r="E31" t="s">
        <v>314</v>
      </c>
      <c r="F31">
        <v>2</v>
      </c>
      <c r="I31" s="15"/>
      <c r="J31" s="17">
        <f t="shared" si="1"/>
        <v>0</v>
      </c>
    </row>
    <row r="32" spans="2:10" x14ac:dyDescent="0.35">
      <c r="B32" t="s">
        <v>599</v>
      </c>
      <c r="D32" t="s">
        <v>315</v>
      </c>
      <c r="E32" t="s">
        <v>316</v>
      </c>
      <c r="F32">
        <v>2</v>
      </c>
      <c r="I32" s="15"/>
      <c r="J32" s="17">
        <f t="shared" si="1"/>
        <v>0</v>
      </c>
    </row>
    <row r="33" spans="2:10" x14ac:dyDescent="0.35">
      <c r="B33" t="s">
        <v>599</v>
      </c>
      <c r="D33" t="s">
        <v>317</v>
      </c>
      <c r="E33" t="s">
        <v>318</v>
      </c>
      <c r="F33">
        <v>3</v>
      </c>
      <c r="I33" s="15"/>
      <c r="J33" s="17">
        <f t="shared" si="1"/>
        <v>0</v>
      </c>
    </row>
    <row r="34" spans="2:10" x14ac:dyDescent="0.35">
      <c r="B34" t="s">
        <v>599</v>
      </c>
      <c r="D34" t="s">
        <v>319</v>
      </c>
      <c r="E34" t="s">
        <v>320</v>
      </c>
      <c r="F34">
        <v>2</v>
      </c>
      <c r="I34" s="15"/>
      <c r="J34" s="17">
        <f t="shared" si="1"/>
        <v>0</v>
      </c>
    </row>
    <row r="35" spans="2:10" x14ac:dyDescent="0.35">
      <c r="B35" t="s">
        <v>599</v>
      </c>
      <c r="D35" t="s">
        <v>321</v>
      </c>
      <c r="E35" t="s">
        <v>322</v>
      </c>
      <c r="F35">
        <v>2</v>
      </c>
      <c r="I35" s="15"/>
      <c r="J35" s="17">
        <f t="shared" si="1"/>
        <v>0</v>
      </c>
    </row>
    <row r="36" spans="2:10" x14ac:dyDescent="0.35">
      <c r="B36" t="s">
        <v>599</v>
      </c>
      <c r="D36" t="s">
        <v>323</v>
      </c>
      <c r="E36" t="s">
        <v>324</v>
      </c>
      <c r="F36">
        <v>9</v>
      </c>
      <c r="I36" s="15"/>
      <c r="J36" s="17">
        <f t="shared" si="1"/>
        <v>0</v>
      </c>
    </row>
    <row r="37" spans="2:10" x14ac:dyDescent="0.35">
      <c r="B37" t="s">
        <v>599</v>
      </c>
      <c r="D37" t="s">
        <v>325</v>
      </c>
      <c r="E37" t="s">
        <v>326</v>
      </c>
      <c r="F37">
        <v>1</v>
      </c>
      <c r="I37" s="15"/>
      <c r="J37" s="17">
        <f t="shared" si="1"/>
        <v>0</v>
      </c>
    </row>
    <row r="38" spans="2:10" x14ac:dyDescent="0.35">
      <c r="B38" t="s">
        <v>599</v>
      </c>
      <c r="D38" t="s">
        <v>327</v>
      </c>
      <c r="E38" t="s">
        <v>328</v>
      </c>
      <c r="F38">
        <v>8</v>
      </c>
      <c r="I38" s="15"/>
      <c r="J38" s="17">
        <f t="shared" si="1"/>
        <v>0</v>
      </c>
    </row>
    <row r="39" spans="2:10" x14ac:dyDescent="0.35">
      <c r="B39" t="s">
        <v>599</v>
      </c>
      <c r="D39" t="s">
        <v>329</v>
      </c>
      <c r="E39" t="s">
        <v>330</v>
      </c>
      <c r="F39">
        <v>3</v>
      </c>
      <c r="I39" s="15"/>
      <c r="J39" s="17">
        <f t="shared" si="1"/>
        <v>0</v>
      </c>
    </row>
    <row r="40" spans="2:10" x14ac:dyDescent="0.35">
      <c r="B40" t="s">
        <v>599</v>
      </c>
      <c r="D40" t="s">
        <v>331</v>
      </c>
      <c r="E40" t="s">
        <v>332</v>
      </c>
      <c r="F40">
        <v>1</v>
      </c>
      <c r="I40" s="15"/>
      <c r="J40" s="17">
        <f t="shared" si="1"/>
        <v>0</v>
      </c>
    </row>
    <row r="41" spans="2:10" x14ac:dyDescent="0.35">
      <c r="B41" t="s">
        <v>599</v>
      </c>
      <c r="D41" t="s">
        <v>333</v>
      </c>
      <c r="E41" t="s">
        <v>334</v>
      </c>
      <c r="F41">
        <v>1</v>
      </c>
      <c r="I41" s="15"/>
      <c r="J41" s="17">
        <f t="shared" si="1"/>
        <v>0</v>
      </c>
    </row>
    <row r="42" spans="2:10" x14ac:dyDescent="0.35">
      <c r="B42" t="s">
        <v>599</v>
      </c>
      <c r="D42" t="s">
        <v>335</v>
      </c>
      <c r="E42" t="s">
        <v>336</v>
      </c>
      <c r="F42">
        <v>2</v>
      </c>
      <c r="I42" s="15"/>
      <c r="J42" s="17">
        <f t="shared" si="1"/>
        <v>0</v>
      </c>
    </row>
    <row r="43" spans="2:10" x14ac:dyDescent="0.35">
      <c r="B43" t="s">
        <v>599</v>
      </c>
      <c r="D43" t="s">
        <v>337</v>
      </c>
      <c r="E43" t="s">
        <v>338</v>
      </c>
      <c r="F43">
        <v>2</v>
      </c>
      <c r="I43" s="15"/>
      <c r="J43" s="17">
        <f t="shared" si="1"/>
        <v>0</v>
      </c>
    </row>
    <row r="44" spans="2:10" x14ac:dyDescent="0.35">
      <c r="B44" t="s">
        <v>599</v>
      </c>
      <c r="D44" t="s">
        <v>339</v>
      </c>
      <c r="E44" t="s">
        <v>340</v>
      </c>
      <c r="F44">
        <v>2</v>
      </c>
      <c r="I44" s="15"/>
      <c r="J44" s="17">
        <f t="shared" si="1"/>
        <v>0</v>
      </c>
    </row>
    <row r="45" spans="2:10" x14ac:dyDescent="0.35">
      <c r="B45" t="s">
        <v>599</v>
      </c>
      <c r="D45" t="s">
        <v>341</v>
      </c>
      <c r="E45" t="s">
        <v>342</v>
      </c>
      <c r="F45">
        <v>1</v>
      </c>
      <c r="I45" s="15"/>
      <c r="J45" s="17">
        <f t="shared" si="1"/>
        <v>0</v>
      </c>
    </row>
    <row r="46" spans="2:10" x14ac:dyDescent="0.35">
      <c r="B46" t="s">
        <v>599</v>
      </c>
      <c r="D46" t="s">
        <v>343</v>
      </c>
      <c r="E46" t="s">
        <v>344</v>
      </c>
      <c r="F46">
        <v>2</v>
      </c>
      <c r="I46" s="15"/>
      <c r="J46" s="17">
        <f t="shared" si="1"/>
        <v>0</v>
      </c>
    </row>
    <row r="47" spans="2:10" x14ac:dyDescent="0.35">
      <c r="B47" t="s">
        <v>599</v>
      </c>
      <c r="D47" t="s">
        <v>345</v>
      </c>
      <c r="E47" t="s">
        <v>346</v>
      </c>
      <c r="F47">
        <v>5</v>
      </c>
      <c r="I47" s="15"/>
      <c r="J47" s="17">
        <f t="shared" si="1"/>
        <v>0</v>
      </c>
    </row>
    <row r="48" spans="2:10" x14ac:dyDescent="0.35">
      <c r="B48" t="s">
        <v>599</v>
      </c>
      <c r="D48" t="s">
        <v>347</v>
      </c>
      <c r="E48" t="s">
        <v>348</v>
      </c>
      <c r="F48">
        <v>1</v>
      </c>
      <c r="I48" s="15"/>
      <c r="J48" s="17">
        <f t="shared" si="1"/>
        <v>0</v>
      </c>
    </row>
    <row r="49" spans="2:10" x14ac:dyDescent="0.35">
      <c r="B49" t="s">
        <v>599</v>
      </c>
      <c r="D49" t="s">
        <v>349</v>
      </c>
      <c r="E49" t="s">
        <v>350</v>
      </c>
      <c r="F49">
        <v>3</v>
      </c>
      <c r="I49" s="15"/>
      <c r="J49" s="17">
        <f t="shared" si="1"/>
        <v>0</v>
      </c>
    </row>
    <row r="50" spans="2:10" x14ac:dyDescent="0.35">
      <c r="B50" t="s">
        <v>599</v>
      </c>
      <c r="D50" t="s">
        <v>351</v>
      </c>
      <c r="E50" t="s">
        <v>352</v>
      </c>
      <c r="F50">
        <v>3</v>
      </c>
      <c r="I50" s="15"/>
      <c r="J50" s="17">
        <f t="shared" si="1"/>
        <v>0</v>
      </c>
    </row>
    <row r="51" spans="2:10" x14ac:dyDescent="0.35">
      <c r="B51" t="s">
        <v>599</v>
      </c>
      <c r="D51" t="s">
        <v>353</v>
      </c>
      <c r="E51" t="s">
        <v>354</v>
      </c>
      <c r="F51">
        <v>3</v>
      </c>
      <c r="I51" s="15"/>
      <c r="J51" s="17">
        <f t="shared" si="1"/>
        <v>0</v>
      </c>
    </row>
    <row r="52" spans="2:10" x14ac:dyDescent="0.35">
      <c r="B52" t="s">
        <v>599</v>
      </c>
      <c r="D52" t="s">
        <v>355</v>
      </c>
      <c r="E52" t="s">
        <v>356</v>
      </c>
      <c r="F52">
        <v>3</v>
      </c>
      <c r="I52" s="15"/>
      <c r="J52" s="17">
        <f t="shared" si="1"/>
        <v>0</v>
      </c>
    </row>
    <row r="53" spans="2:10" x14ac:dyDescent="0.35">
      <c r="B53" t="s">
        <v>599</v>
      </c>
      <c r="D53" t="s">
        <v>357</v>
      </c>
      <c r="E53" t="s">
        <v>358</v>
      </c>
      <c r="F53">
        <v>2</v>
      </c>
      <c r="I53" s="15"/>
      <c r="J53" s="17">
        <f t="shared" si="1"/>
        <v>0</v>
      </c>
    </row>
    <row r="54" spans="2:10" x14ac:dyDescent="0.35">
      <c r="B54" t="s">
        <v>599</v>
      </c>
      <c r="D54" t="s">
        <v>359</v>
      </c>
      <c r="E54" t="s">
        <v>360</v>
      </c>
      <c r="F54">
        <v>12</v>
      </c>
      <c r="I54" s="15"/>
      <c r="J54" s="17">
        <f t="shared" si="1"/>
        <v>0</v>
      </c>
    </row>
    <row r="55" spans="2:10" x14ac:dyDescent="0.35">
      <c r="B55" t="s">
        <v>599</v>
      </c>
      <c r="D55" t="s">
        <v>361</v>
      </c>
      <c r="E55" t="s">
        <v>362</v>
      </c>
      <c r="F55">
        <v>84</v>
      </c>
      <c r="I55" s="15"/>
      <c r="J55" s="17">
        <f t="shared" si="1"/>
        <v>0</v>
      </c>
    </row>
    <row r="56" spans="2:10" x14ac:dyDescent="0.35">
      <c r="B56" t="s">
        <v>599</v>
      </c>
      <c r="D56" t="s">
        <v>363</v>
      </c>
      <c r="E56" t="s">
        <v>362</v>
      </c>
      <c r="F56">
        <v>13</v>
      </c>
      <c r="I56" s="15"/>
      <c r="J56" s="17">
        <f t="shared" si="1"/>
        <v>0</v>
      </c>
    </row>
    <row r="57" spans="2:10" x14ac:dyDescent="0.35">
      <c r="B57" t="s">
        <v>599</v>
      </c>
      <c r="D57" t="s">
        <v>364</v>
      </c>
      <c r="E57" t="s">
        <v>365</v>
      </c>
      <c r="F57">
        <v>2</v>
      </c>
      <c r="I57" s="15"/>
      <c r="J57" s="17">
        <f t="shared" si="1"/>
        <v>0</v>
      </c>
    </row>
    <row r="58" spans="2:10" x14ac:dyDescent="0.35">
      <c r="I58" s="15"/>
      <c r="J58" s="15">
        <f>SUM(J2:J57)</f>
        <v>0</v>
      </c>
    </row>
  </sheetData>
  <autoFilter ref="A1:H10" xr:uid="{B1D2E80C-7308-4E77-85E9-1F9F1C71B892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8681-813D-4264-886A-C16BFE91F0E3}">
  <dimension ref="A1:J10"/>
  <sheetViews>
    <sheetView workbookViewId="0">
      <selection activeCell="G18" sqref="G18"/>
    </sheetView>
  </sheetViews>
  <sheetFormatPr defaultRowHeight="14.5" x14ac:dyDescent="0.35"/>
  <cols>
    <col min="1" max="1" width="13.1796875" bestFit="1" customWidth="1"/>
    <col min="2" max="2" width="26.81640625" customWidth="1"/>
    <col min="3" max="3" width="17.7265625" customWidth="1"/>
    <col min="4" max="4" width="26.54296875" customWidth="1"/>
    <col min="5" max="5" width="63" customWidth="1"/>
    <col min="6" max="6" width="17.7265625" customWidth="1"/>
    <col min="7" max="7" width="17.1796875" customWidth="1"/>
    <col min="8" max="8" width="22.81640625" customWidth="1"/>
  </cols>
  <sheetData>
    <row r="1" spans="1:10" x14ac:dyDescent="0.35">
      <c r="A1" s="3" t="s">
        <v>600</v>
      </c>
      <c r="B1" s="3" t="s">
        <v>597</v>
      </c>
      <c r="C1" s="3" t="s">
        <v>10</v>
      </c>
      <c r="D1" s="3" t="s">
        <v>20</v>
      </c>
      <c r="E1" s="3" t="s">
        <v>21</v>
      </c>
      <c r="F1" s="10" t="s">
        <v>23</v>
      </c>
      <c r="G1" s="3" t="s">
        <v>22</v>
      </c>
      <c r="H1" s="3" t="s">
        <v>181</v>
      </c>
      <c r="I1" s="3" t="s">
        <v>609</v>
      </c>
      <c r="J1" s="3" t="s">
        <v>610</v>
      </c>
    </row>
    <row r="2" spans="1:10" x14ac:dyDescent="0.35">
      <c r="A2" s="4"/>
      <c r="B2" t="s">
        <v>598</v>
      </c>
      <c r="C2" t="s">
        <v>601</v>
      </c>
      <c r="D2" s="4" t="s">
        <v>157</v>
      </c>
      <c r="E2" s="5" t="s">
        <v>158</v>
      </c>
      <c r="F2" s="6">
        <v>1</v>
      </c>
      <c r="G2" s="7"/>
      <c r="H2" s="4"/>
      <c r="I2" s="15"/>
      <c r="J2" s="17">
        <f>I2*F2</f>
        <v>0</v>
      </c>
    </row>
    <row r="3" spans="1:10" x14ac:dyDescent="0.35">
      <c r="A3" s="4"/>
      <c r="B3" t="s">
        <v>598</v>
      </c>
      <c r="C3" t="s">
        <v>601</v>
      </c>
      <c r="D3" s="4" t="s">
        <v>159</v>
      </c>
      <c r="E3" s="5" t="s">
        <v>160</v>
      </c>
      <c r="F3" s="6">
        <v>105</v>
      </c>
      <c r="G3" s="7"/>
      <c r="H3" s="4"/>
      <c r="I3" s="15"/>
      <c r="J3" s="17">
        <f t="shared" ref="J3:J9" si="0">I3*F3</f>
        <v>0</v>
      </c>
    </row>
    <row r="4" spans="1:10" x14ac:dyDescent="0.35">
      <c r="A4" s="4"/>
      <c r="B4" t="s">
        <v>598</v>
      </c>
      <c r="C4" t="s">
        <v>601</v>
      </c>
      <c r="D4" s="4" t="s">
        <v>161</v>
      </c>
      <c r="E4" s="5" t="s">
        <v>162</v>
      </c>
      <c r="F4" s="6">
        <v>1</v>
      </c>
      <c r="G4" s="7"/>
      <c r="H4" s="4"/>
      <c r="I4" s="15"/>
      <c r="J4" s="17">
        <f t="shared" si="0"/>
        <v>0</v>
      </c>
    </row>
    <row r="5" spans="1:10" x14ac:dyDescent="0.35">
      <c r="A5" s="4"/>
      <c r="B5" t="s">
        <v>598</v>
      </c>
      <c r="C5" t="s">
        <v>601</v>
      </c>
      <c r="D5" s="4" t="s">
        <v>163</v>
      </c>
      <c r="E5" s="5" t="s">
        <v>164</v>
      </c>
      <c r="F5" s="6">
        <v>105</v>
      </c>
      <c r="G5" s="7"/>
      <c r="H5" s="4"/>
      <c r="I5" s="15"/>
      <c r="J5" s="17">
        <f t="shared" si="0"/>
        <v>0</v>
      </c>
    </row>
    <row r="6" spans="1:10" x14ac:dyDescent="0.35">
      <c r="A6" s="4"/>
      <c r="B6" t="s">
        <v>598</v>
      </c>
      <c r="C6" t="s">
        <v>601</v>
      </c>
      <c r="D6" s="4" t="s">
        <v>165</v>
      </c>
      <c r="E6" s="5" t="s">
        <v>166</v>
      </c>
      <c r="F6" s="6">
        <v>1</v>
      </c>
      <c r="G6" s="7"/>
      <c r="H6" s="4"/>
      <c r="I6" s="15"/>
      <c r="J6" s="17">
        <f t="shared" si="0"/>
        <v>0</v>
      </c>
    </row>
    <row r="7" spans="1:10" x14ac:dyDescent="0.35">
      <c r="A7" s="4"/>
      <c r="B7" t="s">
        <v>598</v>
      </c>
      <c r="C7" t="s">
        <v>601</v>
      </c>
      <c r="D7" s="4" t="s">
        <v>167</v>
      </c>
      <c r="E7" s="5" t="s">
        <v>168</v>
      </c>
      <c r="F7" s="6">
        <v>70</v>
      </c>
      <c r="G7" s="7"/>
      <c r="H7" s="4"/>
      <c r="I7" s="15"/>
      <c r="J7" s="17">
        <f t="shared" si="0"/>
        <v>0</v>
      </c>
    </row>
    <row r="8" spans="1:10" x14ac:dyDescent="0.35">
      <c r="A8" s="4"/>
      <c r="B8" t="s">
        <v>598</v>
      </c>
      <c r="C8" t="s">
        <v>601</v>
      </c>
      <c r="D8" s="4" t="s">
        <v>169</v>
      </c>
      <c r="E8" s="5" t="s">
        <v>170</v>
      </c>
      <c r="F8" s="6">
        <v>70</v>
      </c>
      <c r="G8" s="7"/>
      <c r="H8" s="4"/>
      <c r="I8" s="15"/>
      <c r="J8" s="17">
        <f t="shared" si="0"/>
        <v>0</v>
      </c>
    </row>
    <row r="9" spans="1:10" x14ac:dyDescent="0.35">
      <c r="A9" s="4"/>
      <c r="B9" t="s">
        <v>598</v>
      </c>
      <c r="C9" t="s">
        <v>601</v>
      </c>
      <c r="D9" s="4" t="s">
        <v>171</v>
      </c>
      <c r="E9" s="5" t="s">
        <v>172</v>
      </c>
      <c r="F9" s="6">
        <v>1</v>
      </c>
      <c r="G9" s="7"/>
      <c r="H9" s="4"/>
      <c r="I9" s="15"/>
      <c r="J9" s="17">
        <f t="shared" si="0"/>
        <v>0</v>
      </c>
    </row>
    <row r="10" spans="1:10" x14ac:dyDescent="0.35">
      <c r="E10" s="8"/>
      <c r="I10" s="15"/>
      <c r="J10" s="15">
        <f>SUM(J2:J9)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2839647f-b538-48e0-9cbf-71482a82010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36E61CBFA84D4BA5058FBC3B0D1694" ma:contentTypeVersion="15" ma:contentTypeDescription="Create a new document." ma:contentTypeScope="" ma:versionID="8427a2a425305b1c5e064e14f176f8cf">
  <xsd:schema xmlns:xsd="http://www.w3.org/2001/XMLSchema" xmlns:xs="http://www.w3.org/2001/XMLSchema" xmlns:p="http://schemas.microsoft.com/office/2006/metadata/properties" xmlns:ns1="http://schemas.microsoft.com/sharepoint/v3" xmlns:ns3="2839647f-b538-48e0-9cbf-71482a820100" targetNamespace="http://schemas.microsoft.com/office/2006/metadata/properties" ma:root="true" ma:fieldsID="a650c2452e8930fc645f001d370cd058" ns1:_="" ns3:_="">
    <xsd:import namespace="http://schemas.microsoft.com/sharepoint/v3"/>
    <xsd:import namespace="2839647f-b538-48e0-9cbf-71482a8201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_activity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9647f-b538-48e0-9cbf-71482a8201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044B5-3294-431E-B0D6-1BEE9F9340EF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2839647f-b538-48e0-9cbf-71482a820100"/>
    <ds:schemaRef ds:uri="http://schemas.microsoft.com/office/2006/documentManagement/types"/>
    <ds:schemaRef ds:uri="http://purl.org/dc/terms/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C08FF53-B549-441C-8606-D85AAA19A7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683535-DCAC-4024-AAAE-938779AD80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39647f-b538-48e0-9cbf-71482a8201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 - Pricing</vt:lpstr>
      <vt:lpstr>Pivot - Quantities per Org</vt:lpstr>
      <vt:lpstr>Consolidated Data</vt:lpstr>
      <vt:lpstr>BIA</vt:lpstr>
      <vt:lpstr>BIE</vt:lpstr>
      <vt:lpstr>BLM</vt:lpstr>
      <vt:lpstr>BOR</vt:lpstr>
      <vt:lpstr>BSEE</vt:lpstr>
      <vt:lpstr>FWS</vt:lpstr>
      <vt:lpstr>OIG</vt:lpstr>
      <vt:lpstr>USGS</vt:lpstr>
      <vt:lpstr>NPS</vt:lpstr>
      <vt:lpstr>DOI IBC</vt:lpstr>
      <vt:lpstr>DOI OCIO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Anderson</dc:creator>
  <cp:lastModifiedBy>George, James E</cp:lastModifiedBy>
  <dcterms:created xsi:type="dcterms:W3CDTF">2026-03-13T16:07:21Z</dcterms:created>
  <dcterms:modified xsi:type="dcterms:W3CDTF">2026-03-23T17:07:23Z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0x010100C936E61CBFA84D4BA5058FBC3B0D1694</vt:lpwstr>
  </property>
</Properties>
</file>