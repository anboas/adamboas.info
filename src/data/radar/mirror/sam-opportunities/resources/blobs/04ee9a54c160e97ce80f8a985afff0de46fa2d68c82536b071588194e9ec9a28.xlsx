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codeName="ThisWorkbook" defaultThemeVersion="124226"/>
  <mc:AlternateContent xmlns:mc="http://schemas.openxmlformats.org/markup-compatibility/2006">
    <mc:Choice Requires="x15">
      <x15ac:absPath xmlns:x15ac="http://schemas.microsoft.com/office/spreadsheetml/2010/11/ac" url="https://armyeitaas.sharepoint-mil.us/teams/DPW-TST-OMD/Shared Documents/OMD/2_2 Contract_Branch/2_Facil&amp;Struc/2.4-Fire_Protection/3) 22-D-0002 OY3 01JUN25-31May26/I) Contract package, renewal 2026/CONTRACT RENEWAL 2026/4) IGE/"/>
    </mc:Choice>
  </mc:AlternateContent>
  <xr:revisionPtr revIDLastSave="1830" documentId="8_{9453166E-C911-437A-820A-1562BEE6993B}" xr6:coauthVersionLast="47" xr6:coauthVersionMax="47" xr10:uidLastSave="{06EE59EF-87D9-47D3-B796-1ECCAFD5C03D}"/>
  <bookViews>
    <workbookView xWindow="28680" yWindow="150" windowWidth="29040" windowHeight="15450" tabRatio="855" activeTab="3" xr2:uid="{00000000-000D-0000-FFFF-FFFF00000000}"/>
  </bookViews>
  <sheets>
    <sheet name="Summary" sheetId="27" r:id="rId1"/>
    <sheet name="Base Year 2026" sheetId="81" r:id="rId2"/>
    <sheet name="CLIN0001 Base PB-OMA Fire A  " sheetId="18" r:id="rId3"/>
    <sheet name="CLIN0001 Base PM-OMA Sprinkler" sheetId="19" r:id="rId4"/>
    <sheet name="CLIN0001 Base PB-OMA Supp" sheetId="20" r:id="rId5"/>
    <sheet name="CLIN0002 Base PB-AFH Fire A" sheetId="21" r:id="rId6"/>
    <sheet name="CLIN0002 Base PB-AFH Sprinkler" sheetId="22" r:id="rId7"/>
    <sheet name="CLIN0002 Base PB-AFH Supp" sheetId="26" r:id="rId8"/>
    <sheet name="First Option " sheetId="82" r:id="rId9"/>
    <sheet name="CLIN1001 1st PB-OMA Fire A " sheetId="13" r:id="rId10"/>
    <sheet name="CLIN1001 1st PB-OMA Sprinkler" sheetId="14" r:id="rId11"/>
    <sheet name="CLIN1001 1st PB-OMA Supp" sheetId="15" r:id="rId12"/>
    <sheet name="CLIN1002 1st PB-AFH Fire A" sheetId="16" r:id="rId13"/>
    <sheet name="CLIN1002 1st PB-AFH Sprinkler" sheetId="17" r:id="rId14"/>
    <sheet name="CLIN1002 1st PB-AFH Supp" sheetId="25" r:id="rId15"/>
    <sheet name="Second Option " sheetId="83" r:id="rId16"/>
    <sheet name="CLIN2001 2nd PB-OMA Sprinkl " sheetId="56" r:id="rId17"/>
    <sheet name="CLIN2001 2nd PB-OMA Sprinkler " sheetId="57" r:id="rId18"/>
    <sheet name="CLIN2001 2nd PB-OMA Supp " sheetId="58" r:id="rId19"/>
    <sheet name="CLIN2002 2nd PB-AFH Fire A " sheetId="59" r:id="rId20"/>
    <sheet name="CLIN2002 2nd PB-AFH Sprinkl " sheetId="60" r:id="rId21"/>
    <sheet name="CLIN2002 2nd PB-AFH Supp " sheetId="61" r:id="rId22"/>
    <sheet name="-8 Extension " sheetId="84" r:id="rId23"/>
    <sheet name="CLIN5001 -8 PB-OMA Fire A  " sheetId="72" r:id="rId24"/>
    <sheet name="CLIN5001 -8 PB-OMA Sprinkl " sheetId="76" r:id="rId25"/>
    <sheet name="CLIN5001 -8 PB-OMA Supp " sheetId="77" r:id="rId26"/>
    <sheet name="CLIN5001 -8 PB-AFH Fire A " sheetId="78" r:id="rId27"/>
    <sheet name="CLIN5001 -8 PB-AFH Sprinkl " sheetId="79" r:id="rId28"/>
    <sheet name="CLIN5001 -8 PB-AFH Supp  " sheetId="80" r:id="rId29"/>
  </sheets>
  <definedNames>
    <definedName name="_xlnm._FilterDatabase" localSheetId="22" hidden="1">'-8 Extension '!$A$7:$H$26</definedName>
    <definedName name="_xlnm._FilterDatabase" localSheetId="1" hidden="1">'Base Year 2026'!$A$7:$H$26</definedName>
    <definedName name="_xlnm.Print_Area" localSheetId="1">'Base Year 2026'!$A$1:$H$53</definedName>
    <definedName name="_xlnm.Print_Area" localSheetId="5">'CLIN0002 Base PB-AFH Fire A'!$A$1:$H$24</definedName>
    <definedName name="_xlnm.Print_Area" localSheetId="9">'CLIN1001 1st PB-OMA Fire A '!$A$1:$H$52</definedName>
    <definedName name="_xlnm.Print_Area" localSheetId="12">'CLIN1002 1st PB-AFH Fire A'!$A$1:$H$24</definedName>
    <definedName name="_xlnm.Print_Area" localSheetId="8">'First Option '!#REF!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81" l="1"/>
  <c r="H15" i="81"/>
  <c r="H16" i="81"/>
  <c r="H3" i="13"/>
  <c r="H17" i="84"/>
  <c r="H26" i="84"/>
  <c r="H25" i="84"/>
  <c r="H24" i="84"/>
  <c r="H22" i="84"/>
  <c r="H21" i="84"/>
  <c r="H20" i="84"/>
  <c r="H16" i="84"/>
  <c r="H15" i="84"/>
  <c r="H13" i="84"/>
  <c r="H12" i="84"/>
  <c r="H11" i="84"/>
  <c r="H10" i="84"/>
  <c r="H17" i="83"/>
  <c r="H15" i="83"/>
  <c r="H26" i="83"/>
  <c r="H25" i="83"/>
  <c r="H24" i="83"/>
  <c r="F23" i="83"/>
  <c r="H23" i="83" s="1"/>
  <c r="H22" i="83"/>
  <c r="H21" i="83"/>
  <c r="H20" i="83"/>
  <c r="H16" i="83"/>
  <c r="H13" i="83"/>
  <c r="H12" i="83"/>
  <c r="H11" i="83"/>
  <c r="H10" i="83"/>
  <c r="H15" i="82"/>
  <c r="H16" i="82"/>
  <c r="H17" i="82"/>
  <c r="H26" i="82"/>
  <c r="F14" i="82" l="1"/>
  <c r="H14" i="82" s="1"/>
  <c r="F23" i="84"/>
  <c r="H23" i="84" s="1"/>
  <c r="F14" i="84"/>
  <c r="H14" i="84" s="1"/>
  <c r="F14" i="83"/>
  <c r="H14" i="83" s="1"/>
  <c r="H25" i="82" l="1"/>
  <c r="H24" i="82"/>
  <c r="H22" i="82"/>
  <c r="H21" i="82"/>
  <c r="H20" i="82"/>
  <c r="H13" i="82"/>
  <c r="H12" i="82"/>
  <c r="H11" i="82"/>
  <c r="H10" i="82"/>
  <c r="H26" i="81"/>
  <c r="H13" i="81"/>
  <c r="H11" i="81"/>
  <c r="H10" i="81"/>
  <c r="H17" i="81"/>
  <c r="H22" i="81"/>
  <c r="H12" i="81"/>
  <c r="H25" i="81"/>
  <c r="H24" i="81"/>
  <c r="H21" i="81"/>
  <c r="H20" i="81"/>
  <c r="F23" i="82" l="1"/>
  <c r="H23" i="82" s="1"/>
  <c r="F23" i="81"/>
  <c r="H23" i="81" s="1"/>
  <c r="H12" i="80" l="1"/>
  <c r="H11" i="80"/>
  <c r="H10" i="80"/>
  <c r="H9" i="80"/>
  <c r="H8" i="80"/>
  <c r="H7" i="80"/>
  <c r="H6" i="80"/>
  <c r="H5" i="80"/>
  <c r="H4" i="80"/>
  <c r="H3" i="80"/>
  <c r="H42" i="79"/>
  <c r="H41" i="79"/>
  <c r="H40" i="79"/>
  <c r="H39" i="79"/>
  <c r="H38" i="79"/>
  <c r="H37" i="79"/>
  <c r="H36" i="79"/>
  <c r="H35" i="79"/>
  <c r="H34" i="79"/>
  <c r="H33" i="79"/>
  <c r="H32" i="79"/>
  <c r="H31" i="79"/>
  <c r="H30" i="79"/>
  <c r="H29" i="79"/>
  <c r="H28" i="79"/>
  <c r="H27" i="79"/>
  <c r="H26" i="79"/>
  <c r="H25" i="79"/>
  <c r="H24" i="79"/>
  <c r="H23" i="79"/>
  <c r="H22" i="79"/>
  <c r="H21" i="79"/>
  <c r="H20" i="79"/>
  <c r="H19" i="79"/>
  <c r="H18" i="79"/>
  <c r="H17" i="79"/>
  <c r="H16" i="79"/>
  <c r="H15" i="79"/>
  <c r="H14" i="79"/>
  <c r="H13" i="79"/>
  <c r="H12" i="79"/>
  <c r="H11" i="79"/>
  <c r="H10" i="79"/>
  <c r="H9" i="79"/>
  <c r="H8" i="79"/>
  <c r="H7" i="79"/>
  <c r="H6" i="79"/>
  <c r="H5" i="79"/>
  <c r="H4" i="79"/>
  <c r="H3" i="79"/>
  <c r="H47" i="78"/>
  <c r="H46" i="78"/>
  <c r="H45" i="78"/>
  <c r="H44" i="78"/>
  <c r="H43" i="78"/>
  <c r="H42" i="78"/>
  <c r="H41" i="78"/>
  <c r="H40" i="78"/>
  <c r="H39" i="78"/>
  <c r="H38" i="78"/>
  <c r="H37" i="78"/>
  <c r="H36" i="78"/>
  <c r="H35" i="78"/>
  <c r="H34" i="78"/>
  <c r="H33" i="78"/>
  <c r="H32" i="78"/>
  <c r="H31" i="78"/>
  <c r="H30" i="78"/>
  <c r="H29" i="78"/>
  <c r="H28" i="78"/>
  <c r="H27" i="78"/>
  <c r="H26" i="78"/>
  <c r="H25" i="78"/>
  <c r="H24" i="78"/>
  <c r="H23" i="78"/>
  <c r="H22" i="78"/>
  <c r="H21" i="78"/>
  <c r="H20" i="78"/>
  <c r="H19" i="78"/>
  <c r="H18" i="78"/>
  <c r="H17" i="78"/>
  <c r="H16" i="78"/>
  <c r="H15" i="78"/>
  <c r="H14" i="78"/>
  <c r="H13" i="78"/>
  <c r="H12" i="78"/>
  <c r="H11" i="78"/>
  <c r="H10" i="78"/>
  <c r="H9" i="78"/>
  <c r="H8" i="78"/>
  <c r="H7" i="78"/>
  <c r="H6" i="78"/>
  <c r="H5" i="78"/>
  <c r="H4" i="78"/>
  <c r="H3" i="78"/>
  <c r="H12" i="77"/>
  <c r="H11" i="77"/>
  <c r="H10" i="77"/>
  <c r="H9" i="77"/>
  <c r="H8" i="77"/>
  <c r="H7" i="77"/>
  <c r="H6" i="77"/>
  <c r="H5" i="77"/>
  <c r="H4" i="77"/>
  <c r="H3" i="77"/>
  <c r="H41" i="76"/>
  <c r="H40" i="76"/>
  <c r="H39" i="76"/>
  <c r="H38" i="76"/>
  <c r="H37" i="76"/>
  <c r="H36" i="76"/>
  <c r="H35" i="76"/>
  <c r="H34" i="76"/>
  <c r="H33" i="76"/>
  <c r="H32" i="76"/>
  <c r="H31" i="76"/>
  <c r="H30" i="76"/>
  <c r="H29" i="76"/>
  <c r="H28" i="76"/>
  <c r="H27" i="76"/>
  <c r="H26" i="76"/>
  <c r="H25" i="76"/>
  <c r="H24" i="76"/>
  <c r="H23" i="76"/>
  <c r="H22" i="76"/>
  <c r="H21" i="76"/>
  <c r="H20" i="76"/>
  <c r="H19" i="76"/>
  <c r="H18" i="76"/>
  <c r="H17" i="76"/>
  <c r="H16" i="76"/>
  <c r="H15" i="76"/>
  <c r="H14" i="76"/>
  <c r="H13" i="76"/>
  <c r="H12" i="76"/>
  <c r="H11" i="76"/>
  <c r="H10" i="76"/>
  <c r="H9" i="76"/>
  <c r="H8" i="76"/>
  <c r="H7" i="76"/>
  <c r="H6" i="76"/>
  <c r="H5" i="76"/>
  <c r="H4" i="76"/>
  <c r="H3" i="76"/>
  <c r="H52" i="72"/>
  <c r="H51" i="72"/>
  <c r="H50" i="72"/>
  <c r="H49" i="72"/>
  <c r="H48" i="72"/>
  <c r="H47" i="72"/>
  <c r="H46" i="72"/>
  <c r="H45" i="72"/>
  <c r="H44" i="72"/>
  <c r="H43" i="72"/>
  <c r="H42" i="72"/>
  <c r="H41" i="72"/>
  <c r="H40" i="72"/>
  <c r="H39" i="72"/>
  <c r="H38" i="72"/>
  <c r="H37" i="72"/>
  <c r="H36" i="72"/>
  <c r="H35" i="72"/>
  <c r="H34" i="72"/>
  <c r="H33" i="72"/>
  <c r="H32" i="72"/>
  <c r="H31" i="72"/>
  <c r="H30" i="72"/>
  <c r="H29" i="72"/>
  <c r="H28" i="72"/>
  <c r="H27" i="72"/>
  <c r="H26" i="72"/>
  <c r="H25" i="72"/>
  <c r="H24" i="72"/>
  <c r="H23" i="72"/>
  <c r="H22" i="72"/>
  <c r="H21" i="72"/>
  <c r="H20" i="72"/>
  <c r="H19" i="72"/>
  <c r="H18" i="72"/>
  <c r="H17" i="72"/>
  <c r="H16" i="72"/>
  <c r="H15" i="72"/>
  <c r="H14" i="72"/>
  <c r="H13" i="72"/>
  <c r="H12" i="72"/>
  <c r="H11" i="72"/>
  <c r="H10" i="72"/>
  <c r="H9" i="72"/>
  <c r="H8" i="72"/>
  <c r="H7" i="72"/>
  <c r="H6" i="72"/>
  <c r="H5" i="72"/>
  <c r="H4" i="72"/>
  <c r="H3" i="72"/>
  <c r="H2" i="76" l="1"/>
  <c r="H2" i="80"/>
  <c r="H2" i="79"/>
  <c r="H2" i="78"/>
  <c r="H2" i="77"/>
  <c r="H2" i="72"/>
  <c r="H37" i="18"/>
  <c r="H35" i="18"/>
  <c r="H33" i="18"/>
  <c r="H32" i="18"/>
  <c r="H34" i="18"/>
  <c r="H19" i="84" l="1"/>
  <c r="F18" i="84"/>
  <c r="H18" i="84" s="1"/>
  <c r="H9" i="84"/>
  <c r="H12" i="61"/>
  <c r="H11" i="61"/>
  <c r="H10" i="61"/>
  <c r="H9" i="61"/>
  <c r="H8" i="61"/>
  <c r="H7" i="61"/>
  <c r="H6" i="61"/>
  <c r="H5" i="61"/>
  <c r="H4" i="61"/>
  <c r="H3" i="61"/>
  <c r="H42" i="60"/>
  <c r="H41" i="60"/>
  <c r="H40" i="60"/>
  <c r="H39" i="60"/>
  <c r="H38" i="60"/>
  <c r="H37" i="60"/>
  <c r="H36" i="60"/>
  <c r="H35" i="60"/>
  <c r="H34" i="60"/>
  <c r="H33" i="60"/>
  <c r="H32" i="60"/>
  <c r="H31" i="60"/>
  <c r="H30" i="60"/>
  <c r="H29" i="60"/>
  <c r="H28" i="60"/>
  <c r="H27" i="60"/>
  <c r="H26" i="60"/>
  <c r="H25" i="60"/>
  <c r="H24" i="60"/>
  <c r="H23" i="60"/>
  <c r="H22" i="60"/>
  <c r="H21" i="60"/>
  <c r="H20" i="60"/>
  <c r="H19" i="60"/>
  <c r="H18" i="60"/>
  <c r="H17" i="60"/>
  <c r="H16" i="60"/>
  <c r="H15" i="60"/>
  <c r="H14" i="60"/>
  <c r="H13" i="60"/>
  <c r="H12" i="60"/>
  <c r="H11" i="60"/>
  <c r="H10" i="60"/>
  <c r="H9" i="60"/>
  <c r="H8" i="60"/>
  <c r="H7" i="60"/>
  <c r="H6" i="60"/>
  <c r="H5" i="60"/>
  <c r="H4" i="60"/>
  <c r="H3" i="60"/>
  <c r="H47" i="59"/>
  <c r="H46" i="59"/>
  <c r="H45" i="59"/>
  <c r="H44" i="59"/>
  <c r="H43" i="59"/>
  <c r="H42" i="59"/>
  <c r="H41" i="59"/>
  <c r="H40" i="59"/>
  <c r="H39" i="59"/>
  <c r="H38" i="59"/>
  <c r="H37" i="59"/>
  <c r="H36" i="59"/>
  <c r="H35" i="59"/>
  <c r="H34" i="59"/>
  <c r="H33" i="59"/>
  <c r="H32" i="59"/>
  <c r="H31" i="59"/>
  <c r="H30" i="59"/>
  <c r="H29" i="59"/>
  <c r="H28" i="59"/>
  <c r="H27" i="59"/>
  <c r="H26" i="59"/>
  <c r="H25" i="59"/>
  <c r="H24" i="59"/>
  <c r="H23" i="59"/>
  <c r="H22" i="59"/>
  <c r="H21" i="59"/>
  <c r="H20" i="59"/>
  <c r="H19" i="59"/>
  <c r="H18" i="59"/>
  <c r="H17" i="59"/>
  <c r="H16" i="59"/>
  <c r="H15" i="59"/>
  <c r="H14" i="59"/>
  <c r="H13" i="59"/>
  <c r="H12" i="59"/>
  <c r="H11" i="59"/>
  <c r="H10" i="59"/>
  <c r="H9" i="59"/>
  <c r="H8" i="59"/>
  <c r="H7" i="59"/>
  <c r="H6" i="59"/>
  <c r="H5" i="59"/>
  <c r="H4" i="59"/>
  <c r="H3" i="59"/>
  <c r="H12" i="58"/>
  <c r="H11" i="58"/>
  <c r="H10" i="58"/>
  <c r="H9" i="58"/>
  <c r="H8" i="58"/>
  <c r="H7" i="58"/>
  <c r="H6" i="58"/>
  <c r="H5" i="58"/>
  <c r="H4" i="58"/>
  <c r="H3" i="58"/>
  <c r="H41" i="57"/>
  <c r="H40" i="57"/>
  <c r="H39" i="57"/>
  <c r="H38" i="57"/>
  <c r="H37" i="57"/>
  <c r="H36" i="57"/>
  <c r="H35" i="57"/>
  <c r="H34" i="57"/>
  <c r="H33" i="57"/>
  <c r="H32" i="57"/>
  <c r="H31" i="57"/>
  <c r="H30" i="57"/>
  <c r="H29" i="57"/>
  <c r="H28" i="57"/>
  <c r="H27" i="57"/>
  <c r="H26" i="57"/>
  <c r="H25" i="57"/>
  <c r="H24" i="57"/>
  <c r="H23" i="57"/>
  <c r="H22" i="57"/>
  <c r="H21" i="57"/>
  <c r="H20" i="57"/>
  <c r="H19" i="57"/>
  <c r="H18" i="57"/>
  <c r="H17" i="57"/>
  <c r="H16" i="57"/>
  <c r="H15" i="57"/>
  <c r="H14" i="57"/>
  <c r="H13" i="57"/>
  <c r="H12" i="57"/>
  <c r="H11" i="57"/>
  <c r="H10" i="57"/>
  <c r="H9" i="57"/>
  <c r="H8" i="57"/>
  <c r="H7" i="57"/>
  <c r="H6" i="57"/>
  <c r="H5" i="57"/>
  <c r="H4" i="57"/>
  <c r="H3" i="57"/>
  <c r="H52" i="56"/>
  <c r="H51" i="56"/>
  <c r="H50" i="56"/>
  <c r="H49" i="56"/>
  <c r="H48" i="56"/>
  <c r="H47" i="56"/>
  <c r="H46" i="56"/>
  <c r="H45" i="56"/>
  <c r="H44" i="56"/>
  <c r="H43" i="56"/>
  <c r="H42" i="56"/>
  <c r="H41" i="56"/>
  <c r="H40" i="56"/>
  <c r="H39" i="56"/>
  <c r="H38" i="56"/>
  <c r="H37" i="56"/>
  <c r="H36" i="56"/>
  <c r="H35" i="56"/>
  <c r="H34" i="56"/>
  <c r="H33" i="56"/>
  <c r="H32" i="56"/>
  <c r="H31" i="56"/>
  <c r="H30" i="56"/>
  <c r="H29" i="56"/>
  <c r="H28" i="56"/>
  <c r="H27" i="56"/>
  <c r="H26" i="56"/>
  <c r="H25" i="56"/>
  <c r="H24" i="56"/>
  <c r="H23" i="56"/>
  <c r="H22" i="56"/>
  <c r="H21" i="56"/>
  <c r="H20" i="56"/>
  <c r="H19" i="56"/>
  <c r="H18" i="56"/>
  <c r="H17" i="56"/>
  <c r="H16" i="56"/>
  <c r="H15" i="56"/>
  <c r="H14" i="56"/>
  <c r="H13" i="56"/>
  <c r="H12" i="56"/>
  <c r="H11" i="56"/>
  <c r="H10" i="56"/>
  <c r="H9" i="56"/>
  <c r="H8" i="56"/>
  <c r="H7" i="56"/>
  <c r="H6" i="56"/>
  <c r="H5" i="56"/>
  <c r="H4" i="56"/>
  <c r="H3" i="56"/>
  <c r="F8" i="84" l="1"/>
  <c r="H8" i="84" s="1"/>
  <c r="H2" i="61"/>
  <c r="H2" i="59"/>
  <c r="H2" i="56"/>
  <c r="H2" i="58"/>
  <c r="H2" i="60"/>
  <c r="H2" i="57"/>
  <c r="B5" i="27" l="1"/>
  <c r="D5" i="27" s="1"/>
  <c r="H19" i="83"/>
  <c r="F18" i="83"/>
  <c r="H18" i="83" s="1"/>
  <c r="H9" i="83"/>
  <c r="F8" i="83" l="1"/>
  <c r="H8" i="83" s="1"/>
  <c r="H3" i="15"/>
  <c r="F29" i="83" l="1"/>
  <c r="B4" i="27" s="1"/>
  <c r="H24" i="22"/>
  <c r="H25" i="22"/>
  <c r="H26" i="22"/>
  <c r="H27" i="22"/>
  <c r="H28" i="22"/>
  <c r="H29" i="22"/>
  <c r="H30" i="22"/>
  <c r="H31" i="22"/>
  <c r="H32" i="22"/>
  <c r="H33" i="22"/>
  <c r="H34" i="22"/>
  <c r="H35" i="22"/>
  <c r="H36" i="22"/>
  <c r="H37" i="22"/>
  <c r="H38" i="22"/>
  <c r="H39" i="22"/>
  <c r="H40" i="22"/>
  <c r="H41" i="22"/>
  <c r="H42" i="22"/>
  <c r="K8" i="26"/>
  <c r="K9" i="26"/>
  <c r="K10" i="26"/>
  <c r="K11" i="26"/>
  <c r="K12" i="26"/>
  <c r="H25" i="21"/>
  <c r="H26" i="21"/>
  <c r="H27" i="21"/>
  <c r="H28" i="21"/>
  <c r="H29" i="21"/>
  <c r="H30" i="21"/>
  <c r="H31" i="21"/>
  <c r="H32" i="21"/>
  <c r="H33" i="21"/>
  <c r="H34" i="21"/>
  <c r="H35" i="21"/>
  <c r="H36" i="21"/>
  <c r="H37" i="21"/>
  <c r="H38" i="21"/>
  <c r="H39" i="21"/>
  <c r="H40" i="21"/>
  <c r="H41" i="21"/>
  <c r="H42" i="21"/>
  <c r="H43" i="21"/>
  <c r="H44" i="21"/>
  <c r="H45" i="21"/>
  <c r="H46" i="21"/>
  <c r="H47" i="21"/>
  <c r="H39" i="19"/>
  <c r="H40" i="19"/>
  <c r="H41" i="19"/>
  <c r="H24" i="17"/>
  <c r="H25" i="17"/>
  <c r="H26" i="17"/>
  <c r="H27" i="17"/>
  <c r="H28" i="17"/>
  <c r="H29" i="17"/>
  <c r="H30" i="17"/>
  <c r="H31" i="17"/>
  <c r="H32" i="17"/>
  <c r="H33" i="17"/>
  <c r="H34" i="17"/>
  <c r="H35" i="17"/>
  <c r="H36" i="17"/>
  <c r="H37" i="17"/>
  <c r="H38" i="17"/>
  <c r="H39" i="17"/>
  <c r="H40" i="17"/>
  <c r="H41" i="17"/>
  <c r="H42" i="17"/>
  <c r="H25" i="16"/>
  <c r="H26" i="16"/>
  <c r="H27" i="16"/>
  <c r="H28" i="16"/>
  <c r="H29" i="16"/>
  <c r="H30" i="16"/>
  <c r="H31" i="16"/>
  <c r="H32" i="16"/>
  <c r="H33" i="16"/>
  <c r="H34" i="16"/>
  <c r="H35" i="16"/>
  <c r="H36" i="16"/>
  <c r="H37" i="16"/>
  <c r="H38" i="16"/>
  <c r="H39" i="16"/>
  <c r="H40" i="16"/>
  <c r="H41" i="16"/>
  <c r="H42" i="16"/>
  <c r="H43" i="16"/>
  <c r="H44" i="16"/>
  <c r="H45" i="16"/>
  <c r="H46" i="16"/>
  <c r="H47" i="16"/>
  <c r="K7" i="26"/>
  <c r="K6" i="26"/>
  <c r="K5" i="26"/>
  <c r="K4" i="26"/>
  <c r="K3" i="26"/>
  <c r="H23" i="22"/>
  <c r="H22" i="22"/>
  <c r="H21" i="22"/>
  <c r="H20" i="22"/>
  <c r="H19" i="22"/>
  <c r="H18" i="22"/>
  <c r="H17" i="22"/>
  <c r="H16" i="22"/>
  <c r="H15" i="22"/>
  <c r="H14" i="22"/>
  <c r="H13" i="22"/>
  <c r="H12" i="22"/>
  <c r="H11" i="22"/>
  <c r="H10" i="22"/>
  <c r="H9" i="22"/>
  <c r="H8" i="22"/>
  <c r="H7" i="22"/>
  <c r="H6" i="22"/>
  <c r="H5" i="22"/>
  <c r="H4" i="22"/>
  <c r="H3" i="22"/>
  <c r="H24" i="21"/>
  <c r="H23" i="21"/>
  <c r="H22" i="21"/>
  <c r="H21" i="21"/>
  <c r="H20" i="21"/>
  <c r="H19" i="21"/>
  <c r="H18" i="21"/>
  <c r="H17" i="21"/>
  <c r="H16" i="21"/>
  <c r="H15" i="21"/>
  <c r="H14" i="21"/>
  <c r="H13" i="21"/>
  <c r="H12" i="21"/>
  <c r="H11" i="21"/>
  <c r="H10" i="21"/>
  <c r="H9" i="21"/>
  <c r="H8" i="21"/>
  <c r="H7" i="21"/>
  <c r="H6" i="21"/>
  <c r="H5" i="21"/>
  <c r="H4" i="21"/>
  <c r="H3" i="21"/>
  <c r="H24" i="16"/>
  <c r="H23" i="16"/>
  <c r="H22" i="16"/>
  <c r="H21" i="16"/>
  <c r="H20" i="16"/>
  <c r="H19" i="16"/>
  <c r="H18" i="16"/>
  <c r="H17" i="16"/>
  <c r="H16" i="16"/>
  <c r="H15" i="16"/>
  <c r="H14" i="16"/>
  <c r="H13" i="16"/>
  <c r="H12" i="16"/>
  <c r="H11" i="16"/>
  <c r="H10" i="16"/>
  <c r="H9" i="16"/>
  <c r="H8" i="16"/>
  <c r="H7" i="16"/>
  <c r="H6" i="16"/>
  <c r="H5" i="16"/>
  <c r="H4" i="16"/>
  <c r="H3" i="16"/>
  <c r="H12" i="20"/>
  <c r="H11" i="20"/>
  <c r="H10" i="20"/>
  <c r="H9" i="20"/>
  <c r="H8" i="20"/>
  <c r="H7" i="20"/>
  <c r="H6" i="20"/>
  <c r="H5" i="20"/>
  <c r="H4" i="20"/>
  <c r="H3" i="20"/>
  <c r="H4" i="15"/>
  <c r="H5" i="15"/>
  <c r="H6" i="15"/>
  <c r="H7" i="15"/>
  <c r="H8" i="15"/>
  <c r="H9" i="15"/>
  <c r="H10" i="15"/>
  <c r="H11" i="15"/>
  <c r="H12" i="15"/>
  <c r="H38" i="19"/>
  <c r="H37" i="19"/>
  <c r="H36" i="19"/>
  <c r="H35" i="19"/>
  <c r="H34" i="19"/>
  <c r="H33" i="19"/>
  <c r="H32" i="19"/>
  <c r="H31" i="19"/>
  <c r="H30" i="19"/>
  <c r="H29" i="19"/>
  <c r="H28" i="19"/>
  <c r="H27" i="19"/>
  <c r="H26" i="19"/>
  <c r="H25" i="19"/>
  <c r="H24" i="19"/>
  <c r="H23" i="19"/>
  <c r="H22" i="19"/>
  <c r="H21" i="19"/>
  <c r="H20" i="19"/>
  <c r="H19" i="19"/>
  <c r="H18" i="19"/>
  <c r="H17" i="19"/>
  <c r="H16" i="19"/>
  <c r="H15" i="19"/>
  <c r="H14" i="19"/>
  <c r="H13" i="19"/>
  <c r="H12" i="19"/>
  <c r="H11" i="19"/>
  <c r="H10" i="19"/>
  <c r="H9" i="19"/>
  <c r="H8" i="19"/>
  <c r="H7" i="19"/>
  <c r="H6" i="19"/>
  <c r="H5" i="19"/>
  <c r="H4" i="19"/>
  <c r="H3" i="19"/>
  <c r="H46" i="13"/>
  <c r="H38" i="13"/>
  <c r="H30" i="13"/>
  <c r="H22" i="13"/>
  <c r="H14" i="13"/>
  <c r="H6" i="13"/>
  <c r="H52" i="13"/>
  <c r="H51" i="13"/>
  <c r="H50" i="13"/>
  <c r="H49" i="13"/>
  <c r="H48" i="13"/>
  <c r="H47" i="13"/>
  <c r="H45" i="13"/>
  <c r="H44" i="13"/>
  <c r="H43" i="13"/>
  <c r="H42" i="13"/>
  <c r="H41" i="13"/>
  <c r="H40" i="13"/>
  <c r="H39" i="13"/>
  <c r="H37" i="13"/>
  <c r="H36" i="13"/>
  <c r="H35" i="13"/>
  <c r="H34" i="13"/>
  <c r="H33" i="13"/>
  <c r="H32" i="13"/>
  <c r="H31" i="13"/>
  <c r="H29" i="13"/>
  <c r="H28" i="13"/>
  <c r="H27" i="13"/>
  <c r="H26" i="13"/>
  <c r="H25" i="13"/>
  <c r="H24" i="13"/>
  <c r="H23" i="13"/>
  <c r="H21" i="13"/>
  <c r="H20" i="13"/>
  <c r="H19" i="13"/>
  <c r="H18" i="13"/>
  <c r="H17" i="13"/>
  <c r="H16" i="13"/>
  <c r="H15" i="13"/>
  <c r="H13" i="13"/>
  <c r="H12" i="13"/>
  <c r="H11" i="13"/>
  <c r="H10" i="13"/>
  <c r="H9" i="13"/>
  <c r="H8" i="13"/>
  <c r="H7" i="13"/>
  <c r="H5" i="13"/>
  <c r="H4" i="13"/>
  <c r="H2" i="13" l="1"/>
  <c r="H2" i="16"/>
  <c r="K2" i="26"/>
  <c r="H2" i="22"/>
  <c r="H2" i="19"/>
  <c r="H2" i="21"/>
  <c r="H19" i="81" s="1"/>
  <c r="H2" i="20"/>
  <c r="H2" i="15"/>
  <c r="F18" i="81" l="1"/>
  <c r="H18" i="81" s="1"/>
  <c r="H23" i="17"/>
  <c r="H22" i="17"/>
  <c r="H21" i="17"/>
  <c r="H20" i="17"/>
  <c r="H19" i="17"/>
  <c r="H18" i="17"/>
  <c r="H17" i="17"/>
  <c r="H16" i="17"/>
  <c r="H15" i="17"/>
  <c r="H14" i="17"/>
  <c r="H13" i="17"/>
  <c r="H12" i="17"/>
  <c r="H11" i="17"/>
  <c r="H10" i="17"/>
  <c r="H9" i="17"/>
  <c r="H8" i="17"/>
  <c r="H7" i="17"/>
  <c r="H6" i="17"/>
  <c r="H5" i="17"/>
  <c r="H4" i="17"/>
  <c r="H3" i="17"/>
  <c r="H2" i="17" l="1"/>
  <c r="H52" i="18" l="1"/>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6" i="18"/>
  <c r="H38" i="18"/>
  <c r="H39" i="18"/>
  <c r="H40" i="18"/>
  <c r="H41" i="18"/>
  <c r="H42" i="18"/>
  <c r="H43" i="18"/>
  <c r="H44" i="18"/>
  <c r="H45" i="18"/>
  <c r="H46" i="18"/>
  <c r="H47" i="18"/>
  <c r="H48" i="18"/>
  <c r="H49" i="18"/>
  <c r="H50" i="18"/>
  <c r="H51" i="18"/>
  <c r="H3" i="18"/>
  <c r="H2" i="18" l="1"/>
  <c r="H9" i="81" s="1"/>
  <c r="F8" i="81" s="1"/>
  <c r="H41" i="14" l="1"/>
  <c r="H3" i="14"/>
  <c r="H4" i="14"/>
  <c r="H5" i="14"/>
  <c r="H6" i="14"/>
  <c r="H7" i="14"/>
  <c r="H8" i="14"/>
  <c r="H9" i="14"/>
  <c r="H10" i="14"/>
  <c r="H11" i="14"/>
  <c r="H12" i="14"/>
  <c r="H13" i="14"/>
  <c r="H14" i="14"/>
  <c r="H15" i="14"/>
  <c r="H16" i="14"/>
  <c r="H17" i="14"/>
  <c r="H18" i="14"/>
  <c r="H19" i="14"/>
  <c r="H20" i="14"/>
  <c r="H21" i="14"/>
  <c r="H22" i="14"/>
  <c r="H23" i="14"/>
  <c r="H24" i="14"/>
  <c r="H25" i="14"/>
  <c r="H26" i="14"/>
  <c r="H27" i="14"/>
  <c r="H28" i="14"/>
  <c r="H29" i="14"/>
  <c r="H30" i="14"/>
  <c r="H31" i="14"/>
  <c r="H32" i="14"/>
  <c r="H33" i="14"/>
  <c r="H34" i="14"/>
  <c r="H35" i="14"/>
  <c r="H36" i="14"/>
  <c r="H37" i="14"/>
  <c r="H38" i="14"/>
  <c r="H39" i="14"/>
  <c r="H40" i="14"/>
  <c r="B2" i="27" l="1"/>
  <c r="D2" i="27" s="1"/>
  <c r="H8" i="81"/>
  <c r="H2" i="14"/>
  <c r="H9" i="82" s="1"/>
  <c r="F8" i="82" s="1"/>
  <c r="H12" i="25"/>
  <c r="H11" i="25"/>
  <c r="H3" i="25"/>
  <c r="H4" i="25"/>
  <c r="H5" i="25"/>
  <c r="H6" i="25"/>
  <c r="H7" i="25"/>
  <c r="H8" i="25"/>
  <c r="H9" i="25"/>
  <c r="H10" i="25"/>
  <c r="H2" i="25" l="1"/>
  <c r="H19" i="82" s="1"/>
  <c r="F18" i="82" s="1"/>
  <c r="H18" i="82" l="1"/>
  <c r="B3" i="27"/>
  <c r="D3" i="27" s="1"/>
  <c r="H8" i="82"/>
  <c r="D4" i="27" l="1"/>
  <c r="B7" i="27" l="1"/>
  <c r="D7" i="27" l="1"/>
</calcChain>
</file>

<file path=xl/sharedStrings.xml><?xml version="1.0" encoding="utf-8"?>
<sst xmlns="http://schemas.openxmlformats.org/spreadsheetml/2006/main" count="2252" uniqueCount="361">
  <si>
    <t xml:space="preserve">CLIN  </t>
  </si>
  <si>
    <t>DESCRIPTION</t>
  </si>
  <si>
    <t>Estimate of Cost Euro</t>
  </si>
  <si>
    <t>0001</t>
  </si>
  <si>
    <t xml:space="preserve"> </t>
  </si>
  <si>
    <t>0002</t>
  </si>
  <si>
    <t>Location: USAG Wiesbaden</t>
  </si>
  <si>
    <t>Notes</t>
  </si>
  <si>
    <t xml:space="preserve">Unit </t>
  </si>
  <si>
    <t>Unit Price  Euro</t>
  </si>
  <si>
    <t>Units     Each</t>
  </si>
  <si>
    <t>0004</t>
  </si>
  <si>
    <t>Each</t>
  </si>
  <si>
    <t>OMA</t>
  </si>
  <si>
    <t>AFH</t>
  </si>
  <si>
    <t>1001</t>
  </si>
  <si>
    <t>1002</t>
  </si>
  <si>
    <t>1003</t>
  </si>
  <si>
    <t>1004</t>
  </si>
  <si>
    <t>1006</t>
  </si>
  <si>
    <t>2001</t>
  </si>
  <si>
    <t>2002</t>
  </si>
  <si>
    <t>2004</t>
  </si>
  <si>
    <t>Follow on Contract</t>
  </si>
  <si>
    <t>ELIN</t>
  </si>
  <si>
    <t>Sub  ELIN</t>
  </si>
  <si>
    <t>Estimate Equip. (Each)</t>
  </si>
  <si>
    <t>Unit Price   Euro</t>
  </si>
  <si>
    <t>Estimate of PM Visits</t>
  </si>
  <si>
    <t xml:space="preserve">Preventive Maintenance (fixed unit price) to be performed on Fire Alarm Systems, for Equipment listed in Fire Alarm Systems-Inventory List (Exhibit #A) in accordance with Performance Work Statement.  </t>
  </si>
  <si>
    <t>Grand Total</t>
  </si>
  <si>
    <t>A001</t>
  </si>
  <si>
    <t>Central Fire Alarm and Control Pannel</t>
  </si>
  <si>
    <t>A002</t>
  </si>
  <si>
    <t>Fire Control Panel</t>
  </si>
  <si>
    <t>A003</t>
  </si>
  <si>
    <t xml:space="preserve">Tableau </t>
  </si>
  <si>
    <t>A004</t>
  </si>
  <si>
    <t>A005</t>
  </si>
  <si>
    <t>Power Supply</t>
  </si>
  <si>
    <t>A006</t>
  </si>
  <si>
    <t>Power back up 24 V / 24 - 65 Ah</t>
  </si>
  <si>
    <t>A007</t>
  </si>
  <si>
    <t>Smoke detector False floor</t>
  </si>
  <si>
    <t>A008</t>
  </si>
  <si>
    <t>Smoke detector Ceiling 3 m</t>
  </si>
  <si>
    <t>A009</t>
  </si>
  <si>
    <t>Smoke detector Ceiling 3 - 4 m</t>
  </si>
  <si>
    <t>A010</t>
  </si>
  <si>
    <t>Smoke detector Ceiling  4 - 12 m</t>
  </si>
  <si>
    <t>A011</t>
  </si>
  <si>
    <t>UV-Flamm Melder</t>
  </si>
  <si>
    <t>A012</t>
  </si>
  <si>
    <t>Thermo/ Heat -Melder 3 - 4 m</t>
  </si>
  <si>
    <t>A013</t>
  </si>
  <si>
    <t>Smoke detector Raised floor</t>
  </si>
  <si>
    <t>A014</t>
  </si>
  <si>
    <t>Smoke detector Air Duct</t>
  </si>
  <si>
    <t>A015</t>
  </si>
  <si>
    <t>Coupler</t>
  </si>
  <si>
    <t>A016</t>
  </si>
  <si>
    <t>Combimelder smoke/ Light</t>
  </si>
  <si>
    <t>A017</t>
  </si>
  <si>
    <t>Combimelder smoke/ heat</t>
  </si>
  <si>
    <t>A018</t>
  </si>
  <si>
    <t>Master- alarm</t>
  </si>
  <si>
    <t>A019</t>
  </si>
  <si>
    <t>Push- button</t>
  </si>
  <si>
    <t>A020</t>
  </si>
  <si>
    <t>Acustic-alarm</t>
  </si>
  <si>
    <t>A021</t>
  </si>
  <si>
    <t>Technische-melder (TAL)</t>
  </si>
  <si>
    <t>A022</t>
  </si>
  <si>
    <t>Flashing alarm light</t>
  </si>
  <si>
    <t>A023</t>
  </si>
  <si>
    <t>Combi alarm light/acustic alarm</t>
  </si>
  <si>
    <t>A024</t>
  </si>
  <si>
    <t>External alarm Indicator</t>
  </si>
  <si>
    <t>A025</t>
  </si>
  <si>
    <t>Fire Protection with detector and door magnet</t>
  </si>
  <si>
    <t>A026</t>
  </si>
  <si>
    <t>Fire escape doors</t>
  </si>
  <si>
    <t>A027</t>
  </si>
  <si>
    <t>Smoke exhaust sytem</t>
  </si>
  <si>
    <t>A028</t>
  </si>
  <si>
    <t>Fire portection flaps</t>
  </si>
  <si>
    <t>A029</t>
  </si>
  <si>
    <t>Automatic fastener for drainage channels</t>
  </si>
  <si>
    <t>A030</t>
  </si>
  <si>
    <t>Fire curtain</t>
  </si>
  <si>
    <t>A031</t>
  </si>
  <si>
    <t>Key-safe</t>
  </si>
  <si>
    <t>A032</t>
  </si>
  <si>
    <t>Key-switch</t>
  </si>
  <si>
    <t>A033</t>
  </si>
  <si>
    <t>Plan box</t>
  </si>
  <si>
    <t>A034</t>
  </si>
  <si>
    <t>Transmitter</t>
  </si>
  <si>
    <t>A035</t>
  </si>
  <si>
    <t>Evacuation system</t>
  </si>
  <si>
    <t>A036</t>
  </si>
  <si>
    <t>Amplifer</t>
  </si>
  <si>
    <t>A037</t>
  </si>
  <si>
    <t>Load Speaker</t>
  </si>
  <si>
    <t>A038</t>
  </si>
  <si>
    <t>Microfon</t>
  </si>
  <si>
    <t>A039</t>
  </si>
  <si>
    <t>Sprinkler-system melder</t>
  </si>
  <si>
    <t>A040</t>
  </si>
  <si>
    <t>Ansul system</t>
  </si>
  <si>
    <t>A041</t>
  </si>
  <si>
    <t>Sub-station</t>
  </si>
  <si>
    <t>A042</t>
  </si>
  <si>
    <t>A043</t>
  </si>
  <si>
    <t>A044</t>
  </si>
  <si>
    <t>A045</t>
  </si>
  <si>
    <t>Emergency Cut off</t>
  </si>
  <si>
    <t>A046</t>
  </si>
  <si>
    <t>Control Cabinet</t>
  </si>
  <si>
    <t>A047</t>
  </si>
  <si>
    <t>Wind and Rain control unit</t>
  </si>
  <si>
    <t>A048</t>
  </si>
  <si>
    <t>A049</t>
  </si>
  <si>
    <t xml:space="preserve">Preventive Maintenance (fixed unit price) to be performed on Sprinkler Systems, for Equipment listed in Fire Alarm Systems-Inventory List (Exhibit #B) in accordance with Performance Work Statement.  </t>
  </si>
  <si>
    <t>B002</t>
  </si>
  <si>
    <t>Power control and switching panel</t>
  </si>
  <si>
    <t>B003</t>
  </si>
  <si>
    <t>Storage Watertanks</t>
  </si>
  <si>
    <t>B004</t>
  </si>
  <si>
    <t>Foam Tank</t>
  </si>
  <si>
    <t>B005</t>
  </si>
  <si>
    <t>Monitor Control</t>
  </si>
  <si>
    <t>B006</t>
  </si>
  <si>
    <t>Wet alarm valve station</t>
  </si>
  <si>
    <t>B007</t>
  </si>
  <si>
    <t>Dry alarm valve station</t>
  </si>
  <si>
    <t>B008</t>
  </si>
  <si>
    <t>Deluge Spry-flooding station</t>
  </si>
  <si>
    <t>B009</t>
  </si>
  <si>
    <t>Monitore extinguisher</t>
  </si>
  <si>
    <t>B010</t>
  </si>
  <si>
    <t>Infrarot detector</t>
  </si>
  <si>
    <t>B011</t>
  </si>
  <si>
    <t>Manual actuation ( Start-switch)</t>
  </si>
  <si>
    <t>B012</t>
  </si>
  <si>
    <t>Manual actuation ( Stop-switch)</t>
  </si>
  <si>
    <t>B013</t>
  </si>
  <si>
    <t>UND-Sprinkler</t>
  </si>
  <si>
    <t>B014</t>
  </si>
  <si>
    <t>Alarm check valve station</t>
  </si>
  <si>
    <t>B015</t>
  </si>
  <si>
    <t>Alarm valve</t>
  </si>
  <si>
    <t>B016</t>
  </si>
  <si>
    <t>Test alarm valve</t>
  </si>
  <si>
    <t>B017</t>
  </si>
  <si>
    <t>Test connection (Form)</t>
  </si>
  <si>
    <t>B018</t>
  </si>
  <si>
    <t>Test Sprinkler</t>
  </si>
  <si>
    <t>B019</t>
  </si>
  <si>
    <t>Flush connection Sprinkler</t>
  </si>
  <si>
    <t>B020</t>
  </si>
  <si>
    <t>Discharge valve</t>
  </si>
  <si>
    <t>B021</t>
  </si>
  <si>
    <t>Pressure gauges</t>
  </si>
  <si>
    <t>B023</t>
  </si>
  <si>
    <t>Water flow detectors</t>
  </si>
  <si>
    <t>B024</t>
  </si>
  <si>
    <t>Form agent pump</t>
  </si>
  <si>
    <t>B025</t>
  </si>
  <si>
    <t>Sprinkler-pump</t>
  </si>
  <si>
    <t>B026</t>
  </si>
  <si>
    <t>Pressure retention pump</t>
  </si>
  <si>
    <t>B027</t>
  </si>
  <si>
    <t>Control Panel for pumps</t>
  </si>
  <si>
    <t>B028</t>
  </si>
  <si>
    <t>Diesel pump</t>
  </si>
  <si>
    <t>B029</t>
  </si>
  <si>
    <t>B030</t>
  </si>
  <si>
    <t>Compressor</t>
  </si>
  <si>
    <t>B031</t>
  </si>
  <si>
    <t>Mechanical alarm bell water monitor alarm</t>
  </si>
  <si>
    <t>B032</t>
  </si>
  <si>
    <t>Electrical alarm connected to fire alarm sys.</t>
  </si>
  <si>
    <t>B033</t>
  </si>
  <si>
    <t>Fire department point Foam</t>
  </si>
  <si>
    <t>B034</t>
  </si>
  <si>
    <t>Separation point</t>
  </si>
  <si>
    <t>B035</t>
  </si>
  <si>
    <t>Stone trap</t>
  </si>
  <si>
    <t>B036</t>
  </si>
  <si>
    <t>Sprinkler, thermal detector/glass drum</t>
  </si>
  <si>
    <t>B039</t>
  </si>
  <si>
    <t>Fire department connector</t>
  </si>
  <si>
    <t xml:space="preserve">Preventive Maintenance (fixed unit price) to be performed on Fire Suppression Systems, for Equipment listed in Fire Alarm Systems-Inventory List (Exhibit #C) in accordance with Performance Work Statement.  </t>
  </si>
  <si>
    <t>C001</t>
  </si>
  <si>
    <t>Agent Cylinder</t>
  </si>
  <si>
    <t>C002</t>
  </si>
  <si>
    <t>( N2 ) Cylinder</t>
  </si>
  <si>
    <t>C003</t>
  </si>
  <si>
    <t>Mannual Release</t>
  </si>
  <si>
    <t>C004</t>
  </si>
  <si>
    <t>Nozzles Intern</t>
  </si>
  <si>
    <t>C005</t>
  </si>
  <si>
    <t>Nozzles extern</t>
  </si>
  <si>
    <t>C006</t>
  </si>
  <si>
    <t>Nozzles duct</t>
  </si>
  <si>
    <t>C007</t>
  </si>
  <si>
    <t>Fuse links</t>
  </si>
  <si>
    <t>C008</t>
  </si>
  <si>
    <t>Micro switch</t>
  </si>
  <si>
    <t>C009</t>
  </si>
  <si>
    <t>Acustic alarm</t>
  </si>
  <si>
    <t>C010</t>
  </si>
  <si>
    <t>Emergency Cut-Off</t>
  </si>
  <si>
    <t>B001</t>
  </si>
  <si>
    <t>B040</t>
  </si>
  <si>
    <t xml:space="preserve">Estimate of Cost Euro </t>
  </si>
  <si>
    <t>Aspirating Smoke Detectors</t>
  </si>
  <si>
    <t xml:space="preserve">Drive Spindel for skylight windows 8-10 m </t>
  </si>
  <si>
    <t xml:space="preserve">Drive Spindel for skylight windows 3-4 m </t>
  </si>
  <si>
    <t>A050</t>
  </si>
  <si>
    <t>B022</t>
  </si>
  <si>
    <t>Reflux Walve</t>
  </si>
  <si>
    <t>Diesel-Generator with control cabinet</t>
  </si>
  <si>
    <t>B037</t>
  </si>
  <si>
    <t>Pipe Heating</t>
  </si>
  <si>
    <t>B038</t>
  </si>
  <si>
    <t>Monitoring Sprinkler and Heat Traching</t>
  </si>
  <si>
    <t>Connection Sprinkler System Section</t>
  </si>
  <si>
    <t>Connection Sprinkler System Relay</t>
  </si>
  <si>
    <t>Connection Sprinkler System Coupler</t>
  </si>
  <si>
    <t>Tableau Lamps</t>
  </si>
  <si>
    <t>Base Year</t>
  </si>
  <si>
    <t>Job</t>
  </si>
  <si>
    <t>Storage Tank Pump</t>
  </si>
  <si>
    <t>Control Fire Alarm and Control Panel</t>
  </si>
  <si>
    <t>Tableau</t>
  </si>
  <si>
    <t>Power back up 24 V / 24-65 Ah</t>
  </si>
  <si>
    <t>Smoke detector Celling 3 m</t>
  </si>
  <si>
    <t>Smoke detector Celling 3 - 4 m</t>
  </si>
  <si>
    <t>Smoke detector Celling 4 - 12 m</t>
  </si>
  <si>
    <t>UV Flamm Melder</t>
  </si>
  <si>
    <t>Thermo/ Heat Melder 3 - 4 m</t>
  </si>
  <si>
    <t>Combimelder smoke/light</t>
  </si>
  <si>
    <t>Combimelder smoke/heat</t>
  </si>
  <si>
    <t>Master Alarm</t>
  </si>
  <si>
    <t>Push-Button</t>
  </si>
  <si>
    <t>Acustic Alarm</t>
  </si>
  <si>
    <t>Technischer-Melder (TAL)</t>
  </si>
  <si>
    <t>Flashing Alarm Light</t>
  </si>
  <si>
    <t>Smoke exhaust system</t>
  </si>
  <si>
    <t>Fire protection  flaps</t>
  </si>
  <si>
    <t>Fire Curtain</t>
  </si>
  <si>
    <t>Key Switch</t>
  </si>
  <si>
    <t>Plan-Box</t>
  </si>
  <si>
    <t>Evacuation System</t>
  </si>
  <si>
    <t>Loud Speaker</t>
  </si>
  <si>
    <t>Microphone</t>
  </si>
  <si>
    <t>Sprinkler - System Melder</t>
  </si>
  <si>
    <t>Anlage / System</t>
  </si>
  <si>
    <r>
      <rPr>
        <sz val="10"/>
        <rFont val="Arial"/>
        <family val="2"/>
      </rPr>
      <t>Power control and switching panel</t>
    </r>
  </si>
  <si>
    <r>
      <rPr>
        <sz val="10"/>
        <rFont val="Arial"/>
        <family val="2"/>
      </rPr>
      <t>Storage Watertanks</t>
    </r>
  </si>
  <si>
    <r>
      <rPr>
        <sz val="10"/>
        <rFont val="Arial"/>
        <family val="2"/>
      </rPr>
      <t>Foam Tank</t>
    </r>
  </si>
  <si>
    <r>
      <rPr>
        <sz val="10"/>
        <rFont val="Arial"/>
        <family val="2"/>
      </rPr>
      <t>Monitor Control</t>
    </r>
  </si>
  <si>
    <r>
      <rPr>
        <sz val="10"/>
        <rFont val="Arial"/>
        <family val="2"/>
      </rPr>
      <t>Wet alarm valve station</t>
    </r>
  </si>
  <si>
    <r>
      <rPr>
        <sz val="10"/>
        <rFont val="Arial"/>
        <family val="2"/>
      </rPr>
      <t>Dry alarm valve station</t>
    </r>
  </si>
  <si>
    <r>
      <rPr>
        <sz val="10"/>
        <rFont val="Arial"/>
        <family val="2"/>
      </rPr>
      <t>Deluge Spry-flooding station</t>
    </r>
  </si>
  <si>
    <r>
      <rPr>
        <sz val="10"/>
        <rFont val="Arial"/>
        <family val="2"/>
      </rPr>
      <t>Monitore extinguisher</t>
    </r>
  </si>
  <si>
    <r>
      <rPr>
        <sz val="10"/>
        <rFont val="Arial"/>
        <family val="2"/>
      </rPr>
      <t>Infrarot detector</t>
    </r>
  </si>
  <si>
    <r>
      <rPr>
        <sz val="10"/>
        <rFont val="Arial"/>
        <family val="2"/>
      </rPr>
      <t>Manual actuation ( Start-switch)</t>
    </r>
  </si>
  <si>
    <r>
      <rPr>
        <sz val="10"/>
        <rFont val="Arial"/>
        <family val="2"/>
      </rPr>
      <t>Manual actuation ( Stop-switch)</t>
    </r>
  </si>
  <si>
    <r>
      <rPr>
        <sz val="10"/>
        <rFont val="Arial"/>
        <family val="2"/>
      </rPr>
      <t>UND-Sprinkler</t>
    </r>
  </si>
  <si>
    <r>
      <rPr>
        <sz val="10"/>
        <rFont val="Arial"/>
        <family val="2"/>
      </rPr>
      <t>Alarm check valve station</t>
    </r>
  </si>
  <si>
    <r>
      <rPr>
        <sz val="10"/>
        <rFont val="Arial"/>
        <family val="2"/>
      </rPr>
      <t>Alarm valve</t>
    </r>
  </si>
  <si>
    <r>
      <rPr>
        <sz val="10"/>
        <rFont val="Arial"/>
        <family val="2"/>
      </rPr>
      <t>Test alarm valve</t>
    </r>
  </si>
  <si>
    <r>
      <rPr>
        <sz val="10"/>
        <rFont val="Arial"/>
        <family val="2"/>
      </rPr>
      <t>Test connection (Form)</t>
    </r>
  </si>
  <si>
    <r>
      <rPr>
        <sz val="10"/>
        <rFont val="Arial"/>
        <family val="2"/>
      </rPr>
      <t>Test Sprinkler</t>
    </r>
  </si>
  <si>
    <r>
      <rPr>
        <sz val="10"/>
        <rFont val="Arial"/>
        <family val="2"/>
      </rPr>
      <t>Flush connection Sprinkler</t>
    </r>
  </si>
  <si>
    <r>
      <rPr>
        <sz val="10"/>
        <rFont val="Arial"/>
        <family val="2"/>
      </rPr>
      <t>Discharge valve</t>
    </r>
  </si>
  <si>
    <r>
      <rPr>
        <sz val="10"/>
        <rFont val="Arial"/>
        <family val="2"/>
      </rPr>
      <t>Pressure gauges</t>
    </r>
  </si>
  <si>
    <t>Reflux Valve</t>
  </si>
  <si>
    <r>
      <rPr>
        <sz val="10"/>
        <rFont val="Arial"/>
        <family val="2"/>
      </rPr>
      <t>Water flow detectors</t>
    </r>
  </si>
  <si>
    <r>
      <rPr>
        <sz val="10"/>
        <rFont val="Arial"/>
        <family val="2"/>
      </rPr>
      <t>Form agent pump</t>
    </r>
  </si>
  <si>
    <r>
      <rPr>
        <sz val="10"/>
        <rFont val="Arial"/>
        <family val="2"/>
      </rPr>
      <t>Sprinkler-pump</t>
    </r>
  </si>
  <si>
    <r>
      <rPr>
        <sz val="10"/>
        <rFont val="Arial"/>
        <family val="2"/>
      </rPr>
      <t>Pressure retention pump</t>
    </r>
  </si>
  <si>
    <r>
      <rPr>
        <sz val="10"/>
        <rFont val="Arial"/>
        <family val="2"/>
      </rPr>
      <t>Control Panel for pumps</t>
    </r>
  </si>
  <si>
    <r>
      <rPr>
        <sz val="10"/>
        <rFont val="Arial"/>
        <family val="2"/>
      </rPr>
      <t>Diesel pump</t>
    </r>
  </si>
  <si>
    <r>
      <rPr>
        <sz val="10"/>
        <rFont val="Arial"/>
        <family val="2"/>
      </rPr>
      <t>Diesel-Generator with control cabinet</t>
    </r>
  </si>
  <si>
    <r>
      <rPr>
        <sz val="10"/>
        <rFont val="Arial"/>
        <family val="2"/>
      </rPr>
      <t>Compressor</t>
    </r>
  </si>
  <si>
    <r>
      <rPr>
        <sz val="10"/>
        <rFont val="Arial"/>
        <family val="2"/>
      </rPr>
      <t>Mechanical alarm bell water monitor alarm</t>
    </r>
  </si>
  <si>
    <r>
      <rPr>
        <sz val="10"/>
        <rFont val="Arial"/>
        <family val="2"/>
      </rPr>
      <t>Electrical alarm connected to fire alarm sys.</t>
    </r>
  </si>
  <si>
    <r>
      <rPr>
        <sz val="10"/>
        <rFont val="Arial"/>
        <family val="2"/>
      </rPr>
      <t>Fire department point Foam</t>
    </r>
  </si>
  <si>
    <r>
      <rPr>
        <sz val="10"/>
        <rFont val="Arial"/>
        <family val="2"/>
      </rPr>
      <t>Separation point</t>
    </r>
  </si>
  <si>
    <r>
      <rPr>
        <sz val="10"/>
        <rFont val="Arial"/>
        <family val="2"/>
      </rPr>
      <t>Stone trap</t>
    </r>
  </si>
  <si>
    <r>
      <rPr>
        <sz val="10"/>
        <rFont val="Arial"/>
        <family val="2"/>
      </rPr>
      <t>Sprinkler, thermal detector/glass drum</t>
    </r>
  </si>
  <si>
    <r>
      <rPr>
        <sz val="10"/>
        <rFont val="Arial"/>
        <family val="2"/>
      </rPr>
      <t>Pipe Heating</t>
    </r>
  </si>
  <si>
    <r>
      <rPr>
        <sz val="10"/>
        <rFont val="Arial"/>
        <family val="2"/>
      </rPr>
      <t>Monitoring Sprinkler and Heat Traching</t>
    </r>
  </si>
  <si>
    <r>
      <rPr>
        <sz val="10"/>
        <rFont val="Arial"/>
        <family val="2"/>
      </rPr>
      <t>Fire department connector</t>
    </r>
  </si>
  <si>
    <r>
      <rPr>
        <sz val="10"/>
        <rFont val="Arial"/>
        <family val="2"/>
      </rPr>
      <t>Agent Cylinder</t>
    </r>
  </si>
  <si>
    <r>
      <rPr>
        <sz val="10"/>
        <rFont val="Arial"/>
        <family val="2"/>
      </rPr>
      <t>( N2 ) Cylinder</t>
    </r>
  </si>
  <si>
    <r>
      <rPr>
        <sz val="10"/>
        <rFont val="Arial"/>
        <family val="2"/>
      </rPr>
      <t>Mannual Release</t>
    </r>
  </si>
  <si>
    <r>
      <rPr>
        <sz val="10"/>
        <rFont val="Arial"/>
        <family val="2"/>
      </rPr>
      <t>Nozzles Intern</t>
    </r>
  </si>
  <si>
    <r>
      <rPr>
        <sz val="10"/>
        <rFont val="Arial"/>
        <family val="2"/>
      </rPr>
      <t>Nozzles extern</t>
    </r>
  </si>
  <si>
    <r>
      <rPr>
        <sz val="10"/>
        <rFont val="Arial"/>
        <family val="2"/>
      </rPr>
      <t>Nozzles duct</t>
    </r>
  </si>
  <si>
    <r>
      <rPr>
        <sz val="10"/>
        <rFont val="Arial"/>
        <family val="2"/>
      </rPr>
      <t>Fuse links</t>
    </r>
  </si>
  <si>
    <r>
      <rPr>
        <sz val="10"/>
        <rFont val="Arial"/>
        <family val="2"/>
      </rPr>
      <t>Micro switch</t>
    </r>
  </si>
  <si>
    <r>
      <rPr>
        <sz val="10"/>
        <rFont val="Arial"/>
        <family val="2"/>
      </rPr>
      <t>Acustic alarm</t>
    </r>
  </si>
  <si>
    <r>
      <rPr>
        <sz val="10"/>
        <rFont val="Arial"/>
        <family val="2"/>
      </rPr>
      <t>Emergency Cut-Off</t>
    </r>
  </si>
  <si>
    <t>$</t>
  </si>
  <si>
    <t>exchange rate</t>
  </si>
  <si>
    <t>Period: 01 June 2026 -31 May 2027</t>
  </si>
  <si>
    <t>Period: 01 June 2027 -31 May 2028</t>
  </si>
  <si>
    <t>Period: 01 June 2028 -31 May 2029</t>
  </si>
  <si>
    <t>3001</t>
  </si>
  <si>
    <t>3002</t>
  </si>
  <si>
    <t>3004</t>
  </si>
  <si>
    <t>1st Option</t>
  </si>
  <si>
    <t>2nd Option</t>
  </si>
  <si>
    <t>Summery</t>
  </si>
  <si>
    <t xml:space="preserve">Unit Price   Euro </t>
  </si>
  <si>
    <t>Extension -8</t>
  </si>
  <si>
    <t>Recurring services for OMA facilities including quarterly and semi-annual Inspection/Maintenance/Functioning Tests to be performed IAW paragraph 5.2 of the Performance Work Statement (PWS). 
FFP</t>
  </si>
  <si>
    <t>a)</t>
  </si>
  <si>
    <t>b)</t>
  </si>
  <si>
    <t>c)</t>
  </si>
  <si>
    <t>:ITEM 0001
Maintenance and Repair CLIN OMA</t>
  </si>
  <si>
    <t>d)</t>
  </si>
  <si>
    <t>e)</t>
  </si>
  <si>
    <r>
      <rPr>
        <b/>
        <sz val="12"/>
        <color theme="1"/>
        <rFont val="Calibri"/>
        <family val="2"/>
        <scheme val="minor"/>
      </rPr>
      <t>0002</t>
    </r>
  </si>
  <si>
    <t>Time and Material CLIN OMA</t>
  </si>
  <si>
    <t>OMA-On demand Repair Services -
FFP
On-Call Repairs. Flat Rate for repair up to 4 hours work in accordance with paragraph 5.3 of the Performance Work Statement (PWS). Repair may be required for any system within US Army Garrison Wiesbaden. The current inventory list is shown at Exhibits -A-C. NOTE: Price INCLUDES Travel to and from job site and repair parts used up to EUR 300.00. If total amount of parts exceed EUR 300.00; additional parts used shall be charged separately under CLIN 0009.</t>
  </si>
  <si>
    <t>OMA-On demand Routine Repair Services -
FFP
On-Call Repairs. Flat Rate for repair up to 10 hours work in accordance with paragraph 5.3 of the Performance Work Statement (PWS). Repair may be required for any system within US Army Garrison Wiesbaden. The current inventory list is shown at Exhibits -A-C. NOTE: Price INCLUDES Travel to and from job site and repair parts used up to EUR 300.00. If total amount of parts exceed EUR 50.00; additional parts used shall be charged separately under CLIN 0009.</t>
  </si>
  <si>
    <t>FFP
OMA Maintenance FADS  in accordance paragraph 5.4  of the Performance of Work Statement (PWS).</t>
  </si>
  <si>
    <t xml:space="preserve"> FFP
OMA Programming and Connection to FADS in accordance paragraph 5.4 of the Performance of Work Statement (PWS).</t>
  </si>
  <si>
    <t xml:space="preserve">T&amp;M (Hours)
OMA-Repair Services shall be performed in accordance with 
paragraph 5.3.3 of the Performance Work Statement (PWS) at the rates stated in Exhibit# G of this contract. Repair Service may be required for any system within US Army Garrison Wiesbaden. </t>
  </si>
  <si>
    <t>T&amp;M OMA-Material
in accordance paragraph 5.3.of the Performance of Work Statement (PWS).</t>
  </si>
  <si>
    <t xml:space="preserve">FFP                                                                                                                                            OMA back up for new facilities            </t>
  </si>
  <si>
    <r>
      <rPr>
        <b/>
        <sz val="12"/>
        <color theme="1"/>
        <rFont val="Calibri"/>
        <family val="2"/>
        <scheme val="minor"/>
      </rPr>
      <t>0003</t>
    </r>
  </si>
  <si>
    <t>AFH-On demand Routine Repair Services -
FFP
On-Call Repairs. Flat Rate for repair up to 10 hours work in accordance with paragraph 5.3 of the Performance Work Statement (PWS). Repair may be required for any system within US Army Garrison Wiesbaden. The current inventory list is shown at Exhibits -A-C. NOTE: Price INCLUDES Travel to and from job site and repair parts used up to EUR 300.00. If total amount of parts exceed EUR 300.00; additional parts used shall be charged separately under CLIN 0010.</t>
  </si>
  <si>
    <t xml:space="preserve">FFP                                                                                                                                            AFH back up for new facilities            </t>
  </si>
  <si>
    <r>
      <rPr>
        <b/>
        <sz val="12"/>
        <color theme="1"/>
        <rFont val="Calibri"/>
        <family val="2"/>
        <scheme val="minor"/>
      </rPr>
      <t>0006</t>
    </r>
  </si>
  <si>
    <t>Time and Material CLIN AFH</t>
  </si>
  <si>
    <r>
      <rPr>
        <b/>
        <sz val="12"/>
        <color theme="1"/>
        <rFont val="Calibri"/>
        <family val="2"/>
        <scheme val="minor"/>
      </rPr>
      <t>0005</t>
    </r>
  </si>
  <si>
    <t xml:space="preserve">
Recurring services for AFH facilities including quarterly and semi-annual Inspection/Maintenance/Functioning Tests to be performed IAW paragraph 5.2 of the Performance Work Statement (PWS). 
FFP
</t>
  </si>
  <si>
    <t xml:space="preserve">
Maintenance and Repair CLIN AFH                                                                           The equipment to be serviced for the AFH facilities are listed in the following Exhibit-Inventory Lists:
a. Exhibit A - Fire alarm and evacuation systems
b. Exhibit B - Sprinkler systems
c. Exhibit C - Kitchen fire extinguishing</t>
  </si>
  <si>
    <t xml:space="preserve">
AFH-On demand Repair Services -
FFP
On-Call Repairs. Flat Rate for repair up to 4 hours work in accordance with paragraph 5.3 of the Performance Work Statement (PWS). Repair may be required for any system within US Army Garrison Wiesbaden. The current inventory list is shown at Exhibits -A-C. NOTE: Price INCLUDES Travel to and from job site and repair parts used up to EUR 300.00. If total amount of parts exceed EUR 300.00; additional parts used shall be charged separately under CLIN 0010.</t>
  </si>
  <si>
    <t>FFP
AFH Programming and Connection to FADS in accordance paragraph 5.4 of the Performance of Work Statement (PWS).</t>
  </si>
  <si>
    <t xml:space="preserve">T&amp;M (hours)
AFH-Repair Services shall be performed in accordance with
paragraph 5.3.3 of the Performance Work Statement (PWS) at the rates stated in Exhibit# G of this contract.Repair Service may be required for any system within US Army Garrison Wiesbaden. </t>
  </si>
  <si>
    <t>T&amp;M AFH-Material
in accordance paragraph 5.3. of the Performance of Work Statement (PWS).</t>
  </si>
  <si>
    <t xml:space="preserve">FFP                                                                                                                                                                               OMA back up for new facilities            </t>
  </si>
  <si>
    <r>
      <rPr>
        <b/>
        <sz val="12"/>
        <color theme="1"/>
        <rFont val="Calibri"/>
        <family val="2"/>
        <scheme val="minor"/>
      </rPr>
      <t>2003</t>
    </r>
  </si>
  <si>
    <r>
      <rPr>
        <b/>
        <sz val="12"/>
        <color theme="1"/>
        <rFont val="Calibri"/>
        <family val="2"/>
        <scheme val="minor"/>
      </rPr>
      <t>2005</t>
    </r>
  </si>
  <si>
    <r>
      <rPr>
        <b/>
        <sz val="12"/>
        <color theme="1"/>
        <rFont val="Calibri"/>
        <family val="2"/>
        <scheme val="minor"/>
      </rPr>
      <t>2006</t>
    </r>
  </si>
  <si>
    <r>
      <rPr>
        <b/>
        <sz val="12"/>
        <color theme="1"/>
        <rFont val="Calibri"/>
        <family val="2"/>
        <scheme val="minor"/>
      </rPr>
      <t>1005</t>
    </r>
  </si>
  <si>
    <t>Period: 01 June 2029 -31 November 2029</t>
  </si>
  <si>
    <r>
      <t>3</t>
    </r>
    <r>
      <rPr>
        <b/>
        <sz val="12"/>
        <color theme="1"/>
        <rFont val="Calibri"/>
        <family val="2"/>
        <scheme val="minor"/>
      </rPr>
      <t>003</t>
    </r>
  </si>
  <si>
    <r>
      <rPr>
        <b/>
        <sz val="12"/>
        <color theme="1"/>
        <rFont val="Calibri"/>
        <family val="2"/>
        <scheme val="minor"/>
      </rPr>
      <t>3005</t>
    </r>
  </si>
  <si>
    <r>
      <rPr>
        <b/>
        <sz val="12"/>
        <color theme="1"/>
        <rFont val="Calibri"/>
        <family val="2"/>
        <scheme val="minor"/>
      </rPr>
      <t>3006</t>
    </r>
  </si>
  <si>
    <t>Maintenance and Repair CLIN OMA</t>
  </si>
  <si>
    <t xml:space="preserve">
110                                                                          The equipment to be serviced for the AFH facilities are listed in the following Exhibit-Inventory Lists:
a. Exhibit A - Fire alarm and evacuation systems
b. Exhibit B - Sprinkler systems
c. Exhibit C - Kitchen fire extinguishing</t>
  </si>
  <si>
    <t xml:space="preserve">FFP                                                                                                                                            OMA back up for new facilities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</si>
</sst>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4" formatCode="_(&quot;$&quot;* #,##0.00_);_(&quot;$&quot;* \(#,##0.00\);_(&quot;$&quot;* &quot;-&quot;??_);_(@_)"/>
    <numFmt numFmtId="43" formatCode="_(* #,##0.00_);_(* \(#,##0.00\);_(* &quot;-&quot;??_);_(@_)"/>
    <numFmt numFmtId="164" formatCode="_(&quot;DM&quot;* #,##0.00_);_(&quot;DM&quot;* \(#,##0.00\);_(&quot;DM&quot;* &quot;-&quot;??_);_(@_)"/>
    <numFmt numFmtId="165" formatCode="[$€-2]\ #,##0.00"/>
    <numFmt numFmtId="166" formatCode="_([$€-2]\ * #,##0.00_);_([$€-2]\ * \(#,##0.00\);_([$€-2]\ * &quot;-&quot;??_);_(@_)"/>
    <numFmt numFmtId="167" formatCode="[$€-2]\ #,##0.0000"/>
    <numFmt numFmtId="168" formatCode="#,##0.00\ &quot;€&quot;"/>
    <numFmt numFmtId="169" formatCode="#,##0.00\ [$€-1]"/>
  </numFmts>
  <fonts count="27" x14ac:knownFonts="1">
    <font>
      <sz val="11"/>
      <color theme="1"/>
      <name val="Calibri"/>
      <family val="2"/>
      <scheme val="minor"/>
    </font>
    <font>
      <sz val="10"/>
      <name val="Arial"/>
      <family val="2"/>
    </font>
    <font>
      <sz val="9"/>
      <name val="Arial"/>
      <family val="2"/>
    </font>
    <font>
      <b/>
      <sz val="11"/>
      <name val="Arial"/>
      <family val="2"/>
    </font>
    <font>
      <sz val="11"/>
      <color theme="1"/>
      <name val="Calibri"/>
      <family val="2"/>
      <scheme val="minor"/>
    </font>
    <font>
      <b/>
      <sz val="11"/>
      <color theme="1"/>
      <name val="Calibri"/>
      <family val="2"/>
      <scheme val="minor"/>
    </font>
    <font>
      <sz val="9"/>
      <name val="Calibri"/>
      <family val="2"/>
    </font>
    <font>
      <sz val="9"/>
      <name val="Calibri"/>
      <family val="2"/>
      <scheme val="minor"/>
    </font>
    <font>
      <b/>
      <sz val="10"/>
      <name val="Calibri"/>
      <family val="2"/>
      <scheme val="minor"/>
    </font>
    <font>
      <sz val="9"/>
      <color theme="1"/>
      <name val="Calibri"/>
      <family val="2"/>
      <scheme val="minor"/>
    </font>
    <font>
      <b/>
      <sz val="10"/>
      <name val="Arial"/>
      <family val="2"/>
    </font>
    <font>
      <sz val="10"/>
      <color theme="1"/>
      <name val="Arial"/>
      <family val="2"/>
    </font>
    <font>
      <sz val="9"/>
      <color theme="1"/>
      <name val="Arial"/>
      <family val="2"/>
    </font>
    <font>
      <sz val="12"/>
      <name val="Times New Roman"/>
      <family val="1"/>
    </font>
    <font>
      <sz val="12"/>
      <name val="Arial"/>
      <family val="2"/>
    </font>
    <font>
      <b/>
      <sz val="11"/>
      <color rgb="FFFF0000"/>
      <name val="Calibri"/>
      <family val="2"/>
      <scheme val="minor"/>
    </font>
    <font>
      <sz val="11"/>
      <color theme="1" tint="0.34998626667073579"/>
      <name val="Calibri"/>
      <family val="2"/>
      <scheme val="minor"/>
    </font>
    <font>
      <b/>
      <sz val="10"/>
      <color rgb="FFFF0000"/>
      <name val="Arial"/>
      <family val="2"/>
    </font>
    <font>
      <sz val="11"/>
      <color rgb="FF006100"/>
      <name val="Calibri"/>
      <family val="2"/>
      <scheme val="minor"/>
    </font>
    <font>
      <sz val="11"/>
      <color rgb="FF9C6500"/>
      <name val="Calibri"/>
      <family val="2"/>
      <scheme val="minor"/>
    </font>
    <font>
      <sz val="12"/>
      <color theme="1"/>
      <name val="Arial"/>
      <family val="2"/>
    </font>
    <font>
      <b/>
      <sz val="10"/>
      <color theme="1"/>
      <name val="Arial"/>
      <family val="2"/>
    </font>
    <font>
      <sz val="8"/>
      <name val="Calibri"/>
      <family val="2"/>
      <scheme val="minor"/>
    </font>
    <font>
      <sz val="11"/>
      <color rgb="FF3F3F76"/>
      <name val="Calibri"/>
      <family val="2"/>
      <scheme val="minor"/>
    </font>
    <font>
      <b/>
      <sz val="12"/>
      <name val="Calibri"/>
      <family val="2"/>
    </font>
    <font>
      <sz val="12"/>
      <color theme="1"/>
      <name val="Calibri"/>
      <family val="2"/>
      <scheme val="minor"/>
    </font>
    <font>
      <b/>
      <sz val="12"/>
      <color theme="1"/>
      <name val="Calibri"/>
      <family val="2"/>
      <scheme val="minor"/>
    </font>
  </fonts>
  <fills count="8">
    <fill>
      <patternFill patternType="none"/>
    </fill>
    <fill>
      <patternFill patternType="gray125"/>
    </fill>
    <fill>
      <patternFill patternType="solid">
        <fgColor theme="2"/>
        <bgColor indexed="64"/>
      </patternFill>
    </fill>
    <fill>
      <patternFill patternType="solid">
        <fgColor rgb="FFC6EFCE"/>
      </patternFill>
    </fill>
    <fill>
      <patternFill patternType="solid">
        <fgColor rgb="FFFFEB9C"/>
      </patternFill>
    </fill>
    <fill>
      <patternFill patternType="solid">
        <fgColor rgb="FFFFFF00"/>
        <bgColor indexed="64"/>
      </patternFill>
    </fill>
    <fill>
      <patternFill patternType="solid">
        <fgColor rgb="FFFFCC99"/>
      </patternFill>
    </fill>
    <fill>
      <patternFill patternType="solid">
        <fgColor theme="9" tint="0.59999389629810485"/>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7F7F7F"/>
      </left>
      <right style="thin">
        <color rgb="FF7F7F7F"/>
      </right>
      <top style="thin">
        <color rgb="FF7F7F7F"/>
      </top>
      <bottom style="thin">
        <color rgb="FF7F7F7F"/>
      </bottom>
      <diagonal/>
    </border>
    <border>
      <left/>
      <right/>
      <top style="thin">
        <color indexed="64"/>
      </top>
      <bottom/>
      <diagonal/>
    </border>
    <border>
      <left style="thin">
        <color rgb="FF7F7F7F"/>
      </left>
      <right style="thin">
        <color rgb="FF7F7F7F"/>
      </right>
      <top style="thin">
        <color rgb="FF7F7F7F"/>
      </top>
      <bottom/>
      <diagonal/>
    </border>
  </borders>
  <cellStyleXfs count="10">
    <xf numFmtId="0" fontId="0" fillId="0" borderId="0"/>
    <xf numFmtId="0" fontId="1" fillId="0" borderId="0"/>
    <xf numFmtId="164" fontId="1" fillId="0" borderId="0" applyFont="0" applyFill="0" applyBorder="0" applyAlignment="0" applyProtection="0"/>
    <xf numFmtId="0" fontId="1" fillId="0" borderId="0" applyNumberFormat="0" applyFont="0" applyFill="0" applyBorder="0" applyAlignment="0" applyProtection="0">
      <alignment vertical="top"/>
    </xf>
    <xf numFmtId="43" fontId="4" fillId="0" borderId="0" applyFont="0" applyFill="0" applyBorder="0" applyAlignment="0" applyProtection="0"/>
    <xf numFmtId="167" fontId="4" fillId="0" borderId="0"/>
    <xf numFmtId="0" fontId="18" fillId="3" borderId="0" applyNumberFormat="0" applyBorder="0" applyAlignment="0" applyProtection="0"/>
    <xf numFmtId="0" fontId="19" fillId="4" borderId="0" applyNumberFormat="0" applyBorder="0" applyAlignment="0" applyProtection="0"/>
    <xf numFmtId="44" fontId="4" fillId="0" borderId="0" applyFont="0" applyFill="0" applyBorder="0" applyAlignment="0" applyProtection="0"/>
    <xf numFmtId="0" fontId="23" fillId="6" borderId="9" applyNumberFormat="0" applyAlignment="0" applyProtection="0"/>
  </cellStyleXfs>
  <cellXfs count="166">
    <xf numFmtId="0" fontId="0" fillId="0" borderId="0" xfId="0"/>
    <xf numFmtId="0" fontId="2" fillId="0" borderId="1" xfId="1" applyFont="1" applyFill="1" applyBorder="1" applyAlignment="1">
      <alignment horizontal="center" vertical="center" wrapText="1"/>
    </xf>
    <xf numFmtId="0" fontId="2" fillId="0" borderId="1" xfId="1" applyFont="1" applyFill="1" applyBorder="1" applyAlignment="1">
      <alignment horizontal="center" vertical="center"/>
    </xf>
    <xf numFmtId="0" fontId="3" fillId="0" borderId="1" xfId="1" applyFont="1" applyBorder="1" applyAlignment="1">
      <alignment horizontal="center" vertical="center" wrapText="1"/>
    </xf>
    <xf numFmtId="0" fontId="5" fillId="0" borderId="0" xfId="0" applyFont="1"/>
    <xf numFmtId="0" fontId="5" fillId="0" borderId="0" xfId="0" applyFont="1" applyAlignment="1">
      <alignment horizontal="center"/>
    </xf>
    <xf numFmtId="0" fontId="8" fillId="2" borderId="1" xfId="1" applyFont="1" applyFill="1" applyBorder="1" applyAlignment="1">
      <alignment horizontal="center" vertical="center" wrapText="1"/>
    </xf>
    <xf numFmtId="0" fontId="8" fillId="2" borderId="1" xfId="1" applyFont="1" applyFill="1" applyBorder="1" applyAlignment="1">
      <alignment horizontal="center" vertical="center"/>
    </xf>
    <xf numFmtId="0" fontId="7" fillId="0" borderId="1" xfId="1" applyFont="1" applyFill="1" applyBorder="1" applyAlignment="1">
      <alignment horizontal="center" vertical="center"/>
    </xf>
    <xf numFmtId="166" fontId="7" fillId="0" borderId="4" xfId="1" applyNumberFormat="1" applyFont="1" applyFill="1" applyBorder="1" applyAlignment="1">
      <alignment horizontal="center" vertical="center"/>
    </xf>
    <xf numFmtId="165" fontId="7" fillId="0" borderId="1" xfId="1" applyNumberFormat="1" applyFont="1" applyBorder="1" applyAlignment="1">
      <alignment horizontal="center" vertical="center" wrapText="1"/>
    </xf>
    <xf numFmtId="0" fontId="7" fillId="0" borderId="1" xfId="1" applyNumberFormat="1" applyFont="1" applyBorder="1" applyAlignment="1">
      <alignment horizontal="center" vertical="center" wrapText="1"/>
    </xf>
    <xf numFmtId="0" fontId="7" fillId="0" borderId="1" xfId="1" applyFont="1" applyFill="1" applyBorder="1" applyAlignment="1">
      <alignment horizontal="center" vertical="center" wrapText="1"/>
    </xf>
    <xf numFmtId="0" fontId="0" fillId="0" borderId="1" xfId="0" applyBorder="1"/>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0" fillId="0" borderId="1" xfId="0" applyBorder="1" applyAlignment="1">
      <alignment horizontal="center" vertical="center"/>
    </xf>
    <xf numFmtId="49" fontId="6" fillId="0" borderId="5" xfId="1" applyNumberFormat="1" applyFont="1" applyBorder="1" applyAlignment="1">
      <alignment horizontal="center" vertical="center"/>
    </xf>
    <xf numFmtId="0" fontId="7" fillId="0" borderId="4" xfId="1" applyNumberFormat="1" applyFont="1" applyFill="1" applyBorder="1" applyAlignment="1">
      <alignment horizontal="center" vertical="center"/>
    </xf>
    <xf numFmtId="0" fontId="7" fillId="0" borderId="1" xfId="1" applyFont="1" applyFill="1" applyBorder="1" applyAlignment="1">
      <alignment horizontal="left" vertical="top" wrapText="1"/>
    </xf>
    <xf numFmtId="0" fontId="7" fillId="0" borderId="1" xfId="1" applyFont="1" applyFill="1" applyBorder="1" applyAlignment="1">
      <alignment vertical="top" wrapText="1"/>
    </xf>
    <xf numFmtId="0" fontId="0" fillId="0" borderId="0" xfId="0" applyBorder="1"/>
    <xf numFmtId="0" fontId="0" fillId="0" borderId="3" xfId="0" applyBorder="1" applyAlignment="1">
      <alignment horizontal="center" vertical="center"/>
    </xf>
    <xf numFmtId="0" fontId="0" fillId="0" borderId="6" xfId="0" applyBorder="1"/>
    <xf numFmtId="0" fontId="0" fillId="0" borderId="6" xfId="0" applyBorder="1" applyAlignment="1">
      <alignment horizontal="center" vertical="center"/>
    </xf>
    <xf numFmtId="0" fontId="3" fillId="2" borderId="1" xfId="1" applyFont="1" applyFill="1" applyBorder="1" applyAlignment="1">
      <alignment horizontal="center" vertical="center" wrapText="1"/>
    </xf>
    <xf numFmtId="0" fontId="3" fillId="2" borderId="1" xfId="1" applyFont="1" applyFill="1" applyBorder="1" applyAlignment="1">
      <alignment horizontal="center" vertical="center"/>
    </xf>
    <xf numFmtId="0" fontId="10" fillId="2" borderId="1" xfId="1" applyFont="1" applyFill="1" applyBorder="1" applyAlignment="1">
      <alignment horizontal="center" vertical="center" wrapText="1"/>
    </xf>
    <xf numFmtId="168" fontId="10" fillId="2" borderId="1" xfId="1" applyNumberFormat="1" applyFont="1" applyFill="1" applyBorder="1" applyAlignment="1">
      <alignment horizontal="center" vertical="center" wrapText="1"/>
    </xf>
    <xf numFmtId="0" fontId="13" fillId="0" borderId="1" xfId="1" quotePrefix="1" applyFont="1" applyBorder="1" applyAlignment="1">
      <alignment horizontal="center" vertical="center"/>
    </xf>
    <xf numFmtId="0" fontId="10" fillId="0" borderId="0" xfId="1" applyFont="1" applyFill="1" applyBorder="1" applyAlignment="1">
      <alignment horizontal="left" vertical="center" wrapText="1"/>
    </xf>
    <xf numFmtId="0" fontId="1" fillId="0" borderId="1" xfId="1" applyBorder="1"/>
    <xf numFmtId="49" fontId="14" fillId="0" borderId="1" xfId="1" applyNumberFormat="1" applyFont="1" applyFill="1" applyBorder="1" applyAlignment="1">
      <alignment horizontal="center" vertical="center"/>
    </xf>
    <xf numFmtId="0" fontId="2" fillId="0" borderId="1" xfId="1" applyFont="1" applyFill="1" applyBorder="1" applyAlignment="1">
      <alignment horizontal="left"/>
    </xf>
    <xf numFmtId="0" fontId="2" fillId="0" borderId="1" xfId="1" applyFont="1" applyFill="1" applyBorder="1" applyAlignment="1">
      <alignment horizontal="center"/>
    </xf>
    <xf numFmtId="168" fontId="1" fillId="0" borderId="1" xfId="1" applyNumberFormat="1" applyFont="1" applyBorder="1" applyAlignment="1">
      <alignment horizontal="right" wrapText="1"/>
    </xf>
    <xf numFmtId="0" fontId="1" fillId="0" borderId="1" xfId="1" applyNumberFormat="1" applyFont="1" applyBorder="1" applyAlignment="1">
      <alignment horizontal="center" wrapText="1"/>
    </xf>
    <xf numFmtId="3" fontId="0" fillId="0" borderId="0" xfId="0" applyNumberFormat="1"/>
    <xf numFmtId="0" fontId="2" fillId="0" borderId="1" xfId="1" applyFont="1" applyFill="1" applyBorder="1" applyAlignment="1">
      <alignment horizontal="left" wrapText="1"/>
    </xf>
    <xf numFmtId="0" fontId="2" fillId="0" borderId="1" xfId="1" applyFont="1" applyFill="1" applyBorder="1" applyAlignment="1">
      <alignment horizontal="center" wrapText="1"/>
    </xf>
    <xf numFmtId="0" fontId="2" fillId="0" borderId="1" xfId="1" applyFont="1" applyFill="1" applyBorder="1" applyAlignment="1">
      <alignment horizontal="left" vertical="center"/>
    </xf>
    <xf numFmtId="0" fontId="1" fillId="0" borderId="1" xfId="1" applyFont="1" applyFill="1" applyBorder="1" applyAlignment="1">
      <alignment horizontal="left"/>
    </xf>
    <xf numFmtId="0" fontId="1" fillId="0" borderId="0" xfId="1"/>
    <xf numFmtId="168" fontId="0" fillId="0" borderId="0" xfId="0" applyNumberFormat="1"/>
    <xf numFmtId="49" fontId="13" fillId="0" borderId="1" xfId="1" applyNumberFormat="1" applyFont="1" applyBorder="1" applyAlignment="1">
      <alignment horizontal="center" vertical="center"/>
    </xf>
    <xf numFmtId="0" fontId="1" fillId="0" borderId="1" xfId="1" applyFont="1" applyFill="1" applyBorder="1" applyAlignment="1">
      <alignment horizontal="left" wrapText="1"/>
    </xf>
    <xf numFmtId="0" fontId="1" fillId="0" borderId="1" xfId="1" applyFont="1" applyFill="1" applyBorder="1" applyAlignment="1">
      <alignment horizontal="left" vertical="center"/>
    </xf>
    <xf numFmtId="0" fontId="15" fillId="0" borderId="0" xfId="0" applyFont="1"/>
    <xf numFmtId="0" fontId="1" fillId="0" borderId="1" xfId="1" applyFont="1" applyFill="1" applyBorder="1" applyAlignment="1">
      <alignment horizontal="center"/>
    </xf>
    <xf numFmtId="0" fontId="1" fillId="0" borderId="1" xfId="1" applyFont="1" applyFill="1" applyBorder="1" applyAlignment="1">
      <alignment horizontal="center" wrapText="1"/>
    </xf>
    <xf numFmtId="0" fontId="1" fillId="0" borderId="1" xfId="1" applyFont="1" applyFill="1" applyBorder="1" applyAlignment="1">
      <alignment horizontal="center" vertical="center"/>
    </xf>
    <xf numFmtId="0" fontId="16" fillId="0" borderId="0" xfId="0" applyFont="1"/>
    <xf numFmtId="0" fontId="1" fillId="0" borderId="1" xfId="1" applyNumberFormat="1" applyFont="1" applyBorder="1" applyAlignment="1">
      <alignment horizontal="center"/>
    </xf>
    <xf numFmtId="168" fontId="1" fillId="0" borderId="1" xfId="1" applyNumberFormat="1" applyFont="1" applyBorder="1" applyAlignment="1">
      <alignment horizontal="right"/>
    </xf>
    <xf numFmtId="0" fontId="15" fillId="0" borderId="1" xfId="0" applyFont="1" applyBorder="1"/>
    <xf numFmtId="0" fontId="12" fillId="0" borderId="1" xfId="1" applyFont="1" applyFill="1" applyBorder="1" applyAlignment="1">
      <alignment horizontal="center"/>
    </xf>
    <xf numFmtId="0" fontId="11" fillId="0" borderId="1" xfId="1" applyNumberFormat="1" applyFont="1" applyBorder="1" applyAlignment="1">
      <alignment horizontal="center" wrapText="1"/>
    </xf>
    <xf numFmtId="168" fontId="11" fillId="0" borderId="1" xfId="1" applyNumberFormat="1" applyFont="1" applyBorder="1" applyAlignment="1">
      <alignment horizontal="right" wrapText="1"/>
    </xf>
    <xf numFmtId="168" fontId="17" fillId="0" borderId="1" xfId="1" applyNumberFormat="1" applyFont="1" applyBorder="1" applyAlignment="1">
      <alignment horizontal="right" vertical="center"/>
    </xf>
    <xf numFmtId="0" fontId="0" fillId="0" borderId="0" xfId="0" applyAlignment="1">
      <alignment horizontal="center" vertical="center"/>
    </xf>
    <xf numFmtId="0" fontId="14" fillId="0" borderId="1" xfId="1" applyFont="1" applyBorder="1" applyAlignment="1">
      <alignment horizontal="center" vertical="center"/>
    </xf>
    <xf numFmtId="0" fontId="1" fillId="0" borderId="1" xfId="1" applyBorder="1" applyAlignment="1">
      <alignment horizontal="center" vertical="center"/>
    </xf>
    <xf numFmtId="165" fontId="7" fillId="0" borderId="1" xfId="6" applyNumberFormat="1" applyFont="1" applyFill="1" applyBorder="1" applyAlignment="1">
      <alignment horizontal="center" vertical="center"/>
    </xf>
    <xf numFmtId="2" fontId="0" fillId="0" borderId="0" xfId="0" applyNumberFormat="1"/>
    <xf numFmtId="168" fontId="1" fillId="0" borderId="1" xfId="1" applyNumberFormat="1" applyFont="1" applyFill="1" applyBorder="1" applyAlignment="1">
      <alignment horizontal="right" wrapText="1"/>
    </xf>
    <xf numFmtId="168" fontId="11" fillId="0" borderId="0" xfId="0" applyNumberFormat="1" applyFont="1" applyFill="1" applyBorder="1" applyAlignment="1">
      <alignment horizontal="right"/>
    </xf>
    <xf numFmtId="0" fontId="0" fillId="0" borderId="0" xfId="0" applyFill="1" applyBorder="1"/>
    <xf numFmtId="168" fontId="17" fillId="0" borderId="3" xfId="1" applyNumberFormat="1" applyFont="1" applyBorder="1" applyAlignment="1">
      <alignment horizontal="right" vertical="center"/>
    </xf>
    <xf numFmtId="168" fontId="21" fillId="0" borderId="0" xfId="1" applyNumberFormat="1" applyFont="1" applyFill="1" applyBorder="1" applyAlignment="1">
      <alignment horizontal="right" vertical="center"/>
    </xf>
    <xf numFmtId="2" fontId="0" fillId="0" borderId="0" xfId="0" applyNumberFormat="1" applyBorder="1"/>
    <xf numFmtId="168" fontId="1" fillId="0" borderId="0" xfId="1" applyNumberFormat="1" applyFill="1" applyBorder="1"/>
    <xf numFmtId="4" fontId="0" fillId="0" borderId="0" xfId="0" applyNumberFormat="1" applyBorder="1"/>
    <xf numFmtId="0" fontId="10" fillId="2" borderId="3" xfId="1" applyFont="1" applyFill="1" applyBorder="1" applyAlignment="1">
      <alignment horizontal="center" vertical="center" wrapText="1"/>
    </xf>
    <xf numFmtId="0" fontId="10" fillId="0" borderId="0" xfId="1" applyFont="1" applyFill="1" applyBorder="1" applyAlignment="1">
      <alignment horizontal="center" vertical="center" wrapText="1"/>
    </xf>
    <xf numFmtId="168" fontId="0" fillId="0" borderId="0" xfId="0" applyNumberFormat="1" applyFill="1" applyBorder="1"/>
    <xf numFmtId="169" fontId="19" fillId="0" borderId="0" xfId="7" applyNumberFormat="1" applyFill="1" applyBorder="1"/>
    <xf numFmtId="168" fontId="1" fillId="0" borderId="0" xfId="1" applyNumberFormat="1" applyFont="1" applyBorder="1" applyAlignment="1">
      <alignment horizontal="right" wrapText="1"/>
    </xf>
    <xf numFmtId="169" fontId="0" fillId="0" borderId="0" xfId="0" applyNumberFormat="1"/>
    <xf numFmtId="0" fontId="2" fillId="0" borderId="0" xfId="1" applyFont="1" applyFill="1" applyBorder="1" applyAlignment="1">
      <alignment horizontal="center"/>
    </xf>
    <xf numFmtId="0" fontId="1" fillId="0" borderId="0" xfId="1" applyNumberFormat="1" applyFont="1" applyBorder="1" applyAlignment="1">
      <alignment horizontal="center" wrapText="1"/>
    </xf>
    <xf numFmtId="0" fontId="1" fillId="0" borderId="0" xfId="1" applyFont="1" applyFill="1" applyBorder="1" applyAlignment="1">
      <alignment horizontal="left"/>
    </xf>
    <xf numFmtId="2" fontId="2" fillId="0" borderId="0" xfId="1" applyNumberFormat="1" applyFont="1" applyFill="1" applyBorder="1" applyAlignment="1">
      <alignment horizontal="left"/>
    </xf>
    <xf numFmtId="2" fontId="2" fillId="0" borderId="0" xfId="1" applyNumberFormat="1" applyFont="1" applyFill="1" applyBorder="1" applyAlignment="1">
      <alignment horizontal="left" wrapText="1"/>
    </xf>
    <xf numFmtId="2" fontId="2" fillId="0" borderId="0" xfId="1" applyNumberFormat="1" applyFont="1" applyFill="1" applyBorder="1" applyAlignment="1">
      <alignment horizontal="left" vertical="center"/>
    </xf>
    <xf numFmtId="2" fontId="1" fillId="0" borderId="0" xfId="1" applyNumberFormat="1" applyFont="1" applyFill="1" applyBorder="1" applyAlignment="1">
      <alignment horizontal="left"/>
    </xf>
    <xf numFmtId="2" fontId="2" fillId="0" borderId="0" xfId="1" applyNumberFormat="1" applyFont="1" applyFill="1" applyBorder="1" applyAlignment="1">
      <alignment horizontal="center"/>
    </xf>
    <xf numFmtId="0" fontId="0" fillId="0" borderId="0" xfId="0" applyFill="1" applyBorder="1" applyAlignment="1">
      <alignment vertical="center" wrapText="1"/>
    </xf>
    <xf numFmtId="0" fontId="1" fillId="0" borderId="1" xfId="1" applyNumberFormat="1" applyFont="1" applyFill="1" applyBorder="1" applyAlignment="1">
      <alignment horizontal="center" wrapText="1"/>
    </xf>
    <xf numFmtId="0" fontId="3" fillId="0" borderId="1" xfId="1" applyFont="1" applyFill="1" applyBorder="1" applyAlignment="1">
      <alignment horizontal="center" vertical="center" wrapText="1"/>
    </xf>
    <xf numFmtId="168" fontId="17" fillId="0" borderId="1" xfId="1" applyNumberFormat="1" applyFont="1" applyFill="1" applyBorder="1" applyAlignment="1">
      <alignment horizontal="right" vertical="center"/>
    </xf>
    <xf numFmtId="166" fontId="0" fillId="0" borderId="0" xfId="0" applyNumberFormat="1"/>
    <xf numFmtId="168" fontId="11" fillId="5" borderId="1" xfId="0" applyNumberFormat="1" applyFont="1" applyFill="1" applyBorder="1" applyAlignment="1">
      <alignment horizontal="right"/>
    </xf>
    <xf numFmtId="168" fontId="1" fillId="5" borderId="1" xfId="1" applyNumberFormat="1" applyFill="1" applyBorder="1"/>
    <xf numFmtId="168" fontId="1" fillId="5" borderId="1" xfId="1" applyNumberFormat="1" applyFont="1" applyFill="1" applyBorder="1" applyAlignment="1">
      <alignment horizontal="right" wrapText="1"/>
    </xf>
    <xf numFmtId="168" fontId="11" fillId="5" borderId="1" xfId="0" applyNumberFormat="1" applyFont="1" applyFill="1" applyBorder="1"/>
    <xf numFmtId="0" fontId="20" fillId="0" borderId="1" xfId="0" applyFont="1" applyBorder="1"/>
    <xf numFmtId="0" fontId="11" fillId="0" borderId="1" xfId="0" applyFont="1" applyBorder="1"/>
    <xf numFmtId="1" fontId="11" fillId="0" borderId="1" xfId="0" applyNumberFormat="1" applyFont="1" applyBorder="1" applyAlignment="1">
      <alignment horizontal="center" vertical="center"/>
    </xf>
    <xf numFmtId="0" fontId="11" fillId="0" borderId="1" xfId="0" applyFont="1" applyBorder="1" applyAlignment="1">
      <alignment horizontal="center" vertical="center"/>
    </xf>
    <xf numFmtId="0" fontId="20" fillId="0" borderId="1" xfId="0" applyFont="1" applyBorder="1" applyAlignment="1">
      <alignment wrapText="1"/>
    </xf>
    <xf numFmtId="0" fontId="11" fillId="0" borderId="0" xfId="0" applyFont="1" applyAlignment="1">
      <alignment vertical="top" wrapText="1"/>
    </xf>
    <xf numFmtId="0" fontId="1" fillId="0" borderId="7" xfId="0" applyFont="1" applyBorder="1" applyAlignment="1">
      <alignment horizontal="left" vertical="top" wrapText="1"/>
    </xf>
    <xf numFmtId="0" fontId="20" fillId="0" borderId="6" xfId="0" applyFont="1" applyBorder="1"/>
    <xf numFmtId="0" fontId="1" fillId="0" borderId="8" xfId="0" applyFont="1" applyBorder="1" applyAlignment="1">
      <alignment horizontal="left" vertical="top" wrapText="1"/>
    </xf>
    <xf numFmtId="0" fontId="2" fillId="0" borderId="6" xfId="1" applyFont="1" applyFill="1" applyBorder="1" applyAlignment="1">
      <alignment horizontal="center"/>
    </xf>
    <xf numFmtId="168" fontId="1" fillId="5" borderId="6" xfId="1" applyNumberFormat="1" applyFont="1" applyFill="1" applyBorder="1" applyAlignment="1">
      <alignment horizontal="right" wrapText="1"/>
    </xf>
    <xf numFmtId="0" fontId="1" fillId="0" borderId="6" xfId="1" applyNumberFormat="1" applyFont="1" applyFill="1" applyBorder="1" applyAlignment="1">
      <alignment horizontal="center" wrapText="1"/>
    </xf>
    <xf numFmtId="0" fontId="1" fillId="0" borderId="1" xfId="0" applyFont="1" applyBorder="1" applyAlignment="1">
      <alignment horizontal="left" vertical="top" wrapText="1"/>
    </xf>
    <xf numFmtId="0" fontId="2" fillId="0" borderId="6" xfId="1" applyFont="1" applyFill="1" applyBorder="1" applyAlignment="1">
      <alignment horizontal="center" vertical="center"/>
    </xf>
    <xf numFmtId="0" fontId="0" fillId="0" borderId="1" xfId="0" applyFill="1" applyBorder="1" applyAlignment="1">
      <alignment horizontal="center" vertical="center"/>
    </xf>
    <xf numFmtId="0" fontId="2" fillId="0" borderId="1" xfId="1" applyFont="1" applyBorder="1" applyAlignment="1">
      <alignment horizontal="center"/>
    </xf>
    <xf numFmtId="0" fontId="2" fillId="0" borderId="1" xfId="1" applyFont="1" applyBorder="1" applyAlignment="1">
      <alignment horizontal="center" wrapText="1"/>
    </xf>
    <xf numFmtId="0" fontId="2" fillId="0" borderId="1" xfId="1" applyFont="1" applyBorder="1" applyAlignment="1">
      <alignment horizontal="center" vertical="center"/>
    </xf>
    <xf numFmtId="44" fontId="0" fillId="0" borderId="0" xfId="8" applyFont="1"/>
    <xf numFmtId="165" fontId="0" fillId="0" borderId="0" xfId="0" applyNumberFormat="1"/>
    <xf numFmtId="9" fontId="10" fillId="0" borderId="0" xfId="1" applyNumberFormat="1" applyFont="1" applyFill="1" applyBorder="1" applyAlignment="1">
      <alignment horizontal="center" vertical="center" wrapText="1"/>
    </xf>
    <xf numFmtId="0" fontId="2" fillId="0" borderId="1" xfId="1" applyFont="1" applyBorder="1" applyAlignment="1">
      <alignment horizontal="center" vertical="center" wrapText="1"/>
    </xf>
    <xf numFmtId="0" fontId="7" fillId="0" borderId="6" xfId="1" applyFont="1" applyFill="1" applyBorder="1" applyAlignment="1">
      <alignment horizontal="left" vertical="top" wrapText="1"/>
    </xf>
    <xf numFmtId="0" fontId="9" fillId="0" borderId="10" xfId="0" applyFont="1" applyBorder="1" applyAlignment="1">
      <alignment horizontal="center" vertical="center"/>
    </xf>
    <xf numFmtId="165" fontId="7" fillId="0" borderId="6" xfId="6" applyNumberFormat="1" applyFont="1" applyFill="1" applyBorder="1" applyAlignment="1">
      <alignment horizontal="center" vertical="center"/>
    </xf>
    <xf numFmtId="166" fontId="23" fillId="0" borderId="9" xfId="9" applyNumberFormat="1" applyFill="1" applyAlignment="1">
      <alignment horizontal="center" vertical="center"/>
    </xf>
    <xf numFmtId="166" fontId="7" fillId="0" borderId="1" xfId="1" applyNumberFormat="1" applyFont="1" applyFill="1" applyBorder="1" applyAlignment="1">
      <alignment horizontal="center" vertical="center" wrapText="1"/>
    </xf>
    <xf numFmtId="0" fontId="23" fillId="0" borderId="9" xfId="9" applyNumberFormat="1" applyFill="1" applyAlignment="1">
      <alignment horizontal="center" vertical="center" wrapText="1"/>
    </xf>
    <xf numFmtId="166" fontId="23" fillId="0" borderId="9" xfId="9" applyNumberFormat="1" applyFill="1" applyAlignment="1">
      <alignment vertical="center"/>
    </xf>
    <xf numFmtId="166" fontId="9" fillId="0" borderId="6" xfId="4" applyNumberFormat="1" applyFont="1" applyFill="1" applyBorder="1" applyAlignment="1">
      <alignment vertical="center"/>
    </xf>
    <xf numFmtId="0" fontId="23" fillId="0" borderId="11" xfId="9" applyFill="1" applyBorder="1" applyAlignment="1">
      <alignment horizontal="center" vertical="center"/>
    </xf>
    <xf numFmtId="165" fontId="7" fillId="0" borderId="1" xfId="1" applyNumberFormat="1" applyFont="1" applyFill="1" applyBorder="1" applyAlignment="1">
      <alignment vertical="center" wrapText="1"/>
    </xf>
    <xf numFmtId="49" fontId="24" fillId="7" borderId="5" xfId="1" applyNumberFormat="1" applyFont="1" applyFill="1" applyBorder="1" applyAlignment="1">
      <alignment horizontal="center" vertical="center"/>
    </xf>
    <xf numFmtId="0" fontId="3" fillId="7" borderId="1" xfId="1" applyFont="1" applyFill="1" applyBorder="1" applyAlignment="1">
      <alignment horizontal="center" vertical="center" wrapText="1"/>
    </xf>
    <xf numFmtId="0" fontId="7" fillId="7" borderId="1" xfId="1" applyFont="1" applyFill="1" applyBorder="1" applyAlignment="1">
      <alignment vertical="top" wrapText="1"/>
    </xf>
    <xf numFmtId="0" fontId="7" fillId="7" borderId="1" xfId="1" applyFont="1" applyFill="1" applyBorder="1" applyAlignment="1">
      <alignment horizontal="center" vertical="center" wrapText="1"/>
    </xf>
    <xf numFmtId="0" fontId="7" fillId="7" borderId="1" xfId="1" applyFont="1" applyFill="1" applyBorder="1" applyAlignment="1">
      <alignment horizontal="center" vertical="center"/>
    </xf>
    <xf numFmtId="166" fontId="23" fillId="7" borderId="9" xfId="9" applyNumberFormat="1" applyFill="1" applyAlignment="1">
      <alignment horizontal="center" vertical="center"/>
    </xf>
    <xf numFmtId="0" fontId="7" fillId="7" borderId="4" xfId="1" applyNumberFormat="1" applyFont="1" applyFill="1" applyBorder="1" applyAlignment="1">
      <alignment horizontal="center" vertical="center"/>
    </xf>
    <xf numFmtId="165" fontId="7" fillId="7" borderId="1" xfId="6" applyNumberFormat="1" applyFont="1" applyFill="1" applyBorder="1" applyAlignment="1">
      <alignment horizontal="center" vertical="center"/>
    </xf>
    <xf numFmtId="0" fontId="0" fillId="7" borderId="1" xfId="0" quotePrefix="1" applyFill="1" applyBorder="1" applyAlignment="1">
      <alignment horizontal="center" vertical="center"/>
    </xf>
    <xf numFmtId="0" fontId="0" fillId="7" borderId="1" xfId="0" applyFill="1" applyBorder="1"/>
    <xf numFmtId="0" fontId="7" fillId="7" borderId="1" xfId="1" applyFont="1" applyFill="1" applyBorder="1" applyAlignment="1">
      <alignment horizontal="left" vertical="top" wrapText="1"/>
    </xf>
    <xf numFmtId="0" fontId="0" fillId="7" borderId="6" xfId="0" applyFill="1" applyBorder="1" applyAlignment="1">
      <alignment horizontal="center" vertical="center"/>
    </xf>
    <xf numFmtId="0" fontId="9" fillId="7" borderId="2" xfId="0" applyFont="1" applyFill="1" applyBorder="1" applyAlignment="1">
      <alignment horizontal="center" vertical="center"/>
    </xf>
    <xf numFmtId="166" fontId="9" fillId="7" borderId="6" xfId="4" applyNumberFormat="1" applyFont="1" applyFill="1" applyBorder="1" applyAlignment="1">
      <alignment vertical="center"/>
    </xf>
    <xf numFmtId="0" fontId="0" fillId="7" borderId="1" xfId="0" applyFill="1" applyBorder="1" applyAlignment="1">
      <alignment horizontal="center" vertical="center"/>
    </xf>
    <xf numFmtId="166" fontId="0" fillId="7" borderId="1" xfId="0" applyNumberFormat="1" applyFill="1" applyBorder="1"/>
    <xf numFmtId="0" fontId="9" fillId="7" borderId="1" xfId="0" applyFont="1" applyFill="1" applyBorder="1" applyAlignment="1">
      <alignment horizontal="center" vertical="center"/>
    </xf>
    <xf numFmtId="166" fontId="9" fillId="7" borderId="1" xfId="4" applyNumberFormat="1" applyFont="1" applyFill="1" applyBorder="1" applyAlignment="1">
      <alignment vertical="center"/>
    </xf>
    <xf numFmtId="0" fontId="5" fillId="7" borderId="1" xfId="0" quotePrefix="1" applyFont="1" applyFill="1" applyBorder="1" applyAlignment="1">
      <alignment horizontal="center" vertical="center"/>
    </xf>
    <xf numFmtId="0" fontId="0" fillId="0" borderId="2" xfId="0" applyBorder="1" applyAlignment="1">
      <alignment horizontal="center" vertical="center"/>
    </xf>
    <xf numFmtId="166" fontId="9" fillId="0" borderId="1" xfId="4" applyNumberFormat="1" applyFont="1" applyFill="1" applyBorder="1" applyAlignment="1">
      <alignment vertical="center"/>
    </xf>
    <xf numFmtId="0" fontId="26" fillId="7" borderId="1" xfId="0" quotePrefix="1" applyFont="1" applyFill="1" applyBorder="1" applyAlignment="1">
      <alignment horizontal="center" vertical="center"/>
    </xf>
    <xf numFmtId="0" fontId="25" fillId="7" borderId="1" xfId="0" quotePrefix="1" applyFont="1" applyFill="1" applyBorder="1" applyAlignment="1">
      <alignment horizontal="center" vertical="center"/>
    </xf>
    <xf numFmtId="166" fontId="23" fillId="5" borderId="9" xfId="9" applyNumberFormat="1" applyFill="1" applyAlignment="1">
      <alignment horizontal="center" vertical="center"/>
    </xf>
    <xf numFmtId="166" fontId="7" fillId="5" borderId="1" xfId="1" applyNumberFormat="1" applyFont="1" applyFill="1" applyBorder="1" applyAlignment="1">
      <alignment horizontal="center" vertical="center" wrapText="1"/>
    </xf>
    <xf numFmtId="166" fontId="23" fillId="5" borderId="9" xfId="9" applyNumberFormat="1" applyFill="1" applyAlignment="1">
      <alignment vertical="center"/>
    </xf>
    <xf numFmtId="166" fontId="9" fillId="5" borderId="6" xfId="4" applyNumberFormat="1" applyFont="1" applyFill="1" applyBorder="1" applyAlignment="1">
      <alignment vertical="center"/>
    </xf>
    <xf numFmtId="165" fontId="7" fillId="5" borderId="1" xfId="1" applyNumberFormat="1" applyFont="1" applyFill="1" applyBorder="1" applyAlignment="1">
      <alignment vertical="center" wrapText="1"/>
    </xf>
    <xf numFmtId="166" fontId="9" fillId="5" borderId="1" xfId="4" applyNumberFormat="1" applyFont="1" applyFill="1" applyBorder="1" applyAlignment="1">
      <alignment vertical="center"/>
    </xf>
    <xf numFmtId="166" fontId="7" fillId="5" borderId="4" xfId="1" applyNumberFormat="1" applyFont="1" applyFill="1" applyBorder="1" applyAlignment="1">
      <alignment horizontal="center" vertical="center"/>
    </xf>
    <xf numFmtId="0" fontId="5" fillId="0" borderId="0" xfId="0" applyFont="1" applyAlignment="1">
      <alignment vertical="center" wrapText="1"/>
    </xf>
    <xf numFmtId="0" fontId="0" fillId="0" borderId="0" xfId="0" applyAlignment="1">
      <alignment vertical="center" wrapText="1"/>
    </xf>
    <xf numFmtId="0" fontId="5" fillId="0" borderId="0" xfId="0" applyFont="1" applyAlignment="1">
      <alignment horizontal="left" vertical="center" wrapText="1"/>
    </xf>
    <xf numFmtId="0" fontId="0" fillId="0" borderId="0" xfId="0" applyAlignment="1">
      <alignment horizontal="left" vertical="center" wrapText="1"/>
    </xf>
    <xf numFmtId="0" fontId="10" fillId="0" borderId="3" xfId="1" applyFont="1" applyFill="1" applyBorder="1" applyAlignment="1">
      <alignment horizontal="center" vertical="center" wrapText="1"/>
    </xf>
    <xf numFmtId="0" fontId="10" fillId="0" borderId="2" xfId="1" applyFont="1" applyFill="1" applyBorder="1" applyAlignment="1">
      <alignment horizontal="center" vertical="center" wrapText="1"/>
    </xf>
    <xf numFmtId="0" fontId="10" fillId="0" borderId="4" xfId="1" applyFont="1" applyFill="1" applyBorder="1" applyAlignment="1">
      <alignment horizontal="center" vertical="center" wrapText="1"/>
    </xf>
    <xf numFmtId="0" fontId="2" fillId="0" borderId="6" xfId="1" applyFont="1" applyBorder="1" applyAlignment="1">
      <alignment horizontal="center"/>
    </xf>
    <xf numFmtId="0" fontId="12" fillId="0" borderId="1" xfId="1" applyFont="1" applyBorder="1" applyAlignment="1">
      <alignment horizontal="center"/>
    </xf>
  </cellXfs>
  <cellStyles count="10">
    <cellStyle name="Comma" xfId="4" builtinId="3"/>
    <cellStyle name="Currency" xfId="8" builtinId="4"/>
    <cellStyle name="Currency 2" xfId="2" xr:uid="{00000000-0005-0000-0000-000001000000}"/>
    <cellStyle name="Good" xfId="6" builtinId="26"/>
    <cellStyle name="Input" xfId="9" builtinId="20"/>
    <cellStyle name="Neutral" xfId="7" builtinId="28"/>
    <cellStyle name="Normal" xfId="0" builtinId="0"/>
    <cellStyle name="Normal 2" xfId="3" xr:uid="{00000000-0005-0000-0000-000005000000}"/>
    <cellStyle name="Normal 3" xfId="1" xr:uid="{00000000-0005-0000-0000-000006000000}"/>
    <cellStyle name="Normal 4" xfId="5" xr:uid="{00000000-0005-0000-0000-000007000000}"/>
  </cellStyles>
  <dxfs count="0"/>
  <tableStyles count="0" defaultTableStyle="TableStyleMedium9" defaultPivotStyle="PivotStyleLight16"/>
  <colors>
    <mruColors>
      <color rgb="FFFFEB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D7"/>
  <sheetViews>
    <sheetView zoomScale="90" zoomScaleNormal="90" workbookViewId="0">
      <selection activeCell="E11" sqref="E11"/>
    </sheetView>
  </sheetViews>
  <sheetFormatPr defaultColWidth="9.140625" defaultRowHeight="15" x14ac:dyDescent="0.25"/>
  <cols>
    <col min="1" max="1" width="14.42578125" customWidth="1"/>
    <col min="2" max="2" width="15.7109375" style="90" bestFit="1" customWidth="1"/>
    <col min="3" max="3" width="13.5703125" bestFit="1" customWidth="1"/>
    <col min="4" max="4" width="15" style="113" bestFit="1" customWidth="1"/>
  </cols>
  <sheetData>
    <row r="1" spans="1:4" x14ac:dyDescent="0.25">
      <c r="C1" t="s">
        <v>309</v>
      </c>
      <c r="D1" s="113" t="s">
        <v>308</v>
      </c>
    </row>
    <row r="2" spans="1:4" x14ac:dyDescent="0.25">
      <c r="A2" s="4" t="s">
        <v>232</v>
      </c>
      <c r="B2" s="90">
        <f>'Base Year 2026'!F29</f>
        <v>0</v>
      </c>
      <c r="C2">
        <v>0.93030000000000002</v>
      </c>
      <c r="D2" s="113">
        <f>B2/C2</f>
        <v>0</v>
      </c>
    </row>
    <row r="3" spans="1:4" x14ac:dyDescent="0.25">
      <c r="A3" s="4" t="s">
        <v>316</v>
      </c>
      <c r="B3" s="90">
        <f>'First Option '!F29</f>
        <v>0</v>
      </c>
      <c r="C3">
        <v>0.93030000000000002</v>
      </c>
      <c r="D3" s="113">
        <f t="shared" ref="D3:D4" si="0">B3/C3</f>
        <v>0</v>
      </c>
    </row>
    <row r="4" spans="1:4" x14ac:dyDescent="0.25">
      <c r="A4" s="4" t="s">
        <v>317</v>
      </c>
      <c r="B4" s="90">
        <f>'Second Option '!F29</f>
        <v>0</v>
      </c>
      <c r="C4">
        <v>0.93030000000000002</v>
      </c>
      <c r="D4" s="113">
        <f t="shared" si="0"/>
        <v>0</v>
      </c>
    </row>
    <row r="5" spans="1:4" x14ac:dyDescent="0.25">
      <c r="A5" s="4" t="s">
        <v>320</v>
      </c>
      <c r="B5" s="90">
        <f>'-8 Extension '!F29</f>
        <v>0</v>
      </c>
      <c r="C5">
        <v>0.93030000000000002</v>
      </c>
      <c r="D5" s="113">
        <f>B5/C5</f>
        <v>0</v>
      </c>
    </row>
    <row r="7" spans="1:4" x14ac:dyDescent="0.25">
      <c r="A7" s="4" t="s">
        <v>318</v>
      </c>
      <c r="B7" s="90">
        <f>SUM(B2:B5)</f>
        <v>0</v>
      </c>
      <c r="D7" s="113">
        <f>SUM(D2:D5)</f>
        <v>0</v>
      </c>
    </row>
  </sheetData>
  <phoneticPr fontId="22"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A053-6704-4C7F-AA0E-E581ACC7F2B3}">
  <sheetPr>
    <tabColor rgb="FF0070C0"/>
    <pageSetUpPr fitToPage="1"/>
  </sheetPr>
  <dimension ref="A1:H51"/>
  <sheetViews>
    <sheetView topLeftCell="A18" zoomScaleNormal="100" workbookViewId="0">
      <selection activeCell="H15" sqref="H15"/>
    </sheetView>
  </sheetViews>
  <sheetFormatPr defaultColWidth="9.140625" defaultRowHeight="15" x14ac:dyDescent="0.25"/>
  <cols>
    <col min="1" max="1" width="7.5703125" customWidth="1"/>
    <col min="2" max="2" width="6.5703125" customWidth="1"/>
    <col min="3" max="3" width="61.5703125" customWidth="1"/>
    <col min="4" max="4" width="15.5703125" customWidth="1"/>
    <col min="5" max="5" width="7.5703125" customWidth="1"/>
    <col min="6" max="6" width="13.140625" bestFit="1" customWidth="1"/>
    <col min="7" max="7" width="9.5703125" customWidth="1"/>
    <col min="8" max="8" width="13" customWidth="1"/>
  </cols>
  <sheetData>
    <row r="1" spans="1:8" ht="10.35" customHeight="1" x14ac:dyDescent="0.25">
      <c r="C1" s="157" t="s">
        <v>4</v>
      </c>
      <c r="D1" s="158"/>
      <c r="E1" s="158"/>
      <c r="F1" s="158"/>
      <c r="G1" s="158"/>
    </row>
    <row r="2" spans="1:8" ht="20.100000000000001" customHeight="1" x14ac:dyDescent="0.25">
      <c r="A2" s="159" t="s">
        <v>23</v>
      </c>
      <c r="B2" s="160"/>
      <c r="C2" s="160"/>
      <c r="D2" s="160"/>
      <c r="E2" s="160"/>
      <c r="F2" t="s">
        <v>4</v>
      </c>
    </row>
    <row r="3" spans="1:8" ht="20.100000000000001" customHeight="1" x14ac:dyDescent="0.25">
      <c r="A3" s="4" t="s">
        <v>6</v>
      </c>
      <c r="B3" s="4"/>
      <c r="C3" s="4"/>
    </row>
    <row r="4" spans="1:8" ht="20.100000000000001" customHeight="1" x14ac:dyDescent="0.25">
      <c r="A4" s="4" t="s">
        <v>310</v>
      </c>
      <c r="B4" s="4"/>
      <c r="C4" s="4"/>
      <c r="D4" t="s">
        <v>4</v>
      </c>
      <c r="E4" t="s">
        <v>4</v>
      </c>
      <c r="F4" t="s">
        <v>4</v>
      </c>
      <c r="G4" t="s">
        <v>4</v>
      </c>
    </row>
    <row r="5" spans="1:8" ht="20.100000000000001" customHeight="1" x14ac:dyDescent="0.25">
      <c r="A5" s="4"/>
    </row>
    <row r="6" spans="1:8" ht="16.350000000000001" customHeight="1" x14ac:dyDescent="0.25">
      <c r="A6" s="4"/>
      <c r="C6" s="5"/>
      <c r="D6" s="5"/>
    </row>
    <row r="7" spans="1:8" ht="25.5" x14ac:dyDescent="0.25">
      <c r="A7" s="6" t="s">
        <v>0</v>
      </c>
      <c r="B7" s="6" t="s">
        <v>4</v>
      </c>
      <c r="C7" s="7" t="s">
        <v>1</v>
      </c>
      <c r="D7" s="7" t="s">
        <v>7</v>
      </c>
      <c r="E7" s="6" t="s">
        <v>8</v>
      </c>
      <c r="F7" s="6" t="s">
        <v>9</v>
      </c>
      <c r="G7" s="6" t="s">
        <v>10</v>
      </c>
      <c r="H7" s="6" t="s">
        <v>2</v>
      </c>
    </row>
    <row r="8" spans="1:8" ht="15.75" x14ac:dyDescent="0.25">
      <c r="A8" s="127" t="s">
        <v>3</v>
      </c>
      <c r="B8" s="128"/>
      <c r="C8" s="129" t="s">
        <v>358</v>
      </c>
      <c r="D8" s="130" t="s">
        <v>13</v>
      </c>
      <c r="E8" s="131" t="s">
        <v>233</v>
      </c>
      <c r="F8" s="150">
        <f>SUBTOTAL(9,H9,H10,H11,H12,H13)</f>
        <v>0</v>
      </c>
      <c r="G8" s="133">
        <v>1</v>
      </c>
      <c r="H8" s="134">
        <f>G8*F8</f>
        <v>0</v>
      </c>
    </row>
    <row r="9" spans="1:8" ht="48" x14ac:dyDescent="0.25">
      <c r="B9" s="116" t="s">
        <v>322</v>
      </c>
      <c r="C9" s="20" t="s">
        <v>321</v>
      </c>
      <c r="D9" s="12" t="s">
        <v>13</v>
      </c>
      <c r="E9" s="8" t="s">
        <v>233</v>
      </c>
      <c r="F9" s="150"/>
      <c r="G9" s="18">
        <v>1</v>
      </c>
      <c r="H9" s="62">
        <f>G9*F9</f>
        <v>0</v>
      </c>
    </row>
    <row r="10" spans="1:8" ht="108" x14ac:dyDescent="0.25">
      <c r="B10" s="1" t="s">
        <v>323</v>
      </c>
      <c r="C10" s="19" t="s">
        <v>330</v>
      </c>
      <c r="D10" s="12" t="s">
        <v>13</v>
      </c>
      <c r="E10" s="10" t="s">
        <v>12</v>
      </c>
      <c r="F10" s="151"/>
      <c r="G10" s="122">
        <v>68</v>
      </c>
      <c r="H10" s="62">
        <f t="shared" ref="H10:H11" si="0">G10*F10</f>
        <v>0</v>
      </c>
    </row>
    <row r="11" spans="1:8" ht="108" x14ac:dyDescent="0.25">
      <c r="B11" s="1" t="s">
        <v>324</v>
      </c>
      <c r="C11" s="19" t="s">
        <v>331</v>
      </c>
      <c r="D11" s="8" t="s">
        <v>13</v>
      </c>
      <c r="E11" s="10" t="s">
        <v>12</v>
      </c>
      <c r="F11" s="151"/>
      <c r="G11" s="122">
        <v>21</v>
      </c>
      <c r="H11" s="62">
        <f t="shared" si="0"/>
        <v>0</v>
      </c>
    </row>
    <row r="12" spans="1:8" ht="36" x14ac:dyDescent="0.25">
      <c r="B12" s="16" t="s">
        <v>326</v>
      </c>
      <c r="C12" s="19" t="s">
        <v>332</v>
      </c>
      <c r="D12" s="16" t="s">
        <v>13</v>
      </c>
      <c r="E12" s="15" t="s">
        <v>233</v>
      </c>
      <c r="F12" s="152"/>
      <c r="G12" s="109">
        <v>1</v>
      </c>
      <c r="H12" s="62">
        <f>G12*F12</f>
        <v>0</v>
      </c>
    </row>
    <row r="13" spans="1:8" ht="36" x14ac:dyDescent="0.25">
      <c r="B13" s="24" t="s">
        <v>327</v>
      </c>
      <c r="C13" s="117" t="s">
        <v>333</v>
      </c>
      <c r="D13" s="24" t="s">
        <v>13</v>
      </c>
      <c r="E13" s="118" t="s">
        <v>12</v>
      </c>
      <c r="F13" s="153"/>
      <c r="G13" s="125">
        <v>104</v>
      </c>
      <c r="H13" s="119">
        <f>G13*F13</f>
        <v>0</v>
      </c>
    </row>
    <row r="14" spans="1:8" ht="15.75" x14ac:dyDescent="0.25">
      <c r="A14" s="135" t="s">
        <v>328</v>
      </c>
      <c r="B14" s="136"/>
      <c r="C14" s="137" t="s">
        <v>329</v>
      </c>
      <c r="D14" s="138" t="s">
        <v>13</v>
      </c>
      <c r="E14" s="139" t="s">
        <v>233</v>
      </c>
      <c r="F14" s="153"/>
      <c r="G14" s="141">
        <v>1</v>
      </c>
      <c r="H14" s="142">
        <f>G14*F14</f>
        <v>0</v>
      </c>
    </row>
    <row r="15" spans="1:8" ht="60" x14ac:dyDescent="0.25">
      <c r="B15" s="2" t="s">
        <v>322</v>
      </c>
      <c r="C15" s="19" t="s">
        <v>334</v>
      </c>
      <c r="D15" s="8" t="s">
        <v>13</v>
      </c>
      <c r="E15" s="8" t="s">
        <v>12</v>
      </c>
      <c r="F15" s="154"/>
      <c r="G15" s="122">
        <v>356</v>
      </c>
      <c r="H15" s="62">
        <f>F15*G15</f>
        <v>0</v>
      </c>
    </row>
    <row r="16" spans="1:8" ht="24" x14ac:dyDescent="0.25">
      <c r="B16" s="16" t="s">
        <v>323</v>
      </c>
      <c r="C16" s="19" t="s">
        <v>335</v>
      </c>
      <c r="D16" s="22" t="s">
        <v>13</v>
      </c>
      <c r="E16" s="14" t="s">
        <v>233</v>
      </c>
      <c r="F16" s="152"/>
      <c r="G16" s="109">
        <v>1</v>
      </c>
      <c r="H16" s="62">
        <f>F16*G16</f>
        <v>0</v>
      </c>
    </row>
    <row r="17" spans="1:8" ht="24.75" customHeight="1" x14ac:dyDescent="0.25">
      <c r="A17" s="145" t="s">
        <v>337</v>
      </c>
      <c r="B17" s="136"/>
      <c r="C17" s="137" t="s">
        <v>336</v>
      </c>
      <c r="D17" s="141" t="s">
        <v>13</v>
      </c>
      <c r="E17" s="143" t="s">
        <v>233</v>
      </c>
      <c r="F17" s="155"/>
      <c r="G17" s="141">
        <v>1</v>
      </c>
      <c r="H17" s="134">
        <f t="shared" ref="H17:H26" si="1">G17*F17</f>
        <v>0</v>
      </c>
    </row>
    <row r="18" spans="1:8" ht="72" x14ac:dyDescent="0.25">
      <c r="A18" s="127" t="s">
        <v>11</v>
      </c>
      <c r="B18" s="128"/>
      <c r="C18" s="129" t="s">
        <v>359</v>
      </c>
      <c r="D18" s="130" t="s">
        <v>13</v>
      </c>
      <c r="E18" s="131" t="s">
        <v>233</v>
      </c>
      <c r="F18" s="150">
        <f>SUBTOTAL(9,H19,H20,H21,H22)</f>
        <v>0</v>
      </c>
      <c r="G18" s="133">
        <v>1</v>
      </c>
      <c r="H18" s="134">
        <f t="shared" si="1"/>
        <v>0</v>
      </c>
    </row>
    <row r="19" spans="1:8" ht="72" x14ac:dyDescent="0.25">
      <c r="B19" s="2" t="s">
        <v>322</v>
      </c>
      <c r="C19" s="20" t="s">
        <v>343</v>
      </c>
      <c r="D19" s="12" t="s">
        <v>14</v>
      </c>
      <c r="E19" s="8" t="s">
        <v>233</v>
      </c>
      <c r="F19" s="156"/>
      <c r="G19" s="18">
        <v>1</v>
      </c>
      <c r="H19" s="62">
        <f t="shared" si="1"/>
        <v>0</v>
      </c>
    </row>
    <row r="20" spans="1:8" ht="120" x14ac:dyDescent="0.25">
      <c r="B20" s="1" t="s">
        <v>323</v>
      </c>
      <c r="C20" s="19" t="s">
        <v>345</v>
      </c>
      <c r="D20" s="8" t="s">
        <v>14</v>
      </c>
      <c r="E20" s="10" t="s">
        <v>12</v>
      </c>
      <c r="F20" s="151"/>
      <c r="G20" s="11">
        <v>61</v>
      </c>
      <c r="H20" s="62">
        <f t="shared" si="1"/>
        <v>0</v>
      </c>
    </row>
    <row r="21" spans="1:8" ht="108" x14ac:dyDescent="0.25">
      <c r="B21" s="1" t="s">
        <v>324</v>
      </c>
      <c r="C21" s="19" t="s">
        <v>338</v>
      </c>
      <c r="D21" s="8" t="s">
        <v>14</v>
      </c>
      <c r="E21" s="10" t="s">
        <v>12</v>
      </c>
      <c r="F21" s="151"/>
      <c r="G21" s="11">
        <v>18</v>
      </c>
      <c r="H21" s="62">
        <f t="shared" si="1"/>
        <v>0</v>
      </c>
    </row>
    <row r="22" spans="1:8" ht="36" x14ac:dyDescent="0.25">
      <c r="A22" s="17"/>
      <c r="B22" s="146" t="s">
        <v>326</v>
      </c>
      <c r="C22" s="19" t="s">
        <v>346</v>
      </c>
      <c r="D22" s="16" t="s">
        <v>14</v>
      </c>
      <c r="E22" s="15" t="s">
        <v>12</v>
      </c>
      <c r="F22" s="155"/>
      <c r="G22" s="16">
        <v>20</v>
      </c>
      <c r="H22" s="62">
        <f t="shared" si="1"/>
        <v>0</v>
      </c>
    </row>
    <row r="23" spans="1:8" ht="15.75" x14ac:dyDescent="0.25">
      <c r="A23" s="135" t="s">
        <v>342</v>
      </c>
      <c r="B23" s="136"/>
      <c r="C23" s="137" t="s">
        <v>341</v>
      </c>
      <c r="D23" s="138" t="s">
        <v>14</v>
      </c>
      <c r="E23" s="139" t="s">
        <v>233</v>
      </c>
      <c r="F23" s="153">
        <f>SUBTOTAL(9,H24,H25)</f>
        <v>0</v>
      </c>
      <c r="G23" s="141">
        <v>1</v>
      </c>
      <c r="H23" s="142">
        <f t="shared" si="1"/>
        <v>0</v>
      </c>
    </row>
    <row r="24" spans="1:8" ht="60" x14ac:dyDescent="0.25">
      <c r="B24" s="2" t="s">
        <v>322</v>
      </c>
      <c r="C24" s="19" t="s">
        <v>347</v>
      </c>
      <c r="D24" s="12" t="s">
        <v>14</v>
      </c>
      <c r="E24" s="8" t="s">
        <v>12</v>
      </c>
      <c r="F24" s="154"/>
      <c r="G24" s="11">
        <v>310</v>
      </c>
      <c r="H24" s="62">
        <f t="shared" si="1"/>
        <v>0</v>
      </c>
    </row>
    <row r="25" spans="1:8" ht="24" x14ac:dyDescent="0.25">
      <c r="B25" s="16" t="s">
        <v>323</v>
      </c>
      <c r="C25" s="19" t="s">
        <v>348</v>
      </c>
      <c r="D25" s="16" t="s">
        <v>14</v>
      </c>
      <c r="E25" s="15" t="s">
        <v>233</v>
      </c>
      <c r="F25" s="155"/>
      <c r="G25" s="16">
        <v>1</v>
      </c>
      <c r="H25" s="62">
        <f t="shared" si="1"/>
        <v>0</v>
      </c>
    </row>
    <row r="26" spans="1:8" ht="24.75" customHeight="1" x14ac:dyDescent="0.25">
      <c r="A26" s="145" t="s">
        <v>340</v>
      </c>
      <c r="B26" s="136"/>
      <c r="C26" s="137" t="s">
        <v>360</v>
      </c>
      <c r="D26" s="141" t="s">
        <v>13</v>
      </c>
      <c r="E26" s="143" t="s">
        <v>233</v>
      </c>
      <c r="F26" s="155"/>
      <c r="G26" s="141">
        <v>1</v>
      </c>
      <c r="H26" s="134">
        <f t="shared" si="1"/>
        <v>0</v>
      </c>
    </row>
    <row r="29" spans="1:8" x14ac:dyDescent="0.25">
      <c r="F29" s="90"/>
    </row>
    <row r="51" ht="15.75" customHeight="1" x14ac:dyDescent="0.25"/>
  </sheetData>
  <autoFilter ref="A7:H26" xr:uid="{89F7A053-6704-4C7F-AA0E-E581ACC7F2B3}"/>
  <mergeCells count="2">
    <mergeCell ref="C1:G1"/>
    <mergeCell ref="A2:E2"/>
  </mergeCells>
  <pageMargins left="0.23622047244094488" right="0.23622047244094488" top="0.3543307086614173" bottom="0.19685039370078741" header="0.11811023622047244" footer="0.31496062992125984"/>
  <pageSetup paperSize="8" scale="76" orientation="portrait" r:id="rId1"/>
  <headerFooter differentFirst="1" scaleWithDoc="0" alignWithMargins="0">
    <oddHeader>&amp;C&amp;"-,Bold"&amp;14Second Option
Fire Alarm and Supression Systems &amp;R&amp;D</oddHeader>
    <oddFooter>&amp;R&amp;P of &amp;N</oddFooter>
    <firstHeader xml:space="preserve">&amp;CFirst Option
Fire Alarm and Supression Systems&amp;R&amp;D
</first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tabColor rgb="FF0070C0"/>
  </sheetPr>
  <dimension ref="A1:J54"/>
  <sheetViews>
    <sheetView zoomScaleNormal="100" workbookViewId="0">
      <selection activeCell="E3" sqref="E3:E52"/>
    </sheetView>
  </sheetViews>
  <sheetFormatPr defaultColWidth="9.140625" defaultRowHeight="15" x14ac:dyDescent="0.25"/>
  <cols>
    <col min="1" max="3" width="9.140625" customWidth="1"/>
    <col min="4" max="4" width="40.7109375" customWidth="1"/>
    <col min="5" max="5" width="10.5703125" customWidth="1"/>
    <col min="6" max="6" width="10.5703125" style="43" customWidth="1"/>
    <col min="7" max="7" width="10.5703125" customWidth="1"/>
    <col min="8" max="8" width="12.7109375" style="43" customWidth="1"/>
    <col min="9" max="10" width="9.140625" style="21"/>
    <col min="254" max="256" width="9.140625" customWidth="1"/>
    <col min="257" max="257" width="40.7109375" customWidth="1"/>
    <col min="258" max="260" width="9.140625" customWidth="1"/>
    <col min="261" max="261" width="11.5703125" customWidth="1"/>
    <col min="510" max="512" width="9.140625" customWidth="1"/>
    <col min="513" max="513" width="40.7109375" customWidth="1"/>
    <col min="514" max="516" width="9.140625" customWidth="1"/>
    <col min="517" max="517" width="11.5703125" customWidth="1"/>
    <col min="766" max="768" width="9.140625" customWidth="1"/>
    <col min="769" max="769" width="40.7109375" customWidth="1"/>
    <col min="770" max="772" width="9.140625" customWidth="1"/>
    <col min="773" max="773" width="11.5703125" customWidth="1"/>
    <col min="1022" max="1024" width="9.140625" customWidth="1"/>
    <col min="1025" max="1025" width="40.7109375" customWidth="1"/>
    <col min="1026" max="1028" width="9.140625" customWidth="1"/>
    <col min="1029" max="1029" width="11.5703125" customWidth="1"/>
    <col min="1278" max="1280" width="9.140625" customWidth="1"/>
    <col min="1281" max="1281" width="40.7109375" customWidth="1"/>
    <col min="1282" max="1284" width="9.140625" customWidth="1"/>
    <col min="1285" max="1285" width="11.5703125" customWidth="1"/>
    <col min="1534" max="1536" width="9.140625" customWidth="1"/>
    <col min="1537" max="1537" width="40.7109375" customWidth="1"/>
    <col min="1538" max="1540" width="9.140625" customWidth="1"/>
    <col min="1541" max="1541" width="11.5703125" customWidth="1"/>
    <col min="1790" max="1792" width="9.140625" customWidth="1"/>
    <col min="1793" max="1793" width="40.7109375" customWidth="1"/>
    <col min="1794" max="1796" width="9.140625" customWidth="1"/>
    <col min="1797" max="1797" width="11.5703125" customWidth="1"/>
    <col min="2046" max="2048" width="9.140625" customWidth="1"/>
    <col min="2049" max="2049" width="40.7109375" customWidth="1"/>
    <col min="2050" max="2052" width="9.140625" customWidth="1"/>
    <col min="2053" max="2053" width="11.5703125" customWidth="1"/>
    <col min="2302" max="2304" width="9.140625" customWidth="1"/>
    <col min="2305" max="2305" width="40.7109375" customWidth="1"/>
    <col min="2306" max="2308" width="9.140625" customWidth="1"/>
    <col min="2309" max="2309" width="11.5703125" customWidth="1"/>
    <col min="2558" max="2560" width="9.140625" customWidth="1"/>
    <col min="2561" max="2561" width="40.7109375" customWidth="1"/>
    <col min="2562" max="2564" width="9.140625" customWidth="1"/>
    <col min="2565" max="2565" width="11.5703125" customWidth="1"/>
    <col min="2814" max="2816" width="9.140625" customWidth="1"/>
    <col min="2817" max="2817" width="40.7109375" customWidth="1"/>
    <col min="2818" max="2820" width="9.140625" customWidth="1"/>
    <col min="2821" max="2821" width="11.5703125" customWidth="1"/>
    <col min="3070" max="3072" width="9.140625" customWidth="1"/>
    <col min="3073" max="3073" width="40.7109375" customWidth="1"/>
    <col min="3074" max="3076" width="9.140625" customWidth="1"/>
    <col min="3077" max="3077" width="11.5703125" customWidth="1"/>
    <col min="3326" max="3328" width="9.140625" customWidth="1"/>
    <col min="3329" max="3329" width="40.7109375" customWidth="1"/>
    <col min="3330" max="3332" width="9.140625" customWidth="1"/>
    <col min="3333" max="3333" width="11.5703125" customWidth="1"/>
    <col min="3582" max="3584" width="9.140625" customWidth="1"/>
    <col min="3585" max="3585" width="40.7109375" customWidth="1"/>
    <col min="3586" max="3588" width="9.140625" customWidth="1"/>
    <col min="3589" max="3589" width="11.5703125" customWidth="1"/>
    <col min="3838" max="3840" width="9.140625" customWidth="1"/>
    <col min="3841" max="3841" width="40.7109375" customWidth="1"/>
    <col min="3842" max="3844" width="9.140625" customWidth="1"/>
    <col min="3845" max="3845" width="11.5703125" customWidth="1"/>
    <col min="4094" max="4096" width="9.140625" customWidth="1"/>
    <col min="4097" max="4097" width="40.7109375" customWidth="1"/>
    <col min="4098" max="4100" width="9.140625" customWidth="1"/>
    <col min="4101" max="4101" width="11.5703125" customWidth="1"/>
    <col min="4350" max="4352" width="9.140625" customWidth="1"/>
    <col min="4353" max="4353" width="40.7109375" customWidth="1"/>
    <col min="4354" max="4356" width="9.140625" customWidth="1"/>
    <col min="4357" max="4357" width="11.5703125" customWidth="1"/>
    <col min="4606" max="4608" width="9.140625" customWidth="1"/>
    <col min="4609" max="4609" width="40.7109375" customWidth="1"/>
    <col min="4610" max="4612" width="9.140625" customWidth="1"/>
    <col min="4613" max="4613" width="11.5703125" customWidth="1"/>
    <col min="4862" max="4864" width="9.140625" customWidth="1"/>
    <col min="4865" max="4865" width="40.7109375" customWidth="1"/>
    <col min="4866" max="4868" width="9.140625" customWidth="1"/>
    <col min="4869" max="4869" width="11.5703125" customWidth="1"/>
    <col min="5118" max="5120" width="9.140625" customWidth="1"/>
    <col min="5121" max="5121" width="40.7109375" customWidth="1"/>
    <col min="5122" max="5124" width="9.140625" customWidth="1"/>
    <col min="5125" max="5125" width="11.5703125" customWidth="1"/>
    <col min="5374" max="5376" width="9.140625" customWidth="1"/>
    <col min="5377" max="5377" width="40.7109375" customWidth="1"/>
    <col min="5378" max="5380" width="9.140625" customWidth="1"/>
    <col min="5381" max="5381" width="11.5703125" customWidth="1"/>
    <col min="5630" max="5632" width="9.140625" customWidth="1"/>
    <col min="5633" max="5633" width="40.7109375" customWidth="1"/>
    <col min="5634" max="5636" width="9.140625" customWidth="1"/>
    <col min="5637" max="5637" width="11.5703125" customWidth="1"/>
    <col min="5886" max="5888" width="9.140625" customWidth="1"/>
    <col min="5889" max="5889" width="40.7109375" customWidth="1"/>
    <col min="5890" max="5892" width="9.140625" customWidth="1"/>
    <col min="5893" max="5893" width="11.5703125" customWidth="1"/>
    <col min="6142" max="6144" width="9.140625" customWidth="1"/>
    <col min="6145" max="6145" width="40.7109375" customWidth="1"/>
    <col min="6146" max="6148" width="9.140625" customWidth="1"/>
    <col min="6149" max="6149" width="11.5703125" customWidth="1"/>
    <col min="6398" max="6400" width="9.140625" customWidth="1"/>
    <col min="6401" max="6401" width="40.7109375" customWidth="1"/>
    <col min="6402" max="6404" width="9.140625" customWidth="1"/>
    <col min="6405" max="6405" width="11.5703125" customWidth="1"/>
    <col min="6654" max="6656" width="9.140625" customWidth="1"/>
    <col min="6657" max="6657" width="40.7109375" customWidth="1"/>
    <col min="6658" max="6660" width="9.140625" customWidth="1"/>
    <col min="6661" max="6661" width="11.5703125" customWidth="1"/>
    <col min="6910" max="6912" width="9.140625" customWidth="1"/>
    <col min="6913" max="6913" width="40.7109375" customWidth="1"/>
    <col min="6914" max="6916" width="9.140625" customWidth="1"/>
    <col min="6917" max="6917" width="11.5703125" customWidth="1"/>
    <col min="7166" max="7168" width="9.140625" customWidth="1"/>
    <col min="7169" max="7169" width="40.7109375" customWidth="1"/>
    <col min="7170" max="7172" width="9.140625" customWidth="1"/>
    <col min="7173" max="7173" width="11.5703125" customWidth="1"/>
    <col min="7422" max="7424" width="9.140625" customWidth="1"/>
    <col min="7425" max="7425" width="40.7109375" customWidth="1"/>
    <col min="7426" max="7428" width="9.140625" customWidth="1"/>
    <col min="7429" max="7429" width="11.5703125" customWidth="1"/>
    <col min="7678" max="7680" width="9.140625" customWidth="1"/>
    <col min="7681" max="7681" width="40.7109375" customWidth="1"/>
    <col min="7682" max="7684" width="9.140625" customWidth="1"/>
    <col min="7685" max="7685" width="11.5703125" customWidth="1"/>
    <col min="7934" max="7936" width="9.140625" customWidth="1"/>
    <col min="7937" max="7937" width="40.7109375" customWidth="1"/>
    <col min="7938" max="7940" width="9.140625" customWidth="1"/>
    <col min="7941" max="7941" width="11.5703125" customWidth="1"/>
    <col min="8190" max="8192" width="9.140625" customWidth="1"/>
    <col min="8193" max="8193" width="40.7109375" customWidth="1"/>
    <col min="8194" max="8196" width="9.140625" customWidth="1"/>
    <col min="8197" max="8197" width="11.5703125" customWidth="1"/>
    <col min="8446" max="8448" width="9.140625" customWidth="1"/>
    <col min="8449" max="8449" width="40.7109375" customWidth="1"/>
    <col min="8450" max="8452" width="9.140625" customWidth="1"/>
    <col min="8453" max="8453" width="11.5703125" customWidth="1"/>
    <col min="8702" max="8704" width="9.140625" customWidth="1"/>
    <col min="8705" max="8705" width="40.7109375" customWidth="1"/>
    <col min="8706" max="8708" width="9.140625" customWidth="1"/>
    <col min="8709" max="8709" width="11.5703125" customWidth="1"/>
    <col min="8958" max="8960" width="9.140625" customWidth="1"/>
    <col min="8961" max="8961" width="40.7109375" customWidth="1"/>
    <col min="8962" max="8964" width="9.140625" customWidth="1"/>
    <col min="8965" max="8965" width="11.5703125" customWidth="1"/>
    <col min="9214" max="9216" width="9.140625" customWidth="1"/>
    <col min="9217" max="9217" width="40.7109375" customWidth="1"/>
    <col min="9218" max="9220" width="9.140625" customWidth="1"/>
    <col min="9221" max="9221" width="11.5703125" customWidth="1"/>
    <col min="9470" max="9472" width="9.140625" customWidth="1"/>
    <col min="9473" max="9473" width="40.7109375" customWidth="1"/>
    <col min="9474" max="9476" width="9.140625" customWidth="1"/>
    <col min="9477" max="9477" width="11.5703125" customWidth="1"/>
    <col min="9726" max="9728" width="9.140625" customWidth="1"/>
    <col min="9729" max="9729" width="40.7109375" customWidth="1"/>
    <col min="9730" max="9732" width="9.140625" customWidth="1"/>
    <col min="9733" max="9733" width="11.5703125" customWidth="1"/>
    <col min="9982" max="9984" width="9.140625" customWidth="1"/>
    <col min="9985" max="9985" width="40.7109375" customWidth="1"/>
    <col min="9986" max="9988" width="9.140625" customWidth="1"/>
    <col min="9989" max="9989" width="11.5703125" customWidth="1"/>
    <col min="10238" max="10240" width="9.140625" customWidth="1"/>
    <col min="10241" max="10241" width="40.7109375" customWidth="1"/>
    <col min="10242" max="10244" width="9.140625" customWidth="1"/>
    <col min="10245" max="10245" width="11.5703125" customWidth="1"/>
    <col min="10494" max="10496" width="9.140625" customWidth="1"/>
    <col min="10497" max="10497" width="40.7109375" customWidth="1"/>
    <col min="10498" max="10500" width="9.140625" customWidth="1"/>
    <col min="10501" max="10501" width="11.5703125" customWidth="1"/>
    <col min="10750" max="10752" width="9.140625" customWidth="1"/>
    <col min="10753" max="10753" width="40.7109375" customWidth="1"/>
    <col min="10754" max="10756" width="9.140625" customWidth="1"/>
    <col min="10757" max="10757" width="11.5703125" customWidth="1"/>
    <col min="11006" max="11008" width="9.140625" customWidth="1"/>
    <col min="11009" max="11009" width="40.7109375" customWidth="1"/>
    <col min="11010" max="11012" width="9.140625" customWidth="1"/>
    <col min="11013" max="11013" width="11.5703125" customWidth="1"/>
    <col min="11262" max="11264" width="9.140625" customWidth="1"/>
    <col min="11265" max="11265" width="40.7109375" customWidth="1"/>
    <col min="11266" max="11268" width="9.140625" customWidth="1"/>
    <col min="11269" max="11269" width="11.5703125" customWidth="1"/>
    <col min="11518" max="11520" width="9.140625" customWidth="1"/>
    <col min="11521" max="11521" width="40.7109375" customWidth="1"/>
    <col min="11522" max="11524" width="9.140625" customWidth="1"/>
    <col min="11525" max="11525" width="11.5703125" customWidth="1"/>
    <col min="11774" max="11776" width="9.140625" customWidth="1"/>
    <col min="11777" max="11777" width="40.7109375" customWidth="1"/>
    <col min="11778" max="11780" width="9.140625" customWidth="1"/>
    <col min="11781" max="11781" width="11.5703125" customWidth="1"/>
    <col min="12030" max="12032" width="9.140625" customWidth="1"/>
    <col min="12033" max="12033" width="40.7109375" customWidth="1"/>
    <col min="12034" max="12036" width="9.140625" customWidth="1"/>
    <col min="12037" max="12037" width="11.5703125" customWidth="1"/>
    <col min="12286" max="12288" width="9.140625" customWidth="1"/>
    <col min="12289" max="12289" width="40.7109375" customWidth="1"/>
    <col min="12290" max="12292" width="9.140625" customWidth="1"/>
    <col min="12293" max="12293" width="11.5703125" customWidth="1"/>
    <col min="12542" max="12544" width="9.140625" customWidth="1"/>
    <col min="12545" max="12545" width="40.7109375" customWidth="1"/>
    <col min="12546" max="12548" width="9.140625" customWidth="1"/>
    <col min="12549" max="12549" width="11.5703125" customWidth="1"/>
    <col min="12798" max="12800" width="9.140625" customWidth="1"/>
    <col min="12801" max="12801" width="40.7109375" customWidth="1"/>
    <col min="12802" max="12804" width="9.140625" customWidth="1"/>
    <col min="12805" max="12805" width="11.5703125" customWidth="1"/>
    <col min="13054" max="13056" width="9.140625" customWidth="1"/>
    <col min="13057" max="13057" width="40.7109375" customWidth="1"/>
    <col min="13058" max="13060" width="9.140625" customWidth="1"/>
    <col min="13061" max="13061" width="11.5703125" customWidth="1"/>
    <col min="13310" max="13312" width="9.140625" customWidth="1"/>
    <col min="13313" max="13313" width="40.7109375" customWidth="1"/>
    <col min="13314" max="13316" width="9.140625" customWidth="1"/>
    <col min="13317" max="13317" width="11.5703125" customWidth="1"/>
    <col min="13566" max="13568" width="9.140625" customWidth="1"/>
    <col min="13569" max="13569" width="40.7109375" customWidth="1"/>
    <col min="13570" max="13572" width="9.140625" customWidth="1"/>
    <col min="13573" max="13573" width="11.5703125" customWidth="1"/>
    <col min="13822" max="13824" width="9.140625" customWidth="1"/>
    <col min="13825" max="13825" width="40.7109375" customWidth="1"/>
    <col min="13826" max="13828" width="9.140625" customWidth="1"/>
    <col min="13829" max="13829" width="11.5703125" customWidth="1"/>
    <col min="14078" max="14080" width="9.140625" customWidth="1"/>
    <col min="14081" max="14081" width="40.7109375" customWidth="1"/>
    <col min="14082" max="14084" width="9.140625" customWidth="1"/>
    <col min="14085" max="14085" width="11.5703125" customWidth="1"/>
    <col min="14334" max="14336" width="9.140625" customWidth="1"/>
    <col min="14337" max="14337" width="40.7109375" customWidth="1"/>
    <col min="14338" max="14340" width="9.140625" customWidth="1"/>
    <col min="14341" max="14341" width="11.5703125" customWidth="1"/>
    <col min="14590" max="14592" width="9.140625" customWidth="1"/>
    <col min="14593" max="14593" width="40.7109375" customWidth="1"/>
    <col min="14594" max="14596" width="9.140625" customWidth="1"/>
    <col min="14597" max="14597" width="11.5703125" customWidth="1"/>
    <col min="14846" max="14848" width="9.140625" customWidth="1"/>
    <col min="14849" max="14849" width="40.7109375" customWidth="1"/>
    <col min="14850" max="14852" width="9.140625" customWidth="1"/>
    <col min="14853" max="14853" width="11.5703125" customWidth="1"/>
    <col min="15102" max="15104" width="9.140625" customWidth="1"/>
    <col min="15105" max="15105" width="40.7109375" customWidth="1"/>
    <col min="15106" max="15108" width="9.140625" customWidth="1"/>
    <col min="15109" max="15109" width="11.5703125" customWidth="1"/>
    <col min="15358" max="15360" width="9.140625" customWidth="1"/>
    <col min="15361" max="15361" width="40.7109375" customWidth="1"/>
    <col min="15362" max="15364" width="9.140625" customWidth="1"/>
    <col min="15365" max="15365" width="11.5703125" customWidth="1"/>
    <col min="15614" max="15616" width="9.140625" customWidth="1"/>
    <col min="15617" max="15617" width="40.7109375" customWidth="1"/>
    <col min="15618" max="15620" width="9.140625" customWidth="1"/>
    <col min="15621" max="15621" width="11.5703125" customWidth="1"/>
    <col min="15870" max="15872" width="9.140625" customWidth="1"/>
    <col min="15873" max="15873" width="40.7109375" customWidth="1"/>
    <col min="15874" max="15876" width="9.140625" customWidth="1"/>
    <col min="15877" max="15877" width="11.5703125" customWidth="1"/>
    <col min="16126" max="16128" width="9.140625" customWidth="1"/>
    <col min="16129" max="16129" width="40.7109375" customWidth="1"/>
    <col min="16130" max="16132" width="9.140625" customWidth="1"/>
    <col min="16133" max="16133" width="11.5703125" customWidth="1"/>
  </cols>
  <sheetData>
    <row r="1" spans="1:10" ht="64.5" customHeight="1" x14ac:dyDescent="0.25">
      <c r="A1" s="25" t="s">
        <v>0</v>
      </c>
      <c r="B1" s="25" t="s">
        <v>24</v>
      </c>
      <c r="C1" s="25" t="s">
        <v>25</v>
      </c>
      <c r="D1" s="26" t="s">
        <v>1</v>
      </c>
      <c r="E1" s="27" t="s">
        <v>26</v>
      </c>
      <c r="F1" s="28" t="s">
        <v>27</v>
      </c>
      <c r="G1" s="27" t="s">
        <v>28</v>
      </c>
      <c r="H1" s="28" t="s">
        <v>2</v>
      </c>
    </row>
    <row r="2" spans="1:10" ht="78.75" customHeight="1" x14ac:dyDescent="0.25">
      <c r="A2" s="29" t="s">
        <v>20</v>
      </c>
      <c r="B2" s="3"/>
      <c r="C2" s="3">
        <v>1</v>
      </c>
      <c r="D2" s="30" t="s">
        <v>29</v>
      </c>
      <c r="E2" s="161" t="s">
        <v>30</v>
      </c>
      <c r="F2" s="162"/>
      <c r="G2" s="163"/>
      <c r="H2" s="58">
        <f>SUM(H3:H52)</f>
        <v>0</v>
      </c>
    </row>
    <row r="3" spans="1:10" ht="15" customHeight="1" x14ac:dyDescent="0.25">
      <c r="A3" s="31"/>
      <c r="B3" s="32" t="s">
        <v>31</v>
      </c>
      <c r="C3" s="2" t="s">
        <v>4</v>
      </c>
      <c r="D3" s="33" t="s">
        <v>32</v>
      </c>
      <c r="E3" s="110">
        <v>130</v>
      </c>
      <c r="F3" s="91"/>
      <c r="G3" s="36">
        <v>4</v>
      </c>
      <c r="H3" s="35">
        <f>E3*F3*G3</f>
        <v>0</v>
      </c>
      <c r="I3" s="65"/>
      <c r="J3" s="71"/>
    </row>
    <row r="4" spans="1:10" ht="18" customHeight="1" x14ac:dyDescent="0.25">
      <c r="A4" s="31"/>
      <c r="B4" s="32" t="s">
        <v>33</v>
      </c>
      <c r="C4" s="1"/>
      <c r="D4" s="38" t="s">
        <v>34</v>
      </c>
      <c r="E4" s="111">
        <v>11</v>
      </c>
      <c r="F4" s="91"/>
      <c r="G4" s="36">
        <v>4</v>
      </c>
      <c r="H4" s="35">
        <f t="shared" ref="H4:H51" si="0">E4*F4*G4</f>
        <v>0</v>
      </c>
      <c r="I4" s="65"/>
      <c r="J4" s="71"/>
    </row>
    <row r="5" spans="1:10" x14ac:dyDescent="0.25">
      <c r="A5" s="31"/>
      <c r="B5" s="32" t="s">
        <v>35</v>
      </c>
      <c r="C5" s="1"/>
      <c r="D5" s="33" t="s">
        <v>36</v>
      </c>
      <c r="E5" s="110">
        <v>72</v>
      </c>
      <c r="F5" s="91"/>
      <c r="G5" s="36">
        <v>4</v>
      </c>
      <c r="H5" s="35">
        <f t="shared" si="0"/>
        <v>0</v>
      </c>
      <c r="I5" s="65"/>
      <c r="J5" s="71"/>
    </row>
    <row r="6" spans="1:10" x14ac:dyDescent="0.25">
      <c r="A6" s="31"/>
      <c r="B6" s="32" t="s">
        <v>37</v>
      </c>
      <c r="C6" s="1"/>
      <c r="D6" s="33" t="s">
        <v>231</v>
      </c>
      <c r="E6" s="110">
        <v>4675</v>
      </c>
      <c r="F6" s="91"/>
      <c r="G6" s="36">
        <v>4</v>
      </c>
      <c r="H6" s="35">
        <f t="shared" si="0"/>
        <v>0</v>
      </c>
      <c r="I6" s="65"/>
      <c r="J6" s="71"/>
    </row>
    <row r="7" spans="1:10" x14ac:dyDescent="0.25">
      <c r="A7" s="31"/>
      <c r="B7" s="32" t="s">
        <v>38</v>
      </c>
      <c r="C7" s="1"/>
      <c r="D7" s="33" t="s">
        <v>39</v>
      </c>
      <c r="E7" s="110">
        <v>181</v>
      </c>
      <c r="F7" s="91"/>
      <c r="G7" s="36">
        <v>4</v>
      </c>
      <c r="H7" s="35">
        <f t="shared" si="0"/>
        <v>0</v>
      </c>
      <c r="I7" s="65"/>
      <c r="J7" s="71"/>
    </row>
    <row r="8" spans="1:10" x14ac:dyDescent="0.25">
      <c r="A8" s="31"/>
      <c r="B8" s="32" t="s">
        <v>40</v>
      </c>
      <c r="C8" s="1"/>
      <c r="D8" s="33" t="s">
        <v>41</v>
      </c>
      <c r="E8" s="110">
        <v>322</v>
      </c>
      <c r="F8" s="91"/>
      <c r="G8" s="36">
        <v>4</v>
      </c>
      <c r="H8" s="35">
        <f t="shared" si="0"/>
        <v>0</v>
      </c>
      <c r="I8" s="65"/>
      <c r="J8" s="71"/>
    </row>
    <row r="9" spans="1:10" x14ac:dyDescent="0.25">
      <c r="A9" s="31"/>
      <c r="B9" s="32" t="s">
        <v>42</v>
      </c>
      <c r="C9" s="2"/>
      <c r="D9" s="40" t="s">
        <v>43</v>
      </c>
      <c r="E9" s="112">
        <v>55</v>
      </c>
      <c r="F9" s="91"/>
      <c r="G9" s="36">
        <v>4</v>
      </c>
      <c r="H9" s="35">
        <f t="shared" si="0"/>
        <v>0</v>
      </c>
      <c r="I9" s="65"/>
      <c r="J9" s="71"/>
    </row>
    <row r="10" spans="1:10" x14ac:dyDescent="0.25">
      <c r="A10" s="31"/>
      <c r="B10" s="32" t="s">
        <v>44</v>
      </c>
      <c r="C10" s="2"/>
      <c r="D10" s="40" t="s">
        <v>45</v>
      </c>
      <c r="E10" s="112">
        <v>6198</v>
      </c>
      <c r="F10" s="91"/>
      <c r="G10" s="36">
        <v>4</v>
      </c>
      <c r="H10" s="35">
        <f t="shared" si="0"/>
        <v>0</v>
      </c>
      <c r="I10" s="65"/>
      <c r="J10" s="71"/>
    </row>
    <row r="11" spans="1:10" x14ac:dyDescent="0.25">
      <c r="A11" s="31"/>
      <c r="B11" s="32" t="s">
        <v>46</v>
      </c>
      <c r="C11" s="2"/>
      <c r="D11" s="40" t="s">
        <v>47</v>
      </c>
      <c r="E11" s="110">
        <v>1064</v>
      </c>
      <c r="F11" s="91"/>
      <c r="G11" s="36">
        <v>4</v>
      </c>
      <c r="H11" s="35">
        <f t="shared" si="0"/>
        <v>0</v>
      </c>
      <c r="I11" s="65"/>
      <c r="J11" s="71"/>
    </row>
    <row r="12" spans="1:10" x14ac:dyDescent="0.25">
      <c r="A12" s="31"/>
      <c r="B12" s="32" t="s">
        <v>48</v>
      </c>
      <c r="C12" s="2"/>
      <c r="D12" s="40" t="s">
        <v>49</v>
      </c>
      <c r="E12" s="110">
        <v>878</v>
      </c>
      <c r="F12" s="91"/>
      <c r="G12" s="36">
        <v>4</v>
      </c>
      <c r="H12" s="35">
        <f t="shared" si="0"/>
        <v>0</v>
      </c>
      <c r="I12" s="65"/>
      <c r="J12" s="71"/>
    </row>
    <row r="13" spans="1:10" x14ac:dyDescent="0.25">
      <c r="A13" s="31"/>
      <c r="B13" s="32" t="s">
        <v>50</v>
      </c>
      <c r="C13" s="2"/>
      <c r="D13" s="33" t="s">
        <v>51</v>
      </c>
      <c r="E13" s="110">
        <v>12</v>
      </c>
      <c r="F13" s="91"/>
      <c r="G13" s="36">
        <v>4</v>
      </c>
      <c r="H13" s="35">
        <f t="shared" si="0"/>
        <v>0</v>
      </c>
      <c r="I13" s="65"/>
      <c r="J13" s="71"/>
    </row>
    <row r="14" spans="1:10" x14ac:dyDescent="0.25">
      <c r="A14" s="31"/>
      <c r="B14" s="32" t="s">
        <v>52</v>
      </c>
      <c r="C14" s="2"/>
      <c r="D14" s="33" t="s">
        <v>53</v>
      </c>
      <c r="E14" s="110">
        <v>1308</v>
      </c>
      <c r="F14" s="91"/>
      <c r="G14" s="36">
        <v>4</v>
      </c>
      <c r="H14" s="35">
        <f t="shared" si="0"/>
        <v>0</v>
      </c>
      <c r="I14" s="65"/>
      <c r="J14" s="71"/>
    </row>
    <row r="15" spans="1:10" x14ac:dyDescent="0.25">
      <c r="A15" s="31"/>
      <c r="B15" s="32" t="s">
        <v>54</v>
      </c>
      <c r="C15" s="2"/>
      <c r="D15" s="40" t="s">
        <v>55</v>
      </c>
      <c r="E15" s="110">
        <v>25</v>
      </c>
      <c r="F15" s="91"/>
      <c r="G15" s="36">
        <v>4</v>
      </c>
      <c r="H15" s="35">
        <f t="shared" si="0"/>
        <v>0</v>
      </c>
      <c r="I15" s="65"/>
      <c r="J15" s="71"/>
    </row>
    <row r="16" spans="1:10" x14ac:dyDescent="0.25">
      <c r="A16" s="31"/>
      <c r="B16" s="32" t="s">
        <v>56</v>
      </c>
      <c r="C16" s="2"/>
      <c r="D16" s="40" t="s">
        <v>57</v>
      </c>
      <c r="E16" s="110">
        <v>34</v>
      </c>
      <c r="F16" s="91"/>
      <c r="G16" s="36">
        <v>4</v>
      </c>
      <c r="H16" s="35">
        <f t="shared" si="0"/>
        <v>0</v>
      </c>
      <c r="I16" s="65"/>
      <c r="J16" s="71"/>
    </row>
    <row r="17" spans="1:10" x14ac:dyDescent="0.25">
      <c r="A17" s="31"/>
      <c r="B17" s="32" t="s">
        <v>58</v>
      </c>
      <c r="C17" s="2"/>
      <c r="D17" s="33" t="s">
        <v>59</v>
      </c>
      <c r="E17" s="110">
        <v>242</v>
      </c>
      <c r="F17" s="91"/>
      <c r="G17" s="36">
        <v>4</v>
      </c>
      <c r="H17" s="35">
        <f t="shared" si="0"/>
        <v>0</v>
      </c>
      <c r="I17" s="65"/>
      <c r="J17" s="71"/>
    </row>
    <row r="18" spans="1:10" x14ac:dyDescent="0.25">
      <c r="A18" s="31"/>
      <c r="B18" s="32" t="s">
        <v>60</v>
      </c>
      <c r="C18" s="2"/>
      <c r="D18" s="33" t="s">
        <v>61</v>
      </c>
      <c r="E18" s="110">
        <v>923</v>
      </c>
      <c r="F18" s="91"/>
      <c r="G18" s="36">
        <v>4</v>
      </c>
      <c r="H18" s="35">
        <f t="shared" si="0"/>
        <v>0</v>
      </c>
      <c r="I18" s="65"/>
      <c r="J18" s="71"/>
    </row>
    <row r="19" spans="1:10" x14ac:dyDescent="0.25">
      <c r="A19" s="31"/>
      <c r="B19" s="32" t="s">
        <v>62</v>
      </c>
      <c r="C19" s="2"/>
      <c r="D19" s="33" t="s">
        <v>63</v>
      </c>
      <c r="E19" s="110">
        <v>943</v>
      </c>
      <c r="F19" s="91"/>
      <c r="G19" s="36">
        <v>4</v>
      </c>
      <c r="H19" s="35">
        <f t="shared" si="0"/>
        <v>0</v>
      </c>
      <c r="I19" s="65"/>
      <c r="J19" s="71"/>
    </row>
    <row r="20" spans="1:10" x14ac:dyDescent="0.25">
      <c r="A20" s="31"/>
      <c r="B20" s="32" t="s">
        <v>64</v>
      </c>
      <c r="C20" s="2"/>
      <c r="D20" s="33" t="s">
        <v>65</v>
      </c>
      <c r="E20" s="110">
        <v>61</v>
      </c>
      <c r="F20" s="91"/>
      <c r="G20" s="36">
        <v>4</v>
      </c>
      <c r="H20" s="35">
        <f t="shared" si="0"/>
        <v>0</v>
      </c>
      <c r="I20" s="65"/>
      <c r="J20" s="71"/>
    </row>
    <row r="21" spans="1:10" x14ac:dyDescent="0.25">
      <c r="A21" s="31"/>
      <c r="B21" s="32" t="s">
        <v>66</v>
      </c>
      <c r="C21" s="2"/>
      <c r="D21" s="33" t="s">
        <v>67</v>
      </c>
      <c r="E21" s="110">
        <v>1633</v>
      </c>
      <c r="F21" s="91"/>
      <c r="G21" s="36">
        <v>4</v>
      </c>
      <c r="H21" s="35">
        <f t="shared" si="0"/>
        <v>0</v>
      </c>
      <c r="I21" s="65"/>
      <c r="J21" s="71"/>
    </row>
    <row r="22" spans="1:10" x14ac:dyDescent="0.25">
      <c r="A22" s="31"/>
      <c r="B22" s="32" t="s">
        <v>68</v>
      </c>
      <c r="C22" s="2"/>
      <c r="D22" s="33" t="s">
        <v>69</v>
      </c>
      <c r="E22" s="110">
        <v>1860</v>
      </c>
      <c r="F22" s="91"/>
      <c r="G22" s="36">
        <v>4</v>
      </c>
      <c r="H22" s="35">
        <f t="shared" si="0"/>
        <v>0</v>
      </c>
      <c r="I22" s="65"/>
      <c r="J22" s="71"/>
    </row>
    <row r="23" spans="1:10" x14ac:dyDescent="0.25">
      <c r="A23" s="31"/>
      <c r="B23" s="32" t="s">
        <v>70</v>
      </c>
      <c r="C23" s="2"/>
      <c r="D23" s="33" t="s">
        <v>71</v>
      </c>
      <c r="E23" s="110">
        <v>89</v>
      </c>
      <c r="F23" s="91"/>
      <c r="G23" s="36">
        <v>4</v>
      </c>
      <c r="H23" s="35">
        <f t="shared" si="0"/>
        <v>0</v>
      </c>
      <c r="I23" s="65"/>
      <c r="J23" s="71"/>
    </row>
    <row r="24" spans="1:10" x14ac:dyDescent="0.25">
      <c r="A24" s="31"/>
      <c r="B24" s="32" t="s">
        <v>72</v>
      </c>
      <c r="C24" s="2"/>
      <c r="D24" s="33" t="s">
        <v>73</v>
      </c>
      <c r="E24" s="110">
        <v>1305</v>
      </c>
      <c r="F24" s="91"/>
      <c r="G24" s="36">
        <v>4</v>
      </c>
      <c r="H24" s="35">
        <f t="shared" si="0"/>
        <v>0</v>
      </c>
      <c r="I24" s="65"/>
      <c r="J24" s="71"/>
    </row>
    <row r="25" spans="1:10" x14ac:dyDescent="0.25">
      <c r="A25" s="31"/>
      <c r="B25" s="32" t="s">
        <v>74</v>
      </c>
      <c r="C25" s="2"/>
      <c r="D25" s="33" t="s">
        <v>75</v>
      </c>
      <c r="E25" s="110">
        <v>675</v>
      </c>
      <c r="F25" s="91"/>
      <c r="G25" s="36">
        <v>4</v>
      </c>
      <c r="H25" s="35">
        <f t="shared" si="0"/>
        <v>0</v>
      </c>
      <c r="I25" s="65"/>
      <c r="J25" s="71"/>
    </row>
    <row r="26" spans="1:10" x14ac:dyDescent="0.25">
      <c r="A26" s="31"/>
      <c r="B26" s="32" t="s">
        <v>76</v>
      </c>
      <c r="C26" s="2"/>
      <c r="D26" s="33" t="s">
        <v>77</v>
      </c>
      <c r="E26" s="110">
        <v>1240</v>
      </c>
      <c r="F26" s="91"/>
      <c r="G26" s="36">
        <v>4</v>
      </c>
      <c r="H26" s="35">
        <f t="shared" si="0"/>
        <v>0</v>
      </c>
      <c r="I26" s="65"/>
      <c r="J26" s="71"/>
    </row>
    <row r="27" spans="1:10" x14ac:dyDescent="0.25">
      <c r="A27" s="31"/>
      <c r="B27" s="32" t="s">
        <v>78</v>
      </c>
      <c r="C27" s="2"/>
      <c r="D27" s="33" t="s">
        <v>79</v>
      </c>
      <c r="E27" s="110">
        <v>1136</v>
      </c>
      <c r="F27" s="91"/>
      <c r="G27" s="36">
        <v>2</v>
      </c>
      <c r="H27" s="35">
        <f t="shared" si="0"/>
        <v>0</v>
      </c>
      <c r="I27" s="65"/>
      <c r="J27" s="71"/>
    </row>
    <row r="28" spans="1:10" x14ac:dyDescent="0.25">
      <c r="A28" s="31"/>
      <c r="B28" s="32" t="s">
        <v>80</v>
      </c>
      <c r="C28" s="2"/>
      <c r="D28" s="33" t="s">
        <v>81</v>
      </c>
      <c r="E28" s="110">
        <v>1171</v>
      </c>
      <c r="F28" s="91"/>
      <c r="G28" s="36">
        <v>2</v>
      </c>
      <c r="H28" s="35">
        <f t="shared" si="0"/>
        <v>0</v>
      </c>
      <c r="I28" s="65"/>
      <c r="J28" s="71"/>
    </row>
    <row r="29" spans="1:10" x14ac:dyDescent="0.25">
      <c r="A29" s="31"/>
      <c r="B29" s="32" t="s">
        <v>82</v>
      </c>
      <c r="C29" s="2"/>
      <c r="D29" s="41" t="s">
        <v>83</v>
      </c>
      <c r="E29" s="110">
        <v>87</v>
      </c>
      <c r="F29" s="91"/>
      <c r="G29" s="36">
        <v>2</v>
      </c>
      <c r="H29" s="35">
        <f t="shared" si="0"/>
        <v>0</v>
      </c>
      <c r="I29" s="65"/>
      <c r="J29" s="71"/>
    </row>
    <row r="30" spans="1:10" x14ac:dyDescent="0.25">
      <c r="A30" s="31"/>
      <c r="B30" s="32" t="s">
        <v>84</v>
      </c>
      <c r="C30" s="2"/>
      <c r="D30" s="41" t="s">
        <v>85</v>
      </c>
      <c r="E30" s="110">
        <v>625</v>
      </c>
      <c r="F30" s="91"/>
      <c r="G30" s="36">
        <v>2</v>
      </c>
      <c r="H30" s="35">
        <f t="shared" si="0"/>
        <v>0</v>
      </c>
      <c r="I30" s="65"/>
      <c r="J30" s="71"/>
    </row>
    <row r="31" spans="1:10" x14ac:dyDescent="0.25">
      <c r="A31" s="31"/>
      <c r="B31" s="32" t="s">
        <v>86</v>
      </c>
      <c r="C31" s="2"/>
      <c r="D31" s="41" t="s">
        <v>87</v>
      </c>
      <c r="E31" s="110">
        <v>8</v>
      </c>
      <c r="F31" s="91"/>
      <c r="G31" s="36">
        <v>2</v>
      </c>
      <c r="H31" s="35">
        <f t="shared" si="0"/>
        <v>0</v>
      </c>
      <c r="I31" s="65"/>
      <c r="J31" s="71"/>
    </row>
    <row r="32" spans="1:10" x14ac:dyDescent="0.25">
      <c r="A32" s="31"/>
      <c r="B32" s="32" t="s">
        <v>88</v>
      </c>
      <c r="C32" s="2"/>
      <c r="D32" s="41" t="s">
        <v>89</v>
      </c>
      <c r="E32" s="110">
        <v>4</v>
      </c>
      <c r="F32" s="91"/>
      <c r="G32" s="36">
        <v>2</v>
      </c>
      <c r="H32" s="35">
        <f>E32*F32*G32</f>
        <v>0</v>
      </c>
      <c r="I32" s="65"/>
      <c r="J32" s="71"/>
    </row>
    <row r="33" spans="1:10" x14ac:dyDescent="0.25">
      <c r="A33" s="31"/>
      <c r="B33" s="32" t="s">
        <v>90</v>
      </c>
      <c r="C33" s="2"/>
      <c r="D33" s="41" t="s">
        <v>91</v>
      </c>
      <c r="E33" s="110">
        <v>80</v>
      </c>
      <c r="F33" s="91"/>
      <c r="G33" s="36">
        <v>4</v>
      </c>
      <c r="H33" s="35">
        <f>E33*F33*G33</f>
        <v>0</v>
      </c>
      <c r="I33" s="65"/>
      <c r="J33" s="71"/>
    </row>
    <row r="34" spans="1:10" x14ac:dyDescent="0.25">
      <c r="A34" s="31"/>
      <c r="B34" s="32" t="s">
        <v>92</v>
      </c>
      <c r="C34" s="2"/>
      <c r="D34" s="41" t="s">
        <v>93</v>
      </c>
      <c r="E34" s="110">
        <v>63</v>
      </c>
      <c r="F34" s="91"/>
      <c r="G34" s="36">
        <v>4</v>
      </c>
      <c r="H34" s="35">
        <f t="shared" ref="H34" si="1">E34*F34*G34</f>
        <v>0</v>
      </c>
      <c r="I34" s="65"/>
      <c r="J34" s="71"/>
    </row>
    <row r="35" spans="1:10" x14ac:dyDescent="0.25">
      <c r="A35" s="31"/>
      <c r="B35" s="32" t="s">
        <v>94</v>
      </c>
      <c r="C35" s="2"/>
      <c r="D35" s="41" t="s">
        <v>95</v>
      </c>
      <c r="E35" s="110">
        <v>59</v>
      </c>
      <c r="F35" s="91"/>
      <c r="G35" s="36">
        <v>4</v>
      </c>
      <c r="H35" s="35">
        <f>E35*F35*G35</f>
        <v>0</v>
      </c>
      <c r="I35" s="65"/>
      <c r="J35" s="71"/>
    </row>
    <row r="36" spans="1:10" x14ac:dyDescent="0.25">
      <c r="A36" s="31"/>
      <c r="B36" s="32" t="s">
        <v>96</v>
      </c>
      <c r="C36" s="2"/>
      <c r="D36" s="41" t="s">
        <v>97</v>
      </c>
      <c r="E36" s="110">
        <v>30</v>
      </c>
      <c r="F36" s="91"/>
      <c r="G36" s="36">
        <v>4</v>
      </c>
      <c r="H36" s="35">
        <f t="shared" si="0"/>
        <v>0</v>
      </c>
      <c r="I36" s="65"/>
      <c r="J36" s="71"/>
    </row>
    <row r="37" spans="1:10" x14ac:dyDescent="0.25">
      <c r="A37" s="31"/>
      <c r="B37" s="32" t="s">
        <v>98</v>
      </c>
      <c r="C37" s="2"/>
      <c r="D37" s="41" t="s">
        <v>99</v>
      </c>
      <c r="E37" s="110">
        <v>27</v>
      </c>
      <c r="F37" s="91"/>
      <c r="G37" s="36">
        <v>4</v>
      </c>
      <c r="H37" s="35">
        <f>E37*F37*G37</f>
        <v>0</v>
      </c>
      <c r="I37" s="65"/>
      <c r="J37" s="71"/>
    </row>
    <row r="38" spans="1:10" x14ac:dyDescent="0.25">
      <c r="A38" s="31"/>
      <c r="B38" s="32" t="s">
        <v>100</v>
      </c>
      <c r="C38" s="2"/>
      <c r="D38" s="41" t="s">
        <v>101</v>
      </c>
      <c r="E38" s="110">
        <v>75</v>
      </c>
      <c r="F38" s="91"/>
      <c r="G38" s="36">
        <v>4</v>
      </c>
      <c r="H38" s="35">
        <f t="shared" si="0"/>
        <v>0</v>
      </c>
      <c r="I38" s="65"/>
      <c r="J38" s="71"/>
    </row>
    <row r="39" spans="1:10" x14ac:dyDescent="0.25">
      <c r="A39" s="31"/>
      <c r="B39" s="32" t="s">
        <v>102</v>
      </c>
      <c r="C39" s="2"/>
      <c r="D39" s="41" t="s">
        <v>103</v>
      </c>
      <c r="E39" s="110">
        <v>1006</v>
      </c>
      <c r="F39" s="91"/>
      <c r="G39" s="36">
        <v>4</v>
      </c>
      <c r="H39" s="35">
        <f t="shared" si="0"/>
        <v>0</v>
      </c>
      <c r="I39" s="65"/>
      <c r="J39" s="71"/>
    </row>
    <row r="40" spans="1:10" x14ac:dyDescent="0.25">
      <c r="A40" s="31"/>
      <c r="B40" s="32" t="s">
        <v>104</v>
      </c>
      <c r="C40" s="2"/>
      <c r="D40" s="41" t="s">
        <v>105</v>
      </c>
      <c r="E40" s="110">
        <v>10</v>
      </c>
      <c r="F40" s="91"/>
      <c r="G40" s="36">
        <v>4</v>
      </c>
      <c r="H40" s="35">
        <f t="shared" si="0"/>
        <v>0</v>
      </c>
      <c r="I40" s="65"/>
      <c r="J40" s="71"/>
    </row>
    <row r="41" spans="1:10" x14ac:dyDescent="0.25">
      <c r="A41" s="31"/>
      <c r="B41" s="32" t="s">
        <v>106</v>
      </c>
      <c r="C41" s="2"/>
      <c r="D41" s="41" t="s">
        <v>107</v>
      </c>
      <c r="E41" s="110">
        <v>46</v>
      </c>
      <c r="F41" s="91"/>
      <c r="G41" s="36">
        <v>4</v>
      </c>
      <c r="H41" s="35">
        <f t="shared" si="0"/>
        <v>0</v>
      </c>
      <c r="I41" s="65"/>
      <c r="J41" s="71"/>
    </row>
    <row r="42" spans="1:10" x14ac:dyDescent="0.25">
      <c r="A42" s="31"/>
      <c r="B42" s="32" t="s">
        <v>108</v>
      </c>
      <c r="C42" s="2"/>
      <c r="D42" s="41" t="s">
        <v>109</v>
      </c>
      <c r="E42" s="110">
        <v>46</v>
      </c>
      <c r="F42" s="91"/>
      <c r="G42" s="36">
        <v>4</v>
      </c>
      <c r="H42" s="35">
        <f t="shared" si="0"/>
        <v>0</v>
      </c>
      <c r="I42" s="65"/>
      <c r="J42" s="71"/>
    </row>
    <row r="43" spans="1:10" x14ac:dyDescent="0.25">
      <c r="A43" s="31"/>
      <c r="B43" s="32" t="s">
        <v>110</v>
      </c>
      <c r="C43" s="2"/>
      <c r="D43" s="41" t="s">
        <v>111</v>
      </c>
      <c r="E43" s="110">
        <v>9</v>
      </c>
      <c r="F43" s="91"/>
      <c r="G43" s="36">
        <v>4</v>
      </c>
      <c r="H43" s="35">
        <f t="shared" si="0"/>
        <v>0</v>
      </c>
      <c r="I43" s="65"/>
      <c r="J43" s="71"/>
    </row>
    <row r="44" spans="1:10" x14ac:dyDescent="0.25">
      <c r="A44" s="31"/>
      <c r="B44" s="32" t="s">
        <v>112</v>
      </c>
      <c r="C44" s="2"/>
      <c r="D44" s="41" t="s">
        <v>228</v>
      </c>
      <c r="E44" s="110">
        <v>0</v>
      </c>
      <c r="F44" s="91"/>
      <c r="G44" s="36">
        <v>2</v>
      </c>
      <c r="H44" s="35">
        <f t="shared" si="0"/>
        <v>0</v>
      </c>
      <c r="I44" s="65"/>
      <c r="J44" s="71"/>
    </row>
    <row r="45" spans="1:10" x14ac:dyDescent="0.25">
      <c r="A45" s="31"/>
      <c r="B45" s="32" t="s">
        <v>113</v>
      </c>
      <c r="C45" s="2"/>
      <c r="D45" s="41" t="s">
        <v>229</v>
      </c>
      <c r="E45" s="110">
        <v>0</v>
      </c>
      <c r="F45" s="91"/>
      <c r="G45" s="36">
        <v>2</v>
      </c>
      <c r="H45" s="35">
        <f t="shared" si="0"/>
        <v>0</v>
      </c>
      <c r="I45" s="65"/>
      <c r="J45" s="71"/>
    </row>
    <row r="46" spans="1:10" x14ac:dyDescent="0.25">
      <c r="A46" s="31"/>
      <c r="B46" s="32" t="s">
        <v>114</v>
      </c>
      <c r="C46" s="2"/>
      <c r="D46" s="41" t="s">
        <v>230</v>
      </c>
      <c r="E46" s="110">
        <v>7</v>
      </c>
      <c r="F46" s="91"/>
      <c r="G46" s="36">
        <v>2</v>
      </c>
      <c r="H46" s="35">
        <f t="shared" si="0"/>
        <v>0</v>
      </c>
      <c r="I46" s="65"/>
      <c r="J46" s="71"/>
    </row>
    <row r="47" spans="1:10" x14ac:dyDescent="0.25">
      <c r="A47" s="31"/>
      <c r="B47" s="32" t="s">
        <v>115</v>
      </c>
      <c r="C47" s="2"/>
      <c r="D47" s="41" t="s">
        <v>116</v>
      </c>
      <c r="E47" s="110">
        <v>38</v>
      </c>
      <c r="F47" s="91"/>
      <c r="G47" s="36">
        <v>4</v>
      </c>
      <c r="H47" s="35">
        <f t="shared" si="0"/>
        <v>0</v>
      </c>
      <c r="I47" s="65"/>
      <c r="J47" s="71"/>
    </row>
    <row r="48" spans="1:10" x14ac:dyDescent="0.25">
      <c r="A48" s="31"/>
      <c r="B48" s="32" t="s">
        <v>117</v>
      </c>
      <c r="C48" s="2"/>
      <c r="D48" s="41" t="s">
        <v>118</v>
      </c>
      <c r="E48" s="110">
        <v>5</v>
      </c>
      <c r="F48" s="91"/>
      <c r="G48" s="36">
        <v>4</v>
      </c>
      <c r="H48" s="35">
        <f t="shared" si="0"/>
        <v>0</v>
      </c>
      <c r="I48" s="65"/>
      <c r="J48" s="71"/>
    </row>
    <row r="49" spans="1:10" x14ac:dyDescent="0.25">
      <c r="A49" s="31"/>
      <c r="B49" s="32" t="s">
        <v>119</v>
      </c>
      <c r="C49" s="2"/>
      <c r="D49" s="41" t="s">
        <v>120</v>
      </c>
      <c r="E49" s="110">
        <v>5</v>
      </c>
      <c r="F49" s="91"/>
      <c r="G49" s="36">
        <v>4</v>
      </c>
      <c r="H49" s="35">
        <f t="shared" si="0"/>
        <v>0</v>
      </c>
      <c r="I49" s="65"/>
      <c r="J49" s="71"/>
    </row>
    <row r="50" spans="1:10" x14ac:dyDescent="0.25">
      <c r="A50" s="31"/>
      <c r="B50" s="32" t="s">
        <v>121</v>
      </c>
      <c r="C50" s="2"/>
      <c r="D50" s="41" t="s">
        <v>218</v>
      </c>
      <c r="E50" s="110">
        <v>84</v>
      </c>
      <c r="F50" s="91"/>
      <c r="G50" s="36">
        <v>4</v>
      </c>
      <c r="H50" s="35">
        <f t="shared" si="0"/>
        <v>0</v>
      </c>
      <c r="I50" s="65"/>
      <c r="J50" s="71"/>
    </row>
    <row r="51" spans="1:10" x14ac:dyDescent="0.25">
      <c r="A51" s="31"/>
      <c r="B51" s="32" t="s">
        <v>122</v>
      </c>
      <c r="C51" s="2"/>
      <c r="D51" s="41" t="s">
        <v>219</v>
      </c>
      <c r="E51" s="110">
        <v>11</v>
      </c>
      <c r="F51" s="92"/>
      <c r="G51" s="61">
        <v>4</v>
      </c>
      <c r="H51" s="35">
        <f t="shared" si="0"/>
        <v>0</v>
      </c>
      <c r="I51" s="70"/>
      <c r="J51" s="71"/>
    </row>
    <row r="52" spans="1:10" x14ac:dyDescent="0.25">
      <c r="A52" s="31"/>
      <c r="B52" s="60" t="s">
        <v>220</v>
      </c>
      <c r="C52" s="31"/>
      <c r="D52" s="41" t="s">
        <v>217</v>
      </c>
      <c r="E52" s="110">
        <v>12</v>
      </c>
      <c r="F52" s="91"/>
      <c r="G52" s="87">
        <v>4</v>
      </c>
      <c r="H52" s="64">
        <f>E52*F52*G52</f>
        <v>0</v>
      </c>
      <c r="I52" s="65"/>
      <c r="J52" s="71"/>
    </row>
    <row r="53" spans="1:10" x14ac:dyDescent="0.25">
      <c r="J53" s="71"/>
    </row>
    <row r="54" spans="1:10" x14ac:dyDescent="0.25">
      <c r="J54" s="71"/>
    </row>
  </sheetData>
  <mergeCells count="1">
    <mergeCell ref="E2:G2"/>
  </mergeCells>
  <pageMargins left="0.23622047244094488" right="0.23622047244094488" top="0.3543307086614173" bottom="0.19685039370078741" header="0.11811023622047244" footer="0.31496062992125984"/>
  <pageSetup paperSize="8" scale="92" orientation="landscape"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tabColor rgb="FF0070C0"/>
  </sheetPr>
  <dimension ref="A1:J41"/>
  <sheetViews>
    <sheetView tabSelected="1" topLeftCell="A2" zoomScaleNormal="100" workbookViewId="0">
      <selection activeCell="H43" sqref="H43"/>
    </sheetView>
  </sheetViews>
  <sheetFormatPr defaultColWidth="9.140625" defaultRowHeight="15" x14ac:dyDescent="0.25"/>
  <cols>
    <col min="1" max="3" width="9.140625" customWidth="1"/>
    <col min="4" max="4" width="40.7109375" customWidth="1"/>
    <col min="5" max="5" width="10.7109375" customWidth="1"/>
    <col min="6" max="7" width="9.140625" customWidth="1"/>
    <col min="8" max="8" width="11.7109375" customWidth="1"/>
    <col min="9" max="9" width="9.140625" style="66"/>
    <col min="256" max="258" width="9.140625" customWidth="1"/>
    <col min="259" max="259" width="40.7109375" customWidth="1"/>
    <col min="260" max="262" width="9.140625" customWidth="1"/>
    <col min="263" max="263" width="10.42578125" customWidth="1"/>
    <col min="512" max="514" width="9.140625" customWidth="1"/>
    <col min="515" max="515" width="40.7109375" customWidth="1"/>
    <col min="516" max="518" width="9.140625" customWidth="1"/>
    <col min="519" max="519" width="10.42578125" customWidth="1"/>
    <col min="768" max="770" width="9.140625" customWidth="1"/>
    <col min="771" max="771" width="40.7109375" customWidth="1"/>
    <col min="772" max="774" width="9.140625" customWidth="1"/>
    <col min="775" max="775" width="10.42578125" customWidth="1"/>
    <col min="1024" max="1026" width="9.140625" customWidth="1"/>
    <col min="1027" max="1027" width="40.7109375" customWidth="1"/>
    <col min="1028" max="1030" width="9.140625" customWidth="1"/>
    <col min="1031" max="1031" width="10.42578125" customWidth="1"/>
    <col min="1280" max="1282" width="9.140625" customWidth="1"/>
    <col min="1283" max="1283" width="40.7109375" customWidth="1"/>
    <col min="1284" max="1286" width="9.140625" customWidth="1"/>
    <col min="1287" max="1287" width="10.42578125" customWidth="1"/>
    <col min="1536" max="1538" width="9.140625" customWidth="1"/>
    <col min="1539" max="1539" width="40.7109375" customWidth="1"/>
    <col min="1540" max="1542" width="9.140625" customWidth="1"/>
    <col min="1543" max="1543" width="10.42578125" customWidth="1"/>
    <col min="1792" max="1794" width="9.140625" customWidth="1"/>
    <col min="1795" max="1795" width="40.7109375" customWidth="1"/>
    <col min="1796" max="1798" width="9.140625" customWidth="1"/>
    <col min="1799" max="1799" width="10.42578125" customWidth="1"/>
    <col min="2048" max="2050" width="9.140625" customWidth="1"/>
    <col min="2051" max="2051" width="40.7109375" customWidth="1"/>
    <col min="2052" max="2054" width="9.140625" customWidth="1"/>
    <col min="2055" max="2055" width="10.42578125" customWidth="1"/>
    <col min="2304" max="2306" width="9.140625" customWidth="1"/>
    <col min="2307" max="2307" width="40.7109375" customWidth="1"/>
    <col min="2308" max="2310" width="9.140625" customWidth="1"/>
    <col min="2311" max="2311" width="10.42578125" customWidth="1"/>
    <col min="2560" max="2562" width="9.140625" customWidth="1"/>
    <col min="2563" max="2563" width="40.7109375" customWidth="1"/>
    <col min="2564" max="2566" width="9.140625" customWidth="1"/>
    <col min="2567" max="2567" width="10.42578125" customWidth="1"/>
    <col min="2816" max="2818" width="9.140625" customWidth="1"/>
    <col min="2819" max="2819" width="40.7109375" customWidth="1"/>
    <col min="2820" max="2822" width="9.140625" customWidth="1"/>
    <col min="2823" max="2823" width="10.42578125" customWidth="1"/>
    <col min="3072" max="3074" width="9.140625" customWidth="1"/>
    <col min="3075" max="3075" width="40.7109375" customWidth="1"/>
    <col min="3076" max="3078" width="9.140625" customWidth="1"/>
    <col min="3079" max="3079" width="10.42578125" customWidth="1"/>
    <col min="3328" max="3330" width="9.140625" customWidth="1"/>
    <col min="3331" max="3331" width="40.7109375" customWidth="1"/>
    <col min="3332" max="3334" width="9.140625" customWidth="1"/>
    <col min="3335" max="3335" width="10.42578125" customWidth="1"/>
    <col min="3584" max="3586" width="9.140625" customWidth="1"/>
    <col min="3587" max="3587" width="40.7109375" customWidth="1"/>
    <col min="3588" max="3590" width="9.140625" customWidth="1"/>
    <col min="3591" max="3591" width="10.42578125" customWidth="1"/>
    <col min="3840" max="3842" width="9.140625" customWidth="1"/>
    <col min="3843" max="3843" width="40.7109375" customWidth="1"/>
    <col min="3844" max="3846" width="9.140625" customWidth="1"/>
    <col min="3847" max="3847" width="10.42578125" customWidth="1"/>
    <col min="4096" max="4098" width="9.140625" customWidth="1"/>
    <col min="4099" max="4099" width="40.7109375" customWidth="1"/>
    <col min="4100" max="4102" width="9.140625" customWidth="1"/>
    <col min="4103" max="4103" width="10.42578125" customWidth="1"/>
    <col min="4352" max="4354" width="9.140625" customWidth="1"/>
    <col min="4355" max="4355" width="40.7109375" customWidth="1"/>
    <col min="4356" max="4358" width="9.140625" customWidth="1"/>
    <col min="4359" max="4359" width="10.42578125" customWidth="1"/>
    <col min="4608" max="4610" width="9.140625" customWidth="1"/>
    <col min="4611" max="4611" width="40.7109375" customWidth="1"/>
    <col min="4612" max="4614" width="9.140625" customWidth="1"/>
    <col min="4615" max="4615" width="10.42578125" customWidth="1"/>
    <col min="4864" max="4866" width="9.140625" customWidth="1"/>
    <col min="4867" max="4867" width="40.7109375" customWidth="1"/>
    <col min="4868" max="4870" width="9.140625" customWidth="1"/>
    <col min="4871" max="4871" width="10.42578125" customWidth="1"/>
    <col min="5120" max="5122" width="9.140625" customWidth="1"/>
    <col min="5123" max="5123" width="40.7109375" customWidth="1"/>
    <col min="5124" max="5126" width="9.140625" customWidth="1"/>
    <col min="5127" max="5127" width="10.42578125" customWidth="1"/>
    <col min="5376" max="5378" width="9.140625" customWidth="1"/>
    <col min="5379" max="5379" width="40.7109375" customWidth="1"/>
    <col min="5380" max="5382" width="9.140625" customWidth="1"/>
    <col min="5383" max="5383" width="10.42578125" customWidth="1"/>
    <col min="5632" max="5634" width="9.140625" customWidth="1"/>
    <col min="5635" max="5635" width="40.7109375" customWidth="1"/>
    <col min="5636" max="5638" width="9.140625" customWidth="1"/>
    <col min="5639" max="5639" width="10.42578125" customWidth="1"/>
    <col min="5888" max="5890" width="9.140625" customWidth="1"/>
    <col min="5891" max="5891" width="40.7109375" customWidth="1"/>
    <col min="5892" max="5894" width="9.140625" customWidth="1"/>
    <col min="5895" max="5895" width="10.42578125" customWidth="1"/>
    <col min="6144" max="6146" width="9.140625" customWidth="1"/>
    <col min="6147" max="6147" width="40.7109375" customWidth="1"/>
    <col min="6148" max="6150" width="9.140625" customWidth="1"/>
    <col min="6151" max="6151" width="10.42578125" customWidth="1"/>
    <col min="6400" max="6402" width="9.140625" customWidth="1"/>
    <col min="6403" max="6403" width="40.7109375" customWidth="1"/>
    <col min="6404" max="6406" width="9.140625" customWidth="1"/>
    <col min="6407" max="6407" width="10.42578125" customWidth="1"/>
    <col min="6656" max="6658" width="9.140625" customWidth="1"/>
    <col min="6659" max="6659" width="40.7109375" customWidth="1"/>
    <col min="6660" max="6662" width="9.140625" customWidth="1"/>
    <col min="6663" max="6663" width="10.42578125" customWidth="1"/>
    <col min="6912" max="6914" width="9.140625" customWidth="1"/>
    <col min="6915" max="6915" width="40.7109375" customWidth="1"/>
    <col min="6916" max="6918" width="9.140625" customWidth="1"/>
    <col min="6919" max="6919" width="10.42578125" customWidth="1"/>
    <col min="7168" max="7170" width="9.140625" customWidth="1"/>
    <col min="7171" max="7171" width="40.7109375" customWidth="1"/>
    <col min="7172" max="7174" width="9.140625" customWidth="1"/>
    <col min="7175" max="7175" width="10.42578125" customWidth="1"/>
    <col min="7424" max="7426" width="9.140625" customWidth="1"/>
    <col min="7427" max="7427" width="40.7109375" customWidth="1"/>
    <col min="7428" max="7430" width="9.140625" customWidth="1"/>
    <col min="7431" max="7431" width="10.42578125" customWidth="1"/>
    <col min="7680" max="7682" width="9.140625" customWidth="1"/>
    <col min="7683" max="7683" width="40.7109375" customWidth="1"/>
    <col min="7684" max="7686" width="9.140625" customWidth="1"/>
    <col min="7687" max="7687" width="10.42578125" customWidth="1"/>
    <col min="7936" max="7938" width="9.140625" customWidth="1"/>
    <col min="7939" max="7939" width="40.7109375" customWidth="1"/>
    <col min="7940" max="7942" width="9.140625" customWidth="1"/>
    <col min="7943" max="7943" width="10.42578125" customWidth="1"/>
    <col min="8192" max="8194" width="9.140625" customWidth="1"/>
    <col min="8195" max="8195" width="40.7109375" customWidth="1"/>
    <col min="8196" max="8198" width="9.140625" customWidth="1"/>
    <col min="8199" max="8199" width="10.42578125" customWidth="1"/>
    <col min="8448" max="8450" width="9.140625" customWidth="1"/>
    <col min="8451" max="8451" width="40.7109375" customWidth="1"/>
    <col min="8452" max="8454" width="9.140625" customWidth="1"/>
    <col min="8455" max="8455" width="10.42578125" customWidth="1"/>
    <col min="8704" max="8706" width="9.140625" customWidth="1"/>
    <col min="8707" max="8707" width="40.7109375" customWidth="1"/>
    <col min="8708" max="8710" width="9.140625" customWidth="1"/>
    <col min="8711" max="8711" width="10.42578125" customWidth="1"/>
    <col min="8960" max="8962" width="9.140625" customWidth="1"/>
    <col min="8963" max="8963" width="40.7109375" customWidth="1"/>
    <col min="8964" max="8966" width="9.140625" customWidth="1"/>
    <col min="8967" max="8967" width="10.42578125" customWidth="1"/>
    <col min="9216" max="9218" width="9.140625" customWidth="1"/>
    <col min="9219" max="9219" width="40.7109375" customWidth="1"/>
    <col min="9220" max="9222" width="9.140625" customWidth="1"/>
    <col min="9223" max="9223" width="10.42578125" customWidth="1"/>
    <col min="9472" max="9474" width="9.140625" customWidth="1"/>
    <col min="9475" max="9475" width="40.7109375" customWidth="1"/>
    <col min="9476" max="9478" width="9.140625" customWidth="1"/>
    <col min="9479" max="9479" width="10.42578125" customWidth="1"/>
    <col min="9728" max="9730" width="9.140625" customWidth="1"/>
    <col min="9731" max="9731" width="40.7109375" customWidth="1"/>
    <col min="9732" max="9734" width="9.140625" customWidth="1"/>
    <col min="9735" max="9735" width="10.42578125" customWidth="1"/>
    <col min="9984" max="9986" width="9.140625" customWidth="1"/>
    <col min="9987" max="9987" width="40.7109375" customWidth="1"/>
    <col min="9988" max="9990" width="9.140625" customWidth="1"/>
    <col min="9991" max="9991" width="10.42578125" customWidth="1"/>
    <col min="10240" max="10242" width="9.140625" customWidth="1"/>
    <col min="10243" max="10243" width="40.7109375" customWidth="1"/>
    <col min="10244" max="10246" width="9.140625" customWidth="1"/>
    <col min="10247" max="10247" width="10.42578125" customWidth="1"/>
    <col min="10496" max="10498" width="9.140625" customWidth="1"/>
    <col min="10499" max="10499" width="40.7109375" customWidth="1"/>
    <col min="10500" max="10502" width="9.140625" customWidth="1"/>
    <col min="10503" max="10503" width="10.42578125" customWidth="1"/>
    <col min="10752" max="10754" width="9.140625" customWidth="1"/>
    <col min="10755" max="10755" width="40.7109375" customWidth="1"/>
    <col min="10756" max="10758" width="9.140625" customWidth="1"/>
    <col min="10759" max="10759" width="10.42578125" customWidth="1"/>
    <col min="11008" max="11010" width="9.140625" customWidth="1"/>
    <col min="11011" max="11011" width="40.7109375" customWidth="1"/>
    <col min="11012" max="11014" width="9.140625" customWidth="1"/>
    <col min="11015" max="11015" width="10.42578125" customWidth="1"/>
    <col min="11264" max="11266" width="9.140625" customWidth="1"/>
    <col min="11267" max="11267" width="40.7109375" customWidth="1"/>
    <col min="11268" max="11270" width="9.140625" customWidth="1"/>
    <col min="11271" max="11271" width="10.42578125" customWidth="1"/>
    <col min="11520" max="11522" width="9.140625" customWidth="1"/>
    <col min="11523" max="11523" width="40.7109375" customWidth="1"/>
    <col min="11524" max="11526" width="9.140625" customWidth="1"/>
    <col min="11527" max="11527" width="10.42578125" customWidth="1"/>
    <col min="11776" max="11778" width="9.140625" customWidth="1"/>
    <col min="11779" max="11779" width="40.7109375" customWidth="1"/>
    <col min="11780" max="11782" width="9.140625" customWidth="1"/>
    <col min="11783" max="11783" width="10.42578125" customWidth="1"/>
    <col min="12032" max="12034" width="9.140625" customWidth="1"/>
    <col min="12035" max="12035" width="40.7109375" customWidth="1"/>
    <col min="12036" max="12038" width="9.140625" customWidth="1"/>
    <col min="12039" max="12039" width="10.42578125" customWidth="1"/>
    <col min="12288" max="12290" width="9.140625" customWidth="1"/>
    <col min="12291" max="12291" width="40.7109375" customWidth="1"/>
    <col min="12292" max="12294" width="9.140625" customWidth="1"/>
    <col min="12295" max="12295" width="10.42578125" customWidth="1"/>
    <col min="12544" max="12546" width="9.140625" customWidth="1"/>
    <col min="12547" max="12547" width="40.7109375" customWidth="1"/>
    <col min="12548" max="12550" width="9.140625" customWidth="1"/>
    <col min="12551" max="12551" width="10.42578125" customWidth="1"/>
    <col min="12800" max="12802" width="9.140625" customWidth="1"/>
    <col min="12803" max="12803" width="40.7109375" customWidth="1"/>
    <col min="12804" max="12806" width="9.140625" customWidth="1"/>
    <col min="12807" max="12807" width="10.42578125" customWidth="1"/>
    <col min="13056" max="13058" width="9.140625" customWidth="1"/>
    <col min="13059" max="13059" width="40.7109375" customWidth="1"/>
    <col min="13060" max="13062" width="9.140625" customWidth="1"/>
    <col min="13063" max="13063" width="10.42578125" customWidth="1"/>
    <col min="13312" max="13314" width="9.140625" customWidth="1"/>
    <col min="13315" max="13315" width="40.7109375" customWidth="1"/>
    <col min="13316" max="13318" width="9.140625" customWidth="1"/>
    <col min="13319" max="13319" width="10.42578125" customWidth="1"/>
    <col min="13568" max="13570" width="9.140625" customWidth="1"/>
    <col min="13571" max="13571" width="40.7109375" customWidth="1"/>
    <col min="13572" max="13574" width="9.140625" customWidth="1"/>
    <col min="13575" max="13575" width="10.42578125" customWidth="1"/>
    <col min="13824" max="13826" width="9.140625" customWidth="1"/>
    <col min="13827" max="13827" width="40.7109375" customWidth="1"/>
    <col min="13828" max="13830" width="9.140625" customWidth="1"/>
    <col min="13831" max="13831" width="10.42578125" customWidth="1"/>
    <col min="14080" max="14082" width="9.140625" customWidth="1"/>
    <col min="14083" max="14083" width="40.7109375" customWidth="1"/>
    <col min="14084" max="14086" width="9.140625" customWidth="1"/>
    <col min="14087" max="14087" width="10.42578125" customWidth="1"/>
    <col min="14336" max="14338" width="9.140625" customWidth="1"/>
    <col min="14339" max="14339" width="40.7109375" customWidth="1"/>
    <col min="14340" max="14342" width="9.140625" customWidth="1"/>
    <col min="14343" max="14343" width="10.42578125" customWidth="1"/>
    <col min="14592" max="14594" width="9.140625" customWidth="1"/>
    <col min="14595" max="14595" width="40.7109375" customWidth="1"/>
    <col min="14596" max="14598" width="9.140625" customWidth="1"/>
    <col min="14599" max="14599" width="10.42578125" customWidth="1"/>
    <col min="14848" max="14850" width="9.140625" customWidth="1"/>
    <col min="14851" max="14851" width="40.7109375" customWidth="1"/>
    <col min="14852" max="14854" width="9.140625" customWidth="1"/>
    <col min="14855" max="14855" width="10.42578125" customWidth="1"/>
    <col min="15104" max="15106" width="9.140625" customWidth="1"/>
    <col min="15107" max="15107" width="40.7109375" customWidth="1"/>
    <col min="15108" max="15110" width="9.140625" customWidth="1"/>
    <col min="15111" max="15111" width="10.42578125" customWidth="1"/>
    <col min="15360" max="15362" width="9.140625" customWidth="1"/>
    <col min="15363" max="15363" width="40.7109375" customWidth="1"/>
    <col min="15364" max="15366" width="9.140625" customWidth="1"/>
    <col min="15367" max="15367" width="10.42578125" customWidth="1"/>
    <col min="15616" max="15618" width="9.140625" customWidth="1"/>
    <col min="15619" max="15619" width="40.7109375" customWidth="1"/>
    <col min="15620" max="15622" width="9.140625" customWidth="1"/>
    <col min="15623" max="15623" width="10.42578125" customWidth="1"/>
    <col min="15872" max="15874" width="9.140625" customWidth="1"/>
    <col min="15875" max="15875" width="40.7109375" customWidth="1"/>
    <col min="15876" max="15878" width="9.140625" customWidth="1"/>
    <col min="15879" max="15879" width="10.42578125" customWidth="1"/>
    <col min="16128" max="16130" width="9.140625" customWidth="1"/>
    <col min="16131" max="16131" width="40.7109375" customWidth="1"/>
    <col min="16132" max="16134" width="9.140625" customWidth="1"/>
    <col min="16135" max="16135" width="10.42578125" customWidth="1"/>
  </cols>
  <sheetData>
    <row r="1" spans="1:10" ht="38.25" x14ac:dyDescent="0.25">
      <c r="A1" s="25" t="s">
        <v>0</v>
      </c>
      <c r="B1" s="25" t="s">
        <v>24</v>
      </c>
      <c r="C1" s="25" t="s">
        <v>25</v>
      </c>
      <c r="D1" s="26" t="s">
        <v>1</v>
      </c>
      <c r="E1" s="27" t="s">
        <v>26</v>
      </c>
      <c r="F1" s="27" t="s">
        <v>27</v>
      </c>
      <c r="G1" s="27" t="s">
        <v>28</v>
      </c>
      <c r="H1" s="72" t="s">
        <v>2</v>
      </c>
      <c r="I1" s="73"/>
    </row>
    <row r="2" spans="1:10" ht="98.25" customHeight="1" x14ac:dyDescent="0.25">
      <c r="A2" s="44" t="s">
        <v>3</v>
      </c>
      <c r="B2" s="3"/>
      <c r="C2" s="3"/>
      <c r="D2" s="30" t="s">
        <v>123</v>
      </c>
      <c r="E2" s="161" t="s">
        <v>30</v>
      </c>
      <c r="F2" s="162"/>
      <c r="G2" s="163"/>
      <c r="H2" s="67">
        <f>SUM(H3:H41)</f>
        <v>0</v>
      </c>
    </row>
    <row r="3" spans="1:10" ht="18" customHeight="1" x14ac:dyDescent="0.25">
      <c r="A3" s="31"/>
      <c r="B3" s="32" t="s">
        <v>124</v>
      </c>
      <c r="C3" s="1"/>
      <c r="D3" s="45" t="s">
        <v>125</v>
      </c>
      <c r="E3" s="111">
        <v>43</v>
      </c>
      <c r="F3" s="94"/>
      <c r="G3" s="36">
        <v>2</v>
      </c>
      <c r="H3" s="35">
        <f>(E3*F3)*G3</f>
        <v>0</v>
      </c>
      <c r="I3" s="75"/>
      <c r="J3" s="77"/>
    </row>
    <row r="4" spans="1:10" x14ac:dyDescent="0.25">
      <c r="A4" s="31"/>
      <c r="B4" s="32" t="s">
        <v>126</v>
      </c>
      <c r="C4" s="1"/>
      <c r="D4" s="41" t="s">
        <v>127</v>
      </c>
      <c r="E4" s="110">
        <v>27</v>
      </c>
      <c r="F4" s="94"/>
      <c r="G4" s="36">
        <v>2</v>
      </c>
      <c r="H4" s="35">
        <f t="shared" ref="H4:H41" si="0">(E4*F4)*G4</f>
        <v>0</v>
      </c>
      <c r="I4" s="75"/>
      <c r="J4" s="77"/>
    </row>
    <row r="5" spans="1:10" x14ac:dyDescent="0.25">
      <c r="A5" s="31"/>
      <c r="B5" s="32" t="s">
        <v>128</v>
      </c>
      <c r="C5" s="1"/>
      <c r="D5" s="41" t="s">
        <v>129</v>
      </c>
      <c r="E5" s="110">
        <v>5</v>
      </c>
      <c r="F5" s="94"/>
      <c r="G5" s="36">
        <v>2</v>
      </c>
      <c r="H5" s="35">
        <f t="shared" si="0"/>
        <v>0</v>
      </c>
      <c r="I5" s="75"/>
      <c r="J5" s="77"/>
    </row>
    <row r="6" spans="1:10" x14ac:dyDescent="0.25">
      <c r="A6" s="31"/>
      <c r="B6" s="32" t="s">
        <v>130</v>
      </c>
      <c r="C6" s="1"/>
      <c r="D6" s="41" t="s">
        <v>131</v>
      </c>
      <c r="E6" s="110">
        <v>9</v>
      </c>
      <c r="F6" s="94"/>
      <c r="G6" s="36">
        <v>2</v>
      </c>
      <c r="H6" s="35">
        <f t="shared" si="0"/>
        <v>0</v>
      </c>
      <c r="I6" s="75"/>
      <c r="J6" s="77"/>
    </row>
    <row r="7" spans="1:10" x14ac:dyDescent="0.25">
      <c r="A7" s="31"/>
      <c r="B7" s="32" t="s">
        <v>132</v>
      </c>
      <c r="C7" s="1"/>
      <c r="D7" s="41" t="s">
        <v>234</v>
      </c>
      <c r="E7" s="110">
        <v>1</v>
      </c>
      <c r="F7" s="94"/>
      <c r="G7" s="36">
        <v>2</v>
      </c>
      <c r="H7" s="35">
        <f t="shared" si="0"/>
        <v>0</v>
      </c>
      <c r="I7" s="75"/>
      <c r="J7" s="77"/>
    </row>
    <row r="8" spans="1:10" x14ac:dyDescent="0.25">
      <c r="A8" s="31"/>
      <c r="B8" s="32" t="s">
        <v>134</v>
      </c>
      <c r="C8" s="2"/>
      <c r="D8" s="46" t="s">
        <v>133</v>
      </c>
      <c r="E8" s="112">
        <v>70</v>
      </c>
      <c r="F8" s="94"/>
      <c r="G8" s="36">
        <v>2</v>
      </c>
      <c r="H8" s="35">
        <f t="shared" si="0"/>
        <v>0</v>
      </c>
      <c r="I8" s="75"/>
      <c r="J8" s="77"/>
    </row>
    <row r="9" spans="1:10" x14ac:dyDescent="0.25">
      <c r="A9" s="31"/>
      <c r="B9" s="32" t="s">
        <v>136</v>
      </c>
      <c r="C9" s="2"/>
      <c r="D9" s="46" t="s">
        <v>135</v>
      </c>
      <c r="E9" s="112">
        <v>12</v>
      </c>
      <c r="F9" s="94"/>
      <c r="G9" s="36">
        <v>2</v>
      </c>
      <c r="H9" s="35">
        <f t="shared" si="0"/>
        <v>0</v>
      </c>
      <c r="I9" s="75"/>
      <c r="J9" s="77"/>
    </row>
    <row r="10" spans="1:10" x14ac:dyDescent="0.25">
      <c r="A10" s="31"/>
      <c r="B10" s="32" t="s">
        <v>138</v>
      </c>
      <c r="C10" s="2"/>
      <c r="D10" s="41" t="s">
        <v>137</v>
      </c>
      <c r="E10" s="110">
        <v>4</v>
      </c>
      <c r="F10" s="94"/>
      <c r="G10" s="36">
        <v>2</v>
      </c>
      <c r="H10" s="35">
        <f t="shared" si="0"/>
        <v>0</v>
      </c>
      <c r="I10" s="75"/>
      <c r="J10" s="77"/>
    </row>
    <row r="11" spans="1:10" x14ac:dyDescent="0.25">
      <c r="A11" s="31"/>
      <c r="B11" s="32" t="s">
        <v>140</v>
      </c>
      <c r="C11" s="2"/>
      <c r="D11" s="41" t="s">
        <v>139</v>
      </c>
      <c r="E11" s="110">
        <v>12</v>
      </c>
      <c r="F11" s="94"/>
      <c r="G11" s="36">
        <v>2</v>
      </c>
      <c r="H11" s="35">
        <f t="shared" si="0"/>
        <v>0</v>
      </c>
      <c r="I11" s="75"/>
      <c r="J11" s="77"/>
    </row>
    <row r="12" spans="1:10" x14ac:dyDescent="0.25">
      <c r="A12" s="31"/>
      <c r="B12" s="32" t="s">
        <v>142</v>
      </c>
      <c r="C12" s="2"/>
      <c r="D12" s="41" t="s">
        <v>141</v>
      </c>
      <c r="E12" s="110">
        <v>12</v>
      </c>
      <c r="F12" s="94"/>
      <c r="G12" s="36">
        <v>2</v>
      </c>
      <c r="H12" s="35">
        <f t="shared" si="0"/>
        <v>0</v>
      </c>
      <c r="I12" s="75"/>
      <c r="J12" s="77"/>
    </row>
    <row r="13" spans="1:10" x14ac:dyDescent="0.25">
      <c r="A13" s="31"/>
      <c r="B13" s="32" t="s">
        <v>144</v>
      </c>
      <c r="C13" s="2"/>
      <c r="D13" s="41" t="s">
        <v>143</v>
      </c>
      <c r="E13" s="110">
        <v>12</v>
      </c>
      <c r="F13" s="94"/>
      <c r="G13" s="36">
        <v>2</v>
      </c>
      <c r="H13" s="35">
        <f t="shared" si="0"/>
        <v>0</v>
      </c>
      <c r="I13" s="75"/>
      <c r="J13" s="77"/>
    </row>
    <row r="14" spans="1:10" x14ac:dyDescent="0.25">
      <c r="A14" s="31"/>
      <c r="B14" s="32" t="s">
        <v>146</v>
      </c>
      <c r="C14" s="2"/>
      <c r="D14" s="41" t="s">
        <v>145</v>
      </c>
      <c r="E14" s="110">
        <v>12</v>
      </c>
      <c r="F14" s="94"/>
      <c r="G14" s="36">
        <v>2</v>
      </c>
      <c r="H14" s="35">
        <f t="shared" si="0"/>
        <v>0</v>
      </c>
      <c r="I14" s="75"/>
      <c r="J14" s="77"/>
    </row>
    <row r="15" spans="1:10" x14ac:dyDescent="0.25">
      <c r="A15" s="31"/>
      <c r="B15" s="32" t="s">
        <v>148</v>
      </c>
      <c r="C15" s="2"/>
      <c r="D15" s="41" t="s">
        <v>147</v>
      </c>
      <c r="E15" s="110">
        <v>36</v>
      </c>
      <c r="F15" s="94"/>
      <c r="G15" s="36">
        <v>2</v>
      </c>
      <c r="H15" s="35">
        <f t="shared" si="0"/>
        <v>0</v>
      </c>
      <c r="I15" s="75"/>
      <c r="J15" s="77"/>
    </row>
    <row r="16" spans="1:10" x14ac:dyDescent="0.25">
      <c r="A16" s="31"/>
      <c r="B16" s="32" t="s">
        <v>150</v>
      </c>
      <c r="C16" s="2"/>
      <c r="D16" s="41" t="s">
        <v>149</v>
      </c>
      <c r="E16" s="110">
        <v>77</v>
      </c>
      <c r="F16" s="94"/>
      <c r="G16" s="36">
        <v>2</v>
      </c>
      <c r="H16" s="35">
        <f t="shared" si="0"/>
        <v>0</v>
      </c>
      <c r="I16" s="75"/>
      <c r="J16" s="77"/>
    </row>
    <row r="17" spans="1:10" x14ac:dyDescent="0.25">
      <c r="A17" s="31"/>
      <c r="B17" s="32" t="s">
        <v>152</v>
      </c>
      <c r="C17" s="2"/>
      <c r="D17" s="41" t="s">
        <v>151</v>
      </c>
      <c r="E17" s="110">
        <v>76</v>
      </c>
      <c r="F17" s="94"/>
      <c r="G17" s="36">
        <v>2</v>
      </c>
      <c r="H17" s="35">
        <f t="shared" si="0"/>
        <v>0</v>
      </c>
      <c r="I17" s="75"/>
      <c r="J17" s="77"/>
    </row>
    <row r="18" spans="1:10" x14ac:dyDescent="0.25">
      <c r="A18" s="31"/>
      <c r="B18" s="32" t="s">
        <v>154</v>
      </c>
      <c r="C18" s="2"/>
      <c r="D18" s="41" t="s">
        <v>153</v>
      </c>
      <c r="E18" s="110">
        <v>76</v>
      </c>
      <c r="F18" s="94"/>
      <c r="G18" s="36">
        <v>2</v>
      </c>
      <c r="H18" s="35">
        <f t="shared" si="0"/>
        <v>0</v>
      </c>
      <c r="I18" s="75"/>
      <c r="J18" s="77"/>
    </row>
    <row r="19" spans="1:10" x14ac:dyDescent="0.25">
      <c r="A19" s="31"/>
      <c r="B19" s="32" t="s">
        <v>156</v>
      </c>
      <c r="C19" s="2"/>
      <c r="D19" s="41" t="s">
        <v>155</v>
      </c>
      <c r="E19" s="110">
        <v>5</v>
      </c>
      <c r="F19" s="94"/>
      <c r="G19" s="36">
        <v>2</v>
      </c>
      <c r="H19" s="35">
        <f t="shared" si="0"/>
        <v>0</v>
      </c>
      <c r="I19" s="75"/>
      <c r="J19" s="77"/>
    </row>
    <row r="20" spans="1:10" x14ac:dyDescent="0.25">
      <c r="A20" s="31"/>
      <c r="B20" s="32" t="s">
        <v>158</v>
      </c>
      <c r="C20" s="2"/>
      <c r="D20" s="41" t="s">
        <v>157</v>
      </c>
      <c r="E20" s="110">
        <v>57</v>
      </c>
      <c r="F20" s="94"/>
      <c r="G20" s="36">
        <v>2</v>
      </c>
      <c r="H20" s="35">
        <f t="shared" si="0"/>
        <v>0</v>
      </c>
      <c r="I20" s="75"/>
      <c r="J20" s="77"/>
    </row>
    <row r="21" spans="1:10" x14ac:dyDescent="0.25">
      <c r="A21" s="31"/>
      <c r="B21" s="32" t="s">
        <v>160</v>
      </c>
      <c r="C21" s="2"/>
      <c r="D21" s="41" t="s">
        <v>159</v>
      </c>
      <c r="E21" s="110">
        <v>5</v>
      </c>
      <c r="F21" s="94"/>
      <c r="G21" s="36">
        <v>2</v>
      </c>
      <c r="H21" s="35">
        <f t="shared" si="0"/>
        <v>0</v>
      </c>
      <c r="I21" s="75"/>
      <c r="J21" s="77"/>
    </row>
    <row r="22" spans="1:10" x14ac:dyDescent="0.25">
      <c r="A22" s="31"/>
      <c r="B22" s="32" t="s">
        <v>162</v>
      </c>
      <c r="C22" s="2"/>
      <c r="D22" s="41" t="s">
        <v>161</v>
      </c>
      <c r="E22" s="110">
        <v>63</v>
      </c>
      <c r="F22" s="94"/>
      <c r="G22" s="36">
        <v>2</v>
      </c>
      <c r="H22" s="35">
        <f t="shared" si="0"/>
        <v>0</v>
      </c>
      <c r="I22" s="75"/>
      <c r="J22" s="77"/>
    </row>
    <row r="23" spans="1:10" x14ac:dyDescent="0.25">
      <c r="A23" s="31"/>
      <c r="B23" s="32" t="s">
        <v>221</v>
      </c>
      <c r="C23" s="2"/>
      <c r="D23" s="41" t="s">
        <v>163</v>
      </c>
      <c r="E23" s="110">
        <v>58</v>
      </c>
      <c r="F23" s="94"/>
      <c r="G23" s="36">
        <v>2</v>
      </c>
      <c r="H23" s="35">
        <f t="shared" si="0"/>
        <v>0</v>
      </c>
      <c r="I23" s="75"/>
      <c r="J23" s="77"/>
    </row>
    <row r="24" spans="1:10" x14ac:dyDescent="0.25">
      <c r="A24" s="31"/>
      <c r="B24" s="32" t="s">
        <v>164</v>
      </c>
      <c r="C24" s="2"/>
      <c r="D24" s="41" t="s">
        <v>222</v>
      </c>
      <c r="E24" s="110">
        <v>0</v>
      </c>
      <c r="F24" s="94"/>
      <c r="G24" s="36">
        <v>2</v>
      </c>
      <c r="H24" s="35">
        <f t="shared" si="0"/>
        <v>0</v>
      </c>
      <c r="I24" s="75"/>
      <c r="J24" s="77"/>
    </row>
    <row r="25" spans="1:10" x14ac:dyDescent="0.25">
      <c r="A25" s="31"/>
      <c r="B25" s="32" t="s">
        <v>166</v>
      </c>
      <c r="C25" s="2"/>
      <c r="D25" s="41" t="s">
        <v>165</v>
      </c>
      <c r="E25" s="110">
        <v>121</v>
      </c>
      <c r="F25" s="94"/>
      <c r="G25" s="36">
        <v>2</v>
      </c>
      <c r="H25" s="35">
        <f t="shared" si="0"/>
        <v>0</v>
      </c>
      <c r="I25" s="75"/>
      <c r="J25" s="77"/>
    </row>
    <row r="26" spans="1:10" x14ac:dyDescent="0.25">
      <c r="A26" s="31"/>
      <c r="B26" s="32" t="s">
        <v>168</v>
      </c>
      <c r="C26" s="2"/>
      <c r="D26" s="41" t="s">
        <v>167</v>
      </c>
      <c r="E26" s="110">
        <v>6</v>
      </c>
      <c r="F26" s="94"/>
      <c r="G26" s="36">
        <v>2</v>
      </c>
      <c r="H26" s="35">
        <f t="shared" si="0"/>
        <v>0</v>
      </c>
      <c r="I26" s="75"/>
      <c r="J26" s="77"/>
    </row>
    <row r="27" spans="1:10" x14ac:dyDescent="0.25">
      <c r="A27" s="31"/>
      <c r="B27" s="32" t="s">
        <v>170</v>
      </c>
      <c r="C27" s="2"/>
      <c r="D27" s="41" t="s">
        <v>169</v>
      </c>
      <c r="E27" s="110">
        <v>42</v>
      </c>
      <c r="F27" s="94"/>
      <c r="G27" s="36">
        <v>2</v>
      </c>
      <c r="H27" s="35">
        <f t="shared" si="0"/>
        <v>0</v>
      </c>
      <c r="I27" s="75"/>
      <c r="J27" s="77"/>
    </row>
    <row r="28" spans="1:10" x14ac:dyDescent="0.25">
      <c r="A28" s="31"/>
      <c r="B28" s="32" t="s">
        <v>172</v>
      </c>
      <c r="C28" s="2"/>
      <c r="D28" s="41" t="s">
        <v>171</v>
      </c>
      <c r="E28" s="110">
        <v>37</v>
      </c>
      <c r="F28" s="94"/>
      <c r="G28" s="36">
        <v>2</v>
      </c>
      <c r="H28" s="35">
        <f t="shared" si="0"/>
        <v>0</v>
      </c>
      <c r="I28" s="75"/>
      <c r="J28" s="77"/>
    </row>
    <row r="29" spans="1:10" x14ac:dyDescent="0.25">
      <c r="A29" s="31"/>
      <c r="B29" s="32" t="s">
        <v>174</v>
      </c>
      <c r="C29" s="2"/>
      <c r="D29" s="41" t="s">
        <v>173</v>
      </c>
      <c r="E29" s="110">
        <v>41</v>
      </c>
      <c r="F29" s="94"/>
      <c r="G29" s="36">
        <v>2</v>
      </c>
      <c r="H29" s="35">
        <f t="shared" si="0"/>
        <v>0</v>
      </c>
      <c r="I29" s="75"/>
      <c r="J29" s="77"/>
    </row>
    <row r="30" spans="1:10" x14ac:dyDescent="0.25">
      <c r="A30" s="31"/>
      <c r="B30" s="32" t="s">
        <v>176</v>
      </c>
      <c r="C30" s="2"/>
      <c r="D30" s="41" t="s">
        <v>175</v>
      </c>
      <c r="E30" s="110">
        <v>2</v>
      </c>
      <c r="F30" s="94"/>
      <c r="G30" s="36">
        <v>2</v>
      </c>
      <c r="H30" s="35">
        <f t="shared" si="0"/>
        <v>0</v>
      </c>
      <c r="I30" s="75"/>
      <c r="J30" s="77"/>
    </row>
    <row r="31" spans="1:10" x14ac:dyDescent="0.25">
      <c r="A31" s="31"/>
      <c r="B31" s="32" t="s">
        <v>177</v>
      </c>
      <c r="C31" s="2"/>
      <c r="D31" s="41" t="s">
        <v>223</v>
      </c>
      <c r="E31" s="110">
        <v>2</v>
      </c>
      <c r="F31" s="94"/>
      <c r="G31" s="36">
        <v>2</v>
      </c>
      <c r="H31" s="35">
        <f t="shared" si="0"/>
        <v>0</v>
      </c>
      <c r="I31" s="75"/>
      <c r="J31" s="77"/>
    </row>
    <row r="32" spans="1:10" x14ac:dyDescent="0.25">
      <c r="A32" s="31"/>
      <c r="B32" s="32" t="s">
        <v>179</v>
      </c>
      <c r="C32" s="2"/>
      <c r="D32" s="41" t="s">
        <v>178</v>
      </c>
      <c r="E32" s="110">
        <v>21</v>
      </c>
      <c r="F32" s="94"/>
      <c r="G32" s="36">
        <v>2</v>
      </c>
      <c r="H32" s="35">
        <f t="shared" si="0"/>
        <v>0</v>
      </c>
      <c r="I32" s="75"/>
      <c r="J32" s="77"/>
    </row>
    <row r="33" spans="1:10" x14ac:dyDescent="0.25">
      <c r="A33" s="31"/>
      <c r="B33" s="32" t="s">
        <v>181</v>
      </c>
      <c r="C33" s="2"/>
      <c r="D33" s="41" t="s">
        <v>180</v>
      </c>
      <c r="E33" s="110">
        <v>80</v>
      </c>
      <c r="F33" s="94"/>
      <c r="G33" s="36">
        <v>2</v>
      </c>
      <c r="H33" s="35">
        <f t="shared" si="0"/>
        <v>0</v>
      </c>
      <c r="I33" s="75"/>
      <c r="J33" s="77"/>
    </row>
    <row r="34" spans="1:10" x14ac:dyDescent="0.25">
      <c r="A34" s="31"/>
      <c r="B34" s="32" t="s">
        <v>183</v>
      </c>
      <c r="C34" s="2"/>
      <c r="D34" s="41" t="s">
        <v>182</v>
      </c>
      <c r="E34" s="110">
        <v>54</v>
      </c>
      <c r="F34" s="94"/>
      <c r="G34" s="36">
        <v>2</v>
      </c>
      <c r="H34" s="35">
        <f t="shared" si="0"/>
        <v>0</v>
      </c>
      <c r="I34" s="75"/>
      <c r="J34" s="77"/>
    </row>
    <row r="35" spans="1:10" x14ac:dyDescent="0.25">
      <c r="A35" s="31"/>
      <c r="B35" s="32" t="s">
        <v>185</v>
      </c>
      <c r="C35" s="2"/>
      <c r="D35" s="41" t="s">
        <v>184</v>
      </c>
      <c r="E35" s="110">
        <v>4</v>
      </c>
      <c r="F35" s="94"/>
      <c r="G35" s="36">
        <v>2</v>
      </c>
      <c r="H35" s="35">
        <f t="shared" si="0"/>
        <v>0</v>
      </c>
      <c r="I35" s="75"/>
      <c r="J35" s="77"/>
    </row>
    <row r="36" spans="1:10" x14ac:dyDescent="0.25">
      <c r="A36" s="31"/>
      <c r="B36" s="32" t="s">
        <v>187</v>
      </c>
      <c r="C36" s="2"/>
      <c r="D36" s="41" t="s">
        <v>186</v>
      </c>
      <c r="E36" s="110">
        <v>28</v>
      </c>
      <c r="F36" s="94"/>
      <c r="G36" s="36">
        <v>2</v>
      </c>
      <c r="H36" s="35">
        <f t="shared" si="0"/>
        <v>0</v>
      </c>
      <c r="I36" s="75"/>
      <c r="J36" s="77"/>
    </row>
    <row r="37" spans="1:10" x14ac:dyDescent="0.25">
      <c r="A37" s="31"/>
      <c r="B37" s="32" t="s">
        <v>189</v>
      </c>
      <c r="C37" s="2"/>
      <c r="D37" s="41" t="s">
        <v>188</v>
      </c>
      <c r="E37" s="110">
        <v>31</v>
      </c>
      <c r="F37" s="94"/>
      <c r="G37" s="36">
        <v>2</v>
      </c>
      <c r="H37" s="35">
        <f t="shared" si="0"/>
        <v>0</v>
      </c>
      <c r="I37" s="75"/>
      <c r="J37" s="77"/>
    </row>
    <row r="38" spans="1:10" x14ac:dyDescent="0.25">
      <c r="A38" s="31"/>
      <c r="B38" s="32" t="s">
        <v>224</v>
      </c>
      <c r="C38" s="2"/>
      <c r="D38" s="41" t="s">
        <v>190</v>
      </c>
      <c r="E38" s="110">
        <v>15837</v>
      </c>
      <c r="F38" s="94"/>
      <c r="G38" s="36">
        <v>2</v>
      </c>
      <c r="H38" s="35">
        <f t="shared" si="0"/>
        <v>0</v>
      </c>
      <c r="I38" s="75"/>
      <c r="J38" s="77"/>
    </row>
    <row r="39" spans="1:10" x14ac:dyDescent="0.25">
      <c r="A39" s="31"/>
      <c r="B39" s="32" t="s">
        <v>226</v>
      </c>
      <c r="C39" s="2"/>
      <c r="D39" s="41" t="s">
        <v>225</v>
      </c>
      <c r="E39" s="110">
        <v>0</v>
      </c>
      <c r="F39" s="94"/>
      <c r="G39" s="36">
        <v>2</v>
      </c>
      <c r="H39" s="35">
        <f t="shared" si="0"/>
        <v>0</v>
      </c>
      <c r="I39" s="75"/>
      <c r="J39" s="77"/>
    </row>
    <row r="40" spans="1:10" x14ac:dyDescent="0.25">
      <c r="A40" s="31"/>
      <c r="B40" s="32" t="s">
        <v>191</v>
      </c>
      <c r="C40" s="2"/>
      <c r="D40" s="41" t="s">
        <v>227</v>
      </c>
      <c r="E40" s="110">
        <v>0</v>
      </c>
      <c r="F40" s="94"/>
      <c r="G40" s="36">
        <v>2</v>
      </c>
      <c r="H40" s="35">
        <f t="shared" si="0"/>
        <v>0</v>
      </c>
      <c r="I40" s="75"/>
      <c r="J40" s="77"/>
    </row>
    <row r="41" spans="1:10" x14ac:dyDescent="0.25">
      <c r="A41" s="13"/>
      <c r="B41" s="32" t="s">
        <v>215</v>
      </c>
      <c r="C41" s="2"/>
      <c r="D41" s="41" t="s">
        <v>192</v>
      </c>
      <c r="E41" s="110">
        <v>61</v>
      </c>
      <c r="F41" s="94"/>
      <c r="G41" s="36">
        <v>2</v>
      </c>
      <c r="H41" s="35">
        <f t="shared" si="0"/>
        <v>0</v>
      </c>
    </row>
  </sheetData>
  <mergeCells count="1">
    <mergeCell ref="E2:G2"/>
  </mergeCells>
  <pageMargins left="0.23622047244094488" right="0.23622047244094488" top="0.3543307086614173" bottom="0.19685039370078741" header="0.11811023622047244" footer="0.31496062992125984"/>
  <pageSetup paperSize="8" orientation="landscape"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tabColor rgb="FF0070C0"/>
  </sheetPr>
  <dimension ref="A1:K16"/>
  <sheetViews>
    <sheetView zoomScaleNormal="100" workbookViewId="0">
      <selection activeCell="F3" sqref="F3:F12"/>
    </sheetView>
  </sheetViews>
  <sheetFormatPr defaultColWidth="9.140625" defaultRowHeight="15" x14ac:dyDescent="0.25"/>
  <cols>
    <col min="1" max="3" width="9.140625" customWidth="1"/>
    <col min="4" max="4" width="40.7109375" customWidth="1"/>
    <col min="5" max="5" width="9.140625" customWidth="1"/>
    <col min="6" max="6" width="11.42578125" customWidth="1"/>
    <col min="7" max="7" width="9.140625" customWidth="1"/>
    <col min="8" max="8" width="13.140625" customWidth="1"/>
    <col min="9" max="9" width="14.42578125" customWidth="1"/>
    <col min="257" max="259" width="9.140625" customWidth="1"/>
    <col min="260" max="260" width="40.7109375" customWidth="1"/>
    <col min="261" max="263" width="9.140625" customWidth="1"/>
    <col min="264" max="264" width="10.85546875" customWidth="1"/>
    <col min="513" max="515" width="9.140625" customWidth="1"/>
    <col min="516" max="516" width="40.7109375" customWidth="1"/>
    <col min="517" max="519" width="9.140625" customWidth="1"/>
    <col min="520" max="520" width="10.85546875" customWidth="1"/>
    <col min="769" max="771" width="9.140625" customWidth="1"/>
    <col min="772" max="772" width="40.7109375" customWidth="1"/>
    <col min="773" max="775" width="9.140625" customWidth="1"/>
    <col min="776" max="776" width="10.85546875" customWidth="1"/>
    <col min="1025" max="1027" width="9.140625" customWidth="1"/>
    <col min="1028" max="1028" width="40.7109375" customWidth="1"/>
    <col min="1029" max="1031" width="9.140625" customWidth="1"/>
    <col min="1032" max="1032" width="10.85546875" customWidth="1"/>
    <col min="1281" max="1283" width="9.140625" customWidth="1"/>
    <col min="1284" max="1284" width="40.7109375" customWidth="1"/>
    <col min="1285" max="1287" width="9.140625" customWidth="1"/>
    <col min="1288" max="1288" width="10.85546875" customWidth="1"/>
    <col min="1537" max="1539" width="9.140625" customWidth="1"/>
    <col min="1540" max="1540" width="40.7109375" customWidth="1"/>
    <col min="1541" max="1543" width="9.140625" customWidth="1"/>
    <col min="1544" max="1544" width="10.85546875" customWidth="1"/>
    <col min="1793" max="1795" width="9.140625" customWidth="1"/>
    <col min="1796" max="1796" width="40.7109375" customWidth="1"/>
    <col min="1797" max="1799" width="9.140625" customWidth="1"/>
    <col min="1800" max="1800" width="10.85546875" customWidth="1"/>
    <col min="2049" max="2051" width="9.140625" customWidth="1"/>
    <col min="2052" max="2052" width="40.7109375" customWidth="1"/>
    <col min="2053" max="2055" width="9.140625" customWidth="1"/>
    <col min="2056" max="2056" width="10.85546875" customWidth="1"/>
    <col min="2305" max="2307" width="9.140625" customWidth="1"/>
    <col min="2308" max="2308" width="40.7109375" customWidth="1"/>
    <col min="2309" max="2311" width="9.140625" customWidth="1"/>
    <col min="2312" max="2312" width="10.85546875" customWidth="1"/>
    <col min="2561" max="2563" width="9.140625" customWidth="1"/>
    <col min="2564" max="2564" width="40.7109375" customWidth="1"/>
    <col min="2565" max="2567" width="9.140625" customWidth="1"/>
    <col min="2568" max="2568" width="10.85546875" customWidth="1"/>
    <col min="2817" max="2819" width="9.140625" customWidth="1"/>
    <col min="2820" max="2820" width="40.7109375" customWidth="1"/>
    <col min="2821" max="2823" width="9.140625" customWidth="1"/>
    <col min="2824" max="2824" width="10.85546875" customWidth="1"/>
    <col min="3073" max="3075" width="9.140625" customWidth="1"/>
    <col min="3076" max="3076" width="40.7109375" customWidth="1"/>
    <col min="3077" max="3079" width="9.140625" customWidth="1"/>
    <col min="3080" max="3080" width="10.85546875" customWidth="1"/>
    <col min="3329" max="3331" width="9.140625" customWidth="1"/>
    <col min="3332" max="3332" width="40.7109375" customWidth="1"/>
    <col min="3333" max="3335" width="9.140625" customWidth="1"/>
    <col min="3336" max="3336" width="10.85546875" customWidth="1"/>
    <col min="3585" max="3587" width="9.140625" customWidth="1"/>
    <col min="3588" max="3588" width="40.7109375" customWidth="1"/>
    <col min="3589" max="3591" width="9.140625" customWidth="1"/>
    <col min="3592" max="3592" width="10.85546875" customWidth="1"/>
    <col min="3841" max="3843" width="9.140625" customWidth="1"/>
    <col min="3844" max="3844" width="40.7109375" customWidth="1"/>
    <col min="3845" max="3847" width="9.140625" customWidth="1"/>
    <col min="3848" max="3848" width="10.85546875" customWidth="1"/>
    <col min="4097" max="4099" width="9.140625" customWidth="1"/>
    <col min="4100" max="4100" width="40.7109375" customWidth="1"/>
    <col min="4101" max="4103" width="9.140625" customWidth="1"/>
    <col min="4104" max="4104" width="10.85546875" customWidth="1"/>
    <col min="4353" max="4355" width="9.140625" customWidth="1"/>
    <col min="4356" max="4356" width="40.7109375" customWidth="1"/>
    <col min="4357" max="4359" width="9.140625" customWidth="1"/>
    <col min="4360" max="4360" width="10.85546875" customWidth="1"/>
    <col min="4609" max="4611" width="9.140625" customWidth="1"/>
    <col min="4612" max="4612" width="40.7109375" customWidth="1"/>
    <col min="4613" max="4615" width="9.140625" customWidth="1"/>
    <col min="4616" max="4616" width="10.85546875" customWidth="1"/>
    <col min="4865" max="4867" width="9.140625" customWidth="1"/>
    <col min="4868" max="4868" width="40.7109375" customWidth="1"/>
    <col min="4869" max="4871" width="9.140625" customWidth="1"/>
    <col min="4872" max="4872" width="10.85546875" customWidth="1"/>
    <col min="5121" max="5123" width="9.140625" customWidth="1"/>
    <col min="5124" max="5124" width="40.7109375" customWidth="1"/>
    <col min="5125" max="5127" width="9.140625" customWidth="1"/>
    <col min="5128" max="5128" width="10.85546875" customWidth="1"/>
    <col min="5377" max="5379" width="9.140625" customWidth="1"/>
    <col min="5380" max="5380" width="40.7109375" customWidth="1"/>
    <col min="5381" max="5383" width="9.140625" customWidth="1"/>
    <col min="5384" max="5384" width="10.85546875" customWidth="1"/>
    <col min="5633" max="5635" width="9.140625" customWidth="1"/>
    <col min="5636" max="5636" width="40.7109375" customWidth="1"/>
    <col min="5637" max="5639" width="9.140625" customWidth="1"/>
    <col min="5640" max="5640" width="10.85546875" customWidth="1"/>
    <col min="5889" max="5891" width="9.140625" customWidth="1"/>
    <col min="5892" max="5892" width="40.7109375" customWidth="1"/>
    <col min="5893" max="5895" width="9.140625" customWidth="1"/>
    <col min="5896" max="5896" width="10.85546875" customWidth="1"/>
    <col min="6145" max="6147" width="9.140625" customWidth="1"/>
    <col min="6148" max="6148" width="40.7109375" customWidth="1"/>
    <col min="6149" max="6151" width="9.140625" customWidth="1"/>
    <col min="6152" max="6152" width="10.85546875" customWidth="1"/>
    <col min="6401" max="6403" width="9.140625" customWidth="1"/>
    <col min="6404" max="6404" width="40.7109375" customWidth="1"/>
    <col min="6405" max="6407" width="9.140625" customWidth="1"/>
    <col min="6408" max="6408" width="10.85546875" customWidth="1"/>
    <col min="6657" max="6659" width="9.140625" customWidth="1"/>
    <col min="6660" max="6660" width="40.7109375" customWidth="1"/>
    <col min="6661" max="6663" width="9.140625" customWidth="1"/>
    <col min="6664" max="6664" width="10.85546875" customWidth="1"/>
    <col min="6913" max="6915" width="9.140625" customWidth="1"/>
    <col min="6916" max="6916" width="40.7109375" customWidth="1"/>
    <col min="6917" max="6919" width="9.140625" customWidth="1"/>
    <col min="6920" max="6920" width="10.85546875" customWidth="1"/>
    <col min="7169" max="7171" width="9.140625" customWidth="1"/>
    <col min="7172" max="7172" width="40.7109375" customWidth="1"/>
    <col min="7173" max="7175" width="9.140625" customWidth="1"/>
    <col min="7176" max="7176" width="10.85546875" customWidth="1"/>
    <col min="7425" max="7427" width="9.140625" customWidth="1"/>
    <col min="7428" max="7428" width="40.7109375" customWidth="1"/>
    <col min="7429" max="7431" width="9.140625" customWidth="1"/>
    <col min="7432" max="7432" width="10.85546875" customWidth="1"/>
    <col min="7681" max="7683" width="9.140625" customWidth="1"/>
    <col min="7684" max="7684" width="40.7109375" customWidth="1"/>
    <col min="7685" max="7687" width="9.140625" customWidth="1"/>
    <col min="7688" max="7688" width="10.85546875" customWidth="1"/>
    <col min="7937" max="7939" width="9.140625" customWidth="1"/>
    <col min="7940" max="7940" width="40.7109375" customWidth="1"/>
    <col min="7941" max="7943" width="9.140625" customWidth="1"/>
    <col min="7944" max="7944" width="10.85546875" customWidth="1"/>
    <col min="8193" max="8195" width="9.140625" customWidth="1"/>
    <col min="8196" max="8196" width="40.7109375" customWidth="1"/>
    <col min="8197" max="8199" width="9.140625" customWidth="1"/>
    <col min="8200" max="8200" width="10.85546875" customWidth="1"/>
    <col min="8449" max="8451" width="9.140625" customWidth="1"/>
    <col min="8452" max="8452" width="40.7109375" customWidth="1"/>
    <col min="8453" max="8455" width="9.140625" customWidth="1"/>
    <col min="8456" max="8456" width="10.85546875" customWidth="1"/>
    <col min="8705" max="8707" width="9.140625" customWidth="1"/>
    <col min="8708" max="8708" width="40.7109375" customWidth="1"/>
    <col min="8709" max="8711" width="9.140625" customWidth="1"/>
    <col min="8712" max="8712" width="10.85546875" customWidth="1"/>
    <col min="8961" max="8963" width="9.140625" customWidth="1"/>
    <col min="8964" max="8964" width="40.7109375" customWidth="1"/>
    <col min="8965" max="8967" width="9.140625" customWidth="1"/>
    <col min="8968" max="8968" width="10.85546875" customWidth="1"/>
    <col min="9217" max="9219" width="9.140625" customWidth="1"/>
    <col min="9220" max="9220" width="40.7109375" customWidth="1"/>
    <col min="9221" max="9223" width="9.140625" customWidth="1"/>
    <col min="9224" max="9224" width="10.85546875" customWidth="1"/>
    <col min="9473" max="9475" width="9.140625" customWidth="1"/>
    <col min="9476" max="9476" width="40.7109375" customWidth="1"/>
    <col min="9477" max="9479" width="9.140625" customWidth="1"/>
    <col min="9480" max="9480" width="10.85546875" customWidth="1"/>
    <col min="9729" max="9731" width="9.140625" customWidth="1"/>
    <col min="9732" max="9732" width="40.7109375" customWidth="1"/>
    <col min="9733" max="9735" width="9.140625" customWidth="1"/>
    <col min="9736" max="9736" width="10.85546875" customWidth="1"/>
    <col min="9985" max="9987" width="9.140625" customWidth="1"/>
    <col min="9988" max="9988" width="40.7109375" customWidth="1"/>
    <col min="9989" max="9991" width="9.140625" customWidth="1"/>
    <col min="9992" max="9992" width="10.85546875" customWidth="1"/>
    <col min="10241" max="10243" width="9.140625" customWidth="1"/>
    <col min="10244" max="10244" width="40.7109375" customWidth="1"/>
    <col min="10245" max="10247" width="9.140625" customWidth="1"/>
    <col min="10248" max="10248" width="10.85546875" customWidth="1"/>
    <col min="10497" max="10499" width="9.140625" customWidth="1"/>
    <col min="10500" max="10500" width="40.7109375" customWidth="1"/>
    <col min="10501" max="10503" width="9.140625" customWidth="1"/>
    <col min="10504" max="10504" width="10.85546875" customWidth="1"/>
    <col min="10753" max="10755" width="9.140625" customWidth="1"/>
    <col min="10756" max="10756" width="40.7109375" customWidth="1"/>
    <col min="10757" max="10759" width="9.140625" customWidth="1"/>
    <col min="10760" max="10760" width="10.85546875" customWidth="1"/>
    <col min="11009" max="11011" width="9.140625" customWidth="1"/>
    <col min="11012" max="11012" width="40.7109375" customWidth="1"/>
    <col min="11013" max="11015" width="9.140625" customWidth="1"/>
    <col min="11016" max="11016" width="10.85546875" customWidth="1"/>
    <col min="11265" max="11267" width="9.140625" customWidth="1"/>
    <col min="11268" max="11268" width="40.7109375" customWidth="1"/>
    <col min="11269" max="11271" width="9.140625" customWidth="1"/>
    <col min="11272" max="11272" width="10.85546875" customWidth="1"/>
    <col min="11521" max="11523" width="9.140625" customWidth="1"/>
    <col min="11524" max="11524" width="40.7109375" customWidth="1"/>
    <col min="11525" max="11527" width="9.140625" customWidth="1"/>
    <col min="11528" max="11528" width="10.85546875" customWidth="1"/>
    <col min="11777" max="11779" width="9.140625" customWidth="1"/>
    <col min="11780" max="11780" width="40.7109375" customWidth="1"/>
    <col min="11781" max="11783" width="9.140625" customWidth="1"/>
    <col min="11784" max="11784" width="10.85546875" customWidth="1"/>
    <col min="12033" max="12035" width="9.140625" customWidth="1"/>
    <col min="12036" max="12036" width="40.7109375" customWidth="1"/>
    <col min="12037" max="12039" width="9.140625" customWidth="1"/>
    <col min="12040" max="12040" width="10.85546875" customWidth="1"/>
    <col min="12289" max="12291" width="9.140625" customWidth="1"/>
    <col min="12292" max="12292" width="40.7109375" customWidth="1"/>
    <col min="12293" max="12295" width="9.140625" customWidth="1"/>
    <col min="12296" max="12296" width="10.85546875" customWidth="1"/>
    <col min="12545" max="12547" width="9.140625" customWidth="1"/>
    <col min="12548" max="12548" width="40.7109375" customWidth="1"/>
    <col min="12549" max="12551" width="9.140625" customWidth="1"/>
    <col min="12552" max="12552" width="10.85546875" customWidth="1"/>
    <col min="12801" max="12803" width="9.140625" customWidth="1"/>
    <col min="12804" max="12804" width="40.7109375" customWidth="1"/>
    <col min="12805" max="12807" width="9.140625" customWidth="1"/>
    <col min="12808" max="12808" width="10.85546875" customWidth="1"/>
    <col min="13057" max="13059" width="9.140625" customWidth="1"/>
    <col min="13060" max="13060" width="40.7109375" customWidth="1"/>
    <col min="13061" max="13063" width="9.140625" customWidth="1"/>
    <col min="13064" max="13064" width="10.85546875" customWidth="1"/>
    <col min="13313" max="13315" width="9.140625" customWidth="1"/>
    <col min="13316" max="13316" width="40.7109375" customWidth="1"/>
    <col min="13317" max="13319" width="9.140625" customWidth="1"/>
    <col min="13320" max="13320" width="10.85546875" customWidth="1"/>
    <col min="13569" max="13571" width="9.140625" customWidth="1"/>
    <col min="13572" max="13572" width="40.7109375" customWidth="1"/>
    <col min="13573" max="13575" width="9.140625" customWidth="1"/>
    <col min="13576" max="13576" width="10.85546875" customWidth="1"/>
    <col min="13825" max="13827" width="9.140625" customWidth="1"/>
    <col min="13828" max="13828" width="40.7109375" customWidth="1"/>
    <col min="13829" max="13831" width="9.140625" customWidth="1"/>
    <col min="13832" max="13832" width="10.85546875" customWidth="1"/>
    <col min="14081" max="14083" width="9.140625" customWidth="1"/>
    <col min="14084" max="14084" width="40.7109375" customWidth="1"/>
    <col min="14085" max="14087" width="9.140625" customWidth="1"/>
    <col min="14088" max="14088" width="10.85546875" customWidth="1"/>
    <col min="14337" max="14339" width="9.140625" customWidth="1"/>
    <col min="14340" max="14340" width="40.7109375" customWidth="1"/>
    <col min="14341" max="14343" width="9.140625" customWidth="1"/>
    <col min="14344" max="14344" width="10.85546875" customWidth="1"/>
    <col min="14593" max="14595" width="9.140625" customWidth="1"/>
    <col min="14596" max="14596" width="40.7109375" customWidth="1"/>
    <col min="14597" max="14599" width="9.140625" customWidth="1"/>
    <col min="14600" max="14600" width="10.85546875" customWidth="1"/>
    <col min="14849" max="14851" width="9.140625" customWidth="1"/>
    <col min="14852" max="14852" width="40.7109375" customWidth="1"/>
    <col min="14853" max="14855" width="9.140625" customWidth="1"/>
    <col min="14856" max="14856" width="10.85546875" customWidth="1"/>
    <col min="15105" max="15107" width="9.140625" customWidth="1"/>
    <col min="15108" max="15108" width="40.7109375" customWidth="1"/>
    <col min="15109" max="15111" width="9.140625" customWidth="1"/>
    <col min="15112" max="15112" width="10.85546875" customWidth="1"/>
    <col min="15361" max="15363" width="9.140625" customWidth="1"/>
    <col min="15364" max="15364" width="40.7109375" customWidth="1"/>
    <col min="15365" max="15367" width="9.140625" customWidth="1"/>
    <col min="15368" max="15368" width="10.85546875" customWidth="1"/>
    <col min="15617" max="15619" width="9.140625" customWidth="1"/>
    <col min="15620" max="15620" width="40.7109375" customWidth="1"/>
    <col min="15621" max="15623" width="9.140625" customWidth="1"/>
    <col min="15624" max="15624" width="10.85546875" customWidth="1"/>
    <col min="15873" max="15875" width="9.140625" customWidth="1"/>
    <col min="15876" max="15876" width="40.7109375" customWidth="1"/>
    <col min="15877" max="15879" width="9.140625" customWidth="1"/>
    <col min="15880" max="15880" width="10.85546875" customWidth="1"/>
    <col min="16129" max="16131" width="9.140625" customWidth="1"/>
    <col min="16132" max="16132" width="40.7109375" customWidth="1"/>
    <col min="16133" max="16135" width="9.140625" customWidth="1"/>
    <col min="16136" max="16136" width="10.85546875" customWidth="1"/>
  </cols>
  <sheetData>
    <row r="1" spans="1:11" ht="38.25" x14ac:dyDescent="0.25">
      <c r="A1" s="25" t="s">
        <v>0</v>
      </c>
      <c r="B1" s="25" t="s">
        <v>24</v>
      </c>
      <c r="C1" s="25" t="s">
        <v>25</v>
      </c>
      <c r="D1" s="26" t="s">
        <v>1</v>
      </c>
      <c r="E1" s="27" t="s">
        <v>26</v>
      </c>
      <c r="F1" s="27" t="s">
        <v>27</v>
      </c>
      <c r="G1" s="27" t="s">
        <v>28</v>
      </c>
      <c r="H1" s="27" t="s">
        <v>2</v>
      </c>
      <c r="I1" s="73"/>
      <c r="J1" s="73"/>
    </row>
    <row r="2" spans="1:11" ht="76.5" x14ac:dyDescent="0.25">
      <c r="A2" s="44" t="s">
        <v>3</v>
      </c>
      <c r="B2" s="3"/>
      <c r="C2" s="3"/>
      <c r="D2" s="30" t="s">
        <v>193</v>
      </c>
      <c r="E2" s="161" t="s">
        <v>30</v>
      </c>
      <c r="F2" s="162"/>
      <c r="G2" s="163"/>
      <c r="H2" s="58">
        <f>SUM(H3:H12)</f>
        <v>0</v>
      </c>
      <c r="I2" s="68"/>
      <c r="J2" s="66"/>
    </row>
    <row r="3" spans="1:11" x14ac:dyDescent="0.25">
      <c r="A3" s="31"/>
      <c r="B3" s="32" t="s">
        <v>194</v>
      </c>
      <c r="C3" s="2" t="s">
        <v>4</v>
      </c>
      <c r="D3" s="41" t="s">
        <v>195</v>
      </c>
      <c r="E3" s="48">
        <v>103</v>
      </c>
      <c r="F3" s="93"/>
      <c r="G3" s="36">
        <v>2</v>
      </c>
      <c r="H3" s="35">
        <f>(E3*F3)*G3</f>
        <v>0</v>
      </c>
      <c r="I3" s="74"/>
      <c r="J3" s="75"/>
      <c r="K3" s="77"/>
    </row>
    <row r="4" spans="1:11" x14ac:dyDescent="0.25">
      <c r="A4" s="31"/>
      <c r="B4" s="32" t="s">
        <v>196</v>
      </c>
      <c r="C4" s="1"/>
      <c r="D4" s="45" t="s">
        <v>197</v>
      </c>
      <c r="E4" s="49">
        <v>59</v>
      </c>
      <c r="F4" s="93"/>
      <c r="G4" s="36">
        <v>2</v>
      </c>
      <c r="H4" s="35">
        <f>(E4*F4)*G4</f>
        <v>0</v>
      </c>
      <c r="I4" s="74"/>
      <c r="J4" s="75"/>
      <c r="K4" s="77"/>
    </row>
    <row r="5" spans="1:11" x14ac:dyDescent="0.25">
      <c r="A5" s="31"/>
      <c r="B5" s="32" t="s">
        <v>198</v>
      </c>
      <c r="C5" s="1"/>
      <c r="D5" s="41" t="s">
        <v>199</v>
      </c>
      <c r="E5" s="48">
        <v>58</v>
      </c>
      <c r="F5" s="93"/>
      <c r="G5" s="36">
        <v>2</v>
      </c>
      <c r="H5" s="35">
        <f t="shared" ref="H5:H12" si="0">(E5*F5)*G5</f>
        <v>0</v>
      </c>
      <c r="I5" s="74"/>
      <c r="J5" s="75"/>
      <c r="K5" s="77"/>
    </row>
    <row r="6" spans="1:11" x14ac:dyDescent="0.25">
      <c r="A6" s="31"/>
      <c r="B6" s="32" t="s">
        <v>200</v>
      </c>
      <c r="C6" s="1"/>
      <c r="D6" s="41" t="s">
        <v>201</v>
      </c>
      <c r="E6" s="48">
        <v>170</v>
      </c>
      <c r="F6" s="93"/>
      <c r="G6" s="36">
        <v>2</v>
      </c>
      <c r="H6" s="35">
        <f t="shared" si="0"/>
        <v>0</v>
      </c>
      <c r="I6" s="74"/>
      <c r="J6" s="75"/>
      <c r="K6" s="77"/>
    </row>
    <row r="7" spans="1:11" x14ac:dyDescent="0.25">
      <c r="A7" s="31"/>
      <c r="B7" s="32" t="s">
        <v>202</v>
      </c>
      <c r="C7" s="1"/>
      <c r="D7" s="41" t="s">
        <v>203</v>
      </c>
      <c r="E7" s="48">
        <v>216</v>
      </c>
      <c r="F7" s="93"/>
      <c r="G7" s="36">
        <v>2</v>
      </c>
      <c r="H7" s="35">
        <f t="shared" si="0"/>
        <v>0</v>
      </c>
      <c r="I7" s="74"/>
      <c r="J7" s="75"/>
      <c r="K7" s="77"/>
    </row>
    <row r="8" spans="1:11" x14ac:dyDescent="0.25">
      <c r="A8" s="31"/>
      <c r="B8" s="32" t="s">
        <v>204</v>
      </c>
      <c r="C8" s="2"/>
      <c r="D8" s="41" t="s">
        <v>205</v>
      </c>
      <c r="E8" s="50">
        <v>64</v>
      </c>
      <c r="F8" s="93"/>
      <c r="G8" s="36">
        <v>2</v>
      </c>
      <c r="H8" s="35">
        <f t="shared" si="0"/>
        <v>0</v>
      </c>
      <c r="I8" s="74"/>
      <c r="J8" s="75"/>
      <c r="K8" s="77"/>
    </row>
    <row r="9" spans="1:11" x14ac:dyDescent="0.25">
      <c r="A9" s="31"/>
      <c r="B9" s="32" t="s">
        <v>206</v>
      </c>
      <c r="C9" s="2"/>
      <c r="D9" s="46" t="s">
        <v>207</v>
      </c>
      <c r="E9" s="2">
        <v>227</v>
      </c>
      <c r="F9" s="93"/>
      <c r="G9" s="36">
        <v>2</v>
      </c>
      <c r="H9" s="35">
        <f t="shared" si="0"/>
        <v>0</v>
      </c>
      <c r="I9" s="74"/>
      <c r="J9" s="75"/>
      <c r="K9" s="77"/>
    </row>
    <row r="10" spans="1:11" x14ac:dyDescent="0.25">
      <c r="A10" s="31"/>
      <c r="B10" s="32" t="s">
        <v>208</v>
      </c>
      <c r="C10" s="2"/>
      <c r="D10" s="41" t="s">
        <v>209</v>
      </c>
      <c r="E10" s="34">
        <v>88</v>
      </c>
      <c r="F10" s="93"/>
      <c r="G10" s="36">
        <v>2</v>
      </c>
      <c r="H10" s="35">
        <f t="shared" si="0"/>
        <v>0</v>
      </c>
      <c r="I10" s="74"/>
      <c r="J10" s="75"/>
      <c r="K10" s="77"/>
    </row>
    <row r="11" spans="1:11" x14ac:dyDescent="0.25">
      <c r="A11" s="31"/>
      <c r="B11" s="32" t="s">
        <v>210</v>
      </c>
      <c r="C11" s="2"/>
      <c r="D11" s="41" t="s">
        <v>211</v>
      </c>
      <c r="E11" s="34">
        <v>24</v>
      </c>
      <c r="F11" s="93"/>
      <c r="G11" s="36">
        <v>2</v>
      </c>
      <c r="H11" s="35">
        <f t="shared" si="0"/>
        <v>0</v>
      </c>
      <c r="I11" s="74"/>
      <c r="J11" s="75"/>
      <c r="K11" s="77"/>
    </row>
    <row r="12" spans="1:11" x14ac:dyDescent="0.25">
      <c r="A12" s="31"/>
      <c r="B12" s="32" t="s">
        <v>212</v>
      </c>
      <c r="C12" s="2"/>
      <c r="D12" s="41" t="s">
        <v>213</v>
      </c>
      <c r="E12" s="34">
        <v>57</v>
      </c>
      <c r="F12" s="93"/>
      <c r="G12" s="36">
        <v>2</v>
      </c>
      <c r="H12" s="35">
        <f t="shared" si="0"/>
        <v>0</v>
      </c>
      <c r="I12" s="74"/>
      <c r="J12" s="75"/>
      <c r="K12" s="77"/>
    </row>
    <row r="13" spans="1:11" x14ac:dyDescent="0.25">
      <c r="A13" s="42"/>
      <c r="B13" s="42"/>
      <c r="C13" s="42"/>
      <c r="D13" s="42"/>
      <c r="E13" s="42"/>
      <c r="F13" s="42"/>
      <c r="G13" s="42"/>
      <c r="H13" s="42"/>
    </row>
    <row r="16" spans="1:11" x14ac:dyDescent="0.25">
      <c r="A16" s="47" t="s">
        <v>4</v>
      </c>
    </row>
  </sheetData>
  <mergeCells count="1">
    <mergeCell ref="E2:G2"/>
  </mergeCells>
  <pageMargins left="0.23622047244094488" right="0.23622047244094488" top="0.3543307086614173" bottom="0.19685039370078741" header="0.11811023622047244" footer="0.31496062992125984"/>
  <pageSetup paperSize="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tabColor rgb="FF0070C0"/>
  </sheetPr>
  <dimension ref="A1:N47"/>
  <sheetViews>
    <sheetView zoomScaleNormal="100" workbookViewId="0">
      <selection activeCell="E3" sqref="E3:E47"/>
    </sheetView>
  </sheetViews>
  <sheetFormatPr defaultColWidth="9.140625" defaultRowHeight="15" x14ac:dyDescent="0.25"/>
  <cols>
    <col min="1" max="3" width="9.140625" customWidth="1"/>
    <col min="4" max="4" width="40.7109375" customWidth="1"/>
    <col min="5" max="5" width="9.140625" customWidth="1"/>
    <col min="6" max="6" width="10" customWidth="1"/>
    <col min="7" max="7" width="9.140625" customWidth="1"/>
    <col min="8" max="8" width="13" customWidth="1"/>
    <col min="9" max="9" width="14" style="66" customWidth="1"/>
    <col min="10" max="10" width="9.140625" style="66"/>
    <col min="257" max="259" width="9.140625" customWidth="1"/>
    <col min="260" max="260" width="40.7109375" customWidth="1"/>
    <col min="261" max="263" width="9.140625" customWidth="1"/>
    <col min="264" max="264" width="10.7109375" bestFit="1" customWidth="1"/>
    <col min="513" max="515" width="9.140625" customWidth="1"/>
    <col min="516" max="516" width="40.7109375" customWidth="1"/>
    <col min="517" max="519" width="9.140625" customWidth="1"/>
    <col min="520" max="520" width="10.7109375" bestFit="1" customWidth="1"/>
    <col min="769" max="771" width="9.140625" customWidth="1"/>
    <col min="772" max="772" width="40.7109375" customWidth="1"/>
    <col min="773" max="775" width="9.140625" customWidth="1"/>
    <col min="776" max="776" width="10.7109375" bestFit="1" customWidth="1"/>
    <col min="1025" max="1027" width="9.140625" customWidth="1"/>
    <col min="1028" max="1028" width="40.7109375" customWidth="1"/>
    <col min="1029" max="1031" width="9.140625" customWidth="1"/>
    <col min="1032" max="1032" width="10.7109375" bestFit="1" customWidth="1"/>
    <col min="1281" max="1283" width="9.140625" customWidth="1"/>
    <col min="1284" max="1284" width="40.7109375" customWidth="1"/>
    <col min="1285" max="1287" width="9.140625" customWidth="1"/>
    <col min="1288" max="1288" width="10.7109375" bestFit="1" customWidth="1"/>
    <col min="1537" max="1539" width="9.140625" customWidth="1"/>
    <col min="1540" max="1540" width="40.7109375" customWidth="1"/>
    <col min="1541" max="1543" width="9.140625" customWidth="1"/>
    <col min="1544" max="1544" width="10.7109375" bestFit="1" customWidth="1"/>
    <col min="1793" max="1795" width="9.140625" customWidth="1"/>
    <col min="1796" max="1796" width="40.7109375" customWidth="1"/>
    <col min="1797" max="1799" width="9.140625" customWidth="1"/>
    <col min="1800" max="1800" width="10.7109375" bestFit="1" customWidth="1"/>
    <col min="2049" max="2051" width="9.140625" customWidth="1"/>
    <col min="2052" max="2052" width="40.7109375" customWidth="1"/>
    <col min="2053" max="2055" width="9.140625" customWidth="1"/>
    <col min="2056" max="2056" width="10.7109375" bestFit="1" customWidth="1"/>
    <col min="2305" max="2307" width="9.140625" customWidth="1"/>
    <col min="2308" max="2308" width="40.7109375" customWidth="1"/>
    <col min="2309" max="2311" width="9.140625" customWidth="1"/>
    <col min="2312" max="2312" width="10.7109375" bestFit="1" customWidth="1"/>
    <col min="2561" max="2563" width="9.140625" customWidth="1"/>
    <col min="2564" max="2564" width="40.7109375" customWidth="1"/>
    <col min="2565" max="2567" width="9.140625" customWidth="1"/>
    <col min="2568" max="2568" width="10.7109375" bestFit="1" customWidth="1"/>
    <col min="2817" max="2819" width="9.140625" customWidth="1"/>
    <col min="2820" max="2820" width="40.7109375" customWidth="1"/>
    <col min="2821" max="2823" width="9.140625" customWidth="1"/>
    <col min="2824" max="2824" width="10.7109375" bestFit="1" customWidth="1"/>
    <col min="3073" max="3075" width="9.140625" customWidth="1"/>
    <col min="3076" max="3076" width="40.7109375" customWidth="1"/>
    <col min="3077" max="3079" width="9.140625" customWidth="1"/>
    <col min="3080" max="3080" width="10.7109375" bestFit="1" customWidth="1"/>
    <col min="3329" max="3331" width="9.140625" customWidth="1"/>
    <col min="3332" max="3332" width="40.7109375" customWidth="1"/>
    <col min="3333" max="3335" width="9.140625" customWidth="1"/>
    <col min="3336" max="3336" width="10.7109375" bestFit="1" customWidth="1"/>
    <col min="3585" max="3587" width="9.140625" customWidth="1"/>
    <col min="3588" max="3588" width="40.7109375" customWidth="1"/>
    <col min="3589" max="3591" width="9.140625" customWidth="1"/>
    <col min="3592" max="3592" width="10.7109375" bestFit="1" customWidth="1"/>
    <col min="3841" max="3843" width="9.140625" customWidth="1"/>
    <col min="3844" max="3844" width="40.7109375" customWidth="1"/>
    <col min="3845" max="3847" width="9.140625" customWidth="1"/>
    <col min="3848" max="3848" width="10.7109375" bestFit="1" customWidth="1"/>
    <col min="4097" max="4099" width="9.140625" customWidth="1"/>
    <col min="4100" max="4100" width="40.7109375" customWidth="1"/>
    <col min="4101" max="4103" width="9.140625" customWidth="1"/>
    <col min="4104" max="4104" width="10.7109375" bestFit="1" customWidth="1"/>
    <col min="4353" max="4355" width="9.140625" customWidth="1"/>
    <col min="4356" max="4356" width="40.7109375" customWidth="1"/>
    <col min="4357" max="4359" width="9.140625" customWidth="1"/>
    <col min="4360" max="4360" width="10.7109375" bestFit="1" customWidth="1"/>
    <col min="4609" max="4611" width="9.140625" customWidth="1"/>
    <col min="4612" max="4612" width="40.7109375" customWidth="1"/>
    <col min="4613" max="4615" width="9.140625" customWidth="1"/>
    <col min="4616" max="4616" width="10.7109375" bestFit="1" customWidth="1"/>
    <col min="4865" max="4867" width="9.140625" customWidth="1"/>
    <col min="4868" max="4868" width="40.7109375" customWidth="1"/>
    <col min="4869" max="4871" width="9.140625" customWidth="1"/>
    <col min="4872" max="4872" width="10.7109375" bestFit="1" customWidth="1"/>
    <col min="5121" max="5123" width="9.140625" customWidth="1"/>
    <col min="5124" max="5124" width="40.7109375" customWidth="1"/>
    <col min="5125" max="5127" width="9.140625" customWidth="1"/>
    <col min="5128" max="5128" width="10.7109375" bestFit="1" customWidth="1"/>
    <col min="5377" max="5379" width="9.140625" customWidth="1"/>
    <col min="5380" max="5380" width="40.7109375" customWidth="1"/>
    <col min="5381" max="5383" width="9.140625" customWidth="1"/>
    <col min="5384" max="5384" width="10.7109375" bestFit="1" customWidth="1"/>
    <col min="5633" max="5635" width="9.140625" customWidth="1"/>
    <col min="5636" max="5636" width="40.7109375" customWidth="1"/>
    <col min="5637" max="5639" width="9.140625" customWidth="1"/>
    <col min="5640" max="5640" width="10.7109375" bestFit="1" customWidth="1"/>
    <col min="5889" max="5891" width="9.140625" customWidth="1"/>
    <col min="5892" max="5892" width="40.7109375" customWidth="1"/>
    <col min="5893" max="5895" width="9.140625" customWidth="1"/>
    <col min="5896" max="5896" width="10.7109375" bestFit="1" customWidth="1"/>
    <col min="6145" max="6147" width="9.140625" customWidth="1"/>
    <col min="6148" max="6148" width="40.7109375" customWidth="1"/>
    <col min="6149" max="6151" width="9.140625" customWidth="1"/>
    <col min="6152" max="6152" width="10.7109375" bestFit="1" customWidth="1"/>
    <col min="6401" max="6403" width="9.140625" customWidth="1"/>
    <col min="6404" max="6404" width="40.7109375" customWidth="1"/>
    <col min="6405" max="6407" width="9.140625" customWidth="1"/>
    <col min="6408" max="6408" width="10.7109375" bestFit="1" customWidth="1"/>
    <col min="6657" max="6659" width="9.140625" customWidth="1"/>
    <col min="6660" max="6660" width="40.7109375" customWidth="1"/>
    <col min="6661" max="6663" width="9.140625" customWidth="1"/>
    <col min="6664" max="6664" width="10.7109375" bestFit="1" customWidth="1"/>
    <col min="6913" max="6915" width="9.140625" customWidth="1"/>
    <col min="6916" max="6916" width="40.7109375" customWidth="1"/>
    <col min="6917" max="6919" width="9.140625" customWidth="1"/>
    <col min="6920" max="6920" width="10.7109375" bestFit="1" customWidth="1"/>
    <col min="7169" max="7171" width="9.140625" customWidth="1"/>
    <col min="7172" max="7172" width="40.7109375" customWidth="1"/>
    <col min="7173" max="7175" width="9.140625" customWidth="1"/>
    <col min="7176" max="7176" width="10.7109375" bestFit="1" customWidth="1"/>
    <col min="7425" max="7427" width="9.140625" customWidth="1"/>
    <col min="7428" max="7428" width="40.7109375" customWidth="1"/>
    <col min="7429" max="7431" width="9.140625" customWidth="1"/>
    <col min="7432" max="7432" width="10.7109375" bestFit="1" customWidth="1"/>
    <col min="7681" max="7683" width="9.140625" customWidth="1"/>
    <col min="7684" max="7684" width="40.7109375" customWidth="1"/>
    <col min="7685" max="7687" width="9.140625" customWidth="1"/>
    <col min="7688" max="7688" width="10.7109375" bestFit="1" customWidth="1"/>
    <col min="7937" max="7939" width="9.140625" customWidth="1"/>
    <col min="7940" max="7940" width="40.7109375" customWidth="1"/>
    <col min="7941" max="7943" width="9.140625" customWidth="1"/>
    <col min="7944" max="7944" width="10.7109375" bestFit="1" customWidth="1"/>
    <col min="8193" max="8195" width="9.140625" customWidth="1"/>
    <col min="8196" max="8196" width="40.7109375" customWidth="1"/>
    <col min="8197" max="8199" width="9.140625" customWidth="1"/>
    <col min="8200" max="8200" width="10.7109375" bestFit="1" customWidth="1"/>
    <col min="8449" max="8451" width="9.140625" customWidth="1"/>
    <col min="8452" max="8452" width="40.7109375" customWidth="1"/>
    <col min="8453" max="8455" width="9.140625" customWidth="1"/>
    <col min="8456" max="8456" width="10.7109375" bestFit="1" customWidth="1"/>
    <col min="8705" max="8707" width="9.140625" customWidth="1"/>
    <col min="8708" max="8708" width="40.7109375" customWidth="1"/>
    <col min="8709" max="8711" width="9.140625" customWidth="1"/>
    <col min="8712" max="8712" width="10.7109375" bestFit="1" customWidth="1"/>
    <col min="8961" max="8963" width="9.140625" customWidth="1"/>
    <col min="8964" max="8964" width="40.7109375" customWidth="1"/>
    <col min="8965" max="8967" width="9.140625" customWidth="1"/>
    <col min="8968" max="8968" width="10.7109375" bestFit="1" customWidth="1"/>
    <col min="9217" max="9219" width="9.140625" customWidth="1"/>
    <col min="9220" max="9220" width="40.7109375" customWidth="1"/>
    <col min="9221" max="9223" width="9.140625" customWidth="1"/>
    <col min="9224" max="9224" width="10.7109375" bestFit="1" customWidth="1"/>
    <col min="9473" max="9475" width="9.140625" customWidth="1"/>
    <col min="9476" max="9476" width="40.7109375" customWidth="1"/>
    <col min="9477" max="9479" width="9.140625" customWidth="1"/>
    <col min="9480" max="9480" width="10.7109375" bestFit="1" customWidth="1"/>
    <col min="9729" max="9731" width="9.140625" customWidth="1"/>
    <col min="9732" max="9732" width="40.7109375" customWidth="1"/>
    <col min="9733" max="9735" width="9.140625" customWidth="1"/>
    <col min="9736" max="9736" width="10.7109375" bestFit="1" customWidth="1"/>
    <col min="9985" max="9987" width="9.140625" customWidth="1"/>
    <col min="9988" max="9988" width="40.7109375" customWidth="1"/>
    <col min="9989" max="9991" width="9.140625" customWidth="1"/>
    <col min="9992" max="9992" width="10.7109375" bestFit="1" customWidth="1"/>
    <col min="10241" max="10243" width="9.140625" customWidth="1"/>
    <col min="10244" max="10244" width="40.7109375" customWidth="1"/>
    <col min="10245" max="10247" width="9.140625" customWidth="1"/>
    <col min="10248" max="10248" width="10.7109375" bestFit="1" customWidth="1"/>
    <col min="10497" max="10499" width="9.140625" customWidth="1"/>
    <col min="10500" max="10500" width="40.7109375" customWidth="1"/>
    <col min="10501" max="10503" width="9.140625" customWidth="1"/>
    <col min="10504" max="10504" width="10.7109375" bestFit="1" customWidth="1"/>
    <col min="10753" max="10755" width="9.140625" customWidth="1"/>
    <col min="10756" max="10756" width="40.7109375" customWidth="1"/>
    <col min="10757" max="10759" width="9.140625" customWidth="1"/>
    <col min="10760" max="10760" width="10.7109375" bestFit="1" customWidth="1"/>
    <col min="11009" max="11011" width="9.140625" customWidth="1"/>
    <col min="11012" max="11012" width="40.7109375" customWidth="1"/>
    <col min="11013" max="11015" width="9.140625" customWidth="1"/>
    <col min="11016" max="11016" width="10.7109375" bestFit="1" customWidth="1"/>
    <col min="11265" max="11267" width="9.140625" customWidth="1"/>
    <col min="11268" max="11268" width="40.7109375" customWidth="1"/>
    <col min="11269" max="11271" width="9.140625" customWidth="1"/>
    <col min="11272" max="11272" width="10.7109375" bestFit="1" customWidth="1"/>
    <col min="11521" max="11523" width="9.140625" customWidth="1"/>
    <col min="11524" max="11524" width="40.7109375" customWidth="1"/>
    <col min="11525" max="11527" width="9.140625" customWidth="1"/>
    <col min="11528" max="11528" width="10.7109375" bestFit="1" customWidth="1"/>
    <col min="11777" max="11779" width="9.140625" customWidth="1"/>
    <col min="11780" max="11780" width="40.7109375" customWidth="1"/>
    <col min="11781" max="11783" width="9.140625" customWidth="1"/>
    <col min="11784" max="11784" width="10.7109375" bestFit="1" customWidth="1"/>
    <col min="12033" max="12035" width="9.140625" customWidth="1"/>
    <col min="12036" max="12036" width="40.7109375" customWidth="1"/>
    <col min="12037" max="12039" width="9.140625" customWidth="1"/>
    <col min="12040" max="12040" width="10.7109375" bestFit="1" customWidth="1"/>
    <col min="12289" max="12291" width="9.140625" customWidth="1"/>
    <col min="12292" max="12292" width="40.7109375" customWidth="1"/>
    <col min="12293" max="12295" width="9.140625" customWidth="1"/>
    <col min="12296" max="12296" width="10.7109375" bestFit="1" customWidth="1"/>
    <col min="12545" max="12547" width="9.140625" customWidth="1"/>
    <col min="12548" max="12548" width="40.7109375" customWidth="1"/>
    <col min="12549" max="12551" width="9.140625" customWidth="1"/>
    <col min="12552" max="12552" width="10.7109375" bestFit="1" customWidth="1"/>
    <col min="12801" max="12803" width="9.140625" customWidth="1"/>
    <col min="12804" max="12804" width="40.7109375" customWidth="1"/>
    <col min="12805" max="12807" width="9.140625" customWidth="1"/>
    <col min="12808" max="12808" width="10.7109375" bestFit="1" customWidth="1"/>
    <col min="13057" max="13059" width="9.140625" customWidth="1"/>
    <col min="13060" max="13060" width="40.7109375" customWidth="1"/>
    <col min="13061" max="13063" width="9.140625" customWidth="1"/>
    <col min="13064" max="13064" width="10.7109375" bestFit="1" customWidth="1"/>
    <col min="13313" max="13315" width="9.140625" customWidth="1"/>
    <col min="13316" max="13316" width="40.7109375" customWidth="1"/>
    <col min="13317" max="13319" width="9.140625" customWidth="1"/>
    <col min="13320" max="13320" width="10.7109375" bestFit="1" customWidth="1"/>
    <col min="13569" max="13571" width="9.140625" customWidth="1"/>
    <col min="13572" max="13572" width="40.7109375" customWidth="1"/>
    <col min="13573" max="13575" width="9.140625" customWidth="1"/>
    <col min="13576" max="13576" width="10.7109375" bestFit="1" customWidth="1"/>
    <col min="13825" max="13827" width="9.140625" customWidth="1"/>
    <col min="13828" max="13828" width="40.7109375" customWidth="1"/>
    <col min="13829" max="13831" width="9.140625" customWidth="1"/>
    <col min="13832" max="13832" width="10.7109375" bestFit="1" customWidth="1"/>
    <col min="14081" max="14083" width="9.140625" customWidth="1"/>
    <col min="14084" max="14084" width="40.7109375" customWidth="1"/>
    <col min="14085" max="14087" width="9.140625" customWidth="1"/>
    <col min="14088" max="14088" width="10.7109375" bestFit="1" customWidth="1"/>
    <col min="14337" max="14339" width="9.140625" customWidth="1"/>
    <col min="14340" max="14340" width="40.7109375" customWidth="1"/>
    <col min="14341" max="14343" width="9.140625" customWidth="1"/>
    <col min="14344" max="14344" width="10.7109375" bestFit="1" customWidth="1"/>
    <col min="14593" max="14595" width="9.140625" customWidth="1"/>
    <col min="14596" max="14596" width="40.7109375" customWidth="1"/>
    <col min="14597" max="14599" width="9.140625" customWidth="1"/>
    <col min="14600" max="14600" width="10.7109375" bestFit="1" customWidth="1"/>
    <col min="14849" max="14851" width="9.140625" customWidth="1"/>
    <col min="14852" max="14852" width="40.7109375" customWidth="1"/>
    <col min="14853" max="14855" width="9.140625" customWidth="1"/>
    <col min="14856" max="14856" width="10.7109375" bestFit="1" customWidth="1"/>
    <col min="15105" max="15107" width="9.140625" customWidth="1"/>
    <col min="15108" max="15108" width="40.7109375" customWidth="1"/>
    <col min="15109" max="15111" width="9.140625" customWidth="1"/>
    <col min="15112" max="15112" width="10.7109375" bestFit="1" customWidth="1"/>
    <col min="15361" max="15363" width="9.140625" customWidth="1"/>
    <col min="15364" max="15364" width="40.7109375" customWidth="1"/>
    <col min="15365" max="15367" width="9.140625" customWidth="1"/>
    <col min="15368" max="15368" width="10.7109375" bestFit="1" customWidth="1"/>
    <col min="15617" max="15619" width="9.140625" customWidth="1"/>
    <col min="15620" max="15620" width="40.7109375" customWidth="1"/>
    <col min="15621" max="15623" width="9.140625" customWidth="1"/>
    <col min="15624" max="15624" width="10.7109375" bestFit="1" customWidth="1"/>
    <col min="15873" max="15875" width="9.140625" customWidth="1"/>
    <col min="15876" max="15876" width="40.7109375" customWidth="1"/>
    <col min="15877" max="15879" width="9.140625" customWidth="1"/>
    <col min="15880" max="15880" width="10.7109375" bestFit="1" customWidth="1"/>
    <col min="16129" max="16131" width="9.140625" customWidth="1"/>
    <col min="16132" max="16132" width="40.7109375" customWidth="1"/>
    <col min="16133" max="16135" width="9.140625" customWidth="1"/>
    <col min="16136" max="16136" width="10.7109375" bestFit="1" customWidth="1"/>
  </cols>
  <sheetData>
    <row r="1" spans="1:14" ht="61.5" customHeight="1" x14ac:dyDescent="0.25">
      <c r="A1" s="25" t="s">
        <v>0</v>
      </c>
      <c r="B1" s="25" t="s">
        <v>24</v>
      </c>
      <c r="C1" s="25" t="s">
        <v>25</v>
      </c>
      <c r="D1" s="26" t="s">
        <v>1</v>
      </c>
      <c r="E1" s="27" t="s">
        <v>26</v>
      </c>
      <c r="F1" s="27" t="s">
        <v>319</v>
      </c>
      <c r="G1" s="27" t="s">
        <v>28</v>
      </c>
      <c r="H1" s="27" t="s">
        <v>216</v>
      </c>
      <c r="I1" s="73"/>
      <c r="J1" s="73"/>
    </row>
    <row r="2" spans="1:14" ht="63.75" x14ac:dyDescent="0.25">
      <c r="A2" s="44" t="s">
        <v>5</v>
      </c>
      <c r="B2" s="3"/>
      <c r="C2" s="3"/>
      <c r="D2" s="30" t="s">
        <v>29</v>
      </c>
      <c r="E2" s="161" t="s">
        <v>30</v>
      </c>
      <c r="F2" s="162"/>
      <c r="G2" s="163"/>
      <c r="H2" s="58">
        <f>SUM(H3:H47)</f>
        <v>0</v>
      </c>
      <c r="I2" s="68"/>
    </row>
    <row r="3" spans="1:14" ht="15.75" x14ac:dyDescent="0.25">
      <c r="A3" s="31"/>
      <c r="B3" s="95" t="s">
        <v>31</v>
      </c>
      <c r="C3" s="95"/>
      <c r="D3" s="96" t="s">
        <v>235</v>
      </c>
      <c r="E3" s="97">
        <v>124</v>
      </c>
      <c r="F3" s="94"/>
      <c r="G3" s="98">
        <v>4</v>
      </c>
      <c r="H3" s="35">
        <f>(E3*F3)*G3</f>
        <v>0</v>
      </c>
      <c r="I3" s="74"/>
      <c r="J3" s="75"/>
      <c r="K3" s="77"/>
      <c r="N3" t="s">
        <v>4</v>
      </c>
    </row>
    <row r="4" spans="1:14" ht="15.75" x14ac:dyDescent="0.25">
      <c r="A4" s="31"/>
      <c r="B4" s="95" t="s">
        <v>33</v>
      </c>
      <c r="C4" s="95"/>
      <c r="D4" s="96" t="s">
        <v>34</v>
      </c>
      <c r="E4" s="97">
        <v>124</v>
      </c>
      <c r="F4" s="94"/>
      <c r="G4" s="98">
        <v>4</v>
      </c>
      <c r="H4" s="35">
        <f>(E4*F4)*G4</f>
        <v>0</v>
      </c>
      <c r="I4" s="74"/>
      <c r="J4" s="75"/>
      <c r="K4" s="77"/>
      <c r="N4" t="s">
        <v>4</v>
      </c>
    </row>
    <row r="5" spans="1:14" ht="15.75" x14ac:dyDescent="0.25">
      <c r="A5" s="31"/>
      <c r="B5" s="95" t="s">
        <v>35</v>
      </c>
      <c r="C5" s="95"/>
      <c r="D5" s="96" t="s">
        <v>236</v>
      </c>
      <c r="E5" s="97">
        <v>81</v>
      </c>
      <c r="F5" s="94"/>
      <c r="G5" s="98">
        <v>4</v>
      </c>
      <c r="H5" s="35">
        <f>(E5*F5)*G5</f>
        <v>0</v>
      </c>
      <c r="I5" s="74"/>
      <c r="J5" s="75"/>
      <c r="K5" s="77"/>
      <c r="N5" t="s">
        <v>4</v>
      </c>
    </row>
    <row r="6" spans="1:14" ht="15.75" x14ac:dyDescent="0.25">
      <c r="A6" s="31"/>
      <c r="B6" s="95" t="s">
        <v>37</v>
      </c>
      <c r="C6" s="95"/>
      <c r="D6" s="96" t="s">
        <v>231</v>
      </c>
      <c r="E6" s="97">
        <v>417</v>
      </c>
      <c r="F6" s="94"/>
      <c r="G6" s="98">
        <v>4</v>
      </c>
      <c r="H6" s="35">
        <f>(E6*F6)*G6</f>
        <v>0</v>
      </c>
      <c r="I6" s="74"/>
      <c r="J6" s="75"/>
      <c r="K6" s="77"/>
      <c r="N6" t="s">
        <v>4</v>
      </c>
    </row>
    <row r="7" spans="1:14" ht="15.75" x14ac:dyDescent="0.25">
      <c r="A7" s="31"/>
      <c r="B7" s="95" t="s">
        <v>38</v>
      </c>
      <c r="C7" s="95"/>
      <c r="D7" s="96" t="s">
        <v>39</v>
      </c>
      <c r="E7" s="98">
        <v>155</v>
      </c>
      <c r="F7" s="94"/>
      <c r="G7" s="98">
        <v>4</v>
      </c>
      <c r="H7" s="35">
        <f t="shared" ref="H7:H47" si="0">(E7*F7)*G7</f>
        <v>0</v>
      </c>
      <c r="I7" s="74"/>
      <c r="J7" s="75"/>
      <c r="K7" s="77"/>
    </row>
    <row r="8" spans="1:14" ht="15.75" x14ac:dyDescent="0.25">
      <c r="A8" s="31"/>
      <c r="B8" s="95" t="s">
        <v>40</v>
      </c>
      <c r="C8" s="95"/>
      <c r="D8" s="96" t="s">
        <v>237</v>
      </c>
      <c r="E8" s="98">
        <v>264</v>
      </c>
      <c r="F8" s="94"/>
      <c r="G8" s="98">
        <v>4</v>
      </c>
      <c r="H8" s="35">
        <f t="shared" si="0"/>
        <v>0</v>
      </c>
      <c r="I8" s="74"/>
      <c r="J8" s="75"/>
      <c r="K8" s="77"/>
    </row>
    <row r="9" spans="1:14" ht="15.75" x14ac:dyDescent="0.25">
      <c r="A9" s="31"/>
      <c r="B9" s="95" t="s">
        <v>42</v>
      </c>
      <c r="C9" s="95"/>
      <c r="D9" s="96" t="s">
        <v>43</v>
      </c>
      <c r="E9" s="98">
        <v>0</v>
      </c>
      <c r="F9" s="94"/>
      <c r="G9" s="98">
        <v>4</v>
      </c>
      <c r="H9" s="35">
        <f t="shared" si="0"/>
        <v>0</v>
      </c>
      <c r="I9" s="74"/>
      <c r="J9" s="75"/>
      <c r="K9" s="77"/>
    </row>
    <row r="10" spans="1:14" ht="15.75" x14ac:dyDescent="0.25">
      <c r="A10" s="31"/>
      <c r="B10" s="95" t="s">
        <v>44</v>
      </c>
      <c r="C10" s="95"/>
      <c r="D10" s="96" t="s">
        <v>238</v>
      </c>
      <c r="E10" s="98">
        <v>4823</v>
      </c>
      <c r="F10" s="94"/>
      <c r="G10" s="98">
        <v>4</v>
      </c>
      <c r="H10" s="35">
        <f t="shared" si="0"/>
        <v>0</v>
      </c>
      <c r="I10" s="74"/>
      <c r="J10" s="75"/>
      <c r="K10" s="77"/>
    </row>
    <row r="11" spans="1:14" ht="15.75" x14ac:dyDescent="0.25">
      <c r="A11" s="31"/>
      <c r="B11" s="95" t="s">
        <v>46</v>
      </c>
      <c r="C11" s="95"/>
      <c r="D11" s="96" t="s">
        <v>239</v>
      </c>
      <c r="E11" s="98">
        <v>0</v>
      </c>
      <c r="F11" s="94"/>
      <c r="G11" s="98">
        <v>4</v>
      </c>
      <c r="H11" s="35">
        <f t="shared" si="0"/>
        <v>0</v>
      </c>
      <c r="I11" s="74"/>
      <c r="J11" s="75"/>
      <c r="K11" s="77"/>
    </row>
    <row r="12" spans="1:14" ht="15.75" x14ac:dyDescent="0.25">
      <c r="A12" s="31"/>
      <c r="B12" s="95" t="s">
        <v>48</v>
      </c>
      <c r="C12" s="95"/>
      <c r="D12" s="96" t="s">
        <v>240</v>
      </c>
      <c r="E12" s="98">
        <v>0</v>
      </c>
      <c r="F12" s="94"/>
      <c r="G12" s="98">
        <v>4</v>
      </c>
      <c r="H12" s="35">
        <f t="shared" si="0"/>
        <v>0</v>
      </c>
      <c r="I12" s="74"/>
      <c r="J12" s="75"/>
      <c r="K12" s="77"/>
    </row>
    <row r="13" spans="1:14" ht="15.75" x14ac:dyDescent="0.25">
      <c r="A13" s="31"/>
      <c r="B13" s="95" t="s">
        <v>50</v>
      </c>
      <c r="C13" s="95"/>
      <c r="D13" s="96" t="s">
        <v>241</v>
      </c>
      <c r="E13" s="98">
        <v>0</v>
      </c>
      <c r="F13" s="94"/>
      <c r="G13" s="98">
        <v>4</v>
      </c>
      <c r="H13" s="35">
        <f t="shared" si="0"/>
        <v>0</v>
      </c>
      <c r="I13" s="74"/>
      <c r="J13" s="75"/>
      <c r="K13" s="77"/>
    </row>
    <row r="14" spans="1:14" ht="15.75" x14ac:dyDescent="0.25">
      <c r="A14" s="31"/>
      <c r="B14" s="95" t="s">
        <v>52</v>
      </c>
      <c r="C14" s="95"/>
      <c r="D14" s="96" t="s">
        <v>242</v>
      </c>
      <c r="E14" s="98">
        <v>831</v>
      </c>
      <c r="F14" s="94"/>
      <c r="G14" s="98">
        <v>4</v>
      </c>
      <c r="H14" s="35">
        <f t="shared" si="0"/>
        <v>0</v>
      </c>
      <c r="I14" s="74"/>
      <c r="J14" s="75"/>
      <c r="K14" s="77"/>
    </row>
    <row r="15" spans="1:14" ht="15.75" x14ac:dyDescent="0.25">
      <c r="A15" s="31"/>
      <c r="B15" s="95" t="s">
        <v>54</v>
      </c>
      <c r="C15" s="95"/>
      <c r="D15" s="96" t="s">
        <v>55</v>
      </c>
      <c r="E15" s="98">
        <v>0</v>
      </c>
      <c r="F15" s="94"/>
      <c r="G15" s="98">
        <v>4</v>
      </c>
      <c r="H15" s="35">
        <f t="shared" si="0"/>
        <v>0</v>
      </c>
      <c r="I15" s="74"/>
      <c r="J15" s="75"/>
      <c r="K15" s="77"/>
    </row>
    <row r="16" spans="1:14" ht="15.75" x14ac:dyDescent="0.25">
      <c r="A16" s="31"/>
      <c r="B16" s="95" t="s">
        <v>56</v>
      </c>
      <c r="C16" s="95"/>
      <c r="D16" s="96" t="s">
        <v>57</v>
      </c>
      <c r="E16" s="98">
        <v>0</v>
      </c>
      <c r="F16" s="94"/>
      <c r="G16" s="98">
        <v>4</v>
      </c>
      <c r="H16" s="35">
        <f t="shared" si="0"/>
        <v>0</v>
      </c>
      <c r="I16" s="74"/>
      <c r="J16" s="75"/>
      <c r="K16" s="77"/>
    </row>
    <row r="17" spans="1:11" ht="15.75" x14ac:dyDescent="0.25">
      <c r="A17" s="31"/>
      <c r="B17" s="95" t="s">
        <v>58</v>
      </c>
      <c r="C17" s="95"/>
      <c r="D17" s="96" t="s">
        <v>59</v>
      </c>
      <c r="E17" s="98">
        <v>299</v>
      </c>
      <c r="F17" s="94"/>
      <c r="G17" s="98">
        <v>4</v>
      </c>
      <c r="H17" s="35">
        <f t="shared" si="0"/>
        <v>0</v>
      </c>
      <c r="I17" s="74"/>
      <c r="J17" s="75"/>
      <c r="K17" s="77"/>
    </row>
    <row r="18" spans="1:11" ht="15.75" x14ac:dyDescent="0.25">
      <c r="A18" s="31"/>
      <c r="B18" s="95" t="s">
        <v>60</v>
      </c>
      <c r="C18" s="95"/>
      <c r="D18" s="96" t="s">
        <v>243</v>
      </c>
      <c r="E18" s="98">
        <v>42</v>
      </c>
      <c r="F18" s="94"/>
      <c r="G18" s="98">
        <v>4</v>
      </c>
      <c r="H18" s="35">
        <f t="shared" si="0"/>
        <v>0</v>
      </c>
      <c r="I18" s="74"/>
      <c r="J18" s="75"/>
      <c r="K18" s="77"/>
    </row>
    <row r="19" spans="1:11" ht="15.75" x14ac:dyDescent="0.25">
      <c r="A19" s="31"/>
      <c r="B19" s="95" t="s">
        <v>62</v>
      </c>
      <c r="C19" s="95"/>
      <c r="D19" s="96" t="s">
        <v>244</v>
      </c>
      <c r="E19" s="98">
        <v>18</v>
      </c>
      <c r="F19" s="94"/>
      <c r="G19" s="98">
        <v>4</v>
      </c>
      <c r="H19" s="35">
        <f t="shared" si="0"/>
        <v>0</v>
      </c>
      <c r="I19" s="74"/>
      <c r="J19" s="75"/>
      <c r="K19" s="77"/>
    </row>
    <row r="20" spans="1:11" ht="15.75" x14ac:dyDescent="0.25">
      <c r="A20" s="31"/>
      <c r="B20" s="95" t="s">
        <v>64</v>
      </c>
      <c r="C20" s="95"/>
      <c r="D20" s="96" t="s">
        <v>245</v>
      </c>
      <c r="E20" s="98">
        <v>11</v>
      </c>
      <c r="F20" s="94"/>
      <c r="G20" s="98">
        <v>4</v>
      </c>
      <c r="H20" s="35">
        <f t="shared" si="0"/>
        <v>0</v>
      </c>
      <c r="I20" s="74"/>
      <c r="J20" s="75"/>
      <c r="K20" s="77"/>
    </row>
    <row r="21" spans="1:11" ht="15.75" x14ac:dyDescent="0.25">
      <c r="A21" s="31"/>
      <c r="B21" s="95" t="s">
        <v>66</v>
      </c>
      <c r="C21" s="95"/>
      <c r="D21" s="96" t="s">
        <v>246</v>
      </c>
      <c r="E21" s="98">
        <v>797</v>
      </c>
      <c r="F21" s="94"/>
      <c r="G21" s="98">
        <v>4</v>
      </c>
      <c r="H21" s="35">
        <f t="shared" si="0"/>
        <v>0</v>
      </c>
      <c r="I21" s="74"/>
      <c r="J21" s="75"/>
      <c r="K21" s="77"/>
    </row>
    <row r="22" spans="1:11" ht="15.75" x14ac:dyDescent="0.25">
      <c r="A22" s="31"/>
      <c r="B22" s="95" t="s">
        <v>68</v>
      </c>
      <c r="C22" s="95"/>
      <c r="D22" s="96" t="s">
        <v>247</v>
      </c>
      <c r="E22" s="98">
        <v>1190</v>
      </c>
      <c r="F22" s="94"/>
      <c r="G22" s="98">
        <v>4</v>
      </c>
      <c r="H22" s="35">
        <f t="shared" si="0"/>
        <v>0</v>
      </c>
      <c r="I22" s="74"/>
      <c r="J22" s="75"/>
      <c r="K22" s="77"/>
    </row>
    <row r="23" spans="1:11" ht="15.75" x14ac:dyDescent="0.25">
      <c r="A23" s="31"/>
      <c r="B23" s="95" t="s">
        <v>70</v>
      </c>
      <c r="C23" s="95"/>
      <c r="D23" s="96" t="s">
        <v>248</v>
      </c>
      <c r="E23" s="98">
        <v>0</v>
      </c>
      <c r="F23" s="94"/>
      <c r="G23" s="98">
        <v>4</v>
      </c>
      <c r="H23" s="35">
        <f t="shared" si="0"/>
        <v>0</v>
      </c>
      <c r="I23" s="74"/>
      <c r="J23" s="75"/>
      <c r="K23" s="77"/>
    </row>
    <row r="24" spans="1:11" ht="15.75" x14ac:dyDescent="0.25">
      <c r="A24" s="31"/>
      <c r="B24" s="95" t="s">
        <v>72</v>
      </c>
      <c r="C24" s="95"/>
      <c r="D24" s="96" t="s">
        <v>249</v>
      </c>
      <c r="E24" s="97">
        <v>277</v>
      </c>
      <c r="F24" s="94"/>
      <c r="G24" s="98">
        <v>4</v>
      </c>
      <c r="H24" s="35">
        <f t="shared" si="0"/>
        <v>0</v>
      </c>
      <c r="I24" s="74"/>
      <c r="J24" s="75"/>
      <c r="K24" s="77"/>
    </row>
    <row r="25" spans="1:11" ht="15.75" x14ac:dyDescent="0.25">
      <c r="A25" s="13"/>
      <c r="B25" s="95" t="s">
        <v>74</v>
      </c>
      <c r="C25" s="95"/>
      <c r="D25" s="96" t="s">
        <v>75</v>
      </c>
      <c r="E25" s="97">
        <v>16</v>
      </c>
      <c r="F25" s="94"/>
      <c r="G25" s="98">
        <v>4</v>
      </c>
      <c r="H25" s="35">
        <f t="shared" si="0"/>
        <v>0</v>
      </c>
    </row>
    <row r="26" spans="1:11" ht="15.75" x14ac:dyDescent="0.25">
      <c r="A26" s="13"/>
      <c r="B26" s="95" t="s">
        <v>76</v>
      </c>
      <c r="C26" s="95"/>
      <c r="D26" s="96" t="s">
        <v>77</v>
      </c>
      <c r="E26" s="98">
        <v>0</v>
      </c>
      <c r="F26" s="94"/>
      <c r="G26" s="98">
        <v>4</v>
      </c>
      <c r="H26" s="35">
        <f t="shared" si="0"/>
        <v>0</v>
      </c>
    </row>
    <row r="27" spans="1:11" ht="15.75" x14ac:dyDescent="0.25">
      <c r="A27" s="13"/>
      <c r="B27" s="95" t="s">
        <v>78</v>
      </c>
      <c r="C27" s="95"/>
      <c r="D27" s="96" t="s">
        <v>79</v>
      </c>
      <c r="E27" s="98">
        <v>1109</v>
      </c>
      <c r="F27" s="94"/>
      <c r="G27" s="98">
        <v>2</v>
      </c>
      <c r="H27" s="35">
        <f t="shared" si="0"/>
        <v>0</v>
      </c>
    </row>
    <row r="28" spans="1:11" ht="15.75" x14ac:dyDescent="0.25">
      <c r="A28" s="13"/>
      <c r="B28" s="95" t="s">
        <v>80</v>
      </c>
      <c r="C28" s="95"/>
      <c r="D28" s="96" t="s">
        <v>81</v>
      </c>
      <c r="E28" s="98">
        <v>905</v>
      </c>
      <c r="F28" s="94"/>
      <c r="G28" s="98">
        <v>2</v>
      </c>
      <c r="H28" s="35">
        <f t="shared" si="0"/>
        <v>0</v>
      </c>
    </row>
    <row r="29" spans="1:11" ht="15.75" x14ac:dyDescent="0.25">
      <c r="A29" s="13"/>
      <c r="B29" s="95" t="s">
        <v>82</v>
      </c>
      <c r="C29" s="95"/>
      <c r="D29" s="96" t="s">
        <v>250</v>
      </c>
      <c r="E29" s="98">
        <v>0</v>
      </c>
      <c r="F29" s="94"/>
      <c r="G29" s="98">
        <v>2</v>
      </c>
      <c r="H29" s="35">
        <f t="shared" si="0"/>
        <v>0</v>
      </c>
    </row>
    <row r="30" spans="1:11" ht="15.75" x14ac:dyDescent="0.25">
      <c r="A30" s="13"/>
      <c r="B30" s="95" t="s">
        <v>84</v>
      </c>
      <c r="C30" s="95"/>
      <c r="D30" s="96" t="s">
        <v>251</v>
      </c>
      <c r="E30" s="98">
        <v>5</v>
      </c>
      <c r="F30" s="94"/>
      <c r="G30" s="98">
        <v>2</v>
      </c>
      <c r="H30" s="35">
        <f t="shared" si="0"/>
        <v>0</v>
      </c>
    </row>
    <row r="31" spans="1:11" ht="15.75" x14ac:dyDescent="0.25">
      <c r="A31" s="13"/>
      <c r="B31" s="95" t="s">
        <v>86</v>
      </c>
      <c r="C31" s="95"/>
      <c r="D31" s="96" t="s">
        <v>87</v>
      </c>
      <c r="E31" s="98">
        <v>0</v>
      </c>
      <c r="F31" s="94"/>
      <c r="G31" s="98">
        <v>2</v>
      </c>
      <c r="H31" s="35">
        <f t="shared" si="0"/>
        <v>0</v>
      </c>
    </row>
    <row r="32" spans="1:11" ht="15.75" x14ac:dyDescent="0.25">
      <c r="A32" s="13"/>
      <c r="B32" s="95" t="s">
        <v>88</v>
      </c>
      <c r="C32" s="95"/>
      <c r="D32" s="96" t="s">
        <v>252</v>
      </c>
      <c r="E32" s="98">
        <v>0</v>
      </c>
      <c r="F32" s="94"/>
      <c r="G32" s="98">
        <v>2</v>
      </c>
      <c r="H32" s="35">
        <f t="shared" si="0"/>
        <v>0</v>
      </c>
    </row>
    <row r="33" spans="1:8" ht="15.75" x14ac:dyDescent="0.25">
      <c r="A33" s="13"/>
      <c r="B33" s="95" t="s">
        <v>90</v>
      </c>
      <c r="C33" s="95"/>
      <c r="D33" s="96" t="s">
        <v>91</v>
      </c>
      <c r="E33" s="98">
        <v>117</v>
      </c>
      <c r="F33" s="94"/>
      <c r="G33" s="98">
        <v>4</v>
      </c>
      <c r="H33" s="35">
        <f t="shared" si="0"/>
        <v>0</v>
      </c>
    </row>
    <row r="34" spans="1:8" ht="15.75" x14ac:dyDescent="0.25">
      <c r="A34" s="13"/>
      <c r="B34" s="95" t="s">
        <v>92</v>
      </c>
      <c r="C34" s="95"/>
      <c r="D34" s="96" t="s">
        <v>253</v>
      </c>
      <c r="E34" s="98">
        <v>117</v>
      </c>
      <c r="F34" s="94"/>
      <c r="G34" s="98">
        <v>4</v>
      </c>
      <c r="H34" s="35">
        <f t="shared" si="0"/>
        <v>0</v>
      </c>
    </row>
    <row r="35" spans="1:8" ht="15.75" x14ac:dyDescent="0.25">
      <c r="A35" s="13"/>
      <c r="B35" s="95" t="s">
        <v>94</v>
      </c>
      <c r="C35" s="95"/>
      <c r="D35" s="96" t="s">
        <v>254</v>
      </c>
      <c r="E35" s="98">
        <v>108</v>
      </c>
      <c r="F35" s="94"/>
      <c r="G35" s="98">
        <v>4</v>
      </c>
      <c r="H35" s="35">
        <f t="shared" si="0"/>
        <v>0</v>
      </c>
    </row>
    <row r="36" spans="1:8" ht="15.75" x14ac:dyDescent="0.25">
      <c r="A36" s="13"/>
      <c r="B36" s="95" t="s">
        <v>96</v>
      </c>
      <c r="C36" s="95"/>
      <c r="D36" s="96" t="s">
        <v>97</v>
      </c>
      <c r="E36" s="98">
        <v>50</v>
      </c>
      <c r="F36" s="94"/>
      <c r="G36" s="98">
        <v>4</v>
      </c>
      <c r="H36" s="35">
        <f t="shared" si="0"/>
        <v>0</v>
      </c>
    </row>
    <row r="37" spans="1:8" ht="15.75" x14ac:dyDescent="0.25">
      <c r="A37" s="13"/>
      <c r="B37" s="95" t="s">
        <v>98</v>
      </c>
      <c r="C37" s="95"/>
      <c r="D37" s="96" t="s">
        <v>255</v>
      </c>
      <c r="E37" s="98">
        <v>0</v>
      </c>
      <c r="F37" s="94"/>
      <c r="G37" s="98">
        <v>4</v>
      </c>
      <c r="H37" s="35">
        <f t="shared" si="0"/>
        <v>0</v>
      </c>
    </row>
    <row r="38" spans="1:8" ht="15.75" x14ac:dyDescent="0.25">
      <c r="A38" s="13"/>
      <c r="B38" s="95" t="s">
        <v>100</v>
      </c>
      <c r="C38" s="95"/>
      <c r="D38" s="96" t="s">
        <v>101</v>
      </c>
      <c r="E38" s="98">
        <v>0</v>
      </c>
      <c r="F38" s="94"/>
      <c r="G38" s="98">
        <v>4</v>
      </c>
      <c r="H38" s="35">
        <f t="shared" si="0"/>
        <v>0</v>
      </c>
    </row>
    <row r="39" spans="1:8" ht="15.75" x14ac:dyDescent="0.25">
      <c r="A39" s="13"/>
      <c r="B39" s="95" t="s">
        <v>102</v>
      </c>
      <c r="C39" s="95"/>
      <c r="D39" s="96" t="s">
        <v>256</v>
      </c>
      <c r="E39" s="98">
        <v>0</v>
      </c>
      <c r="F39" s="94"/>
      <c r="G39" s="98">
        <v>4</v>
      </c>
      <c r="H39" s="35">
        <f t="shared" si="0"/>
        <v>0</v>
      </c>
    </row>
    <row r="40" spans="1:8" ht="15.75" x14ac:dyDescent="0.25">
      <c r="A40" s="13"/>
      <c r="B40" s="95" t="s">
        <v>104</v>
      </c>
      <c r="C40" s="95"/>
      <c r="D40" s="96" t="s">
        <v>257</v>
      </c>
      <c r="E40" s="98">
        <v>0</v>
      </c>
      <c r="F40" s="94"/>
      <c r="G40" s="98">
        <v>4</v>
      </c>
      <c r="H40" s="35">
        <f t="shared" si="0"/>
        <v>0</v>
      </c>
    </row>
    <row r="41" spans="1:8" ht="15.75" x14ac:dyDescent="0.25">
      <c r="A41" s="13"/>
      <c r="B41" s="95" t="s">
        <v>106</v>
      </c>
      <c r="C41" s="95"/>
      <c r="D41" s="96" t="s">
        <v>258</v>
      </c>
      <c r="E41" s="98">
        <v>109</v>
      </c>
      <c r="F41" s="94"/>
      <c r="G41" s="98">
        <v>4</v>
      </c>
      <c r="H41" s="35">
        <f t="shared" si="0"/>
        <v>0</v>
      </c>
    </row>
    <row r="42" spans="1:8" ht="15.75" x14ac:dyDescent="0.25">
      <c r="A42" s="13"/>
      <c r="B42" s="95" t="s">
        <v>108</v>
      </c>
      <c r="C42" s="95"/>
      <c r="D42" s="96" t="s">
        <v>109</v>
      </c>
      <c r="E42" s="98">
        <v>72</v>
      </c>
      <c r="F42" s="94"/>
      <c r="G42" s="98">
        <v>4</v>
      </c>
      <c r="H42" s="35">
        <f t="shared" si="0"/>
        <v>0</v>
      </c>
    </row>
    <row r="43" spans="1:8" ht="15.75" x14ac:dyDescent="0.25">
      <c r="A43" s="13"/>
      <c r="B43" s="95" t="s">
        <v>110</v>
      </c>
      <c r="C43" s="95"/>
      <c r="D43" s="96" t="s">
        <v>111</v>
      </c>
      <c r="E43" s="98">
        <v>0</v>
      </c>
      <c r="F43" s="94"/>
      <c r="G43" s="98">
        <v>4</v>
      </c>
      <c r="H43" s="35">
        <f t="shared" si="0"/>
        <v>0</v>
      </c>
    </row>
    <row r="44" spans="1:8" ht="15.75" x14ac:dyDescent="0.25">
      <c r="A44" s="13"/>
      <c r="B44" s="95" t="s">
        <v>112</v>
      </c>
      <c r="C44" s="95"/>
      <c r="D44" s="96" t="s">
        <v>228</v>
      </c>
      <c r="E44" s="98">
        <v>0</v>
      </c>
      <c r="F44" s="94"/>
      <c r="G44" s="98">
        <v>2</v>
      </c>
      <c r="H44" s="35">
        <f t="shared" si="0"/>
        <v>0</v>
      </c>
    </row>
    <row r="45" spans="1:8" ht="15.75" x14ac:dyDescent="0.25">
      <c r="A45" s="13"/>
      <c r="B45" s="95" t="s">
        <v>113</v>
      </c>
      <c r="C45" s="95"/>
      <c r="D45" s="96" t="s">
        <v>229</v>
      </c>
      <c r="E45" s="98">
        <v>0</v>
      </c>
      <c r="F45" s="94"/>
      <c r="G45" s="98">
        <v>2</v>
      </c>
      <c r="H45" s="35">
        <f t="shared" si="0"/>
        <v>0</v>
      </c>
    </row>
    <row r="46" spans="1:8" ht="15.75" x14ac:dyDescent="0.25">
      <c r="A46" s="13"/>
      <c r="B46" s="95" t="s">
        <v>114</v>
      </c>
      <c r="C46" s="95"/>
      <c r="D46" s="96" t="s">
        <v>230</v>
      </c>
      <c r="E46" s="98">
        <v>0</v>
      </c>
      <c r="F46" s="94"/>
      <c r="G46" s="98">
        <v>2</v>
      </c>
      <c r="H46" s="35">
        <f t="shared" si="0"/>
        <v>0</v>
      </c>
    </row>
    <row r="47" spans="1:8" ht="15.75" x14ac:dyDescent="0.25">
      <c r="A47" s="13"/>
      <c r="B47" s="95" t="s">
        <v>115</v>
      </c>
      <c r="C47" s="95"/>
      <c r="D47" s="96" t="s">
        <v>116</v>
      </c>
      <c r="E47" s="98">
        <v>1236</v>
      </c>
      <c r="F47" s="94"/>
      <c r="G47" s="98">
        <v>4</v>
      </c>
      <c r="H47" s="35">
        <f t="shared" si="0"/>
        <v>0</v>
      </c>
    </row>
  </sheetData>
  <mergeCells count="1">
    <mergeCell ref="E2:G2"/>
  </mergeCells>
  <pageMargins left="0.23622047244094488" right="0.23622047244094488" top="0.3543307086614173" bottom="0.19685039370078741" header="0.11811023622047244" footer="0.31496062992125984"/>
  <pageSetup paperSize="8"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tabColor rgb="FF0070C0"/>
  </sheetPr>
  <dimension ref="A1:O42"/>
  <sheetViews>
    <sheetView zoomScaleNormal="100" workbookViewId="0">
      <selection activeCell="K16" sqref="K16"/>
    </sheetView>
  </sheetViews>
  <sheetFormatPr defaultColWidth="9.140625" defaultRowHeight="15" x14ac:dyDescent="0.25"/>
  <cols>
    <col min="1" max="3" width="9.140625" customWidth="1"/>
    <col min="4" max="4" width="40.7109375" customWidth="1"/>
    <col min="5" max="5" width="9.140625" customWidth="1"/>
    <col min="6" max="6" width="9.42578125" customWidth="1"/>
    <col min="7" max="7" width="9.140625" customWidth="1"/>
    <col min="8" max="8" width="12.85546875" customWidth="1"/>
    <col min="9" max="9" width="10.85546875" style="66" customWidth="1"/>
    <col min="10" max="10" width="9.140625" style="66" customWidth="1"/>
    <col min="11" max="12" width="9.140625" customWidth="1"/>
    <col min="13" max="13" width="39.85546875" bestFit="1" customWidth="1"/>
    <col min="257" max="259" width="9.140625" customWidth="1"/>
    <col min="260" max="260" width="40.7109375" customWidth="1"/>
    <col min="261" max="263" width="9.140625" customWidth="1"/>
    <col min="264" max="264" width="10.7109375" bestFit="1" customWidth="1"/>
    <col min="265" max="268" width="9.140625" customWidth="1"/>
    <col min="269" max="269" width="39.85546875" bestFit="1" customWidth="1"/>
    <col min="513" max="515" width="9.140625" customWidth="1"/>
    <col min="516" max="516" width="40.7109375" customWidth="1"/>
    <col min="517" max="519" width="9.140625" customWidth="1"/>
    <col min="520" max="520" width="10.7109375" bestFit="1" customWidth="1"/>
    <col min="521" max="524" width="9.140625" customWidth="1"/>
    <col min="525" max="525" width="39.85546875" bestFit="1" customWidth="1"/>
    <col min="769" max="771" width="9.140625" customWidth="1"/>
    <col min="772" max="772" width="40.7109375" customWidth="1"/>
    <col min="773" max="775" width="9.140625" customWidth="1"/>
    <col min="776" max="776" width="10.7109375" bestFit="1" customWidth="1"/>
    <col min="777" max="780" width="9.140625" customWidth="1"/>
    <col min="781" max="781" width="39.85546875" bestFit="1" customWidth="1"/>
    <col min="1025" max="1027" width="9.140625" customWidth="1"/>
    <col min="1028" max="1028" width="40.7109375" customWidth="1"/>
    <col min="1029" max="1031" width="9.140625" customWidth="1"/>
    <col min="1032" max="1032" width="10.7109375" bestFit="1" customWidth="1"/>
    <col min="1033" max="1036" width="9.140625" customWidth="1"/>
    <col min="1037" max="1037" width="39.85546875" bestFit="1" customWidth="1"/>
    <col min="1281" max="1283" width="9.140625" customWidth="1"/>
    <col min="1284" max="1284" width="40.7109375" customWidth="1"/>
    <col min="1285" max="1287" width="9.140625" customWidth="1"/>
    <col min="1288" max="1288" width="10.7109375" bestFit="1" customWidth="1"/>
    <col min="1289" max="1292" width="9.140625" customWidth="1"/>
    <col min="1293" max="1293" width="39.85546875" bestFit="1" customWidth="1"/>
    <col min="1537" max="1539" width="9.140625" customWidth="1"/>
    <col min="1540" max="1540" width="40.7109375" customWidth="1"/>
    <col min="1541" max="1543" width="9.140625" customWidth="1"/>
    <col min="1544" max="1544" width="10.7109375" bestFit="1" customWidth="1"/>
    <col min="1545" max="1548" width="9.140625" customWidth="1"/>
    <col min="1549" max="1549" width="39.85546875" bestFit="1" customWidth="1"/>
    <col min="1793" max="1795" width="9.140625" customWidth="1"/>
    <col min="1796" max="1796" width="40.7109375" customWidth="1"/>
    <col min="1797" max="1799" width="9.140625" customWidth="1"/>
    <col min="1800" max="1800" width="10.7109375" bestFit="1" customWidth="1"/>
    <col min="1801" max="1804" width="9.140625" customWidth="1"/>
    <col min="1805" max="1805" width="39.85546875" bestFit="1" customWidth="1"/>
    <col min="2049" max="2051" width="9.140625" customWidth="1"/>
    <col min="2052" max="2052" width="40.7109375" customWidth="1"/>
    <col min="2053" max="2055" width="9.140625" customWidth="1"/>
    <col min="2056" max="2056" width="10.7109375" bestFit="1" customWidth="1"/>
    <col min="2057" max="2060" width="9.140625" customWidth="1"/>
    <col min="2061" max="2061" width="39.85546875" bestFit="1" customWidth="1"/>
    <col min="2305" max="2307" width="9.140625" customWidth="1"/>
    <col min="2308" max="2308" width="40.7109375" customWidth="1"/>
    <col min="2309" max="2311" width="9.140625" customWidth="1"/>
    <col min="2312" max="2312" width="10.7109375" bestFit="1" customWidth="1"/>
    <col min="2313" max="2316" width="9.140625" customWidth="1"/>
    <col min="2317" max="2317" width="39.85546875" bestFit="1" customWidth="1"/>
    <col min="2561" max="2563" width="9.140625" customWidth="1"/>
    <col min="2564" max="2564" width="40.7109375" customWidth="1"/>
    <col min="2565" max="2567" width="9.140625" customWidth="1"/>
    <col min="2568" max="2568" width="10.7109375" bestFit="1" customWidth="1"/>
    <col min="2569" max="2572" width="9.140625" customWidth="1"/>
    <col min="2573" max="2573" width="39.85546875" bestFit="1" customWidth="1"/>
    <col min="2817" max="2819" width="9.140625" customWidth="1"/>
    <col min="2820" max="2820" width="40.7109375" customWidth="1"/>
    <col min="2821" max="2823" width="9.140625" customWidth="1"/>
    <col min="2824" max="2824" width="10.7109375" bestFit="1" customWidth="1"/>
    <col min="2825" max="2828" width="9.140625" customWidth="1"/>
    <col min="2829" max="2829" width="39.85546875" bestFit="1" customWidth="1"/>
    <col min="3073" max="3075" width="9.140625" customWidth="1"/>
    <col min="3076" max="3076" width="40.7109375" customWidth="1"/>
    <col min="3077" max="3079" width="9.140625" customWidth="1"/>
    <col min="3080" max="3080" width="10.7109375" bestFit="1" customWidth="1"/>
    <col min="3081" max="3084" width="9.140625" customWidth="1"/>
    <col min="3085" max="3085" width="39.85546875" bestFit="1" customWidth="1"/>
    <col min="3329" max="3331" width="9.140625" customWidth="1"/>
    <col min="3332" max="3332" width="40.7109375" customWidth="1"/>
    <col min="3333" max="3335" width="9.140625" customWidth="1"/>
    <col min="3336" max="3336" width="10.7109375" bestFit="1" customWidth="1"/>
    <col min="3337" max="3340" width="9.140625" customWidth="1"/>
    <col min="3341" max="3341" width="39.85546875" bestFit="1" customWidth="1"/>
    <col min="3585" max="3587" width="9.140625" customWidth="1"/>
    <col min="3588" max="3588" width="40.7109375" customWidth="1"/>
    <col min="3589" max="3591" width="9.140625" customWidth="1"/>
    <col min="3592" max="3592" width="10.7109375" bestFit="1" customWidth="1"/>
    <col min="3593" max="3596" width="9.140625" customWidth="1"/>
    <col min="3597" max="3597" width="39.85546875" bestFit="1" customWidth="1"/>
    <col min="3841" max="3843" width="9.140625" customWidth="1"/>
    <col min="3844" max="3844" width="40.7109375" customWidth="1"/>
    <col min="3845" max="3847" width="9.140625" customWidth="1"/>
    <col min="3848" max="3848" width="10.7109375" bestFit="1" customWidth="1"/>
    <col min="3849" max="3852" width="9.140625" customWidth="1"/>
    <col min="3853" max="3853" width="39.85546875" bestFit="1" customWidth="1"/>
    <col min="4097" max="4099" width="9.140625" customWidth="1"/>
    <col min="4100" max="4100" width="40.7109375" customWidth="1"/>
    <col min="4101" max="4103" width="9.140625" customWidth="1"/>
    <col min="4104" max="4104" width="10.7109375" bestFit="1" customWidth="1"/>
    <col min="4105" max="4108" width="9.140625" customWidth="1"/>
    <col min="4109" max="4109" width="39.85546875" bestFit="1" customWidth="1"/>
    <col min="4353" max="4355" width="9.140625" customWidth="1"/>
    <col min="4356" max="4356" width="40.7109375" customWidth="1"/>
    <col min="4357" max="4359" width="9.140625" customWidth="1"/>
    <col min="4360" max="4360" width="10.7109375" bestFit="1" customWidth="1"/>
    <col min="4361" max="4364" width="9.140625" customWidth="1"/>
    <col min="4365" max="4365" width="39.85546875" bestFit="1" customWidth="1"/>
    <col min="4609" max="4611" width="9.140625" customWidth="1"/>
    <col min="4612" max="4612" width="40.7109375" customWidth="1"/>
    <col min="4613" max="4615" width="9.140625" customWidth="1"/>
    <col min="4616" max="4616" width="10.7109375" bestFit="1" customWidth="1"/>
    <col min="4617" max="4620" width="9.140625" customWidth="1"/>
    <col min="4621" max="4621" width="39.85546875" bestFit="1" customWidth="1"/>
    <col min="4865" max="4867" width="9.140625" customWidth="1"/>
    <col min="4868" max="4868" width="40.7109375" customWidth="1"/>
    <col min="4869" max="4871" width="9.140625" customWidth="1"/>
    <col min="4872" max="4872" width="10.7109375" bestFit="1" customWidth="1"/>
    <col min="4873" max="4876" width="9.140625" customWidth="1"/>
    <col min="4877" max="4877" width="39.85546875" bestFit="1" customWidth="1"/>
    <col min="5121" max="5123" width="9.140625" customWidth="1"/>
    <col min="5124" max="5124" width="40.7109375" customWidth="1"/>
    <col min="5125" max="5127" width="9.140625" customWidth="1"/>
    <col min="5128" max="5128" width="10.7109375" bestFit="1" customWidth="1"/>
    <col min="5129" max="5132" width="9.140625" customWidth="1"/>
    <col min="5133" max="5133" width="39.85546875" bestFit="1" customWidth="1"/>
    <col min="5377" max="5379" width="9.140625" customWidth="1"/>
    <col min="5380" max="5380" width="40.7109375" customWidth="1"/>
    <col min="5381" max="5383" width="9.140625" customWidth="1"/>
    <col min="5384" max="5384" width="10.7109375" bestFit="1" customWidth="1"/>
    <col min="5385" max="5388" width="9.140625" customWidth="1"/>
    <col min="5389" max="5389" width="39.85546875" bestFit="1" customWidth="1"/>
    <col min="5633" max="5635" width="9.140625" customWidth="1"/>
    <col min="5636" max="5636" width="40.7109375" customWidth="1"/>
    <col min="5637" max="5639" width="9.140625" customWidth="1"/>
    <col min="5640" max="5640" width="10.7109375" bestFit="1" customWidth="1"/>
    <col min="5641" max="5644" width="9.140625" customWidth="1"/>
    <col min="5645" max="5645" width="39.85546875" bestFit="1" customWidth="1"/>
    <col min="5889" max="5891" width="9.140625" customWidth="1"/>
    <col min="5892" max="5892" width="40.7109375" customWidth="1"/>
    <col min="5893" max="5895" width="9.140625" customWidth="1"/>
    <col min="5896" max="5896" width="10.7109375" bestFit="1" customWidth="1"/>
    <col min="5897" max="5900" width="9.140625" customWidth="1"/>
    <col min="5901" max="5901" width="39.85546875" bestFit="1" customWidth="1"/>
    <col min="6145" max="6147" width="9.140625" customWidth="1"/>
    <col min="6148" max="6148" width="40.7109375" customWidth="1"/>
    <col min="6149" max="6151" width="9.140625" customWidth="1"/>
    <col min="6152" max="6152" width="10.7109375" bestFit="1" customWidth="1"/>
    <col min="6153" max="6156" width="9.140625" customWidth="1"/>
    <col min="6157" max="6157" width="39.85546875" bestFit="1" customWidth="1"/>
    <col min="6401" max="6403" width="9.140625" customWidth="1"/>
    <col min="6404" max="6404" width="40.7109375" customWidth="1"/>
    <col min="6405" max="6407" width="9.140625" customWidth="1"/>
    <col min="6408" max="6408" width="10.7109375" bestFit="1" customWidth="1"/>
    <col min="6409" max="6412" width="9.140625" customWidth="1"/>
    <col min="6413" max="6413" width="39.85546875" bestFit="1" customWidth="1"/>
    <col min="6657" max="6659" width="9.140625" customWidth="1"/>
    <col min="6660" max="6660" width="40.7109375" customWidth="1"/>
    <col min="6661" max="6663" width="9.140625" customWidth="1"/>
    <col min="6664" max="6664" width="10.7109375" bestFit="1" customWidth="1"/>
    <col min="6665" max="6668" width="9.140625" customWidth="1"/>
    <col min="6669" max="6669" width="39.85546875" bestFit="1" customWidth="1"/>
    <col min="6913" max="6915" width="9.140625" customWidth="1"/>
    <col min="6916" max="6916" width="40.7109375" customWidth="1"/>
    <col min="6917" max="6919" width="9.140625" customWidth="1"/>
    <col min="6920" max="6920" width="10.7109375" bestFit="1" customWidth="1"/>
    <col min="6921" max="6924" width="9.140625" customWidth="1"/>
    <col min="6925" max="6925" width="39.85546875" bestFit="1" customWidth="1"/>
    <col min="7169" max="7171" width="9.140625" customWidth="1"/>
    <col min="7172" max="7172" width="40.7109375" customWidth="1"/>
    <col min="7173" max="7175" width="9.140625" customWidth="1"/>
    <col min="7176" max="7176" width="10.7109375" bestFit="1" customWidth="1"/>
    <col min="7177" max="7180" width="9.140625" customWidth="1"/>
    <col min="7181" max="7181" width="39.85546875" bestFit="1" customWidth="1"/>
    <col min="7425" max="7427" width="9.140625" customWidth="1"/>
    <col min="7428" max="7428" width="40.7109375" customWidth="1"/>
    <col min="7429" max="7431" width="9.140625" customWidth="1"/>
    <col min="7432" max="7432" width="10.7109375" bestFit="1" customWidth="1"/>
    <col min="7433" max="7436" width="9.140625" customWidth="1"/>
    <col min="7437" max="7437" width="39.85546875" bestFit="1" customWidth="1"/>
    <col min="7681" max="7683" width="9.140625" customWidth="1"/>
    <col min="7684" max="7684" width="40.7109375" customWidth="1"/>
    <col min="7685" max="7687" width="9.140625" customWidth="1"/>
    <col min="7688" max="7688" width="10.7109375" bestFit="1" customWidth="1"/>
    <col min="7689" max="7692" width="9.140625" customWidth="1"/>
    <col min="7693" max="7693" width="39.85546875" bestFit="1" customWidth="1"/>
    <col min="7937" max="7939" width="9.140625" customWidth="1"/>
    <col min="7940" max="7940" width="40.7109375" customWidth="1"/>
    <col min="7941" max="7943" width="9.140625" customWidth="1"/>
    <col min="7944" max="7944" width="10.7109375" bestFit="1" customWidth="1"/>
    <col min="7945" max="7948" width="9.140625" customWidth="1"/>
    <col min="7949" max="7949" width="39.85546875" bestFit="1" customWidth="1"/>
    <col min="8193" max="8195" width="9.140625" customWidth="1"/>
    <col min="8196" max="8196" width="40.7109375" customWidth="1"/>
    <col min="8197" max="8199" width="9.140625" customWidth="1"/>
    <col min="8200" max="8200" width="10.7109375" bestFit="1" customWidth="1"/>
    <col min="8201" max="8204" width="9.140625" customWidth="1"/>
    <col min="8205" max="8205" width="39.85546875" bestFit="1" customWidth="1"/>
    <col min="8449" max="8451" width="9.140625" customWidth="1"/>
    <col min="8452" max="8452" width="40.7109375" customWidth="1"/>
    <col min="8453" max="8455" width="9.140625" customWidth="1"/>
    <col min="8456" max="8456" width="10.7109375" bestFit="1" customWidth="1"/>
    <col min="8457" max="8460" width="9.140625" customWidth="1"/>
    <col min="8461" max="8461" width="39.85546875" bestFit="1" customWidth="1"/>
    <col min="8705" max="8707" width="9.140625" customWidth="1"/>
    <col min="8708" max="8708" width="40.7109375" customWidth="1"/>
    <col min="8709" max="8711" width="9.140625" customWidth="1"/>
    <col min="8712" max="8712" width="10.7109375" bestFit="1" customWidth="1"/>
    <col min="8713" max="8716" width="9.140625" customWidth="1"/>
    <col min="8717" max="8717" width="39.85546875" bestFit="1" customWidth="1"/>
    <col min="8961" max="8963" width="9.140625" customWidth="1"/>
    <col min="8964" max="8964" width="40.7109375" customWidth="1"/>
    <col min="8965" max="8967" width="9.140625" customWidth="1"/>
    <col min="8968" max="8968" width="10.7109375" bestFit="1" customWidth="1"/>
    <col min="8969" max="8972" width="9.140625" customWidth="1"/>
    <col min="8973" max="8973" width="39.85546875" bestFit="1" customWidth="1"/>
    <col min="9217" max="9219" width="9.140625" customWidth="1"/>
    <col min="9220" max="9220" width="40.7109375" customWidth="1"/>
    <col min="9221" max="9223" width="9.140625" customWidth="1"/>
    <col min="9224" max="9224" width="10.7109375" bestFit="1" customWidth="1"/>
    <col min="9225" max="9228" width="9.140625" customWidth="1"/>
    <col min="9229" max="9229" width="39.85546875" bestFit="1" customWidth="1"/>
    <col min="9473" max="9475" width="9.140625" customWidth="1"/>
    <col min="9476" max="9476" width="40.7109375" customWidth="1"/>
    <col min="9477" max="9479" width="9.140625" customWidth="1"/>
    <col min="9480" max="9480" width="10.7109375" bestFit="1" customWidth="1"/>
    <col min="9481" max="9484" width="9.140625" customWidth="1"/>
    <col min="9485" max="9485" width="39.85546875" bestFit="1" customWidth="1"/>
    <col min="9729" max="9731" width="9.140625" customWidth="1"/>
    <col min="9732" max="9732" width="40.7109375" customWidth="1"/>
    <col min="9733" max="9735" width="9.140625" customWidth="1"/>
    <col min="9736" max="9736" width="10.7109375" bestFit="1" customWidth="1"/>
    <col min="9737" max="9740" width="9.140625" customWidth="1"/>
    <col min="9741" max="9741" width="39.85546875" bestFit="1" customWidth="1"/>
    <col min="9985" max="9987" width="9.140625" customWidth="1"/>
    <col min="9988" max="9988" width="40.7109375" customWidth="1"/>
    <col min="9989" max="9991" width="9.140625" customWidth="1"/>
    <col min="9992" max="9992" width="10.7109375" bestFit="1" customWidth="1"/>
    <col min="9993" max="9996" width="9.140625" customWidth="1"/>
    <col min="9997" max="9997" width="39.85546875" bestFit="1" customWidth="1"/>
    <col min="10241" max="10243" width="9.140625" customWidth="1"/>
    <col min="10244" max="10244" width="40.7109375" customWidth="1"/>
    <col min="10245" max="10247" width="9.140625" customWidth="1"/>
    <col min="10248" max="10248" width="10.7109375" bestFit="1" customWidth="1"/>
    <col min="10249" max="10252" width="9.140625" customWidth="1"/>
    <col min="10253" max="10253" width="39.85546875" bestFit="1" customWidth="1"/>
    <col min="10497" max="10499" width="9.140625" customWidth="1"/>
    <col min="10500" max="10500" width="40.7109375" customWidth="1"/>
    <col min="10501" max="10503" width="9.140625" customWidth="1"/>
    <col min="10504" max="10504" width="10.7109375" bestFit="1" customWidth="1"/>
    <col min="10505" max="10508" width="9.140625" customWidth="1"/>
    <col min="10509" max="10509" width="39.85546875" bestFit="1" customWidth="1"/>
    <col min="10753" max="10755" width="9.140625" customWidth="1"/>
    <col min="10756" max="10756" width="40.7109375" customWidth="1"/>
    <col min="10757" max="10759" width="9.140625" customWidth="1"/>
    <col min="10760" max="10760" width="10.7109375" bestFit="1" customWidth="1"/>
    <col min="10761" max="10764" width="9.140625" customWidth="1"/>
    <col min="10765" max="10765" width="39.85546875" bestFit="1" customWidth="1"/>
    <col min="11009" max="11011" width="9.140625" customWidth="1"/>
    <col min="11012" max="11012" width="40.7109375" customWidth="1"/>
    <col min="11013" max="11015" width="9.140625" customWidth="1"/>
    <col min="11016" max="11016" width="10.7109375" bestFit="1" customWidth="1"/>
    <col min="11017" max="11020" width="9.140625" customWidth="1"/>
    <col min="11021" max="11021" width="39.85546875" bestFit="1" customWidth="1"/>
    <col min="11265" max="11267" width="9.140625" customWidth="1"/>
    <col min="11268" max="11268" width="40.7109375" customWidth="1"/>
    <col min="11269" max="11271" width="9.140625" customWidth="1"/>
    <col min="11272" max="11272" width="10.7109375" bestFit="1" customWidth="1"/>
    <col min="11273" max="11276" width="9.140625" customWidth="1"/>
    <col min="11277" max="11277" width="39.85546875" bestFit="1" customWidth="1"/>
    <col min="11521" max="11523" width="9.140625" customWidth="1"/>
    <col min="11524" max="11524" width="40.7109375" customWidth="1"/>
    <col min="11525" max="11527" width="9.140625" customWidth="1"/>
    <col min="11528" max="11528" width="10.7109375" bestFit="1" customWidth="1"/>
    <col min="11529" max="11532" width="9.140625" customWidth="1"/>
    <col min="11533" max="11533" width="39.85546875" bestFit="1" customWidth="1"/>
    <col min="11777" max="11779" width="9.140625" customWidth="1"/>
    <col min="11780" max="11780" width="40.7109375" customWidth="1"/>
    <col min="11781" max="11783" width="9.140625" customWidth="1"/>
    <col min="11784" max="11784" width="10.7109375" bestFit="1" customWidth="1"/>
    <col min="11785" max="11788" width="9.140625" customWidth="1"/>
    <col min="11789" max="11789" width="39.85546875" bestFit="1" customWidth="1"/>
    <col min="12033" max="12035" width="9.140625" customWidth="1"/>
    <col min="12036" max="12036" width="40.7109375" customWidth="1"/>
    <col min="12037" max="12039" width="9.140625" customWidth="1"/>
    <col min="12040" max="12040" width="10.7109375" bestFit="1" customWidth="1"/>
    <col min="12041" max="12044" width="9.140625" customWidth="1"/>
    <col min="12045" max="12045" width="39.85546875" bestFit="1" customWidth="1"/>
    <col min="12289" max="12291" width="9.140625" customWidth="1"/>
    <col min="12292" max="12292" width="40.7109375" customWidth="1"/>
    <col min="12293" max="12295" width="9.140625" customWidth="1"/>
    <col min="12296" max="12296" width="10.7109375" bestFit="1" customWidth="1"/>
    <col min="12297" max="12300" width="9.140625" customWidth="1"/>
    <col min="12301" max="12301" width="39.85546875" bestFit="1" customWidth="1"/>
    <col min="12545" max="12547" width="9.140625" customWidth="1"/>
    <col min="12548" max="12548" width="40.7109375" customWidth="1"/>
    <col min="12549" max="12551" width="9.140625" customWidth="1"/>
    <col min="12552" max="12552" width="10.7109375" bestFit="1" customWidth="1"/>
    <col min="12553" max="12556" width="9.140625" customWidth="1"/>
    <col min="12557" max="12557" width="39.85546875" bestFit="1" customWidth="1"/>
    <col min="12801" max="12803" width="9.140625" customWidth="1"/>
    <col min="12804" max="12804" width="40.7109375" customWidth="1"/>
    <col min="12805" max="12807" width="9.140625" customWidth="1"/>
    <col min="12808" max="12808" width="10.7109375" bestFit="1" customWidth="1"/>
    <col min="12809" max="12812" width="9.140625" customWidth="1"/>
    <col min="12813" max="12813" width="39.85546875" bestFit="1" customWidth="1"/>
    <col min="13057" max="13059" width="9.140625" customWidth="1"/>
    <col min="13060" max="13060" width="40.7109375" customWidth="1"/>
    <col min="13061" max="13063" width="9.140625" customWidth="1"/>
    <col min="13064" max="13064" width="10.7109375" bestFit="1" customWidth="1"/>
    <col min="13065" max="13068" width="9.140625" customWidth="1"/>
    <col min="13069" max="13069" width="39.85546875" bestFit="1" customWidth="1"/>
    <col min="13313" max="13315" width="9.140625" customWidth="1"/>
    <col min="13316" max="13316" width="40.7109375" customWidth="1"/>
    <col min="13317" max="13319" width="9.140625" customWidth="1"/>
    <col min="13320" max="13320" width="10.7109375" bestFit="1" customWidth="1"/>
    <col min="13321" max="13324" width="9.140625" customWidth="1"/>
    <col min="13325" max="13325" width="39.85546875" bestFit="1" customWidth="1"/>
    <col min="13569" max="13571" width="9.140625" customWidth="1"/>
    <col min="13572" max="13572" width="40.7109375" customWidth="1"/>
    <col min="13573" max="13575" width="9.140625" customWidth="1"/>
    <col min="13576" max="13576" width="10.7109375" bestFit="1" customWidth="1"/>
    <col min="13577" max="13580" width="9.140625" customWidth="1"/>
    <col min="13581" max="13581" width="39.85546875" bestFit="1" customWidth="1"/>
    <col min="13825" max="13827" width="9.140625" customWidth="1"/>
    <col min="13828" max="13828" width="40.7109375" customWidth="1"/>
    <col min="13829" max="13831" width="9.140625" customWidth="1"/>
    <col min="13832" max="13832" width="10.7109375" bestFit="1" customWidth="1"/>
    <col min="13833" max="13836" width="9.140625" customWidth="1"/>
    <col min="13837" max="13837" width="39.85546875" bestFit="1" customWidth="1"/>
    <col min="14081" max="14083" width="9.140625" customWidth="1"/>
    <col min="14084" max="14084" width="40.7109375" customWidth="1"/>
    <col min="14085" max="14087" width="9.140625" customWidth="1"/>
    <col min="14088" max="14088" width="10.7109375" bestFit="1" customWidth="1"/>
    <col min="14089" max="14092" width="9.140625" customWidth="1"/>
    <col min="14093" max="14093" width="39.85546875" bestFit="1" customWidth="1"/>
    <col min="14337" max="14339" width="9.140625" customWidth="1"/>
    <col min="14340" max="14340" width="40.7109375" customWidth="1"/>
    <col min="14341" max="14343" width="9.140625" customWidth="1"/>
    <col min="14344" max="14344" width="10.7109375" bestFit="1" customWidth="1"/>
    <col min="14345" max="14348" width="9.140625" customWidth="1"/>
    <col min="14349" max="14349" width="39.85546875" bestFit="1" customWidth="1"/>
    <col min="14593" max="14595" width="9.140625" customWidth="1"/>
    <col min="14596" max="14596" width="40.7109375" customWidth="1"/>
    <col min="14597" max="14599" width="9.140625" customWidth="1"/>
    <col min="14600" max="14600" width="10.7109375" bestFit="1" customWidth="1"/>
    <col min="14601" max="14604" width="9.140625" customWidth="1"/>
    <col min="14605" max="14605" width="39.85546875" bestFit="1" customWidth="1"/>
    <col min="14849" max="14851" width="9.140625" customWidth="1"/>
    <col min="14852" max="14852" width="40.7109375" customWidth="1"/>
    <col min="14853" max="14855" width="9.140625" customWidth="1"/>
    <col min="14856" max="14856" width="10.7109375" bestFit="1" customWidth="1"/>
    <col min="14857" max="14860" width="9.140625" customWidth="1"/>
    <col min="14861" max="14861" width="39.85546875" bestFit="1" customWidth="1"/>
    <col min="15105" max="15107" width="9.140625" customWidth="1"/>
    <col min="15108" max="15108" width="40.7109375" customWidth="1"/>
    <col min="15109" max="15111" width="9.140625" customWidth="1"/>
    <col min="15112" max="15112" width="10.7109375" bestFit="1" customWidth="1"/>
    <col min="15113" max="15116" width="9.140625" customWidth="1"/>
    <col min="15117" max="15117" width="39.85546875" bestFit="1" customWidth="1"/>
    <col min="15361" max="15363" width="9.140625" customWidth="1"/>
    <col min="15364" max="15364" width="40.7109375" customWidth="1"/>
    <col min="15365" max="15367" width="9.140625" customWidth="1"/>
    <col min="15368" max="15368" width="10.7109375" bestFit="1" customWidth="1"/>
    <col min="15369" max="15372" width="9.140625" customWidth="1"/>
    <col min="15373" max="15373" width="39.85546875" bestFit="1" customWidth="1"/>
    <col min="15617" max="15619" width="9.140625" customWidth="1"/>
    <col min="15620" max="15620" width="40.7109375" customWidth="1"/>
    <col min="15621" max="15623" width="9.140625" customWidth="1"/>
    <col min="15624" max="15624" width="10.7109375" bestFit="1" customWidth="1"/>
    <col min="15625" max="15628" width="9.140625" customWidth="1"/>
    <col min="15629" max="15629" width="39.85546875" bestFit="1" customWidth="1"/>
    <col min="15873" max="15875" width="9.140625" customWidth="1"/>
    <col min="15876" max="15876" width="40.7109375" customWidth="1"/>
    <col min="15877" max="15879" width="9.140625" customWidth="1"/>
    <col min="15880" max="15880" width="10.7109375" bestFit="1" customWidth="1"/>
    <col min="15881" max="15884" width="9.140625" customWidth="1"/>
    <col min="15885" max="15885" width="39.85546875" bestFit="1" customWidth="1"/>
    <col min="16129" max="16131" width="9.140625" customWidth="1"/>
    <col min="16132" max="16132" width="40.7109375" customWidth="1"/>
    <col min="16133" max="16135" width="9.140625" customWidth="1"/>
    <col min="16136" max="16136" width="10.7109375" bestFit="1" customWidth="1"/>
    <col min="16137" max="16140" width="9.140625" customWidth="1"/>
    <col min="16141" max="16141" width="39.85546875" bestFit="1" customWidth="1"/>
  </cols>
  <sheetData>
    <row r="1" spans="1:15" ht="38.25" x14ac:dyDescent="0.25">
      <c r="A1" s="25" t="s">
        <v>0</v>
      </c>
      <c r="B1" s="25" t="s">
        <v>24</v>
      </c>
      <c r="C1" s="25" t="s">
        <v>25</v>
      </c>
      <c r="D1" s="26" t="s">
        <v>1</v>
      </c>
      <c r="E1" s="27" t="s">
        <v>26</v>
      </c>
      <c r="F1" s="27" t="s">
        <v>319</v>
      </c>
      <c r="G1" s="27" t="s">
        <v>28</v>
      </c>
      <c r="H1" s="27" t="s">
        <v>216</v>
      </c>
      <c r="I1" s="73"/>
      <c r="J1" s="73"/>
    </row>
    <row r="2" spans="1:15" ht="79.900000000000006" customHeight="1" x14ac:dyDescent="0.25">
      <c r="A2" s="29" t="s">
        <v>5</v>
      </c>
      <c r="B2" s="3"/>
      <c r="C2" s="3"/>
      <c r="D2" s="30" t="s">
        <v>123</v>
      </c>
      <c r="E2" s="161" t="s">
        <v>30</v>
      </c>
      <c r="F2" s="162"/>
      <c r="G2" s="163"/>
      <c r="H2" s="58">
        <f>SUM(H3:H42)</f>
        <v>0</v>
      </c>
      <c r="I2" s="68"/>
    </row>
    <row r="3" spans="1:15" ht="15.75" x14ac:dyDescent="0.25">
      <c r="A3" s="31"/>
      <c r="B3" s="99" t="s">
        <v>214</v>
      </c>
      <c r="C3" s="99"/>
      <c r="D3" s="100" t="s">
        <v>259</v>
      </c>
      <c r="E3" s="110">
        <v>115</v>
      </c>
      <c r="F3" s="94"/>
      <c r="G3" s="36">
        <v>2</v>
      </c>
      <c r="H3" s="35">
        <f>(E3*F3)*G3</f>
        <v>0</v>
      </c>
      <c r="I3" s="74"/>
      <c r="J3" s="75"/>
      <c r="K3" s="77"/>
    </row>
    <row r="4" spans="1:15" ht="15" customHeight="1" x14ac:dyDescent="0.25">
      <c r="A4" s="31"/>
      <c r="B4" s="95" t="s">
        <v>124</v>
      </c>
      <c r="C4" s="95"/>
      <c r="D4" s="101" t="s">
        <v>260</v>
      </c>
      <c r="E4" s="111">
        <v>105</v>
      </c>
      <c r="F4" s="94"/>
      <c r="G4" s="36">
        <v>2</v>
      </c>
      <c r="H4" s="35">
        <f>(E4*F4)*G4</f>
        <v>0</v>
      </c>
      <c r="I4" s="74"/>
      <c r="J4" s="75"/>
      <c r="K4" s="77"/>
      <c r="L4" s="51"/>
      <c r="M4" s="51"/>
      <c r="N4" s="51"/>
      <c r="O4" s="51"/>
    </row>
    <row r="5" spans="1:15" ht="15.75" x14ac:dyDescent="0.25">
      <c r="A5" s="31"/>
      <c r="B5" s="95" t="s">
        <v>126</v>
      </c>
      <c r="C5" s="95"/>
      <c r="D5" s="101" t="s">
        <v>261</v>
      </c>
      <c r="E5" s="110">
        <v>19</v>
      </c>
      <c r="F5" s="94"/>
      <c r="G5" s="36">
        <v>2</v>
      </c>
      <c r="H5" s="35">
        <f>(E5*F5)*G5</f>
        <v>0</v>
      </c>
      <c r="I5" s="74"/>
      <c r="J5" s="75"/>
      <c r="K5" s="77"/>
      <c r="L5" s="51"/>
      <c r="M5" s="51"/>
      <c r="N5" s="51"/>
      <c r="O5" s="51"/>
    </row>
    <row r="6" spans="1:15" ht="15.75" x14ac:dyDescent="0.25">
      <c r="A6" s="31"/>
      <c r="B6" s="95" t="s">
        <v>128</v>
      </c>
      <c r="C6" s="95"/>
      <c r="D6" s="101" t="s">
        <v>262</v>
      </c>
      <c r="E6" s="112">
        <v>0</v>
      </c>
      <c r="F6" s="94"/>
      <c r="G6" s="52">
        <v>2</v>
      </c>
      <c r="H6" s="53">
        <f t="shared" ref="H6:H20" si="0">(E6*F6)*G6</f>
        <v>0</v>
      </c>
      <c r="I6" s="74"/>
      <c r="J6" s="75"/>
      <c r="K6" s="77"/>
      <c r="L6" s="51"/>
      <c r="M6" s="51"/>
      <c r="N6" s="51"/>
      <c r="O6" s="51"/>
    </row>
    <row r="7" spans="1:15" ht="15.75" x14ac:dyDescent="0.25">
      <c r="A7" s="31"/>
      <c r="B7" s="95" t="s">
        <v>130</v>
      </c>
      <c r="C7" s="95"/>
      <c r="D7" s="101" t="s">
        <v>263</v>
      </c>
      <c r="E7" s="110">
        <v>1</v>
      </c>
      <c r="F7" s="94"/>
      <c r="G7" s="36">
        <v>2</v>
      </c>
      <c r="H7" s="35">
        <f t="shared" si="0"/>
        <v>0</v>
      </c>
      <c r="I7" s="74"/>
      <c r="J7" s="75"/>
      <c r="K7" s="77"/>
      <c r="L7" s="51"/>
      <c r="M7" s="51"/>
      <c r="N7" s="51"/>
      <c r="O7" s="51"/>
    </row>
    <row r="8" spans="1:15" ht="15.75" x14ac:dyDescent="0.25">
      <c r="A8" s="31"/>
      <c r="B8" s="95" t="s">
        <v>132</v>
      </c>
      <c r="C8" s="95"/>
      <c r="D8" s="101" t="s">
        <v>234</v>
      </c>
      <c r="E8" s="110">
        <v>6</v>
      </c>
      <c r="F8" s="94"/>
      <c r="G8" s="36">
        <v>2</v>
      </c>
      <c r="H8" s="35">
        <f>(E8*F8)*G8</f>
        <v>0</v>
      </c>
      <c r="I8" s="74"/>
      <c r="J8" s="75"/>
      <c r="K8" s="77"/>
      <c r="L8" s="51"/>
      <c r="M8" s="51"/>
      <c r="N8" s="51"/>
      <c r="O8" s="51"/>
    </row>
    <row r="9" spans="1:15" ht="15.75" x14ac:dyDescent="0.25">
      <c r="A9" s="31"/>
      <c r="B9" s="95" t="s">
        <v>134</v>
      </c>
      <c r="C9" s="95"/>
      <c r="D9" s="101" t="s">
        <v>264</v>
      </c>
      <c r="E9" s="110">
        <v>105</v>
      </c>
      <c r="F9" s="94"/>
      <c r="G9" s="36">
        <v>2</v>
      </c>
      <c r="H9" s="35">
        <f t="shared" si="0"/>
        <v>0</v>
      </c>
      <c r="I9" s="74"/>
      <c r="J9" s="75"/>
      <c r="K9" s="77"/>
      <c r="L9" s="51"/>
      <c r="M9" s="51"/>
      <c r="N9" s="51"/>
      <c r="O9" s="51"/>
    </row>
    <row r="10" spans="1:15" ht="15.75" x14ac:dyDescent="0.25">
      <c r="A10" s="31"/>
      <c r="B10" s="95" t="s">
        <v>136</v>
      </c>
      <c r="C10" s="95"/>
      <c r="D10" s="101" t="s">
        <v>265</v>
      </c>
      <c r="E10" s="110">
        <v>0</v>
      </c>
      <c r="F10" s="94"/>
      <c r="G10" s="36">
        <v>2</v>
      </c>
      <c r="H10" s="35">
        <f t="shared" si="0"/>
        <v>0</v>
      </c>
      <c r="I10" s="74"/>
      <c r="J10" s="75"/>
      <c r="K10" s="77"/>
      <c r="L10" s="51"/>
      <c r="M10" s="51"/>
      <c r="N10" s="51"/>
      <c r="O10" s="51"/>
    </row>
    <row r="11" spans="1:15" ht="15.75" x14ac:dyDescent="0.25">
      <c r="A11" s="31"/>
      <c r="B11" s="95" t="s">
        <v>138</v>
      </c>
      <c r="C11" s="95"/>
      <c r="D11" s="101" t="s">
        <v>266</v>
      </c>
      <c r="E11" s="110">
        <v>0</v>
      </c>
      <c r="F11" s="94"/>
      <c r="G11" s="36">
        <v>2</v>
      </c>
      <c r="H11" s="35">
        <f t="shared" si="0"/>
        <v>0</v>
      </c>
      <c r="I11" s="74"/>
      <c r="J11" s="75"/>
      <c r="K11" s="77"/>
      <c r="L11" s="51"/>
      <c r="M11" s="51"/>
      <c r="N11" s="51"/>
      <c r="O11" s="51"/>
    </row>
    <row r="12" spans="1:15" ht="15.75" x14ac:dyDescent="0.25">
      <c r="A12" s="31"/>
      <c r="B12" s="95" t="s">
        <v>140</v>
      </c>
      <c r="C12" s="95"/>
      <c r="D12" s="101" t="s">
        <v>267</v>
      </c>
      <c r="E12" s="110">
        <v>0</v>
      </c>
      <c r="F12" s="94"/>
      <c r="G12" s="36">
        <v>2</v>
      </c>
      <c r="H12" s="35">
        <f t="shared" si="0"/>
        <v>0</v>
      </c>
      <c r="I12" s="74"/>
      <c r="J12" s="75"/>
      <c r="K12" s="77"/>
      <c r="L12" s="51"/>
      <c r="M12" s="51"/>
      <c r="N12" s="51"/>
      <c r="O12" s="51"/>
    </row>
    <row r="13" spans="1:15" ht="15.75" x14ac:dyDescent="0.25">
      <c r="A13" s="31"/>
      <c r="B13" s="95" t="s">
        <v>142</v>
      </c>
      <c r="C13" s="95"/>
      <c r="D13" s="101" t="s">
        <v>268</v>
      </c>
      <c r="E13" s="110">
        <v>0</v>
      </c>
      <c r="F13" s="94"/>
      <c r="G13" s="36">
        <v>2</v>
      </c>
      <c r="H13" s="35">
        <f t="shared" si="0"/>
        <v>0</v>
      </c>
      <c r="I13" s="74"/>
      <c r="J13" s="75"/>
      <c r="K13" s="77"/>
      <c r="L13" s="51"/>
      <c r="M13" s="51"/>
      <c r="N13" s="51"/>
      <c r="O13" s="51"/>
    </row>
    <row r="14" spans="1:15" ht="15.75" x14ac:dyDescent="0.25">
      <c r="A14" s="31"/>
      <c r="B14" s="95" t="s">
        <v>144</v>
      </c>
      <c r="C14" s="95"/>
      <c r="D14" s="101" t="s">
        <v>269</v>
      </c>
      <c r="E14" s="110">
        <v>1</v>
      </c>
      <c r="F14" s="94"/>
      <c r="G14" s="36">
        <v>2</v>
      </c>
      <c r="H14" s="35">
        <f>(E14*F14)*G14</f>
        <v>0</v>
      </c>
      <c r="I14" s="74"/>
      <c r="J14" s="75"/>
      <c r="K14" s="77"/>
      <c r="L14" s="51"/>
      <c r="M14" s="51"/>
      <c r="N14" s="51"/>
      <c r="O14" s="51"/>
    </row>
    <row r="15" spans="1:15" ht="15.75" x14ac:dyDescent="0.25">
      <c r="A15" s="31"/>
      <c r="B15" s="95" t="s">
        <v>146</v>
      </c>
      <c r="C15" s="95"/>
      <c r="D15" s="101" t="s">
        <v>270</v>
      </c>
      <c r="E15" s="110">
        <v>1</v>
      </c>
      <c r="F15" s="94"/>
      <c r="G15" s="36">
        <v>2</v>
      </c>
      <c r="H15" s="35">
        <f t="shared" si="0"/>
        <v>0</v>
      </c>
      <c r="I15" s="74"/>
      <c r="J15" s="75"/>
      <c r="K15" s="77"/>
      <c r="L15" s="51"/>
      <c r="M15" s="51"/>
      <c r="N15" s="51"/>
      <c r="O15" s="51"/>
    </row>
    <row r="16" spans="1:15" ht="15.75" x14ac:dyDescent="0.25">
      <c r="A16" s="31"/>
      <c r="B16" s="95" t="s">
        <v>148</v>
      </c>
      <c r="C16" s="95"/>
      <c r="D16" s="101" t="s">
        <v>271</v>
      </c>
      <c r="E16" s="110">
        <v>0</v>
      </c>
      <c r="F16" s="94"/>
      <c r="G16" s="36">
        <v>2</v>
      </c>
      <c r="H16" s="35">
        <f>(E16*F16)*G16</f>
        <v>0</v>
      </c>
      <c r="I16" s="74"/>
      <c r="J16" s="75"/>
      <c r="K16" s="77"/>
      <c r="L16" s="51"/>
      <c r="M16" s="51"/>
      <c r="N16" s="51"/>
      <c r="O16" s="51"/>
    </row>
    <row r="17" spans="1:15" ht="15.75" x14ac:dyDescent="0.25">
      <c r="A17" s="31"/>
      <c r="B17" s="95" t="s">
        <v>150</v>
      </c>
      <c r="C17" s="95"/>
      <c r="D17" s="101" t="s">
        <v>272</v>
      </c>
      <c r="E17" s="110">
        <v>1</v>
      </c>
      <c r="F17" s="94"/>
      <c r="G17" s="36">
        <v>2</v>
      </c>
      <c r="H17" s="35">
        <f>(E17*F17)*G17</f>
        <v>0</v>
      </c>
      <c r="I17" s="74"/>
      <c r="J17" s="75"/>
      <c r="K17" s="77"/>
      <c r="L17" s="51"/>
      <c r="M17" s="51"/>
      <c r="N17" s="51"/>
      <c r="O17" s="51"/>
    </row>
    <row r="18" spans="1:15" ht="15.75" x14ac:dyDescent="0.25">
      <c r="A18" s="31"/>
      <c r="B18" s="95" t="s">
        <v>152</v>
      </c>
      <c r="C18" s="95"/>
      <c r="D18" s="101" t="s">
        <v>273</v>
      </c>
      <c r="E18" s="110">
        <v>135</v>
      </c>
      <c r="F18" s="94"/>
      <c r="G18" s="36">
        <v>2</v>
      </c>
      <c r="H18" s="35">
        <f t="shared" si="0"/>
        <v>0</v>
      </c>
      <c r="I18" s="74"/>
      <c r="J18" s="75"/>
      <c r="K18" s="77"/>
      <c r="L18" s="51"/>
      <c r="M18" s="51"/>
      <c r="N18" s="51"/>
      <c r="O18" s="51"/>
    </row>
    <row r="19" spans="1:15" ht="15.75" x14ac:dyDescent="0.25">
      <c r="A19" s="31"/>
      <c r="B19" s="95" t="s">
        <v>154</v>
      </c>
      <c r="C19" s="95"/>
      <c r="D19" s="101" t="s">
        <v>274</v>
      </c>
      <c r="E19" s="110">
        <v>105</v>
      </c>
      <c r="F19" s="94"/>
      <c r="G19" s="36">
        <v>2</v>
      </c>
      <c r="H19" s="35">
        <f t="shared" si="0"/>
        <v>0</v>
      </c>
      <c r="I19" s="74"/>
      <c r="J19" s="75"/>
      <c r="K19" s="77"/>
      <c r="L19" s="51"/>
      <c r="M19" s="51"/>
      <c r="N19" s="51"/>
      <c r="O19" s="51"/>
    </row>
    <row r="20" spans="1:15" ht="15.75" x14ac:dyDescent="0.25">
      <c r="A20" s="31"/>
      <c r="B20" s="95" t="s">
        <v>156</v>
      </c>
      <c r="C20" s="95"/>
      <c r="D20" s="101" t="s">
        <v>275</v>
      </c>
      <c r="E20" s="110">
        <v>0</v>
      </c>
      <c r="F20" s="94"/>
      <c r="G20" s="36">
        <v>2</v>
      </c>
      <c r="H20" s="35">
        <f t="shared" si="0"/>
        <v>0</v>
      </c>
      <c r="I20" s="74"/>
      <c r="J20" s="75"/>
      <c r="K20" s="77"/>
      <c r="L20" s="51"/>
      <c r="M20" s="51"/>
      <c r="N20" s="51"/>
      <c r="O20" s="51"/>
    </row>
    <row r="21" spans="1:15" ht="15.75" x14ac:dyDescent="0.25">
      <c r="A21" s="13"/>
      <c r="B21" s="95" t="s">
        <v>158</v>
      </c>
      <c r="C21" s="95"/>
      <c r="D21" s="101" t="s">
        <v>276</v>
      </c>
      <c r="E21" s="110">
        <v>105</v>
      </c>
      <c r="F21" s="94"/>
      <c r="G21" s="36">
        <v>2</v>
      </c>
      <c r="H21" s="35">
        <f>(E21*F21)*G21</f>
        <v>0</v>
      </c>
      <c r="I21" s="74"/>
      <c r="J21" s="75"/>
      <c r="K21" s="77"/>
      <c r="L21" s="51"/>
      <c r="M21" s="51"/>
      <c r="N21" s="51"/>
      <c r="O21" s="51"/>
    </row>
    <row r="22" spans="1:15" ht="15.75" x14ac:dyDescent="0.25">
      <c r="A22" s="23"/>
      <c r="B22" s="102" t="s">
        <v>160</v>
      </c>
      <c r="C22" s="102"/>
      <c r="D22" s="103" t="s">
        <v>277</v>
      </c>
      <c r="E22" s="164">
        <v>12</v>
      </c>
      <c r="F22" s="94"/>
      <c r="G22" s="36">
        <v>2</v>
      </c>
      <c r="H22" s="35">
        <f>(E22*F22)*G22</f>
        <v>0</v>
      </c>
      <c r="I22" s="74"/>
      <c r="J22" s="75"/>
      <c r="K22" s="77"/>
      <c r="L22" s="51"/>
      <c r="M22" s="51"/>
      <c r="N22" s="51"/>
      <c r="O22" s="51"/>
    </row>
    <row r="23" spans="1:15" ht="15.75" x14ac:dyDescent="0.25">
      <c r="A23" s="54" t="s">
        <v>4</v>
      </c>
      <c r="B23" s="95" t="s">
        <v>162</v>
      </c>
      <c r="C23" s="95"/>
      <c r="D23" s="107" t="s">
        <v>278</v>
      </c>
      <c r="E23" s="165">
        <v>105</v>
      </c>
      <c r="F23" s="94"/>
      <c r="G23" s="56">
        <v>2</v>
      </c>
      <c r="H23" s="57">
        <f>(E23*F23)*G23</f>
        <v>0</v>
      </c>
      <c r="I23" s="74"/>
      <c r="J23" s="75"/>
      <c r="K23" s="77"/>
      <c r="L23" s="51"/>
      <c r="M23" s="51"/>
      <c r="N23" s="51"/>
      <c r="O23" s="51"/>
    </row>
    <row r="24" spans="1:15" ht="15.75" x14ac:dyDescent="0.25">
      <c r="A24" s="13"/>
      <c r="B24" s="95" t="s">
        <v>221</v>
      </c>
      <c r="C24" s="95"/>
      <c r="D24" s="107" t="s">
        <v>279</v>
      </c>
      <c r="E24" s="110">
        <v>105</v>
      </c>
      <c r="F24" s="94"/>
      <c r="G24" s="56">
        <v>2</v>
      </c>
      <c r="H24" s="57">
        <f t="shared" ref="H24:H42" si="1">(E24*F24)*G24</f>
        <v>0</v>
      </c>
      <c r="K24" s="51"/>
      <c r="L24" s="51"/>
      <c r="M24" s="51"/>
      <c r="N24" s="51"/>
      <c r="O24" s="51"/>
    </row>
    <row r="25" spans="1:15" ht="15.75" x14ac:dyDescent="0.25">
      <c r="A25" s="13"/>
      <c r="B25" s="95" t="s">
        <v>164</v>
      </c>
      <c r="C25" s="95"/>
      <c r="D25" s="107" t="s">
        <v>280</v>
      </c>
      <c r="E25" s="110">
        <v>64</v>
      </c>
      <c r="F25" s="94"/>
      <c r="G25" s="56">
        <v>2</v>
      </c>
      <c r="H25" s="57">
        <f t="shared" si="1"/>
        <v>0</v>
      </c>
      <c r="K25" s="51"/>
      <c r="L25" s="51"/>
      <c r="M25" s="51"/>
      <c r="N25" s="51"/>
      <c r="O25" s="51"/>
    </row>
    <row r="26" spans="1:15" ht="15.75" x14ac:dyDescent="0.25">
      <c r="A26" s="13"/>
      <c r="B26" s="95" t="s">
        <v>166</v>
      </c>
      <c r="C26" s="95"/>
      <c r="D26" s="107" t="s">
        <v>281</v>
      </c>
      <c r="E26" s="110">
        <v>119</v>
      </c>
      <c r="F26" s="94"/>
      <c r="G26" s="56">
        <v>2</v>
      </c>
      <c r="H26" s="57">
        <f t="shared" si="1"/>
        <v>0</v>
      </c>
      <c r="K26" s="51"/>
      <c r="L26" s="51"/>
      <c r="M26" s="51"/>
      <c r="N26" s="51"/>
      <c r="O26" s="51"/>
    </row>
    <row r="27" spans="1:15" ht="15.75" x14ac:dyDescent="0.25">
      <c r="A27" s="13"/>
      <c r="B27" s="95" t="s">
        <v>168</v>
      </c>
      <c r="C27" s="95"/>
      <c r="D27" s="107" t="s">
        <v>282</v>
      </c>
      <c r="E27" s="110">
        <v>0</v>
      </c>
      <c r="F27" s="94"/>
      <c r="G27" s="56">
        <v>2</v>
      </c>
      <c r="H27" s="57">
        <f t="shared" si="1"/>
        <v>0</v>
      </c>
      <c r="K27" s="51"/>
      <c r="L27" s="51"/>
      <c r="M27" s="51"/>
      <c r="N27" s="51"/>
      <c r="O27" s="51"/>
    </row>
    <row r="28" spans="1:15" ht="15.75" x14ac:dyDescent="0.25">
      <c r="A28" s="13"/>
      <c r="B28" s="95" t="s">
        <v>170</v>
      </c>
      <c r="C28" s="95"/>
      <c r="D28" s="107" t="s">
        <v>283</v>
      </c>
      <c r="E28" s="110">
        <v>83</v>
      </c>
      <c r="F28" s="94"/>
      <c r="G28" s="56">
        <v>2</v>
      </c>
      <c r="H28" s="57">
        <f t="shared" si="1"/>
        <v>0</v>
      </c>
      <c r="K28" s="51"/>
      <c r="L28" s="51"/>
      <c r="M28" s="51"/>
      <c r="N28" s="51"/>
      <c r="O28" s="51"/>
    </row>
    <row r="29" spans="1:15" ht="15.75" x14ac:dyDescent="0.25">
      <c r="A29" s="13"/>
      <c r="B29" s="95" t="s">
        <v>172</v>
      </c>
      <c r="C29" s="95"/>
      <c r="D29" s="107" t="s">
        <v>284</v>
      </c>
      <c r="E29" s="110">
        <v>72</v>
      </c>
      <c r="F29" s="94"/>
      <c r="G29" s="56">
        <v>2</v>
      </c>
      <c r="H29" s="57">
        <f t="shared" si="1"/>
        <v>0</v>
      </c>
      <c r="K29" s="51"/>
      <c r="L29" s="51"/>
      <c r="M29" s="51"/>
      <c r="N29" s="51"/>
      <c r="O29" s="51"/>
    </row>
    <row r="30" spans="1:15" ht="15.75" x14ac:dyDescent="0.25">
      <c r="A30" s="13"/>
      <c r="B30" s="95" t="s">
        <v>174</v>
      </c>
      <c r="C30" s="95"/>
      <c r="D30" s="107" t="s">
        <v>285</v>
      </c>
      <c r="E30" s="110">
        <v>1</v>
      </c>
      <c r="F30" s="94"/>
      <c r="G30" s="56">
        <v>2</v>
      </c>
      <c r="H30" s="57">
        <f t="shared" si="1"/>
        <v>0</v>
      </c>
      <c r="K30" s="51"/>
      <c r="L30" s="51"/>
      <c r="M30" s="51"/>
      <c r="N30" s="51"/>
      <c r="O30" s="51"/>
    </row>
    <row r="31" spans="1:15" ht="15.75" x14ac:dyDescent="0.25">
      <c r="A31" s="13"/>
      <c r="B31" s="95" t="s">
        <v>176</v>
      </c>
      <c r="C31" s="95"/>
      <c r="D31" s="107" t="s">
        <v>286</v>
      </c>
      <c r="E31" s="110">
        <v>1</v>
      </c>
      <c r="F31" s="94"/>
      <c r="G31" s="56">
        <v>2</v>
      </c>
      <c r="H31" s="57">
        <f t="shared" si="1"/>
        <v>0</v>
      </c>
      <c r="K31" s="51"/>
      <c r="L31" s="51"/>
      <c r="M31" s="51"/>
      <c r="N31" s="51"/>
      <c r="O31" s="51"/>
    </row>
    <row r="32" spans="1:15" ht="15.75" x14ac:dyDescent="0.25">
      <c r="A32" s="13"/>
      <c r="B32" s="95" t="s">
        <v>177</v>
      </c>
      <c r="C32" s="95"/>
      <c r="D32" s="107" t="s">
        <v>287</v>
      </c>
      <c r="E32" s="110">
        <v>0</v>
      </c>
      <c r="F32" s="94"/>
      <c r="G32" s="56">
        <v>2</v>
      </c>
      <c r="H32" s="57">
        <f t="shared" si="1"/>
        <v>0</v>
      </c>
      <c r="K32" s="51"/>
      <c r="L32" s="51"/>
      <c r="M32" s="51"/>
      <c r="N32" s="51"/>
      <c r="O32" s="51"/>
    </row>
    <row r="33" spans="1:15" ht="15.75" x14ac:dyDescent="0.25">
      <c r="A33" s="13"/>
      <c r="B33" s="95" t="s">
        <v>179</v>
      </c>
      <c r="C33" s="95"/>
      <c r="D33" s="107" t="s">
        <v>288</v>
      </c>
      <c r="E33" s="110">
        <v>92</v>
      </c>
      <c r="F33" s="94"/>
      <c r="G33" s="56">
        <v>2</v>
      </c>
      <c r="H33" s="57">
        <f t="shared" si="1"/>
        <v>0</v>
      </c>
      <c r="K33" s="51"/>
      <c r="L33" s="51"/>
      <c r="M33" s="51"/>
      <c r="N33" s="51"/>
      <c r="O33" s="51"/>
    </row>
    <row r="34" spans="1:15" ht="15.75" x14ac:dyDescent="0.25">
      <c r="A34" s="13"/>
      <c r="B34" s="95" t="s">
        <v>181</v>
      </c>
      <c r="C34" s="95"/>
      <c r="D34" s="107" t="s">
        <v>289</v>
      </c>
      <c r="E34" s="110">
        <v>104</v>
      </c>
      <c r="F34" s="94"/>
      <c r="G34" s="56">
        <v>2</v>
      </c>
      <c r="H34" s="57">
        <f t="shared" si="1"/>
        <v>0</v>
      </c>
      <c r="K34" s="51"/>
      <c r="L34" s="51"/>
      <c r="M34" s="51"/>
      <c r="N34" s="51"/>
      <c r="O34" s="51"/>
    </row>
    <row r="35" spans="1:15" ht="15.75" x14ac:dyDescent="0.25">
      <c r="A35" s="13"/>
      <c r="B35" s="95" t="s">
        <v>183</v>
      </c>
      <c r="C35" s="95"/>
      <c r="D35" s="107" t="s">
        <v>290</v>
      </c>
      <c r="E35" s="110">
        <v>131</v>
      </c>
      <c r="F35" s="94"/>
      <c r="G35" s="56">
        <v>2</v>
      </c>
      <c r="H35" s="57">
        <f t="shared" si="1"/>
        <v>0</v>
      </c>
      <c r="K35" s="51"/>
      <c r="L35" s="51"/>
      <c r="M35" s="51"/>
      <c r="N35" s="51"/>
      <c r="O35" s="51"/>
    </row>
    <row r="36" spans="1:15" ht="15.75" x14ac:dyDescent="0.25">
      <c r="A36" s="13"/>
      <c r="B36" s="95" t="s">
        <v>185</v>
      </c>
      <c r="C36" s="95"/>
      <c r="D36" s="107" t="s">
        <v>291</v>
      </c>
      <c r="E36" s="110">
        <v>0</v>
      </c>
      <c r="F36" s="94"/>
      <c r="G36" s="56">
        <v>2</v>
      </c>
      <c r="H36" s="57">
        <f t="shared" si="1"/>
        <v>0</v>
      </c>
    </row>
    <row r="37" spans="1:15" ht="15.75" x14ac:dyDescent="0.25">
      <c r="A37" s="13"/>
      <c r="B37" s="95" t="s">
        <v>187</v>
      </c>
      <c r="C37" s="95"/>
      <c r="D37" s="107" t="s">
        <v>292</v>
      </c>
      <c r="E37" s="110">
        <v>107</v>
      </c>
      <c r="F37" s="94"/>
      <c r="G37" s="56">
        <v>2</v>
      </c>
      <c r="H37" s="57">
        <f t="shared" si="1"/>
        <v>0</v>
      </c>
    </row>
    <row r="38" spans="1:15" ht="15.75" x14ac:dyDescent="0.25">
      <c r="A38" s="13"/>
      <c r="B38" s="95" t="s">
        <v>189</v>
      </c>
      <c r="C38" s="95"/>
      <c r="D38" s="107" t="s">
        <v>293</v>
      </c>
      <c r="E38" s="110">
        <v>1</v>
      </c>
      <c r="F38" s="94"/>
      <c r="G38" s="56">
        <v>2</v>
      </c>
      <c r="H38" s="57">
        <f t="shared" si="1"/>
        <v>0</v>
      </c>
    </row>
    <row r="39" spans="1:15" ht="15.75" x14ac:dyDescent="0.25">
      <c r="A39" s="13"/>
      <c r="B39" s="95" t="s">
        <v>224</v>
      </c>
      <c r="C39" s="95"/>
      <c r="D39" s="107" t="s">
        <v>294</v>
      </c>
      <c r="E39" s="110">
        <v>11662</v>
      </c>
      <c r="F39" s="94"/>
      <c r="G39" s="56">
        <v>2</v>
      </c>
      <c r="H39" s="57">
        <f t="shared" si="1"/>
        <v>0</v>
      </c>
    </row>
    <row r="40" spans="1:15" ht="15.75" x14ac:dyDescent="0.25">
      <c r="A40" s="13"/>
      <c r="B40" s="95" t="s">
        <v>226</v>
      </c>
      <c r="C40" s="95"/>
      <c r="D40" s="107" t="s">
        <v>295</v>
      </c>
      <c r="E40" s="110">
        <v>53</v>
      </c>
      <c r="F40" s="94"/>
      <c r="G40" s="56">
        <v>2</v>
      </c>
      <c r="H40" s="57">
        <f t="shared" si="1"/>
        <v>0</v>
      </c>
    </row>
    <row r="41" spans="1:15" ht="15.75" x14ac:dyDescent="0.25">
      <c r="A41" s="13"/>
      <c r="B41" s="95" t="s">
        <v>191</v>
      </c>
      <c r="C41" s="95"/>
      <c r="D41" s="107" t="s">
        <v>296</v>
      </c>
      <c r="E41" s="110">
        <v>32</v>
      </c>
      <c r="F41" s="94"/>
      <c r="G41" s="56">
        <v>2</v>
      </c>
      <c r="H41" s="57">
        <f t="shared" si="1"/>
        <v>0</v>
      </c>
    </row>
    <row r="42" spans="1:15" ht="15.75" x14ac:dyDescent="0.25">
      <c r="A42" s="13"/>
      <c r="B42" s="95" t="s">
        <v>215</v>
      </c>
      <c r="C42" s="95"/>
      <c r="D42" s="107" t="s">
        <v>297</v>
      </c>
      <c r="E42" s="110">
        <v>80</v>
      </c>
      <c r="F42" s="94"/>
      <c r="G42" s="56">
        <v>2</v>
      </c>
      <c r="H42" s="57">
        <f t="shared" si="1"/>
        <v>0</v>
      </c>
    </row>
  </sheetData>
  <mergeCells count="1">
    <mergeCell ref="E2:G2"/>
  </mergeCells>
  <pageMargins left="0.23622047244094488" right="0.23622047244094488" top="0.3543307086614173" bottom="0.19685039370078741" header="0.11811023622047244" footer="0.31496062992125984"/>
  <pageSetup paperSize="8" orientation="landscape" horizontalDpi="1200" verticalDpi="12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70C0"/>
  </sheetPr>
  <dimension ref="A1:K12"/>
  <sheetViews>
    <sheetView topLeftCell="E1" zoomScaleNormal="100" workbookViewId="0">
      <selection activeCell="I3" sqref="I3:I12"/>
    </sheetView>
  </sheetViews>
  <sheetFormatPr defaultColWidth="9.140625" defaultRowHeight="15" x14ac:dyDescent="0.25"/>
  <cols>
    <col min="1" max="1" width="7.140625" customWidth="1"/>
    <col min="4" max="4" width="42.28515625" customWidth="1"/>
    <col min="11" max="11" width="13.28515625" customWidth="1"/>
  </cols>
  <sheetData>
    <row r="1" spans="1:11" ht="38.25" x14ac:dyDescent="0.25">
      <c r="A1" s="25" t="s">
        <v>0</v>
      </c>
      <c r="B1" s="25" t="s">
        <v>24</v>
      </c>
      <c r="C1" s="25" t="s">
        <v>25</v>
      </c>
      <c r="D1" s="26" t="s">
        <v>1</v>
      </c>
      <c r="E1" s="25" t="s">
        <v>0</v>
      </c>
      <c r="F1" s="25" t="s">
        <v>24</v>
      </c>
      <c r="G1" s="25" t="s">
        <v>25</v>
      </c>
      <c r="H1" s="27" t="s">
        <v>26</v>
      </c>
      <c r="I1" s="27" t="s">
        <v>27</v>
      </c>
      <c r="J1" s="27" t="s">
        <v>28</v>
      </c>
      <c r="K1" s="27" t="s">
        <v>2</v>
      </c>
    </row>
    <row r="2" spans="1:11" ht="91.5" customHeight="1" x14ac:dyDescent="0.25">
      <c r="A2" s="44" t="s">
        <v>21</v>
      </c>
      <c r="B2" s="88"/>
      <c r="C2" s="88"/>
      <c r="D2" s="30" t="s">
        <v>193</v>
      </c>
      <c r="E2" s="44" t="s">
        <v>16</v>
      </c>
      <c r="F2" s="88"/>
      <c r="G2" s="88"/>
      <c r="H2" s="161" t="s">
        <v>30</v>
      </c>
      <c r="I2" s="162"/>
      <c r="J2" s="163"/>
      <c r="K2" s="89">
        <f>SUM(K3:K12)</f>
        <v>0</v>
      </c>
    </row>
    <row r="3" spans="1:11" ht="15.75" x14ac:dyDescent="0.25">
      <c r="A3" s="31"/>
      <c r="B3" s="95" t="s">
        <v>194</v>
      </c>
      <c r="C3" s="95"/>
      <c r="D3" s="101" t="s">
        <v>298</v>
      </c>
      <c r="E3" s="31"/>
      <c r="F3" s="95" t="s">
        <v>194</v>
      </c>
      <c r="G3" s="95"/>
      <c r="H3" s="50">
        <v>75</v>
      </c>
      <c r="I3" s="93"/>
      <c r="J3" s="87">
        <v>2</v>
      </c>
      <c r="K3" s="64">
        <f>(H3*I3)*J3</f>
        <v>0</v>
      </c>
    </row>
    <row r="4" spans="1:11" ht="15.75" x14ac:dyDescent="0.25">
      <c r="A4" s="31"/>
      <c r="B4" s="95" t="s">
        <v>196</v>
      </c>
      <c r="C4" s="95"/>
      <c r="D4" s="101" t="s">
        <v>299</v>
      </c>
      <c r="E4" s="31"/>
      <c r="F4" s="95" t="s">
        <v>196</v>
      </c>
      <c r="G4" s="95"/>
      <c r="H4" s="50">
        <v>0</v>
      </c>
      <c r="I4" s="93"/>
      <c r="J4" s="87">
        <v>2</v>
      </c>
      <c r="K4" s="64">
        <f t="shared" ref="K4:K12" si="0">(H4*I4)*J4</f>
        <v>0</v>
      </c>
    </row>
    <row r="5" spans="1:11" ht="15.75" x14ac:dyDescent="0.25">
      <c r="A5" s="31"/>
      <c r="B5" s="95" t="s">
        <v>198</v>
      </c>
      <c r="C5" s="95"/>
      <c r="D5" s="101" t="s">
        <v>300</v>
      </c>
      <c r="E5" s="31"/>
      <c r="F5" s="95" t="s">
        <v>198</v>
      </c>
      <c r="G5" s="95"/>
      <c r="H5" s="2">
        <v>0</v>
      </c>
      <c r="I5" s="93"/>
      <c r="J5" s="87">
        <v>2</v>
      </c>
      <c r="K5" s="64">
        <f t="shared" si="0"/>
        <v>0</v>
      </c>
    </row>
    <row r="6" spans="1:11" ht="15.75" x14ac:dyDescent="0.25">
      <c r="A6" s="31"/>
      <c r="B6" s="95" t="s">
        <v>200</v>
      </c>
      <c r="C6" s="95"/>
      <c r="D6" s="101" t="s">
        <v>301</v>
      </c>
      <c r="E6" s="31"/>
      <c r="F6" s="95" t="s">
        <v>200</v>
      </c>
      <c r="G6" s="95"/>
      <c r="H6" s="2">
        <v>0</v>
      </c>
      <c r="I6" s="93"/>
      <c r="J6" s="87">
        <v>2</v>
      </c>
      <c r="K6" s="64">
        <f t="shared" si="0"/>
        <v>0</v>
      </c>
    </row>
    <row r="7" spans="1:11" ht="15.75" x14ac:dyDescent="0.25">
      <c r="A7" s="31"/>
      <c r="B7" s="95" t="s">
        <v>202</v>
      </c>
      <c r="C7" s="95"/>
      <c r="D7" s="101" t="s">
        <v>302</v>
      </c>
      <c r="E7" s="31"/>
      <c r="F7" s="95" t="s">
        <v>202</v>
      </c>
      <c r="G7" s="95"/>
      <c r="H7" s="2">
        <v>75</v>
      </c>
      <c r="I7" s="93"/>
      <c r="J7" s="87">
        <v>2</v>
      </c>
      <c r="K7" s="64">
        <f t="shared" si="0"/>
        <v>0</v>
      </c>
    </row>
    <row r="8" spans="1:11" ht="15.75" x14ac:dyDescent="0.25">
      <c r="A8" s="31"/>
      <c r="B8" s="95" t="s">
        <v>204</v>
      </c>
      <c r="C8" s="102"/>
      <c r="D8" s="103" t="s">
        <v>303</v>
      </c>
      <c r="E8" s="31"/>
      <c r="F8" s="95" t="s">
        <v>204</v>
      </c>
      <c r="G8" s="102"/>
      <c r="H8" s="108">
        <v>0</v>
      </c>
      <c r="I8" s="105"/>
      <c r="J8" s="106">
        <v>2</v>
      </c>
      <c r="K8" s="64">
        <f t="shared" si="0"/>
        <v>0</v>
      </c>
    </row>
    <row r="9" spans="1:11" ht="15.75" x14ac:dyDescent="0.25">
      <c r="A9" s="13"/>
      <c r="B9" s="95" t="s">
        <v>206</v>
      </c>
      <c r="C9" s="95"/>
      <c r="D9" s="107" t="s">
        <v>304</v>
      </c>
      <c r="E9" s="13"/>
      <c r="F9" s="95" t="s">
        <v>206</v>
      </c>
      <c r="G9" s="95"/>
      <c r="H9" s="109">
        <v>75</v>
      </c>
      <c r="I9" s="105"/>
      <c r="J9" s="106">
        <v>2</v>
      </c>
      <c r="K9" s="64">
        <f t="shared" si="0"/>
        <v>0</v>
      </c>
    </row>
    <row r="10" spans="1:11" ht="15.75" x14ac:dyDescent="0.25">
      <c r="A10" s="13"/>
      <c r="B10" s="95" t="s">
        <v>208</v>
      </c>
      <c r="C10" s="95"/>
      <c r="D10" s="107" t="s">
        <v>305</v>
      </c>
      <c r="E10" s="13"/>
      <c r="F10" s="95" t="s">
        <v>208</v>
      </c>
      <c r="G10" s="95"/>
      <c r="H10" s="109">
        <v>75</v>
      </c>
      <c r="I10" s="105"/>
      <c r="J10" s="106">
        <v>2</v>
      </c>
      <c r="K10" s="64">
        <f t="shared" si="0"/>
        <v>0</v>
      </c>
    </row>
    <row r="11" spans="1:11" ht="15.75" x14ac:dyDescent="0.25">
      <c r="A11" s="13"/>
      <c r="B11" s="95" t="s">
        <v>210</v>
      </c>
      <c r="C11" s="95"/>
      <c r="D11" s="107" t="s">
        <v>306</v>
      </c>
      <c r="E11" s="13"/>
      <c r="F11" s="95" t="s">
        <v>210</v>
      </c>
      <c r="G11" s="95"/>
      <c r="H11" s="109">
        <v>6</v>
      </c>
      <c r="I11" s="105"/>
      <c r="J11" s="106">
        <v>2</v>
      </c>
      <c r="K11" s="64">
        <f t="shared" si="0"/>
        <v>0</v>
      </c>
    </row>
    <row r="12" spans="1:11" ht="15.75" x14ac:dyDescent="0.25">
      <c r="A12" s="13"/>
      <c r="B12" s="95" t="s">
        <v>212</v>
      </c>
      <c r="C12" s="95"/>
      <c r="D12" s="107" t="s">
        <v>307</v>
      </c>
      <c r="E12" s="13"/>
      <c r="F12" s="95" t="s">
        <v>212</v>
      </c>
      <c r="G12" s="95"/>
      <c r="H12" s="16">
        <v>75</v>
      </c>
      <c r="I12" s="93"/>
      <c r="J12" s="87">
        <v>2</v>
      </c>
      <c r="K12" s="64">
        <f t="shared" si="0"/>
        <v>0</v>
      </c>
    </row>
  </sheetData>
  <mergeCells count="1">
    <mergeCell ref="H2:J2"/>
  </mergeCells>
  <pageMargins left="0.7" right="0.7" top="0.75" bottom="0.75" header="0.3" footer="0.3"/>
  <pageSetup scale="83"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A0ACA-D8C6-4420-A917-A43859F64A7F}">
  <sheetPr>
    <tabColor rgb="FF00B050"/>
    <pageSetUpPr fitToPage="1"/>
  </sheetPr>
  <dimension ref="A1:K51"/>
  <sheetViews>
    <sheetView topLeftCell="A20" zoomScale="90" zoomScaleNormal="90" zoomScalePageLayoutView="60" workbookViewId="0">
      <selection activeCell="F29" sqref="F29"/>
    </sheetView>
  </sheetViews>
  <sheetFormatPr defaultColWidth="9.140625" defaultRowHeight="15" x14ac:dyDescent="0.25"/>
  <cols>
    <col min="1" max="1" width="7.5703125" customWidth="1"/>
    <col min="2" max="2" width="6.5703125" customWidth="1"/>
    <col min="3" max="3" width="61.5703125" customWidth="1"/>
    <col min="4" max="4" width="15.5703125" customWidth="1"/>
    <col min="5" max="5" width="7.5703125" customWidth="1"/>
    <col min="6" max="6" width="15.42578125" customWidth="1"/>
    <col min="7" max="7" width="9.5703125" customWidth="1"/>
    <col min="8" max="8" width="14.28515625" customWidth="1"/>
    <col min="10" max="10" width="11.5703125" bestFit="1" customWidth="1"/>
    <col min="11" max="11" width="13" customWidth="1"/>
  </cols>
  <sheetData>
    <row r="1" spans="1:8" ht="10.35" customHeight="1" x14ac:dyDescent="0.25">
      <c r="C1" s="157" t="s">
        <v>4</v>
      </c>
      <c r="D1" s="158"/>
      <c r="E1" s="158"/>
      <c r="F1" s="158"/>
      <c r="G1" s="158"/>
    </row>
    <row r="2" spans="1:8" ht="20.100000000000001" customHeight="1" x14ac:dyDescent="0.25">
      <c r="A2" s="159" t="s">
        <v>23</v>
      </c>
      <c r="B2" s="160"/>
      <c r="C2" s="160"/>
      <c r="D2" s="160"/>
      <c r="E2" s="160"/>
      <c r="F2" t="s">
        <v>4</v>
      </c>
    </row>
    <row r="3" spans="1:8" ht="20.100000000000001" customHeight="1" x14ac:dyDescent="0.25">
      <c r="A3" s="4" t="s">
        <v>6</v>
      </c>
      <c r="B3" s="4"/>
      <c r="C3" s="4"/>
    </row>
    <row r="4" spans="1:8" ht="20.100000000000001" customHeight="1" x14ac:dyDescent="0.25">
      <c r="A4" s="4" t="s">
        <v>311</v>
      </c>
      <c r="B4" s="4"/>
      <c r="C4" s="4"/>
      <c r="D4" t="s">
        <v>4</v>
      </c>
      <c r="E4" t="s">
        <v>4</v>
      </c>
      <c r="F4" t="s">
        <v>4</v>
      </c>
      <c r="G4" t="s">
        <v>4</v>
      </c>
    </row>
    <row r="5" spans="1:8" ht="20.100000000000001" customHeight="1" x14ac:dyDescent="0.25">
      <c r="A5" s="4"/>
    </row>
    <row r="6" spans="1:8" ht="16.350000000000001" customHeight="1" x14ac:dyDescent="0.25">
      <c r="A6" s="4"/>
      <c r="C6" s="5"/>
      <c r="D6" s="5"/>
    </row>
    <row r="7" spans="1:8" ht="25.5" x14ac:dyDescent="0.25">
      <c r="A7" s="6" t="s">
        <v>0</v>
      </c>
      <c r="B7" s="6" t="s">
        <v>4</v>
      </c>
      <c r="C7" s="7" t="s">
        <v>1</v>
      </c>
      <c r="D7" s="7" t="s">
        <v>7</v>
      </c>
      <c r="E7" s="6" t="s">
        <v>8</v>
      </c>
      <c r="F7" s="6" t="s">
        <v>9</v>
      </c>
      <c r="G7" s="6" t="s">
        <v>10</v>
      </c>
      <c r="H7" s="6" t="s">
        <v>2</v>
      </c>
    </row>
    <row r="8" spans="1:8" ht="24" x14ac:dyDescent="0.25">
      <c r="A8" s="127" t="s">
        <v>15</v>
      </c>
      <c r="B8" s="128"/>
      <c r="C8" s="129" t="s">
        <v>325</v>
      </c>
      <c r="D8" s="130" t="s">
        <v>13</v>
      </c>
      <c r="E8" s="131" t="s">
        <v>233</v>
      </c>
      <c r="F8" s="132">
        <f>SUBTOTAL(9,H9,H10,H11,H12,H13)</f>
        <v>0</v>
      </c>
      <c r="G8" s="133">
        <v>1</v>
      </c>
      <c r="H8" s="134">
        <f>G8*F8</f>
        <v>0</v>
      </c>
    </row>
    <row r="9" spans="1:8" ht="48" x14ac:dyDescent="0.25">
      <c r="B9" s="116" t="s">
        <v>322</v>
      </c>
      <c r="C9" s="20" t="s">
        <v>321</v>
      </c>
      <c r="D9" s="12" t="s">
        <v>13</v>
      </c>
      <c r="E9" s="8" t="s">
        <v>233</v>
      </c>
      <c r="F9" s="120"/>
      <c r="G9" s="18">
        <v>1</v>
      </c>
      <c r="H9" s="62">
        <f>G9*F9</f>
        <v>0</v>
      </c>
    </row>
    <row r="10" spans="1:8" ht="108" x14ac:dyDescent="0.25">
      <c r="B10" s="1" t="s">
        <v>323</v>
      </c>
      <c r="C10" s="19" t="s">
        <v>330</v>
      </c>
      <c r="D10" s="12" t="s">
        <v>13</v>
      </c>
      <c r="E10" s="10" t="s">
        <v>12</v>
      </c>
      <c r="F10" s="121"/>
      <c r="G10" s="122">
        <v>68</v>
      </c>
      <c r="H10" s="62">
        <f t="shared" ref="H10:H11" si="0">G10*F10</f>
        <v>0</v>
      </c>
    </row>
    <row r="11" spans="1:8" ht="108" x14ac:dyDescent="0.25">
      <c r="B11" s="1" t="s">
        <v>324</v>
      </c>
      <c r="C11" s="19" t="s">
        <v>331</v>
      </c>
      <c r="D11" s="8" t="s">
        <v>13</v>
      </c>
      <c r="E11" s="10" t="s">
        <v>12</v>
      </c>
      <c r="F11" s="121"/>
      <c r="G11" s="122">
        <v>21</v>
      </c>
      <c r="H11" s="62">
        <f t="shared" si="0"/>
        <v>0</v>
      </c>
    </row>
    <row r="12" spans="1:8" ht="36" x14ac:dyDescent="0.25">
      <c r="B12" s="16" t="s">
        <v>326</v>
      </c>
      <c r="C12" s="19" t="s">
        <v>332</v>
      </c>
      <c r="D12" s="16" t="s">
        <v>13</v>
      </c>
      <c r="E12" s="15" t="s">
        <v>233</v>
      </c>
      <c r="F12" s="123"/>
      <c r="G12" s="109">
        <v>1</v>
      </c>
      <c r="H12" s="62">
        <f>G12*F12</f>
        <v>0</v>
      </c>
    </row>
    <row r="13" spans="1:8" ht="36" x14ac:dyDescent="0.25">
      <c r="B13" s="24" t="s">
        <v>327</v>
      </c>
      <c r="C13" s="117" t="s">
        <v>333</v>
      </c>
      <c r="D13" s="24" t="s">
        <v>13</v>
      </c>
      <c r="E13" s="118" t="s">
        <v>12</v>
      </c>
      <c r="F13" s="124"/>
      <c r="G13" s="125">
        <v>104</v>
      </c>
      <c r="H13" s="119">
        <f>G13*F13</f>
        <v>0</v>
      </c>
    </row>
    <row r="14" spans="1:8" ht="15.75" x14ac:dyDescent="0.25">
      <c r="A14" s="148" t="s">
        <v>16</v>
      </c>
      <c r="B14" s="136"/>
      <c r="C14" s="137" t="s">
        <v>329</v>
      </c>
      <c r="D14" s="138" t="s">
        <v>13</v>
      </c>
      <c r="E14" s="139" t="s">
        <v>233</v>
      </c>
      <c r="F14" s="140">
        <f>SUM(H15:H16)</f>
        <v>0</v>
      </c>
      <c r="G14" s="141">
        <v>1</v>
      </c>
      <c r="H14" s="142">
        <f>G14*F14</f>
        <v>0</v>
      </c>
    </row>
    <row r="15" spans="1:8" ht="60" x14ac:dyDescent="0.25">
      <c r="B15" s="2" t="s">
        <v>322</v>
      </c>
      <c r="C15" s="19" t="s">
        <v>334</v>
      </c>
      <c r="D15" s="8" t="s">
        <v>13</v>
      </c>
      <c r="E15" s="8" t="s">
        <v>12</v>
      </c>
      <c r="F15" s="126"/>
      <c r="G15" s="122">
        <v>356</v>
      </c>
      <c r="H15" s="62">
        <f>F15*G15</f>
        <v>0</v>
      </c>
    </row>
    <row r="16" spans="1:8" ht="24" x14ac:dyDescent="0.25">
      <c r="B16" s="16" t="s">
        <v>323</v>
      </c>
      <c r="C16" s="19" t="s">
        <v>335</v>
      </c>
      <c r="D16" s="22" t="s">
        <v>13</v>
      </c>
      <c r="E16" s="14" t="s">
        <v>233</v>
      </c>
      <c r="F16" s="123"/>
      <c r="G16" s="109">
        <v>1</v>
      </c>
      <c r="H16" s="62">
        <f>F16*G16</f>
        <v>0</v>
      </c>
    </row>
    <row r="17" spans="1:11" ht="24.75" customHeight="1" x14ac:dyDescent="0.25">
      <c r="A17" s="148" t="s">
        <v>17</v>
      </c>
      <c r="B17" s="136"/>
      <c r="C17" s="137" t="s">
        <v>349</v>
      </c>
      <c r="D17" s="141" t="s">
        <v>13</v>
      </c>
      <c r="E17" s="143" t="s">
        <v>233</v>
      </c>
      <c r="F17" s="144"/>
      <c r="G17" s="141">
        <v>1</v>
      </c>
      <c r="H17" s="134">
        <f t="shared" ref="H17:H26" si="1">G17*F17</f>
        <v>0</v>
      </c>
    </row>
    <row r="18" spans="1:11" ht="84" x14ac:dyDescent="0.25">
      <c r="A18" s="127" t="s">
        <v>18</v>
      </c>
      <c r="B18" s="128"/>
      <c r="C18" s="129" t="s">
        <v>344</v>
      </c>
      <c r="D18" s="130" t="s">
        <v>13</v>
      </c>
      <c r="E18" s="131" t="s">
        <v>233</v>
      </c>
      <c r="F18" s="132">
        <f>SUM(H19:H22)</f>
        <v>0</v>
      </c>
      <c r="G18" s="133">
        <v>1</v>
      </c>
      <c r="H18" s="134">
        <f t="shared" si="1"/>
        <v>0</v>
      </c>
    </row>
    <row r="19" spans="1:11" ht="72" x14ac:dyDescent="0.25">
      <c r="B19" s="2" t="s">
        <v>322</v>
      </c>
      <c r="C19" s="20" t="s">
        <v>343</v>
      </c>
      <c r="D19" s="12" t="s">
        <v>14</v>
      </c>
      <c r="E19" s="8" t="s">
        <v>233</v>
      </c>
      <c r="F19" s="9"/>
      <c r="G19" s="18">
        <v>1</v>
      </c>
      <c r="H19" s="62">
        <f t="shared" si="1"/>
        <v>0</v>
      </c>
    </row>
    <row r="20" spans="1:11" ht="120" x14ac:dyDescent="0.25">
      <c r="B20" s="1" t="s">
        <v>323</v>
      </c>
      <c r="C20" s="19" t="s">
        <v>345</v>
      </c>
      <c r="D20" s="8" t="s">
        <v>14</v>
      </c>
      <c r="E20" s="10" t="s">
        <v>12</v>
      </c>
      <c r="F20" s="121"/>
      <c r="G20" s="11">
        <v>61</v>
      </c>
      <c r="H20" s="62">
        <f t="shared" si="1"/>
        <v>0</v>
      </c>
    </row>
    <row r="21" spans="1:11" ht="108" x14ac:dyDescent="0.25">
      <c r="B21" s="1" t="s">
        <v>324</v>
      </c>
      <c r="C21" s="19" t="s">
        <v>338</v>
      </c>
      <c r="D21" s="8" t="s">
        <v>14</v>
      </c>
      <c r="E21" s="10" t="s">
        <v>12</v>
      </c>
      <c r="F21" s="121"/>
      <c r="G21" s="11">
        <v>18</v>
      </c>
      <c r="H21" s="62">
        <f t="shared" si="1"/>
        <v>0</v>
      </c>
    </row>
    <row r="22" spans="1:11" ht="36" x14ac:dyDescent="0.25">
      <c r="A22" s="17"/>
      <c r="B22" s="146" t="s">
        <v>326</v>
      </c>
      <c r="C22" s="19" t="s">
        <v>346</v>
      </c>
      <c r="D22" s="16" t="s">
        <v>14</v>
      </c>
      <c r="E22" s="15" t="s">
        <v>12</v>
      </c>
      <c r="F22" s="147"/>
      <c r="G22" s="16">
        <v>20</v>
      </c>
      <c r="H22" s="62">
        <f t="shared" si="1"/>
        <v>0</v>
      </c>
      <c r="J22" s="90"/>
      <c r="K22" s="114"/>
    </row>
    <row r="23" spans="1:11" ht="15.75" x14ac:dyDescent="0.25">
      <c r="A23" s="149" t="s">
        <v>353</v>
      </c>
      <c r="B23" s="136"/>
      <c r="C23" s="137" t="s">
        <v>341</v>
      </c>
      <c r="D23" s="138" t="s">
        <v>14</v>
      </c>
      <c r="E23" s="139" t="s">
        <v>233</v>
      </c>
      <c r="F23" s="140">
        <f>SUM(H24:H25)</f>
        <v>0</v>
      </c>
      <c r="G23" s="141">
        <v>1</v>
      </c>
      <c r="H23" s="142">
        <f t="shared" si="1"/>
        <v>0</v>
      </c>
    </row>
    <row r="24" spans="1:11" ht="60" x14ac:dyDescent="0.25">
      <c r="B24" s="2" t="s">
        <v>322</v>
      </c>
      <c r="C24" s="19" t="s">
        <v>347</v>
      </c>
      <c r="D24" s="12" t="s">
        <v>14</v>
      </c>
      <c r="E24" s="8" t="s">
        <v>12</v>
      </c>
      <c r="F24" s="126"/>
      <c r="G24" s="11">
        <v>310</v>
      </c>
      <c r="H24" s="62">
        <f t="shared" si="1"/>
        <v>0</v>
      </c>
    </row>
    <row r="25" spans="1:11" ht="24" x14ac:dyDescent="0.25">
      <c r="B25" s="16" t="s">
        <v>323</v>
      </c>
      <c r="C25" s="19" t="s">
        <v>348</v>
      </c>
      <c r="D25" s="16" t="s">
        <v>14</v>
      </c>
      <c r="E25" s="15" t="s">
        <v>233</v>
      </c>
      <c r="F25" s="147"/>
      <c r="G25" s="16">
        <v>1</v>
      </c>
      <c r="H25" s="62">
        <f t="shared" si="1"/>
        <v>0</v>
      </c>
    </row>
    <row r="26" spans="1:11" ht="24.75" customHeight="1" x14ac:dyDescent="0.25">
      <c r="A26" s="148" t="s">
        <v>19</v>
      </c>
      <c r="B26" s="136"/>
      <c r="C26" s="137" t="s">
        <v>339</v>
      </c>
      <c r="D26" s="141" t="s">
        <v>13</v>
      </c>
      <c r="E26" s="143" t="s">
        <v>233</v>
      </c>
      <c r="F26" s="144"/>
      <c r="G26" s="141">
        <v>1</v>
      </c>
      <c r="H26" s="134">
        <f t="shared" si="1"/>
        <v>0</v>
      </c>
    </row>
    <row r="29" spans="1:11" x14ac:dyDescent="0.25">
      <c r="F29" s="90"/>
    </row>
    <row r="51" ht="15.75" customHeight="1" x14ac:dyDescent="0.25"/>
  </sheetData>
  <mergeCells count="2">
    <mergeCell ref="C1:G1"/>
    <mergeCell ref="A2:E2"/>
  </mergeCells>
  <pageMargins left="0.23622047244094488" right="0.23622047244094488" top="0.3543307086614173" bottom="0.19685039370078741" header="0.11811023622047244" footer="0.31496062992125984"/>
  <pageSetup paperSize="8" fitToHeight="0" orientation="landscape" r:id="rId1"/>
  <headerFooter differentFirst="1" scaleWithDoc="0" alignWithMargins="0">
    <oddHeader>&amp;C&amp;"-,Bold"&amp;14First Option
Fire Alarm and Supression Systems &amp;R&amp;D</oddHeader>
    <oddFooter>&amp;R&amp;P of &amp;N</oddFooter>
    <firstHeader xml:space="preserve">&amp;C&amp;"-,Bold"First Option
Fire Alarm and Supression Systems&amp;R&amp;D
</first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tabColor rgb="FF00B050"/>
  </sheetPr>
  <dimension ref="A1:K52"/>
  <sheetViews>
    <sheetView zoomScaleNormal="100" workbookViewId="0">
      <selection activeCell="H11" sqref="H11"/>
    </sheetView>
  </sheetViews>
  <sheetFormatPr defaultColWidth="9.140625" defaultRowHeight="15" x14ac:dyDescent="0.25"/>
  <cols>
    <col min="1" max="3" width="9.140625" customWidth="1"/>
    <col min="4" max="4" width="40.7109375" customWidth="1"/>
    <col min="5" max="5" width="10.5703125" customWidth="1"/>
    <col min="6" max="6" width="7.140625" style="43" customWidth="1"/>
    <col min="7" max="7" width="9" customWidth="1"/>
    <col min="8" max="8" width="11.7109375" style="43" customWidth="1"/>
    <col min="255" max="257" width="9.140625" customWidth="1"/>
    <col min="258" max="258" width="40.7109375" customWidth="1"/>
    <col min="259" max="261" width="9.140625" customWidth="1"/>
    <col min="262" max="262" width="11.5703125" customWidth="1"/>
    <col min="511" max="513" width="9.140625" customWidth="1"/>
    <col min="514" max="514" width="40.7109375" customWidth="1"/>
    <col min="515" max="517" width="9.140625" customWidth="1"/>
    <col min="518" max="518" width="11.5703125" customWidth="1"/>
    <col min="767" max="769" width="9.140625" customWidth="1"/>
    <col min="770" max="770" width="40.7109375" customWidth="1"/>
    <col min="771" max="773" width="9.140625" customWidth="1"/>
    <col min="774" max="774" width="11.5703125" customWidth="1"/>
    <col min="1023" max="1025" width="9.140625" customWidth="1"/>
    <col min="1026" max="1026" width="40.7109375" customWidth="1"/>
    <col min="1027" max="1029" width="9.140625" customWidth="1"/>
    <col min="1030" max="1030" width="11.5703125" customWidth="1"/>
    <col min="1279" max="1281" width="9.140625" customWidth="1"/>
    <col min="1282" max="1282" width="40.7109375" customWidth="1"/>
    <col min="1283" max="1285" width="9.140625" customWidth="1"/>
    <col min="1286" max="1286" width="11.5703125" customWidth="1"/>
    <col min="1535" max="1537" width="9.140625" customWidth="1"/>
    <col min="1538" max="1538" width="40.7109375" customWidth="1"/>
    <col min="1539" max="1541" width="9.140625" customWidth="1"/>
    <col min="1542" max="1542" width="11.5703125" customWidth="1"/>
    <col min="1791" max="1793" width="9.140625" customWidth="1"/>
    <col min="1794" max="1794" width="40.7109375" customWidth="1"/>
    <col min="1795" max="1797" width="9.140625" customWidth="1"/>
    <col min="1798" max="1798" width="11.5703125" customWidth="1"/>
    <col min="2047" max="2049" width="9.140625" customWidth="1"/>
    <col min="2050" max="2050" width="40.7109375" customWidth="1"/>
    <col min="2051" max="2053" width="9.140625" customWidth="1"/>
    <col min="2054" max="2054" width="11.5703125" customWidth="1"/>
    <col min="2303" max="2305" width="9.140625" customWidth="1"/>
    <col min="2306" max="2306" width="40.7109375" customWidth="1"/>
    <col min="2307" max="2309" width="9.140625" customWidth="1"/>
    <col min="2310" max="2310" width="11.5703125" customWidth="1"/>
    <col min="2559" max="2561" width="9.140625" customWidth="1"/>
    <col min="2562" max="2562" width="40.7109375" customWidth="1"/>
    <col min="2563" max="2565" width="9.140625" customWidth="1"/>
    <col min="2566" max="2566" width="11.5703125" customWidth="1"/>
    <col min="2815" max="2817" width="9.140625" customWidth="1"/>
    <col min="2818" max="2818" width="40.7109375" customWidth="1"/>
    <col min="2819" max="2821" width="9.140625" customWidth="1"/>
    <col min="2822" max="2822" width="11.5703125" customWidth="1"/>
    <col min="3071" max="3073" width="9.140625" customWidth="1"/>
    <col min="3074" max="3074" width="40.7109375" customWidth="1"/>
    <col min="3075" max="3077" width="9.140625" customWidth="1"/>
    <col min="3078" max="3078" width="11.5703125" customWidth="1"/>
    <col min="3327" max="3329" width="9.140625" customWidth="1"/>
    <col min="3330" max="3330" width="40.7109375" customWidth="1"/>
    <col min="3331" max="3333" width="9.140625" customWidth="1"/>
    <col min="3334" max="3334" width="11.5703125" customWidth="1"/>
    <col min="3583" max="3585" width="9.140625" customWidth="1"/>
    <col min="3586" max="3586" width="40.7109375" customWidth="1"/>
    <col min="3587" max="3589" width="9.140625" customWidth="1"/>
    <col min="3590" max="3590" width="11.5703125" customWidth="1"/>
    <col min="3839" max="3841" width="9.140625" customWidth="1"/>
    <col min="3842" max="3842" width="40.7109375" customWidth="1"/>
    <col min="3843" max="3845" width="9.140625" customWidth="1"/>
    <col min="3846" max="3846" width="11.5703125" customWidth="1"/>
    <col min="4095" max="4097" width="9.140625" customWidth="1"/>
    <col min="4098" max="4098" width="40.7109375" customWidth="1"/>
    <col min="4099" max="4101" width="9.140625" customWidth="1"/>
    <col min="4102" max="4102" width="11.5703125" customWidth="1"/>
    <col min="4351" max="4353" width="9.140625" customWidth="1"/>
    <col min="4354" max="4354" width="40.7109375" customWidth="1"/>
    <col min="4355" max="4357" width="9.140625" customWidth="1"/>
    <col min="4358" max="4358" width="11.5703125" customWidth="1"/>
    <col min="4607" max="4609" width="9.140625" customWidth="1"/>
    <col min="4610" max="4610" width="40.7109375" customWidth="1"/>
    <col min="4611" max="4613" width="9.140625" customWidth="1"/>
    <col min="4614" max="4614" width="11.5703125" customWidth="1"/>
    <col min="4863" max="4865" width="9.140625" customWidth="1"/>
    <col min="4866" max="4866" width="40.7109375" customWidth="1"/>
    <col min="4867" max="4869" width="9.140625" customWidth="1"/>
    <col min="4870" max="4870" width="11.5703125" customWidth="1"/>
    <col min="5119" max="5121" width="9.140625" customWidth="1"/>
    <col min="5122" max="5122" width="40.7109375" customWidth="1"/>
    <col min="5123" max="5125" width="9.140625" customWidth="1"/>
    <col min="5126" max="5126" width="11.5703125" customWidth="1"/>
    <col min="5375" max="5377" width="9.140625" customWidth="1"/>
    <col min="5378" max="5378" width="40.7109375" customWidth="1"/>
    <col min="5379" max="5381" width="9.140625" customWidth="1"/>
    <col min="5382" max="5382" width="11.5703125" customWidth="1"/>
    <col min="5631" max="5633" width="9.140625" customWidth="1"/>
    <col min="5634" max="5634" width="40.7109375" customWidth="1"/>
    <col min="5635" max="5637" width="9.140625" customWidth="1"/>
    <col min="5638" max="5638" width="11.5703125" customWidth="1"/>
    <col min="5887" max="5889" width="9.140625" customWidth="1"/>
    <col min="5890" max="5890" width="40.7109375" customWidth="1"/>
    <col min="5891" max="5893" width="9.140625" customWidth="1"/>
    <col min="5894" max="5894" width="11.5703125" customWidth="1"/>
    <col min="6143" max="6145" width="9.140625" customWidth="1"/>
    <col min="6146" max="6146" width="40.7109375" customWidth="1"/>
    <col min="6147" max="6149" width="9.140625" customWidth="1"/>
    <col min="6150" max="6150" width="11.5703125" customWidth="1"/>
    <col min="6399" max="6401" width="9.140625" customWidth="1"/>
    <col min="6402" max="6402" width="40.7109375" customWidth="1"/>
    <col min="6403" max="6405" width="9.140625" customWidth="1"/>
    <col min="6406" max="6406" width="11.5703125" customWidth="1"/>
    <col min="6655" max="6657" width="9.140625" customWidth="1"/>
    <col min="6658" max="6658" width="40.7109375" customWidth="1"/>
    <col min="6659" max="6661" width="9.140625" customWidth="1"/>
    <col min="6662" max="6662" width="11.5703125" customWidth="1"/>
    <col min="6911" max="6913" width="9.140625" customWidth="1"/>
    <col min="6914" max="6914" width="40.7109375" customWidth="1"/>
    <col min="6915" max="6917" width="9.140625" customWidth="1"/>
    <col min="6918" max="6918" width="11.5703125" customWidth="1"/>
    <col min="7167" max="7169" width="9.140625" customWidth="1"/>
    <col min="7170" max="7170" width="40.7109375" customWidth="1"/>
    <col min="7171" max="7173" width="9.140625" customWidth="1"/>
    <col min="7174" max="7174" width="11.5703125" customWidth="1"/>
    <col min="7423" max="7425" width="9.140625" customWidth="1"/>
    <col min="7426" max="7426" width="40.7109375" customWidth="1"/>
    <col min="7427" max="7429" width="9.140625" customWidth="1"/>
    <col min="7430" max="7430" width="11.5703125" customWidth="1"/>
    <col min="7679" max="7681" width="9.140625" customWidth="1"/>
    <col min="7682" max="7682" width="40.7109375" customWidth="1"/>
    <col min="7683" max="7685" width="9.140625" customWidth="1"/>
    <col min="7686" max="7686" width="11.5703125" customWidth="1"/>
    <col min="7935" max="7937" width="9.140625" customWidth="1"/>
    <col min="7938" max="7938" width="40.7109375" customWidth="1"/>
    <col min="7939" max="7941" width="9.140625" customWidth="1"/>
    <col min="7942" max="7942" width="11.5703125" customWidth="1"/>
    <col min="8191" max="8193" width="9.140625" customWidth="1"/>
    <col min="8194" max="8194" width="40.7109375" customWidth="1"/>
    <col min="8195" max="8197" width="9.140625" customWidth="1"/>
    <col min="8198" max="8198" width="11.5703125" customWidth="1"/>
    <col min="8447" max="8449" width="9.140625" customWidth="1"/>
    <col min="8450" max="8450" width="40.7109375" customWidth="1"/>
    <col min="8451" max="8453" width="9.140625" customWidth="1"/>
    <col min="8454" max="8454" width="11.5703125" customWidth="1"/>
    <col min="8703" max="8705" width="9.140625" customWidth="1"/>
    <col min="8706" max="8706" width="40.7109375" customWidth="1"/>
    <col min="8707" max="8709" width="9.140625" customWidth="1"/>
    <col min="8710" max="8710" width="11.5703125" customWidth="1"/>
    <col min="8959" max="8961" width="9.140625" customWidth="1"/>
    <col min="8962" max="8962" width="40.7109375" customWidth="1"/>
    <col min="8963" max="8965" width="9.140625" customWidth="1"/>
    <col min="8966" max="8966" width="11.5703125" customWidth="1"/>
    <col min="9215" max="9217" width="9.140625" customWidth="1"/>
    <col min="9218" max="9218" width="40.7109375" customWidth="1"/>
    <col min="9219" max="9221" width="9.140625" customWidth="1"/>
    <col min="9222" max="9222" width="11.5703125" customWidth="1"/>
    <col min="9471" max="9473" width="9.140625" customWidth="1"/>
    <col min="9474" max="9474" width="40.7109375" customWidth="1"/>
    <col min="9475" max="9477" width="9.140625" customWidth="1"/>
    <col min="9478" max="9478" width="11.5703125" customWidth="1"/>
    <col min="9727" max="9729" width="9.140625" customWidth="1"/>
    <col min="9730" max="9730" width="40.7109375" customWidth="1"/>
    <col min="9731" max="9733" width="9.140625" customWidth="1"/>
    <col min="9734" max="9734" width="11.5703125" customWidth="1"/>
    <col min="9983" max="9985" width="9.140625" customWidth="1"/>
    <col min="9986" max="9986" width="40.7109375" customWidth="1"/>
    <col min="9987" max="9989" width="9.140625" customWidth="1"/>
    <col min="9990" max="9990" width="11.5703125" customWidth="1"/>
    <col min="10239" max="10241" width="9.140625" customWidth="1"/>
    <col min="10242" max="10242" width="40.7109375" customWidth="1"/>
    <col min="10243" max="10245" width="9.140625" customWidth="1"/>
    <col min="10246" max="10246" width="11.5703125" customWidth="1"/>
    <col min="10495" max="10497" width="9.140625" customWidth="1"/>
    <col min="10498" max="10498" width="40.7109375" customWidth="1"/>
    <col min="10499" max="10501" width="9.140625" customWidth="1"/>
    <col min="10502" max="10502" width="11.5703125" customWidth="1"/>
    <col min="10751" max="10753" width="9.140625" customWidth="1"/>
    <col min="10754" max="10754" width="40.7109375" customWidth="1"/>
    <col min="10755" max="10757" width="9.140625" customWidth="1"/>
    <col min="10758" max="10758" width="11.5703125" customWidth="1"/>
    <col min="11007" max="11009" width="9.140625" customWidth="1"/>
    <col min="11010" max="11010" width="40.7109375" customWidth="1"/>
    <col min="11011" max="11013" width="9.140625" customWidth="1"/>
    <col min="11014" max="11014" width="11.5703125" customWidth="1"/>
    <col min="11263" max="11265" width="9.140625" customWidth="1"/>
    <col min="11266" max="11266" width="40.7109375" customWidth="1"/>
    <col min="11267" max="11269" width="9.140625" customWidth="1"/>
    <col min="11270" max="11270" width="11.5703125" customWidth="1"/>
    <col min="11519" max="11521" width="9.140625" customWidth="1"/>
    <col min="11522" max="11522" width="40.7109375" customWidth="1"/>
    <col min="11523" max="11525" width="9.140625" customWidth="1"/>
    <col min="11526" max="11526" width="11.5703125" customWidth="1"/>
    <col min="11775" max="11777" width="9.140625" customWidth="1"/>
    <col min="11778" max="11778" width="40.7109375" customWidth="1"/>
    <col min="11779" max="11781" width="9.140625" customWidth="1"/>
    <col min="11782" max="11782" width="11.5703125" customWidth="1"/>
    <col min="12031" max="12033" width="9.140625" customWidth="1"/>
    <col min="12034" max="12034" width="40.7109375" customWidth="1"/>
    <col min="12035" max="12037" width="9.140625" customWidth="1"/>
    <col min="12038" max="12038" width="11.5703125" customWidth="1"/>
    <col min="12287" max="12289" width="9.140625" customWidth="1"/>
    <col min="12290" max="12290" width="40.7109375" customWidth="1"/>
    <col min="12291" max="12293" width="9.140625" customWidth="1"/>
    <col min="12294" max="12294" width="11.5703125" customWidth="1"/>
    <col min="12543" max="12545" width="9.140625" customWidth="1"/>
    <col min="12546" max="12546" width="40.7109375" customWidth="1"/>
    <col min="12547" max="12549" width="9.140625" customWidth="1"/>
    <col min="12550" max="12550" width="11.5703125" customWidth="1"/>
    <col min="12799" max="12801" width="9.140625" customWidth="1"/>
    <col min="12802" max="12802" width="40.7109375" customWidth="1"/>
    <col min="12803" max="12805" width="9.140625" customWidth="1"/>
    <col min="12806" max="12806" width="11.5703125" customWidth="1"/>
    <col min="13055" max="13057" width="9.140625" customWidth="1"/>
    <col min="13058" max="13058" width="40.7109375" customWidth="1"/>
    <col min="13059" max="13061" width="9.140625" customWidth="1"/>
    <col min="13062" max="13062" width="11.5703125" customWidth="1"/>
    <col min="13311" max="13313" width="9.140625" customWidth="1"/>
    <col min="13314" max="13314" width="40.7109375" customWidth="1"/>
    <col min="13315" max="13317" width="9.140625" customWidth="1"/>
    <col min="13318" max="13318" width="11.5703125" customWidth="1"/>
    <col min="13567" max="13569" width="9.140625" customWidth="1"/>
    <col min="13570" max="13570" width="40.7109375" customWidth="1"/>
    <col min="13571" max="13573" width="9.140625" customWidth="1"/>
    <col min="13574" max="13574" width="11.5703125" customWidth="1"/>
    <col min="13823" max="13825" width="9.140625" customWidth="1"/>
    <col min="13826" max="13826" width="40.7109375" customWidth="1"/>
    <col min="13827" max="13829" width="9.140625" customWidth="1"/>
    <col min="13830" max="13830" width="11.5703125" customWidth="1"/>
    <col min="14079" max="14081" width="9.140625" customWidth="1"/>
    <col min="14082" max="14082" width="40.7109375" customWidth="1"/>
    <col min="14083" max="14085" width="9.140625" customWidth="1"/>
    <col min="14086" max="14086" width="11.5703125" customWidth="1"/>
    <col min="14335" max="14337" width="9.140625" customWidth="1"/>
    <col min="14338" max="14338" width="40.7109375" customWidth="1"/>
    <col min="14339" max="14341" width="9.140625" customWidth="1"/>
    <col min="14342" max="14342" width="11.5703125" customWidth="1"/>
    <col min="14591" max="14593" width="9.140625" customWidth="1"/>
    <col min="14594" max="14594" width="40.7109375" customWidth="1"/>
    <col min="14595" max="14597" width="9.140625" customWidth="1"/>
    <col min="14598" max="14598" width="11.5703125" customWidth="1"/>
    <col min="14847" max="14849" width="9.140625" customWidth="1"/>
    <col min="14850" max="14850" width="40.7109375" customWidth="1"/>
    <col min="14851" max="14853" width="9.140625" customWidth="1"/>
    <col min="14854" max="14854" width="11.5703125" customWidth="1"/>
    <col min="15103" max="15105" width="9.140625" customWidth="1"/>
    <col min="15106" max="15106" width="40.7109375" customWidth="1"/>
    <col min="15107" max="15109" width="9.140625" customWidth="1"/>
    <col min="15110" max="15110" width="11.5703125" customWidth="1"/>
    <col min="15359" max="15361" width="9.140625" customWidth="1"/>
    <col min="15362" max="15362" width="40.7109375" customWidth="1"/>
    <col min="15363" max="15365" width="9.140625" customWidth="1"/>
    <col min="15366" max="15366" width="11.5703125" customWidth="1"/>
    <col min="15615" max="15617" width="9.140625" customWidth="1"/>
    <col min="15618" max="15618" width="40.7109375" customWidth="1"/>
    <col min="15619" max="15621" width="9.140625" customWidth="1"/>
    <col min="15622" max="15622" width="11.5703125" customWidth="1"/>
    <col min="15871" max="15873" width="9.140625" customWidth="1"/>
    <col min="15874" max="15874" width="40.7109375" customWidth="1"/>
    <col min="15875" max="15877" width="9.140625" customWidth="1"/>
    <col min="15878" max="15878" width="11.5703125" customWidth="1"/>
    <col min="16127" max="16129" width="9.140625" customWidth="1"/>
    <col min="16130" max="16130" width="40.7109375" customWidth="1"/>
    <col min="16131" max="16133" width="9.140625" customWidth="1"/>
    <col min="16134" max="16134" width="11.5703125" customWidth="1"/>
  </cols>
  <sheetData>
    <row r="1" spans="1:11" ht="38.25" x14ac:dyDescent="0.25">
      <c r="A1" s="25" t="s">
        <v>0</v>
      </c>
      <c r="B1" s="25" t="s">
        <v>24</v>
      </c>
      <c r="C1" s="25" t="s">
        <v>25</v>
      </c>
      <c r="D1" s="26" t="s">
        <v>1</v>
      </c>
      <c r="E1" s="27" t="s">
        <v>26</v>
      </c>
      <c r="F1" s="28" t="s">
        <v>27</v>
      </c>
      <c r="G1" s="27" t="s">
        <v>28</v>
      </c>
      <c r="H1" s="28" t="s">
        <v>216</v>
      </c>
      <c r="I1" s="21"/>
      <c r="J1" s="21"/>
    </row>
    <row r="2" spans="1:11" ht="78.75" customHeight="1" x14ac:dyDescent="0.25">
      <c r="A2" s="29" t="s">
        <v>15</v>
      </c>
      <c r="B2" s="3"/>
      <c r="C2" s="3"/>
      <c r="D2" s="30" t="s">
        <v>29</v>
      </c>
      <c r="E2" s="161" t="s">
        <v>30</v>
      </c>
      <c r="F2" s="162"/>
      <c r="G2" s="163"/>
      <c r="H2" s="58">
        <f>SUM(H3:H52)</f>
        <v>0</v>
      </c>
      <c r="I2" s="21"/>
      <c r="J2" s="21"/>
    </row>
    <row r="3" spans="1:11" ht="15" customHeight="1" x14ac:dyDescent="0.25">
      <c r="A3" s="31"/>
      <c r="B3" s="32" t="s">
        <v>31</v>
      </c>
      <c r="C3" s="2" t="s">
        <v>4</v>
      </c>
      <c r="D3" s="33" t="s">
        <v>32</v>
      </c>
      <c r="E3" s="110">
        <v>152</v>
      </c>
      <c r="F3" s="91"/>
      <c r="G3" s="36">
        <v>4</v>
      </c>
      <c r="H3" s="35">
        <f>E3*F3*G3</f>
        <v>0</v>
      </c>
      <c r="I3" s="69"/>
      <c r="J3" s="21"/>
      <c r="K3" s="37" t="s">
        <v>4</v>
      </c>
    </row>
    <row r="4" spans="1:11" ht="18" customHeight="1" x14ac:dyDescent="0.25">
      <c r="A4" s="31"/>
      <c r="B4" s="32" t="s">
        <v>33</v>
      </c>
      <c r="C4" s="1"/>
      <c r="D4" s="38" t="s">
        <v>34</v>
      </c>
      <c r="E4" s="111">
        <v>168</v>
      </c>
      <c r="F4" s="91"/>
      <c r="G4" s="36">
        <v>4</v>
      </c>
      <c r="H4" s="35">
        <f t="shared" ref="H4:H34" si="0">E4*F4*G4</f>
        <v>0</v>
      </c>
      <c r="I4" s="69"/>
      <c r="J4" s="21"/>
      <c r="K4" s="37" t="s">
        <v>4</v>
      </c>
    </row>
    <row r="5" spans="1:11" x14ac:dyDescent="0.25">
      <c r="A5" s="31"/>
      <c r="B5" s="32" t="s">
        <v>35</v>
      </c>
      <c r="C5" s="1"/>
      <c r="D5" s="33" t="s">
        <v>36</v>
      </c>
      <c r="E5" s="110">
        <v>64</v>
      </c>
      <c r="F5" s="91"/>
      <c r="G5" s="36">
        <v>4</v>
      </c>
      <c r="H5" s="35">
        <f t="shared" si="0"/>
        <v>0</v>
      </c>
      <c r="I5" s="69"/>
      <c r="J5" s="21"/>
      <c r="K5" s="37" t="s">
        <v>4</v>
      </c>
    </row>
    <row r="6" spans="1:11" x14ac:dyDescent="0.25">
      <c r="A6" s="31"/>
      <c r="B6" s="32" t="s">
        <v>37</v>
      </c>
      <c r="C6" s="1"/>
      <c r="D6" s="33" t="s">
        <v>231</v>
      </c>
      <c r="E6" s="110">
        <v>6610</v>
      </c>
      <c r="F6" s="91"/>
      <c r="G6" s="36">
        <v>4</v>
      </c>
      <c r="H6" s="35">
        <f t="shared" si="0"/>
        <v>0</v>
      </c>
      <c r="I6" s="69"/>
      <c r="J6" s="21"/>
      <c r="K6" s="37" t="s">
        <v>4</v>
      </c>
    </row>
    <row r="7" spans="1:11" x14ac:dyDescent="0.25">
      <c r="A7" s="31"/>
      <c r="B7" s="32" t="s">
        <v>38</v>
      </c>
      <c r="C7" s="1"/>
      <c r="D7" s="33" t="s">
        <v>39</v>
      </c>
      <c r="E7" s="110">
        <v>283</v>
      </c>
      <c r="F7" s="91"/>
      <c r="G7" s="36">
        <v>4</v>
      </c>
      <c r="H7" s="35">
        <f t="shared" si="0"/>
        <v>0</v>
      </c>
      <c r="I7" s="69"/>
      <c r="J7" s="21"/>
    </row>
    <row r="8" spans="1:11" x14ac:dyDescent="0.25">
      <c r="A8" s="31"/>
      <c r="B8" s="32" t="s">
        <v>40</v>
      </c>
      <c r="C8" s="1"/>
      <c r="D8" s="33" t="s">
        <v>41</v>
      </c>
      <c r="E8" s="110">
        <v>514</v>
      </c>
      <c r="F8" s="91"/>
      <c r="G8" s="36">
        <v>4</v>
      </c>
      <c r="H8" s="35">
        <f t="shared" si="0"/>
        <v>0</v>
      </c>
      <c r="I8" s="69"/>
      <c r="J8" s="21"/>
    </row>
    <row r="9" spans="1:11" x14ac:dyDescent="0.25">
      <c r="A9" s="31"/>
      <c r="B9" s="32" t="s">
        <v>42</v>
      </c>
      <c r="C9" s="2"/>
      <c r="D9" s="40" t="s">
        <v>43</v>
      </c>
      <c r="E9" s="112">
        <v>32</v>
      </c>
      <c r="F9" s="91"/>
      <c r="G9" s="36">
        <v>4</v>
      </c>
      <c r="H9" s="35">
        <f t="shared" si="0"/>
        <v>0</v>
      </c>
      <c r="I9" s="69"/>
      <c r="J9" s="21"/>
    </row>
    <row r="10" spans="1:11" x14ac:dyDescent="0.25">
      <c r="A10" s="31"/>
      <c r="B10" s="32" t="s">
        <v>44</v>
      </c>
      <c r="C10" s="2"/>
      <c r="D10" s="40" t="s">
        <v>45</v>
      </c>
      <c r="E10" s="112">
        <v>6810</v>
      </c>
      <c r="F10" s="91"/>
      <c r="G10" s="36">
        <v>4</v>
      </c>
      <c r="H10" s="35">
        <f t="shared" si="0"/>
        <v>0</v>
      </c>
      <c r="I10" s="69"/>
      <c r="J10" s="21"/>
    </row>
    <row r="11" spans="1:11" x14ac:dyDescent="0.25">
      <c r="A11" s="31"/>
      <c r="B11" s="32" t="s">
        <v>46</v>
      </c>
      <c r="C11" s="2"/>
      <c r="D11" s="40" t="s">
        <v>47</v>
      </c>
      <c r="E11" s="110">
        <v>1485</v>
      </c>
      <c r="F11" s="91"/>
      <c r="G11" s="36">
        <v>4</v>
      </c>
      <c r="H11" s="35">
        <f t="shared" si="0"/>
        <v>0</v>
      </c>
      <c r="I11" s="69"/>
      <c r="J11" s="21"/>
    </row>
    <row r="12" spans="1:11" x14ac:dyDescent="0.25">
      <c r="A12" s="31"/>
      <c r="B12" s="32" t="s">
        <v>48</v>
      </c>
      <c r="C12" s="2"/>
      <c r="D12" s="40" t="s">
        <v>49</v>
      </c>
      <c r="E12" s="110">
        <v>591</v>
      </c>
      <c r="F12" s="91"/>
      <c r="G12" s="36">
        <v>4</v>
      </c>
      <c r="H12" s="35">
        <f t="shared" si="0"/>
        <v>0</v>
      </c>
      <c r="I12" s="69"/>
      <c r="J12" s="21"/>
    </row>
    <row r="13" spans="1:11" x14ac:dyDescent="0.25">
      <c r="A13" s="31"/>
      <c r="B13" s="32" t="s">
        <v>50</v>
      </c>
      <c r="C13" s="2"/>
      <c r="D13" s="33" t="s">
        <v>51</v>
      </c>
      <c r="E13" s="110">
        <v>44</v>
      </c>
      <c r="F13" s="91"/>
      <c r="G13" s="36">
        <v>4</v>
      </c>
      <c r="H13" s="35">
        <f t="shared" si="0"/>
        <v>0</v>
      </c>
      <c r="I13" s="69"/>
      <c r="J13" s="21"/>
    </row>
    <row r="14" spans="1:11" x14ac:dyDescent="0.25">
      <c r="A14" s="31"/>
      <c r="B14" s="32" t="s">
        <v>52</v>
      </c>
      <c r="C14" s="2"/>
      <c r="D14" s="33" t="s">
        <v>53</v>
      </c>
      <c r="E14" s="110">
        <v>1903</v>
      </c>
      <c r="F14" s="91"/>
      <c r="G14" s="36">
        <v>4</v>
      </c>
      <c r="H14" s="35">
        <f t="shared" si="0"/>
        <v>0</v>
      </c>
      <c r="I14" s="69"/>
      <c r="J14" s="21"/>
    </row>
    <row r="15" spans="1:11" x14ac:dyDescent="0.25">
      <c r="A15" s="31"/>
      <c r="B15" s="32" t="s">
        <v>54</v>
      </c>
      <c r="C15" s="2"/>
      <c r="D15" s="40" t="s">
        <v>55</v>
      </c>
      <c r="E15" s="110">
        <v>66</v>
      </c>
      <c r="F15" s="91"/>
      <c r="G15" s="36">
        <v>4</v>
      </c>
      <c r="H15" s="35">
        <f t="shared" si="0"/>
        <v>0</v>
      </c>
      <c r="I15" s="69"/>
      <c r="J15" s="21"/>
    </row>
    <row r="16" spans="1:11" x14ac:dyDescent="0.25">
      <c r="A16" s="31"/>
      <c r="B16" s="32" t="s">
        <v>56</v>
      </c>
      <c r="C16" s="2"/>
      <c r="D16" s="40" t="s">
        <v>57</v>
      </c>
      <c r="E16" s="110">
        <v>33</v>
      </c>
      <c r="F16" s="91"/>
      <c r="G16" s="36">
        <v>4</v>
      </c>
      <c r="H16" s="35">
        <f t="shared" si="0"/>
        <v>0</v>
      </c>
      <c r="I16" s="69"/>
      <c r="J16" s="21"/>
    </row>
    <row r="17" spans="1:10" x14ac:dyDescent="0.25">
      <c r="A17" s="31"/>
      <c r="B17" s="32" t="s">
        <v>58</v>
      </c>
      <c r="C17" s="2"/>
      <c r="D17" s="33" t="s">
        <v>59</v>
      </c>
      <c r="E17" s="110">
        <v>802</v>
      </c>
      <c r="F17" s="91"/>
      <c r="G17" s="36">
        <v>4</v>
      </c>
      <c r="H17" s="35">
        <f t="shared" si="0"/>
        <v>0</v>
      </c>
      <c r="I17" s="69"/>
      <c r="J17" s="21"/>
    </row>
    <row r="18" spans="1:10" x14ac:dyDescent="0.25">
      <c r="A18" s="31"/>
      <c r="B18" s="32" t="s">
        <v>60</v>
      </c>
      <c r="C18" s="2"/>
      <c r="D18" s="33" t="s">
        <v>61</v>
      </c>
      <c r="E18" s="110">
        <v>1150</v>
      </c>
      <c r="F18" s="91"/>
      <c r="G18" s="36">
        <v>4</v>
      </c>
      <c r="H18" s="35">
        <f t="shared" si="0"/>
        <v>0</v>
      </c>
      <c r="I18" s="69"/>
      <c r="J18" s="21"/>
    </row>
    <row r="19" spans="1:10" x14ac:dyDescent="0.25">
      <c r="A19" s="31"/>
      <c r="B19" s="32" t="s">
        <v>62</v>
      </c>
      <c r="C19" s="2"/>
      <c r="D19" s="33" t="s">
        <v>63</v>
      </c>
      <c r="E19" s="110">
        <v>4867</v>
      </c>
      <c r="F19" s="91"/>
      <c r="G19" s="36">
        <v>4</v>
      </c>
      <c r="H19" s="35">
        <f t="shared" si="0"/>
        <v>0</v>
      </c>
      <c r="I19" s="69"/>
      <c r="J19" s="21"/>
    </row>
    <row r="20" spans="1:10" x14ac:dyDescent="0.25">
      <c r="A20" s="31"/>
      <c r="B20" s="32" t="s">
        <v>64</v>
      </c>
      <c r="C20" s="2"/>
      <c r="D20" s="33" t="s">
        <v>65</v>
      </c>
      <c r="E20" s="110">
        <v>163</v>
      </c>
      <c r="F20" s="91"/>
      <c r="G20" s="36">
        <v>4</v>
      </c>
      <c r="H20" s="35">
        <f t="shared" si="0"/>
        <v>0</v>
      </c>
      <c r="I20" s="69"/>
      <c r="J20" s="21"/>
    </row>
    <row r="21" spans="1:10" x14ac:dyDescent="0.25">
      <c r="A21" s="31"/>
      <c r="B21" s="32" t="s">
        <v>66</v>
      </c>
      <c r="C21" s="2"/>
      <c r="D21" s="33" t="s">
        <v>67</v>
      </c>
      <c r="E21" s="110">
        <v>2714</v>
      </c>
      <c r="F21" s="91"/>
      <c r="G21" s="36">
        <v>4</v>
      </c>
      <c r="H21" s="35">
        <f t="shared" si="0"/>
        <v>0</v>
      </c>
      <c r="I21" s="69"/>
      <c r="J21" s="21"/>
    </row>
    <row r="22" spans="1:10" x14ac:dyDescent="0.25">
      <c r="A22" s="31"/>
      <c r="B22" s="32" t="s">
        <v>68</v>
      </c>
      <c r="C22" s="2"/>
      <c r="D22" s="33" t="s">
        <v>69</v>
      </c>
      <c r="E22" s="110">
        <v>2731</v>
      </c>
      <c r="F22" s="91"/>
      <c r="G22" s="36">
        <v>4</v>
      </c>
      <c r="H22" s="35">
        <f t="shared" si="0"/>
        <v>0</v>
      </c>
      <c r="I22" s="69"/>
      <c r="J22" s="21"/>
    </row>
    <row r="23" spans="1:10" x14ac:dyDescent="0.25">
      <c r="A23" s="31"/>
      <c r="B23" s="32" t="s">
        <v>70</v>
      </c>
      <c r="C23" s="2"/>
      <c r="D23" s="33" t="s">
        <v>71</v>
      </c>
      <c r="E23" s="110">
        <v>259</v>
      </c>
      <c r="F23" s="91"/>
      <c r="G23" s="36">
        <v>4</v>
      </c>
      <c r="H23" s="35">
        <f t="shared" si="0"/>
        <v>0</v>
      </c>
      <c r="I23" s="69"/>
      <c r="J23" s="21"/>
    </row>
    <row r="24" spans="1:10" x14ac:dyDescent="0.25">
      <c r="A24" s="31"/>
      <c r="B24" s="32" t="s">
        <v>72</v>
      </c>
      <c r="C24" s="2"/>
      <c r="D24" s="33" t="s">
        <v>73</v>
      </c>
      <c r="E24" s="110">
        <v>1642</v>
      </c>
      <c r="F24" s="91"/>
      <c r="G24" s="36">
        <v>4</v>
      </c>
      <c r="H24" s="35">
        <f t="shared" si="0"/>
        <v>0</v>
      </c>
      <c r="I24" s="69"/>
      <c r="J24" s="21"/>
    </row>
    <row r="25" spans="1:10" x14ac:dyDescent="0.25">
      <c r="A25" s="31"/>
      <c r="B25" s="32" t="s">
        <v>74</v>
      </c>
      <c r="C25" s="2"/>
      <c r="D25" s="33" t="s">
        <v>75</v>
      </c>
      <c r="E25" s="110">
        <v>856</v>
      </c>
      <c r="F25" s="91"/>
      <c r="G25" s="36">
        <v>4</v>
      </c>
      <c r="H25" s="35">
        <f t="shared" si="0"/>
        <v>0</v>
      </c>
      <c r="I25" s="69"/>
      <c r="J25" s="21"/>
    </row>
    <row r="26" spans="1:10" x14ac:dyDescent="0.25">
      <c r="A26" s="31"/>
      <c r="B26" s="32" t="s">
        <v>76</v>
      </c>
      <c r="C26" s="2"/>
      <c r="D26" s="33" t="s">
        <v>77</v>
      </c>
      <c r="E26" s="110">
        <v>1301</v>
      </c>
      <c r="F26" s="91"/>
      <c r="G26" s="36">
        <v>4</v>
      </c>
      <c r="H26" s="35">
        <f t="shared" si="0"/>
        <v>0</v>
      </c>
      <c r="I26" s="69"/>
      <c r="J26" s="21"/>
    </row>
    <row r="27" spans="1:10" x14ac:dyDescent="0.25">
      <c r="A27" s="31"/>
      <c r="B27" s="32" t="s">
        <v>78</v>
      </c>
      <c r="C27" s="2"/>
      <c r="D27" s="33" t="s">
        <v>79</v>
      </c>
      <c r="E27" s="110">
        <v>499</v>
      </c>
      <c r="F27" s="91"/>
      <c r="G27" s="36">
        <v>2</v>
      </c>
      <c r="H27" s="35">
        <f t="shared" si="0"/>
        <v>0</v>
      </c>
      <c r="I27" s="69"/>
      <c r="J27" s="21"/>
    </row>
    <row r="28" spans="1:10" x14ac:dyDescent="0.25">
      <c r="A28" s="31"/>
      <c r="B28" s="32" t="s">
        <v>80</v>
      </c>
      <c r="C28" s="2"/>
      <c r="D28" s="33" t="s">
        <v>81</v>
      </c>
      <c r="E28" s="110">
        <v>82</v>
      </c>
      <c r="F28" s="91"/>
      <c r="G28" s="36">
        <v>2</v>
      </c>
      <c r="H28" s="35">
        <f t="shared" si="0"/>
        <v>0</v>
      </c>
      <c r="I28" s="69"/>
      <c r="J28" s="21"/>
    </row>
    <row r="29" spans="1:10" x14ac:dyDescent="0.25">
      <c r="A29" s="31"/>
      <c r="B29" s="32" t="s">
        <v>82</v>
      </c>
      <c r="C29" s="2"/>
      <c r="D29" s="41" t="s">
        <v>83</v>
      </c>
      <c r="E29" s="110">
        <v>72</v>
      </c>
      <c r="F29" s="91"/>
      <c r="G29" s="36">
        <v>2</v>
      </c>
      <c r="H29" s="35">
        <f t="shared" si="0"/>
        <v>0</v>
      </c>
      <c r="I29" s="69"/>
      <c r="J29" s="21"/>
    </row>
    <row r="30" spans="1:10" x14ac:dyDescent="0.25">
      <c r="A30" s="31"/>
      <c r="B30" s="32" t="s">
        <v>84</v>
      </c>
      <c r="C30" s="2"/>
      <c r="D30" s="41" t="s">
        <v>85</v>
      </c>
      <c r="E30" s="110">
        <v>853</v>
      </c>
      <c r="F30" s="91"/>
      <c r="G30" s="36">
        <v>2</v>
      </c>
      <c r="H30" s="35">
        <f t="shared" si="0"/>
        <v>0</v>
      </c>
      <c r="I30" s="69"/>
      <c r="J30" s="21"/>
    </row>
    <row r="31" spans="1:10" x14ac:dyDescent="0.25">
      <c r="A31" s="31"/>
      <c r="B31" s="32" t="s">
        <v>86</v>
      </c>
      <c r="C31" s="2"/>
      <c r="D31" s="41" t="s">
        <v>87</v>
      </c>
      <c r="E31" s="110">
        <v>10</v>
      </c>
      <c r="F31" s="91"/>
      <c r="G31" s="36">
        <v>2</v>
      </c>
      <c r="H31" s="35">
        <f t="shared" si="0"/>
        <v>0</v>
      </c>
      <c r="I31" s="69"/>
      <c r="J31" s="21"/>
    </row>
    <row r="32" spans="1:10" x14ac:dyDescent="0.25">
      <c r="A32" s="31"/>
      <c r="B32" s="32" t="s">
        <v>88</v>
      </c>
      <c r="C32" s="2"/>
      <c r="D32" s="41" t="s">
        <v>89</v>
      </c>
      <c r="E32" s="110">
        <v>8</v>
      </c>
      <c r="F32" s="91"/>
      <c r="G32" s="36">
        <v>2</v>
      </c>
      <c r="H32" s="35">
        <f t="shared" si="0"/>
        <v>0</v>
      </c>
      <c r="I32" s="69"/>
      <c r="J32" s="21"/>
    </row>
    <row r="33" spans="1:10" x14ac:dyDescent="0.25">
      <c r="A33" s="31"/>
      <c r="B33" s="32" t="s">
        <v>90</v>
      </c>
      <c r="C33" s="2"/>
      <c r="D33" s="41" t="s">
        <v>91</v>
      </c>
      <c r="E33" s="110">
        <v>168</v>
      </c>
      <c r="F33" s="91"/>
      <c r="G33" s="36">
        <v>4</v>
      </c>
      <c r="H33" s="35">
        <f t="shared" si="0"/>
        <v>0</v>
      </c>
      <c r="I33" s="69"/>
      <c r="J33" s="21"/>
    </row>
    <row r="34" spans="1:10" x14ac:dyDescent="0.25">
      <c r="A34" s="31"/>
      <c r="B34" s="32" t="s">
        <v>92</v>
      </c>
      <c r="C34" s="2"/>
      <c r="D34" s="41" t="s">
        <v>93</v>
      </c>
      <c r="E34" s="110">
        <v>164</v>
      </c>
      <c r="F34" s="91"/>
      <c r="G34" s="36">
        <v>4</v>
      </c>
      <c r="H34" s="35">
        <f t="shared" si="0"/>
        <v>0</v>
      </c>
      <c r="I34" s="69"/>
      <c r="J34" s="21"/>
    </row>
    <row r="35" spans="1:10" x14ac:dyDescent="0.25">
      <c r="A35" s="31"/>
      <c r="B35" s="32" t="s">
        <v>94</v>
      </c>
      <c r="C35" s="2"/>
      <c r="D35" s="41" t="s">
        <v>95</v>
      </c>
      <c r="E35" s="110">
        <v>187</v>
      </c>
      <c r="F35" s="91"/>
      <c r="G35" s="36">
        <v>4</v>
      </c>
      <c r="H35" s="35">
        <f t="shared" ref="H35:H52" si="1">E35*F35*G35</f>
        <v>0</v>
      </c>
      <c r="I35" s="69"/>
      <c r="J35" s="21"/>
    </row>
    <row r="36" spans="1:10" x14ac:dyDescent="0.25">
      <c r="A36" s="31"/>
      <c r="B36" s="32" t="s">
        <v>96</v>
      </c>
      <c r="C36" s="2"/>
      <c r="D36" s="41" t="s">
        <v>97</v>
      </c>
      <c r="E36" s="110">
        <v>164</v>
      </c>
      <c r="F36" s="91"/>
      <c r="G36" s="36">
        <v>4</v>
      </c>
      <c r="H36" s="35">
        <f t="shared" si="1"/>
        <v>0</v>
      </c>
      <c r="I36" s="69"/>
      <c r="J36" s="21"/>
    </row>
    <row r="37" spans="1:10" x14ac:dyDescent="0.25">
      <c r="A37" s="31"/>
      <c r="B37" s="32" t="s">
        <v>98</v>
      </c>
      <c r="C37" s="2"/>
      <c r="D37" s="41" t="s">
        <v>99</v>
      </c>
      <c r="E37" s="110">
        <v>30</v>
      </c>
      <c r="F37" s="91"/>
      <c r="G37" s="36">
        <v>4</v>
      </c>
      <c r="H37" s="35">
        <f t="shared" si="1"/>
        <v>0</v>
      </c>
      <c r="I37" s="69"/>
      <c r="J37" s="21"/>
    </row>
    <row r="38" spans="1:10" x14ac:dyDescent="0.25">
      <c r="A38" s="31"/>
      <c r="B38" s="32" t="s">
        <v>100</v>
      </c>
      <c r="C38" s="2"/>
      <c r="D38" s="41" t="s">
        <v>101</v>
      </c>
      <c r="E38" s="110">
        <v>70</v>
      </c>
      <c r="F38" s="91"/>
      <c r="G38" s="36">
        <v>4</v>
      </c>
      <c r="H38" s="35">
        <f t="shared" si="1"/>
        <v>0</v>
      </c>
      <c r="I38" s="69"/>
      <c r="J38" s="21"/>
    </row>
    <row r="39" spans="1:10" x14ac:dyDescent="0.25">
      <c r="A39" s="31"/>
      <c r="B39" s="32" t="s">
        <v>102</v>
      </c>
      <c r="C39" s="2"/>
      <c r="D39" s="41" t="s">
        <v>103</v>
      </c>
      <c r="E39" s="110">
        <v>902</v>
      </c>
      <c r="F39" s="91"/>
      <c r="G39" s="36">
        <v>4</v>
      </c>
      <c r="H39" s="35">
        <f t="shared" si="1"/>
        <v>0</v>
      </c>
      <c r="I39" s="69"/>
      <c r="J39" s="21"/>
    </row>
    <row r="40" spans="1:10" x14ac:dyDescent="0.25">
      <c r="A40" s="31"/>
      <c r="B40" s="32" t="s">
        <v>104</v>
      </c>
      <c r="C40" s="2"/>
      <c r="D40" s="41" t="s">
        <v>105</v>
      </c>
      <c r="E40" s="110">
        <v>12</v>
      </c>
      <c r="F40" s="91"/>
      <c r="G40" s="36">
        <v>4</v>
      </c>
      <c r="H40" s="35">
        <f t="shared" si="1"/>
        <v>0</v>
      </c>
      <c r="I40" s="69"/>
      <c r="J40" s="21"/>
    </row>
    <row r="41" spans="1:10" x14ac:dyDescent="0.25">
      <c r="A41" s="31"/>
      <c r="B41" s="32" t="s">
        <v>106</v>
      </c>
      <c r="C41" s="2"/>
      <c r="D41" s="41" t="s">
        <v>107</v>
      </c>
      <c r="E41" s="110">
        <v>56</v>
      </c>
      <c r="F41" s="91"/>
      <c r="G41" s="36">
        <v>4</v>
      </c>
      <c r="H41" s="35">
        <f t="shared" si="1"/>
        <v>0</v>
      </c>
      <c r="I41" s="69"/>
      <c r="J41" s="21"/>
    </row>
    <row r="42" spans="1:10" x14ac:dyDescent="0.25">
      <c r="A42" s="31"/>
      <c r="B42" s="32" t="s">
        <v>108</v>
      </c>
      <c r="C42" s="2"/>
      <c r="D42" s="41" t="s">
        <v>109</v>
      </c>
      <c r="E42" s="110">
        <v>60</v>
      </c>
      <c r="F42" s="91"/>
      <c r="G42" s="36">
        <v>4</v>
      </c>
      <c r="H42" s="35">
        <f t="shared" si="1"/>
        <v>0</v>
      </c>
      <c r="I42" s="69"/>
      <c r="J42" s="21"/>
    </row>
    <row r="43" spans="1:10" x14ac:dyDescent="0.25">
      <c r="A43" s="31"/>
      <c r="B43" s="32" t="s">
        <v>110</v>
      </c>
      <c r="C43" s="2"/>
      <c r="D43" s="41" t="s">
        <v>111</v>
      </c>
      <c r="E43" s="110">
        <v>12</v>
      </c>
      <c r="F43" s="91"/>
      <c r="G43" s="36">
        <v>4</v>
      </c>
      <c r="H43" s="35">
        <f t="shared" si="1"/>
        <v>0</v>
      </c>
      <c r="I43" s="69"/>
      <c r="J43" s="21"/>
    </row>
    <row r="44" spans="1:10" x14ac:dyDescent="0.25">
      <c r="A44" s="31"/>
      <c r="B44" s="32" t="s">
        <v>112</v>
      </c>
      <c r="C44" s="2"/>
      <c r="D44" s="41" t="s">
        <v>228</v>
      </c>
      <c r="E44" s="110">
        <v>14</v>
      </c>
      <c r="F44" s="91"/>
      <c r="G44" s="36">
        <v>2</v>
      </c>
      <c r="H44" s="35">
        <f t="shared" si="1"/>
        <v>0</v>
      </c>
      <c r="I44" s="69"/>
      <c r="J44" s="21"/>
    </row>
    <row r="45" spans="1:10" x14ac:dyDescent="0.25">
      <c r="A45" s="31"/>
      <c r="B45" s="32" t="s">
        <v>113</v>
      </c>
      <c r="C45" s="2"/>
      <c r="D45" s="41" t="s">
        <v>229</v>
      </c>
      <c r="E45" s="110">
        <v>1</v>
      </c>
      <c r="F45" s="91"/>
      <c r="G45" s="36">
        <v>2</v>
      </c>
      <c r="H45" s="35">
        <f t="shared" si="1"/>
        <v>0</v>
      </c>
      <c r="I45" s="69"/>
      <c r="J45" s="21"/>
    </row>
    <row r="46" spans="1:10" x14ac:dyDescent="0.25">
      <c r="A46" s="31"/>
      <c r="B46" s="32" t="s">
        <v>114</v>
      </c>
      <c r="C46" s="2"/>
      <c r="D46" s="41" t="s">
        <v>230</v>
      </c>
      <c r="E46" s="110">
        <v>18</v>
      </c>
      <c r="F46" s="91"/>
      <c r="G46" s="36">
        <v>2</v>
      </c>
      <c r="H46" s="35">
        <f t="shared" si="1"/>
        <v>0</v>
      </c>
      <c r="I46" s="69"/>
      <c r="J46" s="21"/>
    </row>
    <row r="47" spans="1:10" x14ac:dyDescent="0.25">
      <c r="A47" s="31"/>
      <c r="B47" s="32" t="s">
        <v>115</v>
      </c>
      <c r="C47" s="2"/>
      <c r="D47" s="41" t="s">
        <v>116</v>
      </c>
      <c r="E47" s="110">
        <v>68</v>
      </c>
      <c r="F47" s="91"/>
      <c r="G47" s="36">
        <v>4</v>
      </c>
      <c r="H47" s="35">
        <f t="shared" si="1"/>
        <v>0</v>
      </c>
      <c r="I47" s="69"/>
      <c r="J47" s="21"/>
    </row>
    <row r="48" spans="1:10" x14ac:dyDescent="0.25">
      <c r="A48" s="31"/>
      <c r="B48" s="32" t="s">
        <v>117</v>
      </c>
      <c r="C48" s="2"/>
      <c r="D48" s="41" t="s">
        <v>118</v>
      </c>
      <c r="E48" s="110">
        <v>8</v>
      </c>
      <c r="F48" s="91"/>
      <c r="G48" s="36">
        <v>4</v>
      </c>
      <c r="H48" s="35">
        <f t="shared" si="1"/>
        <v>0</v>
      </c>
      <c r="I48" s="69"/>
      <c r="J48" s="21"/>
    </row>
    <row r="49" spans="1:10" x14ac:dyDescent="0.25">
      <c r="A49" s="31"/>
      <c r="B49" s="32" t="s">
        <v>119</v>
      </c>
      <c r="C49" s="2"/>
      <c r="D49" s="41" t="s">
        <v>120</v>
      </c>
      <c r="E49" s="110">
        <v>6</v>
      </c>
      <c r="F49" s="91"/>
      <c r="G49" s="36">
        <v>4</v>
      </c>
      <c r="H49" s="35">
        <f t="shared" si="1"/>
        <v>0</v>
      </c>
      <c r="I49" s="69"/>
      <c r="J49" s="21"/>
    </row>
    <row r="50" spans="1:10" x14ac:dyDescent="0.25">
      <c r="A50" s="31"/>
      <c r="B50" s="32" t="s">
        <v>121</v>
      </c>
      <c r="C50" s="2"/>
      <c r="D50" s="41" t="s">
        <v>218</v>
      </c>
      <c r="E50" s="110">
        <v>92</v>
      </c>
      <c r="F50" s="91"/>
      <c r="G50" s="36">
        <v>4</v>
      </c>
      <c r="H50" s="35">
        <f t="shared" si="1"/>
        <v>0</v>
      </c>
      <c r="I50" s="69"/>
      <c r="J50" s="21"/>
    </row>
    <row r="51" spans="1:10" x14ac:dyDescent="0.25">
      <c r="A51" s="31"/>
      <c r="B51" s="32" t="s">
        <v>122</v>
      </c>
      <c r="C51" s="2"/>
      <c r="D51" s="41" t="s">
        <v>219</v>
      </c>
      <c r="E51" s="110">
        <v>17</v>
      </c>
      <c r="F51" s="91"/>
      <c r="G51" s="61">
        <v>4</v>
      </c>
      <c r="H51" s="35">
        <f t="shared" si="1"/>
        <v>0</v>
      </c>
      <c r="I51" s="69"/>
      <c r="J51" s="21"/>
    </row>
    <row r="52" spans="1:10" x14ac:dyDescent="0.25">
      <c r="A52" s="31"/>
      <c r="B52" s="60" t="s">
        <v>220</v>
      </c>
      <c r="C52" s="31"/>
      <c r="D52" s="41" t="s">
        <v>217</v>
      </c>
      <c r="E52" s="110">
        <v>12</v>
      </c>
      <c r="F52" s="91"/>
      <c r="G52" s="87">
        <v>4</v>
      </c>
      <c r="H52" s="64">
        <f t="shared" si="1"/>
        <v>0</v>
      </c>
      <c r="I52" s="63"/>
    </row>
  </sheetData>
  <mergeCells count="1">
    <mergeCell ref="E2:G2"/>
  </mergeCells>
  <pageMargins left="0.23622047244094488" right="0.23622047244094488" top="0.3543307086614173" bottom="0.19685039370078741" header="0.11811023622047244" footer="0.31496062992125984"/>
  <pageSetup paperSize="8" scale="95" orientation="landscape"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rgb="FF00B050"/>
  </sheetPr>
  <dimension ref="A1:J41"/>
  <sheetViews>
    <sheetView zoomScaleNormal="100" workbookViewId="0">
      <selection activeCell="F3" sqref="F3:F41"/>
    </sheetView>
  </sheetViews>
  <sheetFormatPr defaultColWidth="9.140625" defaultRowHeight="15" x14ac:dyDescent="0.25"/>
  <cols>
    <col min="1" max="3" width="9.140625" customWidth="1"/>
    <col min="4" max="4" width="40.7109375" customWidth="1"/>
    <col min="5" max="5" width="10.7109375" customWidth="1"/>
    <col min="6" max="6" width="7.140625" bestFit="1" customWidth="1"/>
    <col min="7" max="7" width="9.140625" customWidth="1"/>
    <col min="8" max="8" width="14.42578125" bestFit="1" customWidth="1"/>
    <col min="9" max="10" width="9.140625" style="21"/>
    <col min="256" max="258" width="9.140625" customWidth="1"/>
    <col min="259" max="259" width="40.7109375" customWidth="1"/>
    <col min="260" max="262" width="9.140625" customWidth="1"/>
    <col min="263" max="263" width="10.42578125" customWidth="1"/>
    <col min="512" max="514" width="9.140625" customWidth="1"/>
    <col min="515" max="515" width="40.7109375" customWidth="1"/>
    <col min="516" max="518" width="9.140625" customWidth="1"/>
    <col min="519" max="519" width="10.42578125" customWidth="1"/>
    <col min="768" max="770" width="9.140625" customWidth="1"/>
    <col min="771" max="771" width="40.7109375" customWidth="1"/>
    <col min="772" max="774" width="9.140625" customWidth="1"/>
    <col min="775" max="775" width="10.42578125" customWidth="1"/>
    <col min="1024" max="1026" width="9.140625" customWidth="1"/>
    <col min="1027" max="1027" width="40.7109375" customWidth="1"/>
    <col min="1028" max="1030" width="9.140625" customWidth="1"/>
    <col min="1031" max="1031" width="10.42578125" customWidth="1"/>
    <col min="1280" max="1282" width="9.140625" customWidth="1"/>
    <col min="1283" max="1283" width="40.7109375" customWidth="1"/>
    <col min="1284" max="1286" width="9.140625" customWidth="1"/>
    <col min="1287" max="1287" width="10.42578125" customWidth="1"/>
    <col min="1536" max="1538" width="9.140625" customWidth="1"/>
    <col min="1539" max="1539" width="40.7109375" customWidth="1"/>
    <col min="1540" max="1542" width="9.140625" customWidth="1"/>
    <col min="1543" max="1543" width="10.42578125" customWidth="1"/>
    <col min="1792" max="1794" width="9.140625" customWidth="1"/>
    <col min="1795" max="1795" width="40.7109375" customWidth="1"/>
    <col min="1796" max="1798" width="9.140625" customWidth="1"/>
    <col min="1799" max="1799" width="10.42578125" customWidth="1"/>
    <col min="2048" max="2050" width="9.140625" customWidth="1"/>
    <col min="2051" max="2051" width="40.7109375" customWidth="1"/>
    <col min="2052" max="2054" width="9.140625" customWidth="1"/>
    <col min="2055" max="2055" width="10.42578125" customWidth="1"/>
    <col min="2304" max="2306" width="9.140625" customWidth="1"/>
    <col min="2307" max="2307" width="40.7109375" customWidth="1"/>
    <col min="2308" max="2310" width="9.140625" customWidth="1"/>
    <col min="2311" max="2311" width="10.42578125" customWidth="1"/>
    <col min="2560" max="2562" width="9.140625" customWidth="1"/>
    <col min="2563" max="2563" width="40.7109375" customWidth="1"/>
    <col min="2564" max="2566" width="9.140625" customWidth="1"/>
    <col min="2567" max="2567" width="10.42578125" customWidth="1"/>
    <col min="2816" max="2818" width="9.140625" customWidth="1"/>
    <col min="2819" max="2819" width="40.7109375" customWidth="1"/>
    <col min="2820" max="2822" width="9.140625" customWidth="1"/>
    <col min="2823" max="2823" width="10.42578125" customWidth="1"/>
    <col min="3072" max="3074" width="9.140625" customWidth="1"/>
    <col min="3075" max="3075" width="40.7109375" customWidth="1"/>
    <col min="3076" max="3078" width="9.140625" customWidth="1"/>
    <col min="3079" max="3079" width="10.42578125" customWidth="1"/>
    <col min="3328" max="3330" width="9.140625" customWidth="1"/>
    <col min="3331" max="3331" width="40.7109375" customWidth="1"/>
    <col min="3332" max="3334" width="9.140625" customWidth="1"/>
    <col min="3335" max="3335" width="10.42578125" customWidth="1"/>
    <col min="3584" max="3586" width="9.140625" customWidth="1"/>
    <col min="3587" max="3587" width="40.7109375" customWidth="1"/>
    <col min="3588" max="3590" width="9.140625" customWidth="1"/>
    <col min="3591" max="3591" width="10.42578125" customWidth="1"/>
    <col min="3840" max="3842" width="9.140625" customWidth="1"/>
    <col min="3843" max="3843" width="40.7109375" customWidth="1"/>
    <col min="3844" max="3846" width="9.140625" customWidth="1"/>
    <col min="3847" max="3847" width="10.42578125" customWidth="1"/>
    <col min="4096" max="4098" width="9.140625" customWidth="1"/>
    <col min="4099" max="4099" width="40.7109375" customWidth="1"/>
    <col min="4100" max="4102" width="9.140625" customWidth="1"/>
    <col min="4103" max="4103" width="10.42578125" customWidth="1"/>
    <col min="4352" max="4354" width="9.140625" customWidth="1"/>
    <col min="4355" max="4355" width="40.7109375" customWidth="1"/>
    <col min="4356" max="4358" width="9.140625" customWidth="1"/>
    <col min="4359" max="4359" width="10.42578125" customWidth="1"/>
    <col min="4608" max="4610" width="9.140625" customWidth="1"/>
    <col min="4611" max="4611" width="40.7109375" customWidth="1"/>
    <col min="4612" max="4614" width="9.140625" customWidth="1"/>
    <col min="4615" max="4615" width="10.42578125" customWidth="1"/>
    <col min="4864" max="4866" width="9.140625" customWidth="1"/>
    <col min="4867" max="4867" width="40.7109375" customWidth="1"/>
    <col min="4868" max="4870" width="9.140625" customWidth="1"/>
    <col min="4871" max="4871" width="10.42578125" customWidth="1"/>
    <col min="5120" max="5122" width="9.140625" customWidth="1"/>
    <col min="5123" max="5123" width="40.7109375" customWidth="1"/>
    <col min="5124" max="5126" width="9.140625" customWidth="1"/>
    <col min="5127" max="5127" width="10.42578125" customWidth="1"/>
    <col min="5376" max="5378" width="9.140625" customWidth="1"/>
    <col min="5379" max="5379" width="40.7109375" customWidth="1"/>
    <col min="5380" max="5382" width="9.140625" customWidth="1"/>
    <col min="5383" max="5383" width="10.42578125" customWidth="1"/>
    <col min="5632" max="5634" width="9.140625" customWidth="1"/>
    <col min="5635" max="5635" width="40.7109375" customWidth="1"/>
    <col min="5636" max="5638" width="9.140625" customWidth="1"/>
    <col min="5639" max="5639" width="10.42578125" customWidth="1"/>
    <col min="5888" max="5890" width="9.140625" customWidth="1"/>
    <col min="5891" max="5891" width="40.7109375" customWidth="1"/>
    <col min="5892" max="5894" width="9.140625" customWidth="1"/>
    <col min="5895" max="5895" width="10.42578125" customWidth="1"/>
    <col min="6144" max="6146" width="9.140625" customWidth="1"/>
    <col min="6147" max="6147" width="40.7109375" customWidth="1"/>
    <col min="6148" max="6150" width="9.140625" customWidth="1"/>
    <col min="6151" max="6151" width="10.42578125" customWidth="1"/>
    <col min="6400" max="6402" width="9.140625" customWidth="1"/>
    <col min="6403" max="6403" width="40.7109375" customWidth="1"/>
    <col min="6404" max="6406" width="9.140625" customWidth="1"/>
    <col min="6407" max="6407" width="10.42578125" customWidth="1"/>
    <col min="6656" max="6658" width="9.140625" customWidth="1"/>
    <col min="6659" max="6659" width="40.7109375" customWidth="1"/>
    <col min="6660" max="6662" width="9.140625" customWidth="1"/>
    <col min="6663" max="6663" width="10.42578125" customWidth="1"/>
    <col min="6912" max="6914" width="9.140625" customWidth="1"/>
    <col min="6915" max="6915" width="40.7109375" customWidth="1"/>
    <col min="6916" max="6918" width="9.140625" customWidth="1"/>
    <col min="6919" max="6919" width="10.42578125" customWidth="1"/>
    <col min="7168" max="7170" width="9.140625" customWidth="1"/>
    <col min="7171" max="7171" width="40.7109375" customWidth="1"/>
    <col min="7172" max="7174" width="9.140625" customWidth="1"/>
    <col min="7175" max="7175" width="10.42578125" customWidth="1"/>
    <col min="7424" max="7426" width="9.140625" customWidth="1"/>
    <col min="7427" max="7427" width="40.7109375" customWidth="1"/>
    <col min="7428" max="7430" width="9.140625" customWidth="1"/>
    <col min="7431" max="7431" width="10.42578125" customWidth="1"/>
    <col min="7680" max="7682" width="9.140625" customWidth="1"/>
    <col min="7683" max="7683" width="40.7109375" customWidth="1"/>
    <col min="7684" max="7686" width="9.140625" customWidth="1"/>
    <col min="7687" max="7687" width="10.42578125" customWidth="1"/>
    <col min="7936" max="7938" width="9.140625" customWidth="1"/>
    <col min="7939" max="7939" width="40.7109375" customWidth="1"/>
    <col min="7940" max="7942" width="9.140625" customWidth="1"/>
    <col min="7943" max="7943" width="10.42578125" customWidth="1"/>
    <col min="8192" max="8194" width="9.140625" customWidth="1"/>
    <col min="8195" max="8195" width="40.7109375" customWidth="1"/>
    <col min="8196" max="8198" width="9.140625" customWidth="1"/>
    <col min="8199" max="8199" width="10.42578125" customWidth="1"/>
    <col min="8448" max="8450" width="9.140625" customWidth="1"/>
    <col min="8451" max="8451" width="40.7109375" customWidth="1"/>
    <col min="8452" max="8454" width="9.140625" customWidth="1"/>
    <col min="8455" max="8455" width="10.42578125" customWidth="1"/>
    <col min="8704" max="8706" width="9.140625" customWidth="1"/>
    <col min="8707" max="8707" width="40.7109375" customWidth="1"/>
    <col min="8708" max="8710" width="9.140625" customWidth="1"/>
    <col min="8711" max="8711" width="10.42578125" customWidth="1"/>
    <col min="8960" max="8962" width="9.140625" customWidth="1"/>
    <col min="8963" max="8963" width="40.7109375" customWidth="1"/>
    <col min="8964" max="8966" width="9.140625" customWidth="1"/>
    <col min="8967" max="8967" width="10.42578125" customWidth="1"/>
    <col min="9216" max="9218" width="9.140625" customWidth="1"/>
    <col min="9219" max="9219" width="40.7109375" customWidth="1"/>
    <col min="9220" max="9222" width="9.140625" customWidth="1"/>
    <col min="9223" max="9223" width="10.42578125" customWidth="1"/>
    <col min="9472" max="9474" width="9.140625" customWidth="1"/>
    <col min="9475" max="9475" width="40.7109375" customWidth="1"/>
    <col min="9476" max="9478" width="9.140625" customWidth="1"/>
    <col min="9479" max="9479" width="10.42578125" customWidth="1"/>
    <col min="9728" max="9730" width="9.140625" customWidth="1"/>
    <col min="9731" max="9731" width="40.7109375" customWidth="1"/>
    <col min="9732" max="9734" width="9.140625" customWidth="1"/>
    <col min="9735" max="9735" width="10.42578125" customWidth="1"/>
    <col min="9984" max="9986" width="9.140625" customWidth="1"/>
    <col min="9987" max="9987" width="40.7109375" customWidth="1"/>
    <col min="9988" max="9990" width="9.140625" customWidth="1"/>
    <col min="9991" max="9991" width="10.42578125" customWidth="1"/>
    <col min="10240" max="10242" width="9.140625" customWidth="1"/>
    <col min="10243" max="10243" width="40.7109375" customWidth="1"/>
    <col min="10244" max="10246" width="9.140625" customWidth="1"/>
    <col min="10247" max="10247" width="10.42578125" customWidth="1"/>
    <col min="10496" max="10498" width="9.140625" customWidth="1"/>
    <col min="10499" max="10499" width="40.7109375" customWidth="1"/>
    <col min="10500" max="10502" width="9.140625" customWidth="1"/>
    <col min="10503" max="10503" width="10.42578125" customWidth="1"/>
    <col min="10752" max="10754" width="9.140625" customWidth="1"/>
    <col min="10755" max="10755" width="40.7109375" customWidth="1"/>
    <col min="10756" max="10758" width="9.140625" customWidth="1"/>
    <col min="10759" max="10759" width="10.42578125" customWidth="1"/>
    <col min="11008" max="11010" width="9.140625" customWidth="1"/>
    <col min="11011" max="11011" width="40.7109375" customWidth="1"/>
    <col min="11012" max="11014" width="9.140625" customWidth="1"/>
    <col min="11015" max="11015" width="10.42578125" customWidth="1"/>
    <col min="11264" max="11266" width="9.140625" customWidth="1"/>
    <col min="11267" max="11267" width="40.7109375" customWidth="1"/>
    <col min="11268" max="11270" width="9.140625" customWidth="1"/>
    <col min="11271" max="11271" width="10.42578125" customWidth="1"/>
    <col min="11520" max="11522" width="9.140625" customWidth="1"/>
    <col min="11523" max="11523" width="40.7109375" customWidth="1"/>
    <col min="11524" max="11526" width="9.140625" customWidth="1"/>
    <col min="11527" max="11527" width="10.42578125" customWidth="1"/>
    <col min="11776" max="11778" width="9.140625" customWidth="1"/>
    <col min="11779" max="11779" width="40.7109375" customWidth="1"/>
    <col min="11780" max="11782" width="9.140625" customWidth="1"/>
    <col min="11783" max="11783" width="10.42578125" customWidth="1"/>
    <col min="12032" max="12034" width="9.140625" customWidth="1"/>
    <col min="12035" max="12035" width="40.7109375" customWidth="1"/>
    <col min="12036" max="12038" width="9.140625" customWidth="1"/>
    <col min="12039" max="12039" width="10.42578125" customWidth="1"/>
    <col min="12288" max="12290" width="9.140625" customWidth="1"/>
    <col min="12291" max="12291" width="40.7109375" customWidth="1"/>
    <col min="12292" max="12294" width="9.140625" customWidth="1"/>
    <col min="12295" max="12295" width="10.42578125" customWidth="1"/>
    <col min="12544" max="12546" width="9.140625" customWidth="1"/>
    <col min="12547" max="12547" width="40.7109375" customWidth="1"/>
    <col min="12548" max="12550" width="9.140625" customWidth="1"/>
    <col min="12551" max="12551" width="10.42578125" customWidth="1"/>
    <col min="12800" max="12802" width="9.140625" customWidth="1"/>
    <col min="12803" max="12803" width="40.7109375" customWidth="1"/>
    <col min="12804" max="12806" width="9.140625" customWidth="1"/>
    <col min="12807" max="12807" width="10.42578125" customWidth="1"/>
    <col min="13056" max="13058" width="9.140625" customWidth="1"/>
    <col min="13059" max="13059" width="40.7109375" customWidth="1"/>
    <col min="13060" max="13062" width="9.140625" customWidth="1"/>
    <col min="13063" max="13063" width="10.42578125" customWidth="1"/>
    <col min="13312" max="13314" width="9.140625" customWidth="1"/>
    <col min="13315" max="13315" width="40.7109375" customWidth="1"/>
    <col min="13316" max="13318" width="9.140625" customWidth="1"/>
    <col min="13319" max="13319" width="10.42578125" customWidth="1"/>
    <col min="13568" max="13570" width="9.140625" customWidth="1"/>
    <col min="13571" max="13571" width="40.7109375" customWidth="1"/>
    <col min="13572" max="13574" width="9.140625" customWidth="1"/>
    <col min="13575" max="13575" width="10.42578125" customWidth="1"/>
    <col min="13824" max="13826" width="9.140625" customWidth="1"/>
    <col min="13827" max="13827" width="40.7109375" customWidth="1"/>
    <col min="13828" max="13830" width="9.140625" customWidth="1"/>
    <col min="13831" max="13831" width="10.42578125" customWidth="1"/>
    <col min="14080" max="14082" width="9.140625" customWidth="1"/>
    <col min="14083" max="14083" width="40.7109375" customWidth="1"/>
    <col min="14084" max="14086" width="9.140625" customWidth="1"/>
    <col min="14087" max="14087" width="10.42578125" customWidth="1"/>
    <col min="14336" max="14338" width="9.140625" customWidth="1"/>
    <col min="14339" max="14339" width="40.7109375" customWidth="1"/>
    <col min="14340" max="14342" width="9.140625" customWidth="1"/>
    <col min="14343" max="14343" width="10.42578125" customWidth="1"/>
    <col min="14592" max="14594" width="9.140625" customWidth="1"/>
    <col min="14595" max="14595" width="40.7109375" customWidth="1"/>
    <col min="14596" max="14598" width="9.140625" customWidth="1"/>
    <col min="14599" max="14599" width="10.42578125" customWidth="1"/>
    <col min="14848" max="14850" width="9.140625" customWidth="1"/>
    <col min="14851" max="14851" width="40.7109375" customWidth="1"/>
    <col min="14852" max="14854" width="9.140625" customWidth="1"/>
    <col min="14855" max="14855" width="10.42578125" customWidth="1"/>
    <col min="15104" max="15106" width="9.140625" customWidth="1"/>
    <col min="15107" max="15107" width="40.7109375" customWidth="1"/>
    <col min="15108" max="15110" width="9.140625" customWidth="1"/>
    <col min="15111" max="15111" width="10.42578125" customWidth="1"/>
    <col min="15360" max="15362" width="9.140625" customWidth="1"/>
    <col min="15363" max="15363" width="40.7109375" customWidth="1"/>
    <col min="15364" max="15366" width="9.140625" customWidth="1"/>
    <col min="15367" max="15367" width="10.42578125" customWidth="1"/>
    <col min="15616" max="15618" width="9.140625" customWidth="1"/>
    <col min="15619" max="15619" width="40.7109375" customWidth="1"/>
    <col min="15620" max="15622" width="9.140625" customWidth="1"/>
    <col min="15623" max="15623" width="10.42578125" customWidth="1"/>
    <col min="15872" max="15874" width="9.140625" customWidth="1"/>
    <col min="15875" max="15875" width="40.7109375" customWidth="1"/>
    <col min="15876" max="15878" width="9.140625" customWidth="1"/>
    <col min="15879" max="15879" width="10.42578125" customWidth="1"/>
    <col min="16128" max="16130" width="9.140625" customWidth="1"/>
    <col min="16131" max="16131" width="40.7109375" customWidth="1"/>
    <col min="16132" max="16134" width="9.140625" customWidth="1"/>
    <col min="16135" max="16135" width="10.42578125" customWidth="1"/>
  </cols>
  <sheetData>
    <row r="1" spans="1:10" ht="38.25" x14ac:dyDescent="0.25">
      <c r="A1" s="25" t="s">
        <v>0</v>
      </c>
      <c r="B1" s="25" t="s">
        <v>24</v>
      </c>
      <c r="C1" s="25" t="s">
        <v>25</v>
      </c>
      <c r="D1" s="26" t="s">
        <v>1</v>
      </c>
      <c r="E1" s="27" t="s">
        <v>26</v>
      </c>
      <c r="F1" s="27" t="s">
        <v>27</v>
      </c>
      <c r="G1" s="27" t="s">
        <v>28</v>
      </c>
      <c r="H1" s="27" t="s">
        <v>2</v>
      </c>
      <c r="I1" s="73"/>
    </row>
    <row r="2" spans="1:10" ht="91.5" customHeight="1" x14ac:dyDescent="0.25">
      <c r="A2" s="44" t="s">
        <v>15</v>
      </c>
      <c r="B2" s="3"/>
      <c r="C2" s="3"/>
      <c r="D2" s="30" t="s">
        <v>123</v>
      </c>
      <c r="E2" s="161" t="s">
        <v>30</v>
      </c>
      <c r="F2" s="162"/>
      <c r="G2" s="163"/>
      <c r="H2" s="58">
        <f>SUM(H3:H41)</f>
        <v>0</v>
      </c>
      <c r="I2" s="66"/>
    </row>
    <row r="3" spans="1:10" ht="18" customHeight="1" x14ac:dyDescent="0.25">
      <c r="A3" s="31"/>
      <c r="B3" s="32" t="s">
        <v>124</v>
      </c>
      <c r="C3" s="1"/>
      <c r="D3" s="45" t="s">
        <v>125</v>
      </c>
      <c r="E3" s="111">
        <v>50</v>
      </c>
      <c r="F3" s="94"/>
      <c r="G3" s="36">
        <v>2</v>
      </c>
      <c r="H3" s="35">
        <f>(E3*F3)*G3</f>
        <v>0</v>
      </c>
      <c r="I3" s="111"/>
      <c r="J3" s="69"/>
    </row>
    <row r="4" spans="1:10" x14ac:dyDescent="0.25">
      <c r="A4" s="31"/>
      <c r="B4" s="32" t="s">
        <v>126</v>
      </c>
      <c r="C4" s="1"/>
      <c r="D4" s="41" t="s">
        <v>127</v>
      </c>
      <c r="E4" s="110">
        <v>40</v>
      </c>
      <c r="F4" s="94"/>
      <c r="G4" s="36">
        <v>2</v>
      </c>
      <c r="H4" s="35">
        <f t="shared" ref="H4:H41" si="0">(E4*F4)*G4</f>
        <v>0</v>
      </c>
      <c r="I4" s="110"/>
      <c r="J4" s="69"/>
    </row>
    <row r="5" spans="1:10" x14ac:dyDescent="0.25">
      <c r="A5" s="31"/>
      <c r="B5" s="32" t="s">
        <v>128</v>
      </c>
      <c r="C5" s="1"/>
      <c r="D5" s="41" t="s">
        <v>129</v>
      </c>
      <c r="E5" s="110">
        <v>6</v>
      </c>
      <c r="F5" s="94"/>
      <c r="G5" s="36">
        <v>2</v>
      </c>
      <c r="H5" s="35">
        <f t="shared" si="0"/>
        <v>0</v>
      </c>
      <c r="I5" s="110"/>
      <c r="J5" s="69"/>
    </row>
    <row r="6" spans="1:10" x14ac:dyDescent="0.25">
      <c r="A6" s="31"/>
      <c r="B6" s="32" t="s">
        <v>130</v>
      </c>
      <c r="C6" s="1"/>
      <c r="D6" s="41" t="s">
        <v>131</v>
      </c>
      <c r="E6" s="110">
        <v>7</v>
      </c>
      <c r="F6" s="94"/>
      <c r="G6" s="36">
        <v>2</v>
      </c>
      <c r="H6" s="35">
        <f t="shared" si="0"/>
        <v>0</v>
      </c>
      <c r="I6" s="110"/>
      <c r="J6" s="69"/>
    </row>
    <row r="7" spans="1:10" x14ac:dyDescent="0.25">
      <c r="A7" s="31"/>
      <c r="B7" s="32" t="s">
        <v>132</v>
      </c>
      <c r="C7" s="1"/>
      <c r="D7" s="41" t="s">
        <v>234</v>
      </c>
      <c r="E7" s="110">
        <v>4</v>
      </c>
      <c r="F7" s="94"/>
      <c r="G7" s="36">
        <v>2</v>
      </c>
      <c r="H7" s="35">
        <f t="shared" si="0"/>
        <v>0</v>
      </c>
      <c r="I7" s="110"/>
      <c r="J7" s="69"/>
    </row>
    <row r="8" spans="1:10" x14ac:dyDescent="0.25">
      <c r="A8" s="31"/>
      <c r="B8" s="32" t="s">
        <v>134</v>
      </c>
      <c r="C8" s="2"/>
      <c r="D8" s="46" t="s">
        <v>133</v>
      </c>
      <c r="E8" s="112">
        <v>65</v>
      </c>
      <c r="F8" s="94"/>
      <c r="G8" s="36">
        <v>2</v>
      </c>
      <c r="H8" s="35">
        <f t="shared" si="0"/>
        <v>0</v>
      </c>
      <c r="I8" s="112"/>
      <c r="J8" s="69"/>
    </row>
    <row r="9" spans="1:10" x14ac:dyDescent="0.25">
      <c r="A9" s="31"/>
      <c r="B9" s="32" t="s">
        <v>136</v>
      </c>
      <c r="C9" s="2"/>
      <c r="D9" s="46" t="s">
        <v>135</v>
      </c>
      <c r="E9" s="112">
        <v>20</v>
      </c>
      <c r="F9" s="94"/>
      <c r="G9" s="36">
        <v>2</v>
      </c>
      <c r="H9" s="35">
        <f t="shared" si="0"/>
        <v>0</v>
      </c>
      <c r="I9" s="112"/>
      <c r="J9" s="69"/>
    </row>
    <row r="10" spans="1:10" x14ac:dyDescent="0.25">
      <c r="A10" s="31"/>
      <c r="B10" s="32" t="s">
        <v>138</v>
      </c>
      <c r="C10" s="2"/>
      <c r="D10" s="41" t="s">
        <v>137</v>
      </c>
      <c r="E10" s="110">
        <v>8</v>
      </c>
      <c r="F10" s="94"/>
      <c r="G10" s="36">
        <v>2</v>
      </c>
      <c r="H10" s="35">
        <f t="shared" si="0"/>
        <v>0</v>
      </c>
      <c r="I10" s="110"/>
      <c r="J10" s="69"/>
    </row>
    <row r="11" spans="1:10" x14ac:dyDescent="0.25">
      <c r="A11" s="31"/>
      <c r="B11" s="32" t="s">
        <v>140</v>
      </c>
      <c r="C11" s="2"/>
      <c r="D11" s="41" t="s">
        <v>139</v>
      </c>
      <c r="E11" s="110">
        <v>22</v>
      </c>
      <c r="F11" s="94"/>
      <c r="G11" s="36">
        <v>2</v>
      </c>
      <c r="H11" s="35">
        <f t="shared" si="0"/>
        <v>0</v>
      </c>
      <c r="I11" s="110"/>
      <c r="J11" s="69"/>
    </row>
    <row r="12" spans="1:10" x14ac:dyDescent="0.25">
      <c r="A12" s="31"/>
      <c r="B12" s="32" t="s">
        <v>142</v>
      </c>
      <c r="C12" s="2"/>
      <c r="D12" s="41" t="s">
        <v>141</v>
      </c>
      <c r="E12" s="110">
        <v>22</v>
      </c>
      <c r="F12" s="94"/>
      <c r="G12" s="36">
        <v>2</v>
      </c>
      <c r="H12" s="35">
        <f t="shared" si="0"/>
        <v>0</v>
      </c>
      <c r="I12" s="110"/>
      <c r="J12" s="69"/>
    </row>
    <row r="13" spans="1:10" x14ac:dyDescent="0.25">
      <c r="A13" s="31"/>
      <c r="B13" s="32" t="s">
        <v>144</v>
      </c>
      <c r="C13" s="2"/>
      <c r="D13" s="41" t="s">
        <v>143</v>
      </c>
      <c r="E13" s="110">
        <v>26</v>
      </c>
      <c r="F13" s="94"/>
      <c r="G13" s="36">
        <v>2</v>
      </c>
      <c r="H13" s="35">
        <f t="shared" si="0"/>
        <v>0</v>
      </c>
      <c r="I13" s="110"/>
      <c r="J13" s="69"/>
    </row>
    <row r="14" spans="1:10" x14ac:dyDescent="0.25">
      <c r="A14" s="31"/>
      <c r="B14" s="32" t="s">
        <v>146</v>
      </c>
      <c r="C14" s="2"/>
      <c r="D14" s="41" t="s">
        <v>145</v>
      </c>
      <c r="E14" s="110">
        <v>20</v>
      </c>
      <c r="F14" s="94"/>
      <c r="G14" s="36">
        <v>2</v>
      </c>
      <c r="H14" s="35">
        <f t="shared" si="0"/>
        <v>0</v>
      </c>
      <c r="I14" s="110"/>
      <c r="J14" s="69"/>
    </row>
    <row r="15" spans="1:10" x14ac:dyDescent="0.25">
      <c r="A15" s="31"/>
      <c r="B15" s="32" t="s">
        <v>148</v>
      </c>
      <c r="C15" s="2"/>
      <c r="D15" s="41" t="s">
        <v>147</v>
      </c>
      <c r="E15" s="110">
        <v>44</v>
      </c>
      <c r="F15" s="94"/>
      <c r="G15" s="36">
        <v>2</v>
      </c>
      <c r="H15" s="35">
        <f t="shared" si="0"/>
        <v>0</v>
      </c>
      <c r="I15" s="110"/>
      <c r="J15" s="69"/>
    </row>
    <row r="16" spans="1:10" x14ac:dyDescent="0.25">
      <c r="A16" s="31"/>
      <c r="B16" s="32" t="s">
        <v>150</v>
      </c>
      <c r="C16" s="2"/>
      <c r="D16" s="41" t="s">
        <v>149</v>
      </c>
      <c r="E16" s="110">
        <v>71</v>
      </c>
      <c r="F16" s="94"/>
      <c r="G16" s="36">
        <v>2</v>
      </c>
      <c r="H16" s="35">
        <f t="shared" si="0"/>
        <v>0</v>
      </c>
      <c r="I16" s="110"/>
      <c r="J16" s="69"/>
    </row>
    <row r="17" spans="1:10" x14ac:dyDescent="0.25">
      <c r="A17" s="31"/>
      <c r="B17" s="32" t="s">
        <v>152</v>
      </c>
      <c r="C17" s="2"/>
      <c r="D17" s="41" t="s">
        <v>151</v>
      </c>
      <c r="E17" s="110">
        <v>75</v>
      </c>
      <c r="F17" s="94"/>
      <c r="G17" s="36">
        <v>2</v>
      </c>
      <c r="H17" s="35">
        <f t="shared" si="0"/>
        <v>0</v>
      </c>
      <c r="I17" s="110"/>
      <c r="J17" s="69"/>
    </row>
    <row r="18" spans="1:10" x14ac:dyDescent="0.25">
      <c r="A18" s="31"/>
      <c r="B18" s="32" t="s">
        <v>154</v>
      </c>
      <c r="C18" s="2"/>
      <c r="D18" s="41" t="s">
        <v>153</v>
      </c>
      <c r="E18" s="110">
        <v>71</v>
      </c>
      <c r="F18" s="94"/>
      <c r="G18" s="36">
        <v>2</v>
      </c>
      <c r="H18" s="35">
        <f t="shared" si="0"/>
        <v>0</v>
      </c>
      <c r="I18" s="110"/>
      <c r="J18" s="69"/>
    </row>
    <row r="19" spans="1:10" x14ac:dyDescent="0.25">
      <c r="A19" s="31"/>
      <c r="B19" s="32" t="s">
        <v>156</v>
      </c>
      <c r="C19" s="2"/>
      <c r="D19" s="41" t="s">
        <v>155</v>
      </c>
      <c r="E19" s="110">
        <v>8</v>
      </c>
      <c r="F19" s="94"/>
      <c r="G19" s="36">
        <v>2</v>
      </c>
      <c r="H19" s="35">
        <f t="shared" si="0"/>
        <v>0</v>
      </c>
      <c r="I19" s="110"/>
      <c r="J19" s="69"/>
    </row>
    <row r="20" spans="1:10" x14ac:dyDescent="0.25">
      <c r="A20" s="31"/>
      <c r="B20" s="32" t="s">
        <v>158</v>
      </c>
      <c r="C20" s="2"/>
      <c r="D20" s="41" t="s">
        <v>157</v>
      </c>
      <c r="E20" s="110">
        <v>68</v>
      </c>
      <c r="F20" s="94"/>
      <c r="G20" s="36">
        <v>2</v>
      </c>
      <c r="H20" s="35">
        <f t="shared" si="0"/>
        <v>0</v>
      </c>
      <c r="I20" s="110"/>
      <c r="J20" s="69"/>
    </row>
    <row r="21" spans="1:10" x14ac:dyDescent="0.25">
      <c r="A21" s="31"/>
      <c r="B21" s="32" t="s">
        <v>160</v>
      </c>
      <c r="C21" s="2"/>
      <c r="D21" s="41" t="s">
        <v>159</v>
      </c>
      <c r="E21" s="110">
        <v>6</v>
      </c>
      <c r="F21" s="94"/>
      <c r="G21" s="36">
        <v>2</v>
      </c>
      <c r="H21" s="35">
        <f t="shared" si="0"/>
        <v>0</v>
      </c>
      <c r="I21" s="110"/>
      <c r="J21" s="69"/>
    </row>
    <row r="22" spans="1:10" x14ac:dyDescent="0.25">
      <c r="A22" s="31"/>
      <c r="B22" s="32" t="s">
        <v>162</v>
      </c>
      <c r="C22" s="2"/>
      <c r="D22" s="41" t="s">
        <v>161</v>
      </c>
      <c r="E22" s="110">
        <v>68</v>
      </c>
      <c r="F22" s="94"/>
      <c r="G22" s="36">
        <v>2</v>
      </c>
      <c r="H22" s="35">
        <f t="shared" si="0"/>
        <v>0</v>
      </c>
      <c r="I22" s="110"/>
      <c r="J22" s="69"/>
    </row>
    <row r="23" spans="1:10" x14ac:dyDescent="0.25">
      <c r="A23" s="31"/>
      <c r="B23" s="32" t="s">
        <v>221</v>
      </c>
      <c r="C23" s="2"/>
      <c r="D23" s="41" t="s">
        <v>163</v>
      </c>
      <c r="E23" s="110">
        <v>79</v>
      </c>
      <c r="F23" s="94"/>
      <c r="G23" s="36">
        <v>2</v>
      </c>
      <c r="H23" s="35">
        <f t="shared" si="0"/>
        <v>0</v>
      </c>
      <c r="I23" s="110"/>
      <c r="J23" s="69"/>
    </row>
    <row r="24" spans="1:10" x14ac:dyDescent="0.25">
      <c r="A24" s="31"/>
      <c r="B24" s="32" t="s">
        <v>164</v>
      </c>
      <c r="C24" s="2"/>
      <c r="D24" s="41" t="s">
        <v>222</v>
      </c>
      <c r="E24" s="110">
        <v>7</v>
      </c>
      <c r="F24" s="94"/>
      <c r="G24" s="36">
        <v>2</v>
      </c>
      <c r="H24" s="35">
        <f t="shared" si="0"/>
        <v>0</v>
      </c>
      <c r="I24" s="110"/>
      <c r="J24" s="69"/>
    </row>
    <row r="25" spans="1:10" x14ac:dyDescent="0.25">
      <c r="A25" s="31"/>
      <c r="B25" s="32" t="s">
        <v>166</v>
      </c>
      <c r="C25" s="2"/>
      <c r="D25" s="41" t="s">
        <v>165</v>
      </c>
      <c r="E25" s="110">
        <v>143</v>
      </c>
      <c r="F25" s="94"/>
      <c r="G25" s="36">
        <v>2</v>
      </c>
      <c r="H25" s="35">
        <f t="shared" si="0"/>
        <v>0</v>
      </c>
      <c r="I25" s="110"/>
      <c r="J25" s="69"/>
    </row>
    <row r="26" spans="1:10" x14ac:dyDescent="0.25">
      <c r="A26" s="31"/>
      <c r="B26" s="32" t="s">
        <v>168</v>
      </c>
      <c r="C26" s="2"/>
      <c r="D26" s="41" t="s">
        <v>167</v>
      </c>
      <c r="E26" s="110">
        <v>10</v>
      </c>
      <c r="F26" s="94"/>
      <c r="G26" s="36">
        <v>2</v>
      </c>
      <c r="H26" s="35">
        <f t="shared" si="0"/>
        <v>0</v>
      </c>
      <c r="I26" s="110"/>
      <c r="J26" s="69"/>
    </row>
    <row r="27" spans="1:10" x14ac:dyDescent="0.25">
      <c r="A27" s="31"/>
      <c r="B27" s="32" t="s">
        <v>170</v>
      </c>
      <c r="C27" s="2"/>
      <c r="D27" s="41" t="s">
        <v>169</v>
      </c>
      <c r="E27" s="110">
        <v>72</v>
      </c>
      <c r="F27" s="94"/>
      <c r="G27" s="36">
        <v>2</v>
      </c>
      <c r="H27" s="35">
        <f t="shared" si="0"/>
        <v>0</v>
      </c>
      <c r="I27" s="110"/>
      <c r="J27" s="69"/>
    </row>
    <row r="28" spans="1:10" x14ac:dyDescent="0.25">
      <c r="A28" s="31"/>
      <c r="B28" s="32" t="s">
        <v>172</v>
      </c>
      <c r="C28" s="2"/>
      <c r="D28" s="41" t="s">
        <v>171</v>
      </c>
      <c r="E28" s="110">
        <v>52</v>
      </c>
      <c r="F28" s="94"/>
      <c r="G28" s="36">
        <v>2</v>
      </c>
      <c r="H28" s="35">
        <f t="shared" si="0"/>
        <v>0</v>
      </c>
      <c r="I28" s="110"/>
      <c r="J28" s="69"/>
    </row>
    <row r="29" spans="1:10" x14ac:dyDescent="0.25">
      <c r="A29" s="31"/>
      <c r="B29" s="32" t="s">
        <v>174</v>
      </c>
      <c r="C29" s="2"/>
      <c r="D29" s="41" t="s">
        <v>173</v>
      </c>
      <c r="E29" s="110">
        <v>52</v>
      </c>
      <c r="F29" s="94"/>
      <c r="G29" s="36">
        <v>2</v>
      </c>
      <c r="H29" s="35">
        <f t="shared" si="0"/>
        <v>0</v>
      </c>
      <c r="I29" s="110"/>
      <c r="J29" s="69"/>
    </row>
    <row r="30" spans="1:10" x14ac:dyDescent="0.25">
      <c r="A30" s="31"/>
      <c r="B30" s="32" t="s">
        <v>176</v>
      </c>
      <c r="C30" s="2"/>
      <c r="D30" s="41" t="s">
        <v>175</v>
      </c>
      <c r="E30" s="110">
        <v>4</v>
      </c>
      <c r="F30" s="94"/>
      <c r="G30" s="36">
        <v>2</v>
      </c>
      <c r="H30" s="35">
        <f t="shared" si="0"/>
        <v>0</v>
      </c>
      <c r="I30" s="110"/>
      <c r="J30" s="69"/>
    </row>
    <row r="31" spans="1:10" x14ac:dyDescent="0.25">
      <c r="A31" s="31"/>
      <c r="B31" s="32" t="s">
        <v>177</v>
      </c>
      <c r="C31" s="2"/>
      <c r="D31" s="41" t="s">
        <v>223</v>
      </c>
      <c r="E31" s="110">
        <v>4</v>
      </c>
      <c r="F31" s="94"/>
      <c r="G31" s="36">
        <v>2</v>
      </c>
      <c r="H31" s="35">
        <f t="shared" si="0"/>
        <v>0</v>
      </c>
      <c r="I31" s="110"/>
      <c r="J31" s="69"/>
    </row>
    <row r="32" spans="1:10" x14ac:dyDescent="0.25">
      <c r="A32" s="31"/>
      <c r="B32" s="32" t="s">
        <v>179</v>
      </c>
      <c r="C32" s="2"/>
      <c r="D32" s="41" t="s">
        <v>178</v>
      </c>
      <c r="E32" s="110">
        <v>25</v>
      </c>
      <c r="F32" s="94"/>
      <c r="G32" s="36">
        <v>2</v>
      </c>
      <c r="H32" s="35">
        <f t="shared" si="0"/>
        <v>0</v>
      </c>
      <c r="I32" s="110"/>
      <c r="J32" s="69"/>
    </row>
    <row r="33" spans="1:10" x14ac:dyDescent="0.25">
      <c r="A33" s="31"/>
      <c r="B33" s="32" t="s">
        <v>181</v>
      </c>
      <c r="C33" s="2"/>
      <c r="D33" s="41" t="s">
        <v>180</v>
      </c>
      <c r="E33" s="110">
        <v>72</v>
      </c>
      <c r="F33" s="94"/>
      <c r="G33" s="36">
        <v>2</v>
      </c>
      <c r="H33" s="35">
        <f t="shared" si="0"/>
        <v>0</v>
      </c>
      <c r="I33" s="110"/>
      <c r="J33" s="69"/>
    </row>
    <row r="34" spans="1:10" x14ac:dyDescent="0.25">
      <c r="A34" s="31"/>
      <c r="B34" s="32" t="s">
        <v>183</v>
      </c>
      <c r="C34" s="2"/>
      <c r="D34" s="41" t="s">
        <v>182</v>
      </c>
      <c r="E34" s="110">
        <v>66</v>
      </c>
      <c r="F34" s="94"/>
      <c r="G34" s="36">
        <v>2</v>
      </c>
      <c r="H34" s="35">
        <f t="shared" si="0"/>
        <v>0</v>
      </c>
      <c r="I34" s="110"/>
      <c r="J34" s="69"/>
    </row>
    <row r="35" spans="1:10" x14ac:dyDescent="0.25">
      <c r="A35" s="31"/>
      <c r="B35" s="32" t="s">
        <v>185</v>
      </c>
      <c r="C35" s="2"/>
      <c r="D35" s="41" t="s">
        <v>184</v>
      </c>
      <c r="E35" s="110">
        <v>6</v>
      </c>
      <c r="F35" s="94"/>
      <c r="G35" s="36">
        <v>2</v>
      </c>
      <c r="H35" s="35">
        <f t="shared" si="0"/>
        <v>0</v>
      </c>
      <c r="I35" s="110"/>
      <c r="J35" s="69"/>
    </row>
    <row r="36" spans="1:10" x14ac:dyDescent="0.25">
      <c r="A36" s="31"/>
      <c r="B36" s="32" t="s">
        <v>187</v>
      </c>
      <c r="C36" s="2"/>
      <c r="D36" s="41" t="s">
        <v>186</v>
      </c>
      <c r="E36" s="110">
        <v>31</v>
      </c>
      <c r="F36" s="94"/>
      <c r="G36" s="36">
        <v>2</v>
      </c>
      <c r="H36" s="35">
        <f t="shared" si="0"/>
        <v>0</v>
      </c>
      <c r="I36" s="110"/>
      <c r="J36" s="69"/>
    </row>
    <row r="37" spans="1:10" x14ac:dyDescent="0.25">
      <c r="A37" s="31"/>
      <c r="B37" s="32" t="s">
        <v>189</v>
      </c>
      <c r="C37" s="2"/>
      <c r="D37" s="41" t="s">
        <v>188</v>
      </c>
      <c r="E37" s="110">
        <v>39</v>
      </c>
      <c r="F37" s="94"/>
      <c r="G37" s="36">
        <v>2</v>
      </c>
      <c r="H37" s="35">
        <f t="shared" si="0"/>
        <v>0</v>
      </c>
      <c r="I37" s="110"/>
      <c r="J37" s="69"/>
    </row>
    <row r="38" spans="1:10" x14ac:dyDescent="0.25">
      <c r="A38" s="31"/>
      <c r="B38" s="32" t="s">
        <v>224</v>
      </c>
      <c r="C38" s="2"/>
      <c r="D38" s="41" t="s">
        <v>190</v>
      </c>
      <c r="E38" s="110">
        <v>15302</v>
      </c>
      <c r="F38" s="94"/>
      <c r="G38" s="36">
        <v>2</v>
      </c>
      <c r="H38" s="35">
        <f t="shared" si="0"/>
        <v>0</v>
      </c>
      <c r="I38" s="110"/>
      <c r="J38" s="69"/>
    </row>
    <row r="39" spans="1:10" x14ac:dyDescent="0.25">
      <c r="A39" s="31"/>
      <c r="B39" s="32" t="s">
        <v>226</v>
      </c>
      <c r="C39" s="2"/>
      <c r="D39" s="41" t="s">
        <v>225</v>
      </c>
      <c r="E39" s="110">
        <v>0</v>
      </c>
      <c r="F39" s="94"/>
      <c r="G39" s="36">
        <v>2</v>
      </c>
      <c r="H39" s="35">
        <f t="shared" si="0"/>
        <v>0</v>
      </c>
      <c r="I39" s="110"/>
      <c r="J39" s="69"/>
    </row>
    <row r="40" spans="1:10" x14ac:dyDescent="0.25">
      <c r="A40" s="31"/>
      <c r="B40" s="32" t="s">
        <v>191</v>
      </c>
      <c r="C40" s="2"/>
      <c r="D40" s="41" t="s">
        <v>227</v>
      </c>
      <c r="E40" s="110">
        <v>0</v>
      </c>
      <c r="F40" s="94"/>
      <c r="G40" s="36">
        <v>2</v>
      </c>
      <c r="H40" s="35">
        <f t="shared" si="0"/>
        <v>0</v>
      </c>
      <c r="I40" s="110"/>
      <c r="J40" s="69"/>
    </row>
    <row r="41" spans="1:10" x14ac:dyDescent="0.25">
      <c r="A41" s="13"/>
      <c r="B41" s="32" t="s">
        <v>215</v>
      </c>
      <c r="C41" s="2"/>
      <c r="D41" s="41" t="s">
        <v>192</v>
      </c>
      <c r="E41" s="110">
        <v>66</v>
      </c>
      <c r="F41" s="94"/>
      <c r="G41" s="36">
        <v>2</v>
      </c>
      <c r="H41" s="35">
        <f t="shared" si="0"/>
        <v>0</v>
      </c>
      <c r="I41" s="110"/>
    </row>
  </sheetData>
  <mergeCells count="1">
    <mergeCell ref="E2:G2"/>
  </mergeCells>
  <pageMargins left="0.23622047244094488" right="0.23622047244094488" top="0.3543307086614173" bottom="0.19685039370078741" header="0.11811023622047244" footer="0.31496062992125984"/>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B050"/>
  </sheetPr>
  <dimension ref="A1:K16"/>
  <sheetViews>
    <sheetView zoomScaleNormal="100" workbookViewId="0">
      <selection activeCell="F3" sqref="F3:F12"/>
    </sheetView>
  </sheetViews>
  <sheetFormatPr defaultColWidth="9.140625" defaultRowHeight="15" x14ac:dyDescent="0.25"/>
  <cols>
    <col min="1" max="3" width="9.140625" customWidth="1"/>
    <col min="4" max="4" width="40.7109375" customWidth="1"/>
    <col min="5" max="5" width="9.140625" customWidth="1"/>
    <col min="6" max="6" width="10.28515625" customWidth="1"/>
    <col min="7" max="7" width="9.140625" customWidth="1"/>
    <col min="8" max="8" width="10.85546875" customWidth="1"/>
    <col min="9" max="9" width="14.42578125" style="66" customWidth="1"/>
    <col min="10" max="10" width="9.140625" style="66"/>
    <col min="257" max="259" width="9.140625" customWidth="1"/>
    <col min="260" max="260" width="40.7109375" customWidth="1"/>
    <col min="261" max="263" width="9.140625" customWidth="1"/>
    <col min="264" max="264" width="10.85546875" customWidth="1"/>
    <col min="513" max="515" width="9.140625" customWidth="1"/>
    <col min="516" max="516" width="40.7109375" customWidth="1"/>
    <col min="517" max="519" width="9.140625" customWidth="1"/>
    <col min="520" max="520" width="10.85546875" customWidth="1"/>
    <col min="769" max="771" width="9.140625" customWidth="1"/>
    <col min="772" max="772" width="40.7109375" customWidth="1"/>
    <col min="773" max="775" width="9.140625" customWidth="1"/>
    <col min="776" max="776" width="10.85546875" customWidth="1"/>
    <col min="1025" max="1027" width="9.140625" customWidth="1"/>
    <col min="1028" max="1028" width="40.7109375" customWidth="1"/>
    <col min="1029" max="1031" width="9.140625" customWidth="1"/>
    <col min="1032" max="1032" width="10.85546875" customWidth="1"/>
    <col min="1281" max="1283" width="9.140625" customWidth="1"/>
    <col min="1284" max="1284" width="40.7109375" customWidth="1"/>
    <col min="1285" max="1287" width="9.140625" customWidth="1"/>
    <col min="1288" max="1288" width="10.85546875" customWidth="1"/>
    <col min="1537" max="1539" width="9.140625" customWidth="1"/>
    <col min="1540" max="1540" width="40.7109375" customWidth="1"/>
    <col min="1541" max="1543" width="9.140625" customWidth="1"/>
    <col min="1544" max="1544" width="10.85546875" customWidth="1"/>
    <col min="1793" max="1795" width="9.140625" customWidth="1"/>
    <col min="1796" max="1796" width="40.7109375" customWidth="1"/>
    <col min="1797" max="1799" width="9.140625" customWidth="1"/>
    <col min="1800" max="1800" width="10.85546875" customWidth="1"/>
    <col min="2049" max="2051" width="9.140625" customWidth="1"/>
    <col min="2052" max="2052" width="40.7109375" customWidth="1"/>
    <col min="2053" max="2055" width="9.140625" customWidth="1"/>
    <col min="2056" max="2056" width="10.85546875" customWidth="1"/>
    <col min="2305" max="2307" width="9.140625" customWidth="1"/>
    <col min="2308" max="2308" width="40.7109375" customWidth="1"/>
    <col min="2309" max="2311" width="9.140625" customWidth="1"/>
    <col min="2312" max="2312" width="10.85546875" customWidth="1"/>
    <col min="2561" max="2563" width="9.140625" customWidth="1"/>
    <col min="2564" max="2564" width="40.7109375" customWidth="1"/>
    <col min="2565" max="2567" width="9.140625" customWidth="1"/>
    <col min="2568" max="2568" width="10.85546875" customWidth="1"/>
    <col min="2817" max="2819" width="9.140625" customWidth="1"/>
    <col min="2820" max="2820" width="40.7109375" customWidth="1"/>
    <col min="2821" max="2823" width="9.140625" customWidth="1"/>
    <col min="2824" max="2824" width="10.85546875" customWidth="1"/>
    <col min="3073" max="3075" width="9.140625" customWidth="1"/>
    <col min="3076" max="3076" width="40.7109375" customWidth="1"/>
    <col min="3077" max="3079" width="9.140625" customWidth="1"/>
    <col min="3080" max="3080" width="10.85546875" customWidth="1"/>
    <col min="3329" max="3331" width="9.140625" customWidth="1"/>
    <col min="3332" max="3332" width="40.7109375" customWidth="1"/>
    <col min="3333" max="3335" width="9.140625" customWidth="1"/>
    <col min="3336" max="3336" width="10.85546875" customWidth="1"/>
    <col min="3585" max="3587" width="9.140625" customWidth="1"/>
    <col min="3588" max="3588" width="40.7109375" customWidth="1"/>
    <col min="3589" max="3591" width="9.140625" customWidth="1"/>
    <col min="3592" max="3592" width="10.85546875" customWidth="1"/>
    <col min="3841" max="3843" width="9.140625" customWidth="1"/>
    <col min="3844" max="3844" width="40.7109375" customWidth="1"/>
    <col min="3845" max="3847" width="9.140625" customWidth="1"/>
    <col min="3848" max="3848" width="10.85546875" customWidth="1"/>
    <col min="4097" max="4099" width="9.140625" customWidth="1"/>
    <col min="4100" max="4100" width="40.7109375" customWidth="1"/>
    <col min="4101" max="4103" width="9.140625" customWidth="1"/>
    <col min="4104" max="4104" width="10.85546875" customWidth="1"/>
    <col min="4353" max="4355" width="9.140625" customWidth="1"/>
    <col min="4356" max="4356" width="40.7109375" customWidth="1"/>
    <col min="4357" max="4359" width="9.140625" customWidth="1"/>
    <col min="4360" max="4360" width="10.85546875" customWidth="1"/>
    <col min="4609" max="4611" width="9.140625" customWidth="1"/>
    <col min="4612" max="4612" width="40.7109375" customWidth="1"/>
    <col min="4613" max="4615" width="9.140625" customWidth="1"/>
    <col min="4616" max="4616" width="10.85546875" customWidth="1"/>
    <col min="4865" max="4867" width="9.140625" customWidth="1"/>
    <col min="4868" max="4868" width="40.7109375" customWidth="1"/>
    <col min="4869" max="4871" width="9.140625" customWidth="1"/>
    <col min="4872" max="4872" width="10.85546875" customWidth="1"/>
    <col min="5121" max="5123" width="9.140625" customWidth="1"/>
    <col min="5124" max="5124" width="40.7109375" customWidth="1"/>
    <col min="5125" max="5127" width="9.140625" customWidth="1"/>
    <col min="5128" max="5128" width="10.85546875" customWidth="1"/>
    <col min="5377" max="5379" width="9.140625" customWidth="1"/>
    <col min="5380" max="5380" width="40.7109375" customWidth="1"/>
    <col min="5381" max="5383" width="9.140625" customWidth="1"/>
    <col min="5384" max="5384" width="10.85546875" customWidth="1"/>
    <col min="5633" max="5635" width="9.140625" customWidth="1"/>
    <col min="5636" max="5636" width="40.7109375" customWidth="1"/>
    <col min="5637" max="5639" width="9.140625" customWidth="1"/>
    <col min="5640" max="5640" width="10.85546875" customWidth="1"/>
    <col min="5889" max="5891" width="9.140625" customWidth="1"/>
    <col min="5892" max="5892" width="40.7109375" customWidth="1"/>
    <col min="5893" max="5895" width="9.140625" customWidth="1"/>
    <col min="5896" max="5896" width="10.85546875" customWidth="1"/>
    <col min="6145" max="6147" width="9.140625" customWidth="1"/>
    <col min="6148" max="6148" width="40.7109375" customWidth="1"/>
    <col min="6149" max="6151" width="9.140625" customWidth="1"/>
    <col min="6152" max="6152" width="10.85546875" customWidth="1"/>
    <col min="6401" max="6403" width="9.140625" customWidth="1"/>
    <col min="6404" max="6404" width="40.7109375" customWidth="1"/>
    <col min="6405" max="6407" width="9.140625" customWidth="1"/>
    <col min="6408" max="6408" width="10.85546875" customWidth="1"/>
    <col min="6657" max="6659" width="9.140625" customWidth="1"/>
    <col min="6660" max="6660" width="40.7109375" customWidth="1"/>
    <col min="6661" max="6663" width="9.140625" customWidth="1"/>
    <col min="6664" max="6664" width="10.85546875" customWidth="1"/>
    <col min="6913" max="6915" width="9.140625" customWidth="1"/>
    <col min="6916" max="6916" width="40.7109375" customWidth="1"/>
    <col min="6917" max="6919" width="9.140625" customWidth="1"/>
    <col min="6920" max="6920" width="10.85546875" customWidth="1"/>
    <col min="7169" max="7171" width="9.140625" customWidth="1"/>
    <col min="7172" max="7172" width="40.7109375" customWidth="1"/>
    <col min="7173" max="7175" width="9.140625" customWidth="1"/>
    <col min="7176" max="7176" width="10.85546875" customWidth="1"/>
    <col min="7425" max="7427" width="9.140625" customWidth="1"/>
    <col min="7428" max="7428" width="40.7109375" customWidth="1"/>
    <col min="7429" max="7431" width="9.140625" customWidth="1"/>
    <col min="7432" max="7432" width="10.85546875" customWidth="1"/>
    <col min="7681" max="7683" width="9.140625" customWidth="1"/>
    <col min="7684" max="7684" width="40.7109375" customWidth="1"/>
    <col min="7685" max="7687" width="9.140625" customWidth="1"/>
    <col min="7688" max="7688" width="10.85546875" customWidth="1"/>
    <col min="7937" max="7939" width="9.140625" customWidth="1"/>
    <col min="7940" max="7940" width="40.7109375" customWidth="1"/>
    <col min="7941" max="7943" width="9.140625" customWidth="1"/>
    <col min="7944" max="7944" width="10.85546875" customWidth="1"/>
    <col min="8193" max="8195" width="9.140625" customWidth="1"/>
    <col min="8196" max="8196" width="40.7109375" customWidth="1"/>
    <col min="8197" max="8199" width="9.140625" customWidth="1"/>
    <col min="8200" max="8200" width="10.85546875" customWidth="1"/>
    <col min="8449" max="8451" width="9.140625" customWidth="1"/>
    <col min="8452" max="8452" width="40.7109375" customWidth="1"/>
    <col min="8453" max="8455" width="9.140625" customWidth="1"/>
    <col min="8456" max="8456" width="10.85546875" customWidth="1"/>
    <col min="8705" max="8707" width="9.140625" customWidth="1"/>
    <col min="8708" max="8708" width="40.7109375" customWidth="1"/>
    <col min="8709" max="8711" width="9.140625" customWidth="1"/>
    <col min="8712" max="8712" width="10.85546875" customWidth="1"/>
    <col min="8961" max="8963" width="9.140625" customWidth="1"/>
    <col min="8964" max="8964" width="40.7109375" customWidth="1"/>
    <col min="8965" max="8967" width="9.140625" customWidth="1"/>
    <col min="8968" max="8968" width="10.85546875" customWidth="1"/>
    <col min="9217" max="9219" width="9.140625" customWidth="1"/>
    <col min="9220" max="9220" width="40.7109375" customWidth="1"/>
    <col min="9221" max="9223" width="9.140625" customWidth="1"/>
    <col min="9224" max="9224" width="10.85546875" customWidth="1"/>
    <col min="9473" max="9475" width="9.140625" customWidth="1"/>
    <col min="9476" max="9476" width="40.7109375" customWidth="1"/>
    <col min="9477" max="9479" width="9.140625" customWidth="1"/>
    <col min="9480" max="9480" width="10.85546875" customWidth="1"/>
    <col min="9729" max="9731" width="9.140625" customWidth="1"/>
    <col min="9732" max="9732" width="40.7109375" customWidth="1"/>
    <col min="9733" max="9735" width="9.140625" customWidth="1"/>
    <col min="9736" max="9736" width="10.85546875" customWidth="1"/>
    <col min="9985" max="9987" width="9.140625" customWidth="1"/>
    <col min="9988" max="9988" width="40.7109375" customWidth="1"/>
    <col min="9989" max="9991" width="9.140625" customWidth="1"/>
    <col min="9992" max="9992" width="10.85546875" customWidth="1"/>
    <col min="10241" max="10243" width="9.140625" customWidth="1"/>
    <col min="10244" max="10244" width="40.7109375" customWidth="1"/>
    <col min="10245" max="10247" width="9.140625" customWidth="1"/>
    <col min="10248" max="10248" width="10.85546875" customWidth="1"/>
    <col min="10497" max="10499" width="9.140625" customWidth="1"/>
    <col min="10500" max="10500" width="40.7109375" customWidth="1"/>
    <col min="10501" max="10503" width="9.140625" customWidth="1"/>
    <col min="10504" max="10504" width="10.85546875" customWidth="1"/>
    <col min="10753" max="10755" width="9.140625" customWidth="1"/>
    <col min="10756" max="10756" width="40.7109375" customWidth="1"/>
    <col min="10757" max="10759" width="9.140625" customWidth="1"/>
    <col min="10760" max="10760" width="10.85546875" customWidth="1"/>
    <col min="11009" max="11011" width="9.140625" customWidth="1"/>
    <col min="11012" max="11012" width="40.7109375" customWidth="1"/>
    <col min="11013" max="11015" width="9.140625" customWidth="1"/>
    <col min="11016" max="11016" width="10.85546875" customWidth="1"/>
    <col min="11265" max="11267" width="9.140625" customWidth="1"/>
    <col min="11268" max="11268" width="40.7109375" customWidth="1"/>
    <col min="11269" max="11271" width="9.140625" customWidth="1"/>
    <col min="11272" max="11272" width="10.85546875" customWidth="1"/>
    <col min="11521" max="11523" width="9.140625" customWidth="1"/>
    <col min="11524" max="11524" width="40.7109375" customWidth="1"/>
    <col min="11525" max="11527" width="9.140625" customWidth="1"/>
    <col min="11528" max="11528" width="10.85546875" customWidth="1"/>
    <col min="11777" max="11779" width="9.140625" customWidth="1"/>
    <col min="11780" max="11780" width="40.7109375" customWidth="1"/>
    <col min="11781" max="11783" width="9.140625" customWidth="1"/>
    <col min="11784" max="11784" width="10.85546875" customWidth="1"/>
    <col min="12033" max="12035" width="9.140625" customWidth="1"/>
    <col min="12036" max="12036" width="40.7109375" customWidth="1"/>
    <col min="12037" max="12039" width="9.140625" customWidth="1"/>
    <col min="12040" max="12040" width="10.85546875" customWidth="1"/>
    <col min="12289" max="12291" width="9.140625" customWidth="1"/>
    <col min="12292" max="12292" width="40.7109375" customWidth="1"/>
    <col min="12293" max="12295" width="9.140625" customWidth="1"/>
    <col min="12296" max="12296" width="10.85546875" customWidth="1"/>
    <col min="12545" max="12547" width="9.140625" customWidth="1"/>
    <col min="12548" max="12548" width="40.7109375" customWidth="1"/>
    <col min="12549" max="12551" width="9.140625" customWidth="1"/>
    <col min="12552" max="12552" width="10.85546875" customWidth="1"/>
    <col min="12801" max="12803" width="9.140625" customWidth="1"/>
    <col min="12804" max="12804" width="40.7109375" customWidth="1"/>
    <col min="12805" max="12807" width="9.140625" customWidth="1"/>
    <col min="12808" max="12808" width="10.85546875" customWidth="1"/>
    <col min="13057" max="13059" width="9.140625" customWidth="1"/>
    <col min="13060" max="13060" width="40.7109375" customWidth="1"/>
    <col min="13061" max="13063" width="9.140625" customWidth="1"/>
    <col min="13064" max="13064" width="10.85546875" customWidth="1"/>
    <col min="13313" max="13315" width="9.140625" customWidth="1"/>
    <col min="13316" max="13316" width="40.7109375" customWidth="1"/>
    <col min="13317" max="13319" width="9.140625" customWidth="1"/>
    <col min="13320" max="13320" width="10.85546875" customWidth="1"/>
    <col min="13569" max="13571" width="9.140625" customWidth="1"/>
    <col min="13572" max="13572" width="40.7109375" customWidth="1"/>
    <col min="13573" max="13575" width="9.140625" customWidth="1"/>
    <col min="13576" max="13576" width="10.85546875" customWidth="1"/>
    <col min="13825" max="13827" width="9.140625" customWidth="1"/>
    <col min="13828" max="13828" width="40.7109375" customWidth="1"/>
    <col min="13829" max="13831" width="9.140625" customWidth="1"/>
    <col min="13832" max="13832" width="10.85546875" customWidth="1"/>
    <col min="14081" max="14083" width="9.140625" customWidth="1"/>
    <col min="14084" max="14084" width="40.7109375" customWidth="1"/>
    <col min="14085" max="14087" width="9.140625" customWidth="1"/>
    <col min="14088" max="14088" width="10.85546875" customWidth="1"/>
    <col min="14337" max="14339" width="9.140625" customWidth="1"/>
    <col min="14340" max="14340" width="40.7109375" customWidth="1"/>
    <col min="14341" max="14343" width="9.140625" customWidth="1"/>
    <col min="14344" max="14344" width="10.85546875" customWidth="1"/>
    <col min="14593" max="14595" width="9.140625" customWidth="1"/>
    <col min="14596" max="14596" width="40.7109375" customWidth="1"/>
    <col min="14597" max="14599" width="9.140625" customWidth="1"/>
    <col min="14600" max="14600" width="10.85546875" customWidth="1"/>
    <col min="14849" max="14851" width="9.140625" customWidth="1"/>
    <col min="14852" max="14852" width="40.7109375" customWidth="1"/>
    <col min="14853" max="14855" width="9.140625" customWidth="1"/>
    <col min="14856" max="14856" width="10.85546875" customWidth="1"/>
    <col min="15105" max="15107" width="9.140625" customWidth="1"/>
    <col min="15108" max="15108" width="40.7109375" customWidth="1"/>
    <col min="15109" max="15111" width="9.140625" customWidth="1"/>
    <col min="15112" max="15112" width="10.85546875" customWidth="1"/>
    <col min="15361" max="15363" width="9.140625" customWidth="1"/>
    <col min="15364" max="15364" width="40.7109375" customWidth="1"/>
    <col min="15365" max="15367" width="9.140625" customWidth="1"/>
    <col min="15368" max="15368" width="10.85546875" customWidth="1"/>
    <col min="15617" max="15619" width="9.140625" customWidth="1"/>
    <col min="15620" max="15620" width="40.7109375" customWidth="1"/>
    <col min="15621" max="15623" width="9.140625" customWidth="1"/>
    <col min="15624" max="15624" width="10.85546875" customWidth="1"/>
    <col min="15873" max="15875" width="9.140625" customWidth="1"/>
    <col min="15876" max="15876" width="40.7109375" customWidth="1"/>
    <col min="15877" max="15879" width="9.140625" customWidth="1"/>
    <col min="15880" max="15880" width="10.85546875" customWidth="1"/>
    <col min="16129" max="16131" width="9.140625" customWidth="1"/>
    <col min="16132" max="16132" width="40.7109375" customWidth="1"/>
    <col min="16133" max="16135" width="9.140625" customWidth="1"/>
    <col min="16136" max="16136" width="10.85546875" customWidth="1"/>
  </cols>
  <sheetData>
    <row r="1" spans="1:11" ht="38.25" x14ac:dyDescent="0.25">
      <c r="A1" s="25" t="s">
        <v>0</v>
      </c>
      <c r="B1" s="25" t="s">
        <v>24</v>
      </c>
      <c r="C1" s="25" t="s">
        <v>25</v>
      </c>
      <c r="D1" s="26" t="s">
        <v>1</v>
      </c>
      <c r="E1" s="27" t="s">
        <v>26</v>
      </c>
      <c r="F1" s="27" t="s">
        <v>27</v>
      </c>
      <c r="G1" s="27" t="s">
        <v>28</v>
      </c>
      <c r="H1" s="27" t="s">
        <v>2</v>
      </c>
      <c r="I1" s="73"/>
      <c r="J1" s="73"/>
    </row>
    <row r="2" spans="1:11" ht="76.5" x14ac:dyDescent="0.25">
      <c r="A2" s="44" t="s">
        <v>15</v>
      </c>
      <c r="B2" s="3"/>
      <c r="C2" s="3"/>
      <c r="D2" s="30" t="s">
        <v>193</v>
      </c>
      <c r="E2" s="161" t="s">
        <v>30</v>
      </c>
      <c r="F2" s="162"/>
      <c r="G2" s="163"/>
      <c r="H2" s="58">
        <f>SUM(H3:H12)</f>
        <v>0</v>
      </c>
      <c r="I2" s="68"/>
    </row>
    <row r="3" spans="1:11" x14ac:dyDescent="0.25">
      <c r="A3" s="31"/>
      <c r="B3" s="32" t="s">
        <v>194</v>
      </c>
      <c r="C3" s="2" t="s">
        <v>4</v>
      </c>
      <c r="D3" s="41" t="s">
        <v>195</v>
      </c>
      <c r="E3" s="48">
        <v>103</v>
      </c>
      <c r="F3" s="93"/>
      <c r="G3" s="36">
        <v>2</v>
      </c>
      <c r="H3" s="35">
        <f>(E3*F3)*G3</f>
        <v>0</v>
      </c>
      <c r="I3" s="74"/>
      <c r="J3" s="75"/>
      <c r="K3" s="77"/>
    </row>
    <row r="4" spans="1:11" x14ac:dyDescent="0.25">
      <c r="A4" s="31"/>
      <c r="B4" s="32" t="s">
        <v>196</v>
      </c>
      <c r="C4" s="1"/>
      <c r="D4" s="45" t="s">
        <v>197</v>
      </c>
      <c r="E4" s="49">
        <v>59</v>
      </c>
      <c r="F4" s="93"/>
      <c r="G4" s="36">
        <v>2</v>
      </c>
      <c r="H4" s="35">
        <f>(E4*F4)*G4</f>
        <v>0</v>
      </c>
      <c r="I4" s="74"/>
      <c r="J4" s="75"/>
      <c r="K4" s="77"/>
    </row>
    <row r="5" spans="1:11" x14ac:dyDescent="0.25">
      <c r="A5" s="31"/>
      <c r="B5" s="32" t="s">
        <v>198</v>
      </c>
      <c r="C5" s="1"/>
      <c r="D5" s="41" t="s">
        <v>199</v>
      </c>
      <c r="E5" s="48">
        <v>58</v>
      </c>
      <c r="F5" s="93"/>
      <c r="G5" s="36">
        <v>2</v>
      </c>
      <c r="H5" s="35">
        <f t="shared" ref="H5:H12" si="0">(E5*F5)*G5</f>
        <v>0</v>
      </c>
      <c r="I5" s="74"/>
      <c r="J5" s="75"/>
      <c r="K5" s="77"/>
    </row>
    <row r="6" spans="1:11" x14ac:dyDescent="0.25">
      <c r="A6" s="31"/>
      <c r="B6" s="32" t="s">
        <v>200</v>
      </c>
      <c r="C6" s="1"/>
      <c r="D6" s="41" t="s">
        <v>201</v>
      </c>
      <c r="E6" s="48">
        <v>170</v>
      </c>
      <c r="F6" s="93"/>
      <c r="G6" s="36">
        <v>2</v>
      </c>
      <c r="H6" s="35">
        <f t="shared" si="0"/>
        <v>0</v>
      </c>
      <c r="I6" s="74"/>
      <c r="J6" s="75"/>
      <c r="K6" s="77"/>
    </row>
    <row r="7" spans="1:11" x14ac:dyDescent="0.25">
      <c r="A7" s="31"/>
      <c r="B7" s="32" t="s">
        <v>202</v>
      </c>
      <c r="C7" s="1"/>
      <c r="D7" s="41" t="s">
        <v>203</v>
      </c>
      <c r="E7" s="48">
        <v>216</v>
      </c>
      <c r="F7" s="93"/>
      <c r="G7" s="36">
        <v>2</v>
      </c>
      <c r="H7" s="35">
        <f t="shared" si="0"/>
        <v>0</v>
      </c>
      <c r="I7" s="74"/>
      <c r="J7" s="75"/>
      <c r="K7" s="77"/>
    </row>
    <row r="8" spans="1:11" x14ac:dyDescent="0.25">
      <c r="A8" s="31"/>
      <c r="B8" s="32" t="s">
        <v>204</v>
      </c>
      <c r="C8" s="2"/>
      <c r="D8" s="41" t="s">
        <v>205</v>
      </c>
      <c r="E8" s="50">
        <v>64</v>
      </c>
      <c r="F8" s="93"/>
      <c r="G8" s="36">
        <v>2</v>
      </c>
      <c r="H8" s="35">
        <f t="shared" si="0"/>
        <v>0</v>
      </c>
      <c r="I8" s="74"/>
      <c r="J8" s="75"/>
      <c r="K8" s="77"/>
    </row>
    <row r="9" spans="1:11" x14ac:dyDescent="0.25">
      <c r="A9" s="31"/>
      <c r="B9" s="32" t="s">
        <v>206</v>
      </c>
      <c r="C9" s="2"/>
      <c r="D9" s="46" t="s">
        <v>207</v>
      </c>
      <c r="E9" s="2">
        <v>227</v>
      </c>
      <c r="F9" s="93"/>
      <c r="G9" s="36">
        <v>2</v>
      </c>
      <c r="H9" s="35">
        <f t="shared" si="0"/>
        <v>0</v>
      </c>
      <c r="I9" s="74"/>
      <c r="J9" s="75"/>
      <c r="K9" s="77"/>
    </row>
    <row r="10" spans="1:11" x14ac:dyDescent="0.25">
      <c r="A10" s="31"/>
      <c r="B10" s="32" t="s">
        <v>208</v>
      </c>
      <c r="C10" s="2"/>
      <c r="D10" s="41" t="s">
        <v>209</v>
      </c>
      <c r="E10" s="34">
        <v>88</v>
      </c>
      <c r="F10" s="93"/>
      <c r="G10" s="36">
        <v>2</v>
      </c>
      <c r="H10" s="35">
        <f t="shared" si="0"/>
        <v>0</v>
      </c>
      <c r="I10" s="74"/>
      <c r="J10" s="75"/>
      <c r="K10" s="77"/>
    </row>
    <row r="11" spans="1:11" x14ac:dyDescent="0.25">
      <c r="A11" s="31"/>
      <c r="B11" s="32" t="s">
        <v>210</v>
      </c>
      <c r="C11" s="2"/>
      <c r="D11" s="41" t="s">
        <v>211</v>
      </c>
      <c r="E11" s="34">
        <v>24</v>
      </c>
      <c r="F11" s="93"/>
      <c r="G11" s="36">
        <v>2</v>
      </c>
      <c r="H11" s="35">
        <f t="shared" si="0"/>
        <v>0</v>
      </c>
      <c r="I11" s="74"/>
      <c r="J11" s="75"/>
      <c r="K11" s="77"/>
    </row>
    <row r="12" spans="1:11" x14ac:dyDescent="0.25">
      <c r="A12" s="31"/>
      <c r="B12" s="32" t="s">
        <v>212</v>
      </c>
      <c r="C12" s="2"/>
      <c r="D12" s="41" t="s">
        <v>213</v>
      </c>
      <c r="E12" s="34">
        <v>57</v>
      </c>
      <c r="F12" s="93"/>
      <c r="G12" s="36">
        <v>2</v>
      </c>
      <c r="H12" s="35">
        <f t="shared" si="0"/>
        <v>0</v>
      </c>
      <c r="I12" s="74"/>
      <c r="J12" s="75"/>
      <c r="K12" s="77"/>
    </row>
    <row r="13" spans="1:11" x14ac:dyDescent="0.25">
      <c r="A13" s="42"/>
      <c r="B13" s="42"/>
      <c r="C13" s="42"/>
      <c r="D13" s="42"/>
      <c r="E13" s="42"/>
      <c r="F13" s="42"/>
      <c r="G13" s="42"/>
      <c r="H13" s="42"/>
    </row>
    <row r="16" spans="1:11" x14ac:dyDescent="0.25">
      <c r="A16" s="47" t="s">
        <v>4</v>
      </c>
    </row>
  </sheetData>
  <mergeCells count="1">
    <mergeCell ref="E2:G2"/>
  </mergeCells>
  <pageMargins left="0.23622047244094488" right="0.23622047244094488" top="0.3543307086614173" bottom="0.19685039370078741" header="0.11811023622047244" footer="0.31496062992125984"/>
  <pageSetup paperSize="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rgb="FF00B050"/>
  </sheetPr>
  <dimension ref="A1:N47"/>
  <sheetViews>
    <sheetView zoomScaleNormal="100" workbookViewId="0">
      <selection activeCell="F3" sqref="F3:F47"/>
    </sheetView>
  </sheetViews>
  <sheetFormatPr defaultColWidth="9.140625" defaultRowHeight="15" x14ac:dyDescent="0.25"/>
  <cols>
    <col min="1" max="3" width="9.140625" customWidth="1"/>
    <col min="4" max="4" width="40.7109375" customWidth="1"/>
    <col min="5" max="5" width="9.140625" customWidth="1"/>
    <col min="6" max="6" width="9.28515625" customWidth="1"/>
    <col min="7" max="7" width="9.140625" customWidth="1"/>
    <col min="8" max="8" width="13.7109375" customWidth="1"/>
    <col min="9" max="9" width="14.42578125" style="66" customWidth="1"/>
    <col min="10" max="10" width="9.140625" style="66"/>
    <col min="257" max="259" width="9.140625" customWidth="1"/>
    <col min="260" max="260" width="40.7109375" customWidth="1"/>
    <col min="261" max="263" width="9.140625" customWidth="1"/>
    <col min="264" max="264" width="10.7109375" bestFit="1" customWidth="1"/>
    <col min="513" max="515" width="9.140625" customWidth="1"/>
    <col min="516" max="516" width="40.7109375" customWidth="1"/>
    <col min="517" max="519" width="9.140625" customWidth="1"/>
    <col min="520" max="520" width="10.7109375" bestFit="1" customWidth="1"/>
    <col min="769" max="771" width="9.140625" customWidth="1"/>
    <col min="772" max="772" width="40.7109375" customWidth="1"/>
    <col min="773" max="775" width="9.140625" customWidth="1"/>
    <col min="776" max="776" width="10.7109375" bestFit="1" customWidth="1"/>
    <col min="1025" max="1027" width="9.140625" customWidth="1"/>
    <col min="1028" max="1028" width="40.7109375" customWidth="1"/>
    <col min="1029" max="1031" width="9.140625" customWidth="1"/>
    <col min="1032" max="1032" width="10.7109375" bestFit="1" customWidth="1"/>
    <col min="1281" max="1283" width="9.140625" customWidth="1"/>
    <col min="1284" max="1284" width="40.7109375" customWidth="1"/>
    <col min="1285" max="1287" width="9.140625" customWidth="1"/>
    <col min="1288" max="1288" width="10.7109375" bestFit="1" customWidth="1"/>
    <col min="1537" max="1539" width="9.140625" customWidth="1"/>
    <col min="1540" max="1540" width="40.7109375" customWidth="1"/>
    <col min="1541" max="1543" width="9.140625" customWidth="1"/>
    <col min="1544" max="1544" width="10.7109375" bestFit="1" customWidth="1"/>
    <col min="1793" max="1795" width="9.140625" customWidth="1"/>
    <col min="1796" max="1796" width="40.7109375" customWidth="1"/>
    <col min="1797" max="1799" width="9.140625" customWidth="1"/>
    <col min="1800" max="1800" width="10.7109375" bestFit="1" customWidth="1"/>
    <col min="2049" max="2051" width="9.140625" customWidth="1"/>
    <col min="2052" max="2052" width="40.7109375" customWidth="1"/>
    <col min="2053" max="2055" width="9.140625" customWidth="1"/>
    <col min="2056" max="2056" width="10.7109375" bestFit="1" customWidth="1"/>
    <col min="2305" max="2307" width="9.140625" customWidth="1"/>
    <col min="2308" max="2308" width="40.7109375" customWidth="1"/>
    <col min="2309" max="2311" width="9.140625" customWidth="1"/>
    <col min="2312" max="2312" width="10.7109375" bestFit="1" customWidth="1"/>
    <col min="2561" max="2563" width="9.140625" customWidth="1"/>
    <col min="2564" max="2564" width="40.7109375" customWidth="1"/>
    <col min="2565" max="2567" width="9.140625" customWidth="1"/>
    <col min="2568" max="2568" width="10.7109375" bestFit="1" customWidth="1"/>
    <col min="2817" max="2819" width="9.140625" customWidth="1"/>
    <col min="2820" max="2820" width="40.7109375" customWidth="1"/>
    <col min="2821" max="2823" width="9.140625" customWidth="1"/>
    <col min="2824" max="2824" width="10.7109375" bestFit="1" customWidth="1"/>
    <col min="3073" max="3075" width="9.140625" customWidth="1"/>
    <col min="3076" max="3076" width="40.7109375" customWidth="1"/>
    <col min="3077" max="3079" width="9.140625" customWidth="1"/>
    <col min="3080" max="3080" width="10.7109375" bestFit="1" customWidth="1"/>
    <col min="3329" max="3331" width="9.140625" customWidth="1"/>
    <col min="3332" max="3332" width="40.7109375" customWidth="1"/>
    <col min="3333" max="3335" width="9.140625" customWidth="1"/>
    <col min="3336" max="3336" width="10.7109375" bestFit="1" customWidth="1"/>
    <col min="3585" max="3587" width="9.140625" customWidth="1"/>
    <col min="3588" max="3588" width="40.7109375" customWidth="1"/>
    <col min="3589" max="3591" width="9.140625" customWidth="1"/>
    <col min="3592" max="3592" width="10.7109375" bestFit="1" customWidth="1"/>
    <col min="3841" max="3843" width="9.140625" customWidth="1"/>
    <col min="3844" max="3844" width="40.7109375" customWidth="1"/>
    <col min="3845" max="3847" width="9.140625" customWidth="1"/>
    <col min="3848" max="3848" width="10.7109375" bestFit="1" customWidth="1"/>
    <col min="4097" max="4099" width="9.140625" customWidth="1"/>
    <col min="4100" max="4100" width="40.7109375" customWidth="1"/>
    <col min="4101" max="4103" width="9.140625" customWidth="1"/>
    <col min="4104" max="4104" width="10.7109375" bestFit="1" customWidth="1"/>
    <col min="4353" max="4355" width="9.140625" customWidth="1"/>
    <col min="4356" max="4356" width="40.7109375" customWidth="1"/>
    <col min="4357" max="4359" width="9.140625" customWidth="1"/>
    <col min="4360" max="4360" width="10.7109375" bestFit="1" customWidth="1"/>
    <col min="4609" max="4611" width="9.140625" customWidth="1"/>
    <col min="4612" max="4612" width="40.7109375" customWidth="1"/>
    <col min="4613" max="4615" width="9.140625" customWidth="1"/>
    <col min="4616" max="4616" width="10.7109375" bestFit="1" customWidth="1"/>
    <col min="4865" max="4867" width="9.140625" customWidth="1"/>
    <col min="4868" max="4868" width="40.7109375" customWidth="1"/>
    <col min="4869" max="4871" width="9.140625" customWidth="1"/>
    <col min="4872" max="4872" width="10.7109375" bestFit="1" customWidth="1"/>
    <col min="5121" max="5123" width="9.140625" customWidth="1"/>
    <col min="5124" max="5124" width="40.7109375" customWidth="1"/>
    <col min="5125" max="5127" width="9.140625" customWidth="1"/>
    <col min="5128" max="5128" width="10.7109375" bestFit="1" customWidth="1"/>
    <col min="5377" max="5379" width="9.140625" customWidth="1"/>
    <col min="5380" max="5380" width="40.7109375" customWidth="1"/>
    <col min="5381" max="5383" width="9.140625" customWidth="1"/>
    <col min="5384" max="5384" width="10.7109375" bestFit="1" customWidth="1"/>
    <col min="5633" max="5635" width="9.140625" customWidth="1"/>
    <col min="5636" max="5636" width="40.7109375" customWidth="1"/>
    <col min="5637" max="5639" width="9.140625" customWidth="1"/>
    <col min="5640" max="5640" width="10.7109375" bestFit="1" customWidth="1"/>
    <col min="5889" max="5891" width="9.140625" customWidth="1"/>
    <col min="5892" max="5892" width="40.7109375" customWidth="1"/>
    <col min="5893" max="5895" width="9.140625" customWidth="1"/>
    <col min="5896" max="5896" width="10.7109375" bestFit="1" customWidth="1"/>
    <col min="6145" max="6147" width="9.140625" customWidth="1"/>
    <col min="6148" max="6148" width="40.7109375" customWidth="1"/>
    <col min="6149" max="6151" width="9.140625" customWidth="1"/>
    <col min="6152" max="6152" width="10.7109375" bestFit="1" customWidth="1"/>
    <col min="6401" max="6403" width="9.140625" customWidth="1"/>
    <col min="6404" max="6404" width="40.7109375" customWidth="1"/>
    <col min="6405" max="6407" width="9.140625" customWidth="1"/>
    <col min="6408" max="6408" width="10.7109375" bestFit="1" customWidth="1"/>
    <col min="6657" max="6659" width="9.140625" customWidth="1"/>
    <col min="6660" max="6660" width="40.7109375" customWidth="1"/>
    <col min="6661" max="6663" width="9.140625" customWidth="1"/>
    <col min="6664" max="6664" width="10.7109375" bestFit="1" customWidth="1"/>
    <col min="6913" max="6915" width="9.140625" customWidth="1"/>
    <col min="6916" max="6916" width="40.7109375" customWidth="1"/>
    <col min="6917" max="6919" width="9.140625" customWidth="1"/>
    <col min="6920" max="6920" width="10.7109375" bestFit="1" customWidth="1"/>
    <col min="7169" max="7171" width="9.140625" customWidth="1"/>
    <col min="7172" max="7172" width="40.7109375" customWidth="1"/>
    <col min="7173" max="7175" width="9.140625" customWidth="1"/>
    <col min="7176" max="7176" width="10.7109375" bestFit="1" customWidth="1"/>
    <col min="7425" max="7427" width="9.140625" customWidth="1"/>
    <col min="7428" max="7428" width="40.7109375" customWidth="1"/>
    <col min="7429" max="7431" width="9.140625" customWidth="1"/>
    <col min="7432" max="7432" width="10.7109375" bestFit="1" customWidth="1"/>
    <col min="7681" max="7683" width="9.140625" customWidth="1"/>
    <col min="7684" max="7684" width="40.7109375" customWidth="1"/>
    <col min="7685" max="7687" width="9.140625" customWidth="1"/>
    <col min="7688" max="7688" width="10.7109375" bestFit="1" customWidth="1"/>
    <col min="7937" max="7939" width="9.140625" customWidth="1"/>
    <col min="7940" max="7940" width="40.7109375" customWidth="1"/>
    <col min="7941" max="7943" width="9.140625" customWidth="1"/>
    <col min="7944" max="7944" width="10.7109375" bestFit="1" customWidth="1"/>
    <col min="8193" max="8195" width="9.140625" customWidth="1"/>
    <col min="8196" max="8196" width="40.7109375" customWidth="1"/>
    <col min="8197" max="8199" width="9.140625" customWidth="1"/>
    <col min="8200" max="8200" width="10.7109375" bestFit="1" customWidth="1"/>
    <col min="8449" max="8451" width="9.140625" customWidth="1"/>
    <col min="8452" max="8452" width="40.7109375" customWidth="1"/>
    <col min="8453" max="8455" width="9.140625" customWidth="1"/>
    <col min="8456" max="8456" width="10.7109375" bestFit="1" customWidth="1"/>
    <col min="8705" max="8707" width="9.140625" customWidth="1"/>
    <col min="8708" max="8708" width="40.7109375" customWidth="1"/>
    <col min="8709" max="8711" width="9.140625" customWidth="1"/>
    <col min="8712" max="8712" width="10.7109375" bestFit="1" customWidth="1"/>
    <col min="8961" max="8963" width="9.140625" customWidth="1"/>
    <col min="8964" max="8964" width="40.7109375" customWidth="1"/>
    <col min="8965" max="8967" width="9.140625" customWidth="1"/>
    <col min="8968" max="8968" width="10.7109375" bestFit="1" customWidth="1"/>
    <col min="9217" max="9219" width="9.140625" customWidth="1"/>
    <col min="9220" max="9220" width="40.7109375" customWidth="1"/>
    <col min="9221" max="9223" width="9.140625" customWidth="1"/>
    <col min="9224" max="9224" width="10.7109375" bestFit="1" customWidth="1"/>
    <col min="9473" max="9475" width="9.140625" customWidth="1"/>
    <col min="9476" max="9476" width="40.7109375" customWidth="1"/>
    <col min="9477" max="9479" width="9.140625" customWidth="1"/>
    <col min="9480" max="9480" width="10.7109375" bestFit="1" customWidth="1"/>
    <col min="9729" max="9731" width="9.140625" customWidth="1"/>
    <col min="9732" max="9732" width="40.7109375" customWidth="1"/>
    <col min="9733" max="9735" width="9.140625" customWidth="1"/>
    <col min="9736" max="9736" width="10.7109375" bestFit="1" customWidth="1"/>
    <col min="9985" max="9987" width="9.140625" customWidth="1"/>
    <col min="9988" max="9988" width="40.7109375" customWidth="1"/>
    <col min="9989" max="9991" width="9.140625" customWidth="1"/>
    <col min="9992" max="9992" width="10.7109375" bestFit="1" customWidth="1"/>
    <col min="10241" max="10243" width="9.140625" customWidth="1"/>
    <col min="10244" max="10244" width="40.7109375" customWidth="1"/>
    <col min="10245" max="10247" width="9.140625" customWidth="1"/>
    <col min="10248" max="10248" width="10.7109375" bestFit="1" customWidth="1"/>
    <col min="10497" max="10499" width="9.140625" customWidth="1"/>
    <col min="10500" max="10500" width="40.7109375" customWidth="1"/>
    <col min="10501" max="10503" width="9.140625" customWidth="1"/>
    <col min="10504" max="10504" width="10.7109375" bestFit="1" customWidth="1"/>
    <col min="10753" max="10755" width="9.140625" customWidth="1"/>
    <col min="10756" max="10756" width="40.7109375" customWidth="1"/>
    <col min="10757" max="10759" width="9.140625" customWidth="1"/>
    <col min="10760" max="10760" width="10.7109375" bestFit="1" customWidth="1"/>
    <col min="11009" max="11011" width="9.140625" customWidth="1"/>
    <col min="11012" max="11012" width="40.7109375" customWidth="1"/>
    <col min="11013" max="11015" width="9.140625" customWidth="1"/>
    <col min="11016" max="11016" width="10.7109375" bestFit="1" customWidth="1"/>
    <col min="11265" max="11267" width="9.140625" customWidth="1"/>
    <col min="11268" max="11268" width="40.7109375" customWidth="1"/>
    <col min="11269" max="11271" width="9.140625" customWidth="1"/>
    <col min="11272" max="11272" width="10.7109375" bestFit="1" customWidth="1"/>
    <col min="11521" max="11523" width="9.140625" customWidth="1"/>
    <col min="11524" max="11524" width="40.7109375" customWidth="1"/>
    <col min="11525" max="11527" width="9.140625" customWidth="1"/>
    <col min="11528" max="11528" width="10.7109375" bestFit="1" customWidth="1"/>
    <col min="11777" max="11779" width="9.140625" customWidth="1"/>
    <col min="11780" max="11780" width="40.7109375" customWidth="1"/>
    <col min="11781" max="11783" width="9.140625" customWidth="1"/>
    <col min="11784" max="11784" width="10.7109375" bestFit="1" customWidth="1"/>
    <col min="12033" max="12035" width="9.140625" customWidth="1"/>
    <col min="12036" max="12036" width="40.7109375" customWidth="1"/>
    <col min="12037" max="12039" width="9.140625" customWidth="1"/>
    <col min="12040" max="12040" width="10.7109375" bestFit="1" customWidth="1"/>
    <col min="12289" max="12291" width="9.140625" customWidth="1"/>
    <col min="12292" max="12292" width="40.7109375" customWidth="1"/>
    <col min="12293" max="12295" width="9.140625" customWidth="1"/>
    <col min="12296" max="12296" width="10.7109375" bestFit="1" customWidth="1"/>
    <col min="12545" max="12547" width="9.140625" customWidth="1"/>
    <col min="12548" max="12548" width="40.7109375" customWidth="1"/>
    <col min="12549" max="12551" width="9.140625" customWidth="1"/>
    <col min="12552" max="12552" width="10.7109375" bestFit="1" customWidth="1"/>
    <col min="12801" max="12803" width="9.140625" customWidth="1"/>
    <col min="12804" max="12804" width="40.7109375" customWidth="1"/>
    <col min="12805" max="12807" width="9.140625" customWidth="1"/>
    <col min="12808" max="12808" width="10.7109375" bestFit="1" customWidth="1"/>
    <col min="13057" max="13059" width="9.140625" customWidth="1"/>
    <col min="13060" max="13060" width="40.7109375" customWidth="1"/>
    <col min="13061" max="13063" width="9.140625" customWidth="1"/>
    <col min="13064" max="13064" width="10.7109375" bestFit="1" customWidth="1"/>
    <col min="13313" max="13315" width="9.140625" customWidth="1"/>
    <col min="13316" max="13316" width="40.7109375" customWidth="1"/>
    <col min="13317" max="13319" width="9.140625" customWidth="1"/>
    <col min="13320" max="13320" width="10.7109375" bestFit="1" customWidth="1"/>
    <col min="13569" max="13571" width="9.140625" customWidth="1"/>
    <col min="13572" max="13572" width="40.7109375" customWidth="1"/>
    <col min="13573" max="13575" width="9.140625" customWidth="1"/>
    <col min="13576" max="13576" width="10.7109375" bestFit="1" customWidth="1"/>
    <col min="13825" max="13827" width="9.140625" customWidth="1"/>
    <col min="13828" max="13828" width="40.7109375" customWidth="1"/>
    <col min="13829" max="13831" width="9.140625" customWidth="1"/>
    <col min="13832" max="13832" width="10.7109375" bestFit="1" customWidth="1"/>
    <col min="14081" max="14083" width="9.140625" customWidth="1"/>
    <col min="14084" max="14084" width="40.7109375" customWidth="1"/>
    <col min="14085" max="14087" width="9.140625" customWidth="1"/>
    <col min="14088" max="14088" width="10.7109375" bestFit="1" customWidth="1"/>
    <col min="14337" max="14339" width="9.140625" customWidth="1"/>
    <col min="14340" max="14340" width="40.7109375" customWidth="1"/>
    <col min="14341" max="14343" width="9.140625" customWidth="1"/>
    <col min="14344" max="14344" width="10.7109375" bestFit="1" customWidth="1"/>
    <col min="14593" max="14595" width="9.140625" customWidth="1"/>
    <col min="14596" max="14596" width="40.7109375" customWidth="1"/>
    <col min="14597" max="14599" width="9.140625" customWidth="1"/>
    <col min="14600" max="14600" width="10.7109375" bestFit="1" customWidth="1"/>
    <col min="14849" max="14851" width="9.140625" customWidth="1"/>
    <col min="14852" max="14852" width="40.7109375" customWidth="1"/>
    <col min="14853" max="14855" width="9.140625" customWidth="1"/>
    <col min="14856" max="14856" width="10.7109375" bestFit="1" customWidth="1"/>
    <col min="15105" max="15107" width="9.140625" customWidth="1"/>
    <col min="15108" max="15108" width="40.7109375" customWidth="1"/>
    <col min="15109" max="15111" width="9.140625" customWidth="1"/>
    <col min="15112" max="15112" width="10.7109375" bestFit="1" customWidth="1"/>
    <col min="15361" max="15363" width="9.140625" customWidth="1"/>
    <col min="15364" max="15364" width="40.7109375" customWidth="1"/>
    <col min="15365" max="15367" width="9.140625" customWidth="1"/>
    <col min="15368" max="15368" width="10.7109375" bestFit="1" customWidth="1"/>
    <col min="15617" max="15619" width="9.140625" customWidth="1"/>
    <col min="15620" max="15620" width="40.7109375" customWidth="1"/>
    <col min="15621" max="15623" width="9.140625" customWidth="1"/>
    <col min="15624" max="15624" width="10.7109375" bestFit="1" customWidth="1"/>
    <col min="15873" max="15875" width="9.140625" customWidth="1"/>
    <col min="15876" max="15876" width="40.7109375" customWidth="1"/>
    <col min="15877" max="15879" width="9.140625" customWidth="1"/>
    <col min="15880" max="15880" width="10.7109375" bestFit="1" customWidth="1"/>
    <col min="16129" max="16131" width="9.140625" customWidth="1"/>
    <col min="16132" max="16132" width="40.7109375" customWidth="1"/>
    <col min="16133" max="16135" width="9.140625" customWidth="1"/>
    <col min="16136" max="16136" width="10.7109375" bestFit="1" customWidth="1"/>
  </cols>
  <sheetData>
    <row r="1" spans="1:14" ht="42.75" customHeight="1" x14ac:dyDescent="0.25">
      <c r="A1" s="25" t="s">
        <v>0</v>
      </c>
      <c r="B1" s="25" t="s">
        <v>24</v>
      </c>
      <c r="C1" s="25" t="s">
        <v>25</v>
      </c>
      <c r="D1" s="26" t="s">
        <v>1</v>
      </c>
      <c r="E1" s="27" t="s">
        <v>26</v>
      </c>
      <c r="F1" s="27" t="s">
        <v>27</v>
      </c>
      <c r="G1" s="27" t="s">
        <v>28</v>
      </c>
      <c r="H1" s="27" t="s">
        <v>2</v>
      </c>
      <c r="I1" s="73"/>
      <c r="J1" s="115">
        <v>1.03</v>
      </c>
    </row>
    <row r="2" spans="1:14" ht="63.75" x14ac:dyDescent="0.25">
      <c r="A2" s="44" t="s">
        <v>16</v>
      </c>
      <c r="B2" s="3"/>
      <c r="C2" s="3"/>
      <c r="D2" s="30" t="s">
        <v>29</v>
      </c>
      <c r="E2" s="161" t="s">
        <v>30</v>
      </c>
      <c r="F2" s="162"/>
      <c r="G2" s="163"/>
      <c r="H2" s="58">
        <f>SUM(H3:H47)</f>
        <v>0</v>
      </c>
      <c r="I2" s="68"/>
    </row>
    <row r="3" spans="1:14" ht="15.75" x14ac:dyDescent="0.25">
      <c r="A3" s="31"/>
      <c r="B3" s="95" t="s">
        <v>31</v>
      </c>
      <c r="C3" s="95"/>
      <c r="D3" s="96" t="s">
        <v>235</v>
      </c>
      <c r="E3" s="97">
        <v>125</v>
      </c>
      <c r="F3" s="94"/>
      <c r="G3" s="98">
        <v>4</v>
      </c>
      <c r="H3" s="35">
        <f>(E3*F3)*G3</f>
        <v>0</v>
      </c>
      <c r="I3" s="74"/>
      <c r="J3" s="75"/>
      <c r="K3" s="77"/>
      <c r="N3" t="s">
        <v>4</v>
      </c>
    </row>
    <row r="4" spans="1:14" ht="15.75" x14ac:dyDescent="0.25">
      <c r="A4" s="31"/>
      <c r="B4" s="95" t="s">
        <v>33</v>
      </c>
      <c r="C4" s="95"/>
      <c r="D4" s="96" t="s">
        <v>34</v>
      </c>
      <c r="E4" s="97">
        <v>125</v>
      </c>
      <c r="F4" s="94"/>
      <c r="G4" s="98">
        <v>4</v>
      </c>
      <c r="H4" s="35">
        <f>(E4*F4)*G4</f>
        <v>0</v>
      </c>
      <c r="I4" s="74"/>
      <c r="J4" s="75"/>
      <c r="K4" s="77"/>
      <c r="N4" t="s">
        <v>4</v>
      </c>
    </row>
    <row r="5" spans="1:14" ht="15.75" x14ac:dyDescent="0.25">
      <c r="A5" s="31"/>
      <c r="B5" s="95" t="s">
        <v>35</v>
      </c>
      <c r="C5" s="95"/>
      <c r="D5" s="96" t="s">
        <v>236</v>
      </c>
      <c r="E5" s="97">
        <v>68</v>
      </c>
      <c r="F5" s="94"/>
      <c r="G5" s="98">
        <v>4</v>
      </c>
      <c r="H5" s="35">
        <f>(E5*F5)*G5</f>
        <v>0</v>
      </c>
      <c r="I5" s="74"/>
      <c r="J5" s="75"/>
      <c r="K5" s="77"/>
      <c r="N5" t="s">
        <v>4</v>
      </c>
    </row>
    <row r="6" spans="1:14" ht="15.75" x14ac:dyDescent="0.25">
      <c r="A6" s="31"/>
      <c r="B6" s="95" t="s">
        <v>37</v>
      </c>
      <c r="C6" s="95"/>
      <c r="D6" s="96" t="s">
        <v>231</v>
      </c>
      <c r="E6" s="97">
        <v>338</v>
      </c>
      <c r="F6" s="94"/>
      <c r="G6" s="98">
        <v>4</v>
      </c>
      <c r="H6" s="35">
        <f>(E6*F6)*G6</f>
        <v>0</v>
      </c>
      <c r="I6" s="74"/>
      <c r="J6" s="75"/>
      <c r="K6" s="77"/>
      <c r="N6" t="s">
        <v>4</v>
      </c>
    </row>
    <row r="7" spans="1:14" ht="15.75" x14ac:dyDescent="0.25">
      <c r="A7" s="31"/>
      <c r="B7" s="95" t="s">
        <v>38</v>
      </c>
      <c r="C7" s="95"/>
      <c r="D7" s="96" t="s">
        <v>39</v>
      </c>
      <c r="E7" s="98">
        <v>113</v>
      </c>
      <c r="F7" s="94"/>
      <c r="G7" s="98">
        <v>4</v>
      </c>
      <c r="H7" s="35">
        <f t="shared" ref="H7:H47" si="0">(E7*F7)*G7</f>
        <v>0</v>
      </c>
      <c r="I7" s="74"/>
      <c r="J7" s="75"/>
      <c r="K7" s="77"/>
    </row>
    <row r="8" spans="1:14" ht="15.75" x14ac:dyDescent="0.25">
      <c r="A8" s="31"/>
      <c r="B8" s="95" t="s">
        <v>40</v>
      </c>
      <c r="C8" s="95"/>
      <c r="D8" s="96" t="s">
        <v>237</v>
      </c>
      <c r="E8" s="98">
        <v>434</v>
      </c>
      <c r="F8" s="94"/>
      <c r="G8" s="98">
        <v>4</v>
      </c>
      <c r="H8" s="35">
        <f t="shared" si="0"/>
        <v>0</v>
      </c>
      <c r="I8" s="74"/>
      <c r="J8" s="75"/>
      <c r="K8" s="77"/>
    </row>
    <row r="9" spans="1:14" ht="15.75" x14ac:dyDescent="0.25">
      <c r="A9" s="31"/>
      <c r="B9" s="95" t="s">
        <v>42</v>
      </c>
      <c r="C9" s="95"/>
      <c r="D9" s="96" t="s">
        <v>43</v>
      </c>
      <c r="E9" s="98">
        <v>0</v>
      </c>
      <c r="F9" s="94"/>
      <c r="G9" s="98">
        <v>4</v>
      </c>
      <c r="H9" s="35">
        <f t="shared" si="0"/>
        <v>0</v>
      </c>
      <c r="I9" s="74"/>
      <c r="J9" s="75"/>
      <c r="K9" s="77"/>
    </row>
    <row r="10" spans="1:14" ht="15.75" x14ac:dyDescent="0.25">
      <c r="A10" s="31"/>
      <c r="B10" s="95" t="s">
        <v>44</v>
      </c>
      <c r="C10" s="95"/>
      <c r="D10" s="96" t="s">
        <v>238</v>
      </c>
      <c r="E10" s="98">
        <v>4733</v>
      </c>
      <c r="F10" s="94"/>
      <c r="G10" s="98">
        <v>4</v>
      </c>
      <c r="H10" s="35">
        <f t="shared" si="0"/>
        <v>0</v>
      </c>
      <c r="I10" s="74"/>
      <c r="J10" s="75"/>
      <c r="K10" s="77"/>
    </row>
    <row r="11" spans="1:14" ht="15.75" x14ac:dyDescent="0.25">
      <c r="A11" s="31"/>
      <c r="B11" s="95" t="s">
        <v>46</v>
      </c>
      <c r="C11" s="95"/>
      <c r="D11" s="96" t="s">
        <v>239</v>
      </c>
      <c r="E11" s="98">
        <v>0</v>
      </c>
      <c r="F11" s="94"/>
      <c r="G11" s="98">
        <v>4</v>
      </c>
      <c r="H11" s="35">
        <f t="shared" si="0"/>
        <v>0</v>
      </c>
      <c r="I11" s="74"/>
      <c r="J11" s="75"/>
      <c r="K11" s="77"/>
    </row>
    <row r="12" spans="1:14" ht="15.75" x14ac:dyDescent="0.25">
      <c r="A12" s="31"/>
      <c r="B12" s="95" t="s">
        <v>48</v>
      </c>
      <c r="C12" s="95"/>
      <c r="D12" s="96" t="s">
        <v>240</v>
      </c>
      <c r="E12" s="98">
        <v>0</v>
      </c>
      <c r="F12" s="94"/>
      <c r="G12" s="98">
        <v>4</v>
      </c>
      <c r="H12" s="35">
        <f t="shared" si="0"/>
        <v>0</v>
      </c>
      <c r="I12" s="74"/>
      <c r="J12" s="75"/>
      <c r="K12" s="77"/>
    </row>
    <row r="13" spans="1:14" ht="15.75" x14ac:dyDescent="0.25">
      <c r="A13" s="31"/>
      <c r="B13" s="95" t="s">
        <v>50</v>
      </c>
      <c r="C13" s="95"/>
      <c r="D13" s="96" t="s">
        <v>241</v>
      </c>
      <c r="E13" s="98">
        <v>0</v>
      </c>
      <c r="F13" s="94"/>
      <c r="G13" s="98">
        <v>4</v>
      </c>
      <c r="H13" s="35">
        <f t="shared" si="0"/>
        <v>0</v>
      </c>
      <c r="I13" s="74"/>
      <c r="J13" s="75"/>
      <c r="K13" s="77"/>
    </row>
    <row r="14" spans="1:14" ht="15.75" x14ac:dyDescent="0.25">
      <c r="A14" s="31"/>
      <c r="B14" s="95" t="s">
        <v>52</v>
      </c>
      <c r="C14" s="95"/>
      <c r="D14" s="96" t="s">
        <v>242</v>
      </c>
      <c r="E14" s="98">
        <v>1078</v>
      </c>
      <c r="F14" s="94"/>
      <c r="G14" s="98">
        <v>4</v>
      </c>
      <c r="H14" s="35">
        <f t="shared" si="0"/>
        <v>0</v>
      </c>
      <c r="I14" s="74"/>
      <c r="J14" s="75"/>
      <c r="K14" s="77"/>
    </row>
    <row r="15" spans="1:14" ht="15.75" x14ac:dyDescent="0.25">
      <c r="A15" s="31"/>
      <c r="B15" s="95" t="s">
        <v>54</v>
      </c>
      <c r="C15" s="95"/>
      <c r="D15" s="96" t="s">
        <v>55</v>
      </c>
      <c r="E15" s="98">
        <v>0</v>
      </c>
      <c r="F15" s="94"/>
      <c r="G15" s="98">
        <v>4</v>
      </c>
      <c r="H15" s="35">
        <f t="shared" si="0"/>
        <v>0</v>
      </c>
      <c r="I15" s="74"/>
      <c r="J15" s="75"/>
      <c r="K15" s="77"/>
    </row>
    <row r="16" spans="1:14" ht="15.75" x14ac:dyDescent="0.25">
      <c r="A16" s="31"/>
      <c r="B16" s="95" t="s">
        <v>56</v>
      </c>
      <c r="C16" s="95"/>
      <c r="D16" s="96" t="s">
        <v>57</v>
      </c>
      <c r="E16" s="98">
        <v>0</v>
      </c>
      <c r="F16" s="94"/>
      <c r="G16" s="98">
        <v>4</v>
      </c>
      <c r="H16" s="35">
        <f t="shared" si="0"/>
        <v>0</v>
      </c>
      <c r="I16" s="74"/>
      <c r="J16" s="75"/>
      <c r="K16" s="77"/>
    </row>
    <row r="17" spans="1:11" ht="15.75" x14ac:dyDescent="0.25">
      <c r="A17" s="31"/>
      <c r="B17" s="95" t="s">
        <v>58</v>
      </c>
      <c r="C17" s="95"/>
      <c r="D17" s="96" t="s">
        <v>59</v>
      </c>
      <c r="E17" s="98">
        <v>644</v>
      </c>
      <c r="F17" s="94"/>
      <c r="G17" s="98">
        <v>4</v>
      </c>
      <c r="H17" s="35">
        <f t="shared" si="0"/>
        <v>0</v>
      </c>
      <c r="I17" s="74"/>
      <c r="J17" s="75"/>
      <c r="K17" s="77"/>
    </row>
    <row r="18" spans="1:11" ht="15.75" x14ac:dyDescent="0.25">
      <c r="A18" s="31"/>
      <c r="B18" s="95" t="s">
        <v>60</v>
      </c>
      <c r="C18" s="95"/>
      <c r="D18" s="96" t="s">
        <v>243</v>
      </c>
      <c r="E18" s="98">
        <v>31</v>
      </c>
      <c r="F18" s="94"/>
      <c r="G18" s="98">
        <v>4</v>
      </c>
      <c r="H18" s="35">
        <f t="shared" si="0"/>
        <v>0</v>
      </c>
      <c r="I18" s="74"/>
      <c r="J18" s="75"/>
      <c r="K18" s="77"/>
    </row>
    <row r="19" spans="1:11" ht="15.75" x14ac:dyDescent="0.25">
      <c r="A19" s="31"/>
      <c r="B19" s="95" t="s">
        <v>62</v>
      </c>
      <c r="C19" s="95"/>
      <c r="D19" s="96" t="s">
        <v>244</v>
      </c>
      <c r="E19" s="98">
        <v>240</v>
      </c>
      <c r="F19" s="94"/>
      <c r="G19" s="98">
        <v>4</v>
      </c>
      <c r="H19" s="35">
        <f t="shared" si="0"/>
        <v>0</v>
      </c>
      <c r="I19" s="74"/>
      <c r="J19" s="75"/>
      <c r="K19" s="77"/>
    </row>
    <row r="20" spans="1:11" ht="15.75" x14ac:dyDescent="0.25">
      <c r="A20" s="31"/>
      <c r="B20" s="95" t="s">
        <v>64</v>
      </c>
      <c r="C20" s="95"/>
      <c r="D20" s="96" t="s">
        <v>245</v>
      </c>
      <c r="E20" s="98">
        <v>7</v>
      </c>
      <c r="F20" s="94"/>
      <c r="G20" s="98">
        <v>4</v>
      </c>
      <c r="H20" s="35">
        <f t="shared" si="0"/>
        <v>0</v>
      </c>
      <c r="I20" s="74"/>
      <c r="J20" s="75"/>
      <c r="K20" s="77"/>
    </row>
    <row r="21" spans="1:11" ht="15.75" x14ac:dyDescent="0.25">
      <c r="A21" s="31"/>
      <c r="B21" s="95" t="s">
        <v>66</v>
      </c>
      <c r="C21" s="95"/>
      <c r="D21" s="96" t="s">
        <v>246</v>
      </c>
      <c r="E21" s="98">
        <v>869</v>
      </c>
      <c r="F21" s="94"/>
      <c r="G21" s="98">
        <v>4</v>
      </c>
      <c r="H21" s="35">
        <f t="shared" si="0"/>
        <v>0</v>
      </c>
      <c r="I21" s="74"/>
      <c r="J21" s="75"/>
      <c r="K21" s="77"/>
    </row>
    <row r="22" spans="1:11" ht="15.75" x14ac:dyDescent="0.25">
      <c r="A22" s="31"/>
      <c r="B22" s="95" t="s">
        <v>68</v>
      </c>
      <c r="C22" s="95"/>
      <c r="D22" s="96" t="s">
        <v>247</v>
      </c>
      <c r="E22" s="98">
        <v>1569</v>
      </c>
      <c r="F22" s="94"/>
      <c r="G22" s="98">
        <v>4</v>
      </c>
      <c r="H22" s="35">
        <f t="shared" si="0"/>
        <v>0</v>
      </c>
      <c r="I22" s="74"/>
      <c r="J22" s="75"/>
      <c r="K22" s="77"/>
    </row>
    <row r="23" spans="1:11" ht="15.75" x14ac:dyDescent="0.25">
      <c r="A23" s="31"/>
      <c r="B23" s="95" t="s">
        <v>70</v>
      </c>
      <c r="C23" s="95"/>
      <c r="D23" s="96" t="s">
        <v>248</v>
      </c>
      <c r="E23" s="98">
        <v>0</v>
      </c>
      <c r="F23" s="94"/>
      <c r="G23" s="98">
        <v>4</v>
      </c>
      <c r="H23" s="35">
        <f t="shared" si="0"/>
        <v>0</v>
      </c>
      <c r="I23" s="74"/>
      <c r="J23" s="75"/>
      <c r="K23" s="77"/>
    </row>
    <row r="24" spans="1:11" ht="15.75" x14ac:dyDescent="0.25">
      <c r="A24" s="31"/>
      <c r="B24" s="95" t="s">
        <v>72</v>
      </c>
      <c r="C24" s="95"/>
      <c r="D24" s="96" t="s">
        <v>249</v>
      </c>
      <c r="E24" s="97">
        <v>591</v>
      </c>
      <c r="F24" s="94"/>
      <c r="G24" s="98">
        <v>4</v>
      </c>
      <c r="H24" s="35">
        <f t="shared" si="0"/>
        <v>0</v>
      </c>
      <c r="I24" s="74"/>
      <c r="J24" s="75"/>
      <c r="K24" s="77"/>
    </row>
    <row r="25" spans="1:11" ht="15.75" x14ac:dyDescent="0.25">
      <c r="A25" s="13"/>
      <c r="B25" s="95" t="s">
        <v>74</v>
      </c>
      <c r="C25" s="95"/>
      <c r="D25" s="96" t="s">
        <v>75</v>
      </c>
      <c r="E25" s="97">
        <v>186</v>
      </c>
      <c r="F25" s="94"/>
      <c r="G25" s="98">
        <v>4</v>
      </c>
      <c r="H25" s="35">
        <f t="shared" si="0"/>
        <v>0</v>
      </c>
    </row>
    <row r="26" spans="1:11" ht="15.75" x14ac:dyDescent="0.25">
      <c r="A26" s="13"/>
      <c r="B26" s="95" t="s">
        <v>76</v>
      </c>
      <c r="C26" s="95"/>
      <c r="D26" s="96" t="s">
        <v>77</v>
      </c>
      <c r="E26" s="98">
        <v>0</v>
      </c>
      <c r="F26" s="94"/>
      <c r="G26" s="98">
        <v>4</v>
      </c>
      <c r="H26" s="35">
        <f t="shared" si="0"/>
        <v>0</v>
      </c>
    </row>
    <row r="27" spans="1:11" ht="15.75" x14ac:dyDescent="0.25">
      <c r="A27" s="13"/>
      <c r="B27" s="95" t="s">
        <v>78</v>
      </c>
      <c r="C27" s="95"/>
      <c r="D27" s="96" t="s">
        <v>79</v>
      </c>
      <c r="E27" s="98">
        <v>291</v>
      </c>
      <c r="F27" s="94"/>
      <c r="G27" s="98">
        <v>2</v>
      </c>
      <c r="H27" s="35">
        <f t="shared" si="0"/>
        <v>0</v>
      </c>
    </row>
    <row r="28" spans="1:11" ht="15.75" x14ac:dyDescent="0.25">
      <c r="A28" s="13"/>
      <c r="B28" s="95" t="s">
        <v>80</v>
      </c>
      <c r="C28" s="95"/>
      <c r="D28" s="96" t="s">
        <v>81</v>
      </c>
      <c r="E28" s="98">
        <v>12</v>
      </c>
      <c r="F28" s="94"/>
      <c r="G28" s="98">
        <v>2</v>
      </c>
      <c r="H28" s="35">
        <f t="shared" si="0"/>
        <v>0</v>
      </c>
    </row>
    <row r="29" spans="1:11" ht="15.75" x14ac:dyDescent="0.25">
      <c r="A29" s="13"/>
      <c r="B29" s="95" t="s">
        <v>82</v>
      </c>
      <c r="C29" s="95"/>
      <c r="D29" s="96" t="s">
        <v>250</v>
      </c>
      <c r="E29" s="98">
        <v>0</v>
      </c>
      <c r="F29" s="94"/>
      <c r="G29" s="98">
        <v>2</v>
      </c>
      <c r="H29" s="35">
        <f t="shared" si="0"/>
        <v>0</v>
      </c>
    </row>
    <row r="30" spans="1:11" ht="15.75" x14ac:dyDescent="0.25">
      <c r="A30" s="13"/>
      <c r="B30" s="95" t="s">
        <v>84</v>
      </c>
      <c r="C30" s="95"/>
      <c r="D30" s="96" t="s">
        <v>251</v>
      </c>
      <c r="E30" s="98">
        <v>5</v>
      </c>
      <c r="F30" s="94"/>
      <c r="G30" s="98">
        <v>2</v>
      </c>
      <c r="H30" s="35">
        <f t="shared" si="0"/>
        <v>0</v>
      </c>
    </row>
    <row r="31" spans="1:11" ht="15.75" x14ac:dyDescent="0.25">
      <c r="A31" s="13"/>
      <c r="B31" s="95" t="s">
        <v>86</v>
      </c>
      <c r="C31" s="95"/>
      <c r="D31" s="96" t="s">
        <v>87</v>
      </c>
      <c r="E31" s="98">
        <v>0</v>
      </c>
      <c r="F31" s="94"/>
      <c r="G31" s="98">
        <v>2</v>
      </c>
      <c r="H31" s="35">
        <f t="shared" si="0"/>
        <v>0</v>
      </c>
    </row>
    <row r="32" spans="1:11" ht="15.75" x14ac:dyDescent="0.25">
      <c r="A32" s="13"/>
      <c r="B32" s="95" t="s">
        <v>88</v>
      </c>
      <c r="C32" s="95"/>
      <c r="D32" s="96" t="s">
        <v>252</v>
      </c>
      <c r="E32" s="98">
        <v>0</v>
      </c>
      <c r="F32" s="94"/>
      <c r="G32" s="98">
        <v>2</v>
      </c>
      <c r="H32" s="35">
        <f t="shared" si="0"/>
        <v>0</v>
      </c>
    </row>
    <row r="33" spans="1:8" ht="15.75" x14ac:dyDescent="0.25">
      <c r="A33" s="13"/>
      <c r="B33" s="95" t="s">
        <v>90</v>
      </c>
      <c r="C33" s="95"/>
      <c r="D33" s="96" t="s">
        <v>91</v>
      </c>
      <c r="E33" s="98">
        <v>116</v>
      </c>
      <c r="F33" s="94"/>
      <c r="G33" s="98">
        <v>4</v>
      </c>
      <c r="H33" s="35">
        <f t="shared" si="0"/>
        <v>0</v>
      </c>
    </row>
    <row r="34" spans="1:8" ht="15.75" x14ac:dyDescent="0.25">
      <c r="A34" s="13"/>
      <c r="B34" s="95" t="s">
        <v>92</v>
      </c>
      <c r="C34" s="95"/>
      <c r="D34" s="96" t="s">
        <v>253</v>
      </c>
      <c r="E34" s="98">
        <v>97</v>
      </c>
      <c r="F34" s="94"/>
      <c r="G34" s="98">
        <v>4</v>
      </c>
      <c r="H34" s="35">
        <f t="shared" si="0"/>
        <v>0</v>
      </c>
    </row>
    <row r="35" spans="1:8" ht="15.75" x14ac:dyDescent="0.25">
      <c r="A35" s="13"/>
      <c r="B35" s="95" t="s">
        <v>94</v>
      </c>
      <c r="C35" s="95"/>
      <c r="D35" s="96" t="s">
        <v>254</v>
      </c>
      <c r="E35" s="98">
        <v>108</v>
      </c>
      <c r="F35" s="94"/>
      <c r="G35" s="98">
        <v>4</v>
      </c>
      <c r="H35" s="35">
        <f t="shared" si="0"/>
        <v>0</v>
      </c>
    </row>
    <row r="36" spans="1:8" ht="15.75" x14ac:dyDescent="0.25">
      <c r="A36" s="13"/>
      <c r="B36" s="95" t="s">
        <v>96</v>
      </c>
      <c r="C36" s="95"/>
      <c r="D36" s="96" t="s">
        <v>97</v>
      </c>
      <c r="E36" s="98">
        <v>9</v>
      </c>
      <c r="F36" s="94"/>
      <c r="G36" s="98">
        <v>4</v>
      </c>
      <c r="H36" s="35">
        <f t="shared" si="0"/>
        <v>0</v>
      </c>
    </row>
    <row r="37" spans="1:8" ht="15.75" x14ac:dyDescent="0.25">
      <c r="A37" s="13"/>
      <c r="B37" s="95" t="s">
        <v>98</v>
      </c>
      <c r="C37" s="95"/>
      <c r="D37" s="96" t="s">
        <v>255</v>
      </c>
      <c r="E37" s="98">
        <v>0</v>
      </c>
      <c r="F37" s="94"/>
      <c r="G37" s="98">
        <v>4</v>
      </c>
      <c r="H37" s="35">
        <f t="shared" si="0"/>
        <v>0</v>
      </c>
    </row>
    <row r="38" spans="1:8" ht="15.75" x14ac:dyDescent="0.25">
      <c r="A38" s="13"/>
      <c r="B38" s="95" t="s">
        <v>100</v>
      </c>
      <c r="C38" s="95"/>
      <c r="D38" s="96" t="s">
        <v>101</v>
      </c>
      <c r="E38" s="98">
        <v>0</v>
      </c>
      <c r="F38" s="94"/>
      <c r="G38" s="98">
        <v>4</v>
      </c>
      <c r="H38" s="35">
        <f t="shared" si="0"/>
        <v>0</v>
      </c>
    </row>
    <row r="39" spans="1:8" ht="15.75" x14ac:dyDescent="0.25">
      <c r="A39" s="13"/>
      <c r="B39" s="95" t="s">
        <v>102</v>
      </c>
      <c r="C39" s="95"/>
      <c r="D39" s="96" t="s">
        <v>256</v>
      </c>
      <c r="E39" s="98">
        <v>0</v>
      </c>
      <c r="F39" s="94"/>
      <c r="G39" s="98">
        <v>4</v>
      </c>
      <c r="H39" s="35">
        <f t="shared" si="0"/>
        <v>0</v>
      </c>
    </row>
    <row r="40" spans="1:8" ht="15.75" x14ac:dyDescent="0.25">
      <c r="A40" s="13"/>
      <c r="B40" s="95" t="s">
        <v>104</v>
      </c>
      <c r="C40" s="95"/>
      <c r="D40" s="96" t="s">
        <v>257</v>
      </c>
      <c r="E40" s="98">
        <v>0</v>
      </c>
      <c r="F40" s="94"/>
      <c r="G40" s="98">
        <v>4</v>
      </c>
      <c r="H40" s="35">
        <f t="shared" si="0"/>
        <v>0</v>
      </c>
    </row>
    <row r="41" spans="1:8" ht="15.75" x14ac:dyDescent="0.25">
      <c r="A41" s="13"/>
      <c r="B41" s="95" t="s">
        <v>106</v>
      </c>
      <c r="C41" s="95"/>
      <c r="D41" s="96" t="s">
        <v>258</v>
      </c>
      <c r="E41" s="98">
        <v>157</v>
      </c>
      <c r="F41" s="94"/>
      <c r="G41" s="98">
        <v>4</v>
      </c>
      <c r="H41" s="35">
        <f t="shared" si="0"/>
        <v>0</v>
      </c>
    </row>
    <row r="42" spans="1:8" ht="15.75" x14ac:dyDescent="0.25">
      <c r="A42" s="13"/>
      <c r="B42" s="95" t="s">
        <v>108</v>
      </c>
      <c r="C42" s="95"/>
      <c r="D42" s="96" t="s">
        <v>109</v>
      </c>
      <c r="E42" s="98">
        <v>66</v>
      </c>
      <c r="F42" s="94"/>
      <c r="G42" s="98">
        <v>4</v>
      </c>
      <c r="H42" s="35">
        <f t="shared" si="0"/>
        <v>0</v>
      </c>
    </row>
    <row r="43" spans="1:8" ht="15.75" x14ac:dyDescent="0.25">
      <c r="A43" s="13"/>
      <c r="B43" s="95" t="s">
        <v>110</v>
      </c>
      <c r="C43" s="95"/>
      <c r="D43" s="96" t="s">
        <v>111</v>
      </c>
      <c r="E43" s="98">
        <v>0</v>
      </c>
      <c r="F43" s="94"/>
      <c r="G43" s="98">
        <v>4</v>
      </c>
      <c r="H43" s="35">
        <f t="shared" si="0"/>
        <v>0</v>
      </c>
    </row>
    <row r="44" spans="1:8" ht="15.75" x14ac:dyDescent="0.25">
      <c r="A44" s="13"/>
      <c r="B44" s="95" t="s">
        <v>112</v>
      </c>
      <c r="C44" s="95"/>
      <c r="D44" s="96" t="s">
        <v>228</v>
      </c>
      <c r="E44" s="98">
        <v>0</v>
      </c>
      <c r="F44" s="94"/>
      <c r="G44" s="98">
        <v>2</v>
      </c>
      <c r="H44" s="35">
        <f t="shared" si="0"/>
        <v>0</v>
      </c>
    </row>
    <row r="45" spans="1:8" ht="15.75" x14ac:dyDescent="0.25">
      <c r="A45" s="13"/>
      <c r="B45" s="95" t="s">
        <v>113</v>
      </c>
      <c r="C45" s="95"/>
      <c r="D45" s="96" t="s">
        <v>229</v>
      </c>
      <c r="E45" s="98">
        <v>0</v>
      </c>
      <c r="F45" s="94"/>
      <c r="G45" s="98">
        <v>2</v>
      </c>
      <c r="H45" s="35">
        <f t="shared" si="0"/>
        <v>0</v>
      </c>
    </row>
    <row r="46" spans="1:8" ht="15.75" x14ac:dyDescent="0.25">
      <c r="A46" s="13"/>
      <c r="B46" s="95" t="s">
        <v>114</v>
      </c>
      <c r="C46" s="95"/>
      <c r="D46" s="96" t="s">
        <v>230</v>
      </c>
      <c r="E46" s="98">
        <v>0</v>
      </c>
      <c r="F46" s="94"/>
      <c r="G46" s="98">
        <v>2</v>
      </c>
      <c r="H46" s="35">
        <f t="shared" si="0"/>
        <v>0</v>
      </c>
    </row>
    <row r="47" spans="1:8" ht="15.75" x14ac:dyDescent="0.25">
      <c r="A47" s="13"/>
      <c r="B47" s="95" t="s">
        <v>115</v>
      </c>
      <c r="C47" s="95"/>
      <c r="D47" s="96" t="s">
        <v>116</v>
      </c>
      <c r="E47" s="98">
        <v>697</v>
      </c>
      <c r="F47" s="94"/>
      <c r="G47" s="98">
        <v>4</v>
      </c>
      <c r="H47" s="35">
        <f t="shared" si="0"/>
        <v>0</v>
      </c>
    </row>
  </sheetData>
  <mergeCells count="1">
    <mergeCell ref="E2:G2"/>
  </mergeCells>
  <pageMargins left="0.23622047244094488" right="0.23622047244094488" top="0.3543307086614173" bottom="0.19685039370078741" header="0.11811023622047244" footer="0.31496062992125984"/>
  <pageSetup paperSize="8"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00B050"/>
  </sheetPr>
  <dimension ref="A1:O42"/>
  <sheetViews>
    <sheetView zoomScaleNormal="100" workbookViewId="0">
      <selection activeCell="F3" sqref="F3:F42"/>
    </sheetView>
  </sheetViews>
  <sheetFormatPr defaultColWidth="9.140625" defaultRowHeight="15" x14ac:dyDescent="0.25"/>
  <cols>
    <col min="1" max="3" width="9.140625" customWidth="1"/>
    <col min="4" max="4" width="40.7109375" customWidth="1"/>
    <col min="5" max="5" width="9.140625" customWidth="1"/>
    <col min="6" max="6" width="8.140625" customWidth="1"/>
    <col min="7" max="7" width="9.140625" customWidth="1"/>
    <col min="8" max="8" width="12.7109375" customWidth="1"/>
    <col min="9" max="9" width="10.85546875" customWidth="1"/>
    <col min="10" max="10" width="8.42578125" customWidth="1"/>
    <col min="11" max="12" width="9.140625" customWidth="1"/>
    <col min="13" max="13" width="39.85546875" bestFit="1" customWidth="1"/>
    <col min="257" max="259" width="9.140625" customWidth="1"/>
    <col min="260" max="260" width="40.7109375" customWidth="1"/>
    <col min="261" max="263" width="9.140625" customWidth="1"/>
    <col min="264" max="264" width="10.7109375" bestFit="1" customWidth="1"/>
    <col min="265" max="268" width="9.140625" customWidth="1"/>
    <col min="269" max="269" width="39.85546875" bestFit="1" customWidth="1"/>
    <col min="513" max="515" width="9.140625" customWidth="1"/>
    <col min="516" max="516" width="40.7109375" customWidth="1"/>
    <col min="517" max="519" width="9.140625" customWidth="1"/>
    <col min="520" max="520" width="10.7109375" bestFit="1" customWidth="1"/>
    <col min="521" max="524" width="9.140625" customWidth="1"/>
    <col min="525" max="525" width="39.85546875" bestFit="1" customWidth="1"/>
    <col min="769" max="771" width="9.140625" customWidth="1"/>
    <col min="772" max="772" width="40.7109375" customWidth="1"/>
    <col min="773" max="775" width="9.140625" customWidth="1"/>
    <col min="776" max="776" width="10.7109375" bestFit="1" customWidth="1"/>
    <col min="777" max="780" width="9.140625" customWidth="1"/>
    <col min="781" max="781" width="39.85546875" bestFit="1" customWidth="1"/>
    <col min="1025" max="1027" width="9.140625" customWidth="1"/>
    <col min="1028" max="1028" width="40.7109375" customWidth="1"/>
    <col min="1029" max="1031" width="9.140625" customWidth="1"/>
    <col min="1032" max="1032" width="10.7109375" bestFit="1" customWidth="1"/>
    <col min="1033" max="1036" width="9.140625" customWidth="1"/>
    <col min="1037" max="1037" width="39.85546875" bestFit="1" customWidth="1"/>
    <col min="1281" max="1283" width="9.140625" customWidth="1"/>
    <col min="1284" max="1284" width="40.7109375" customWidth="1"/>
    <col min="1285" max="1287" width="9.140625" customWidth="1"/>
    <col min="1288" max="1288" width="10.7109375" bestFit="1" customWidth="1"/>
    <col min="1289" max="1292" width="9.140625" customWidth="1"/>
    <col min="1293" max="1293" width="39.85546875" bestFit="1" customWidth="1"/>
    <col min="1537" max="1539" width="9.140625" customWidth="1"/>
    <col min="1540" max="1540" width="40.7109375" customWidth="1"/>
    <col min="1541" max="1543" width="9.140625" customWidth="1"/>
    <col min="1544" max="1544" width="10.7109375" bestFit="1" customWidth="1"/>
    <col min="1545" max="1548" width="9.140625" customWidth="1"/>
    <col min="1549" max="1549" width="39.85546875" bestFit="1" customWidth="1"/>
    <col min="1793" max="1795" width="9.140625" customWidth="1"/>
    <col min="1796" max="1796" width="40.7109375" customWidth="1"/>
    <col min="1797" max="1799" width="9.140625" customWidth="1"/>
    <col min="1800" max="1800" width="10.7109375" bestFit="1" customWidth="1"/>
    <col min="1801" max="1804" width="9.140625" customWidth="1"/>
    <col min="1805" max="1805" width="39.85546875" bestFit="1" customWidth="1"/>
    <col min="2049" max="2051" width="9.140625" customWidth="1"/>
    <col min="2052" max="2052" width="40.7109375" customWidth="1"/>
    <col min="2053" max="2055" width="9.140625" customWidth="1"/>
    <col min="2056" max="2056" width="10.7109375" bestFit="1" customWidth="1"/>
    <col min="2057" max="2060" width="9.140625" customWidth="1"/>
    <col min="2061" max="2061" width="39.85546875" bestFit="1" customWidth="1"/>
    <col min="2305" max="2307" width="9.140625" customWidth="1"/>
    <col min="2308" max="2308" width="40.7109375" customWidth="1"/>
    <col min="2309" max="2311" width="9.140625" customWidth="1"/>
    <col min="2312" max="2312" width="10.7109375" bestFit="1" customWidth="1"/>
    <col min="2313" max="2316" width="9.140625" customWidth="1"/>
    <col min="2317" max="2317" width="39.85546875" bestFit="1" customWidth="1"/>
    <col min="2561" max="2563" width="9.140625" customWidth="1"/>
    <col min="2564" max="2564" width="40.7109375" customWidth="1"/>
    <col min="2565" max="2567" width="9.140625" customWidth="1"/>
    <col min="2568" max="2568" width="10.7109375" bestFit="1" customWidth="1"/>
    <col min="2569" max="2572" width="9.140625" customWidth="1"/>
    <col min="2573" max="2573" width="39.85546875" bestFit="1" customWidth="1"/>
    <col min="2817" max="2819" width="9.140625" customWidth="1"/>
    <col min="2820" max="2820" width="40.7109375" customWidth="1"/>
    <col min="2821" max="2823" width="9.140625" customWidth="1"/>
    <col min="2824" max="2824" width="10.7109375" bestFit="1" customWidth="1"/>
    <col min="2825" max="2828" width="9.140625" customWidth="1"/>
    <col min="2829" max="2829" width="39.85546875" bestFit="1" customWidth="1"/>
    <col min="3073" max="3075" width="9.140625" customWidth="1"/>
    <col min="3076" max="3076" width="40.7109375" customWidth="1"/>
    <col min="3077" max="3079" width="9.140625" customWidth="1"/>
    <col min="3080" max="3080" width="10.7109375" bestFit="1" customWidth="1"/>
    <col min="3081" max="3084" width="9.140625" customWidth="1"/>
    <col min="3085" max="3085" width="39.85546875" bestFit="1" customWidth="1"/>
    <col min="3329" max="3331" width="9.140625" customWidth="1"/>
    <col min="3332" max="3332" width="40.7109375" customWidth="1"/>
    <col min="3333" max="3335" width="9.140625" customWidth="1"/>
    <col min="3336" max="3336" width="10.7109375" bestFit="1" customWidth="1"/>
    <col min="3337" max="3340" width="9.140625" customWidth="1"/>
    <col min="3341" max="3341" width="39.85546875" bestFit="1" customWidth="1"/>
    <col min="3585" max="3587" width="9.140625" customWidth="1"/>
    <col min="3588" max="3588" width="40.7109375" customWidth="1"/>
    <col min="3589" max="3591" width="9.140625" customWidth="1"/>
    <col min="3592" max="3592" width="10.7109375" bestFit="1" customWidth="1"/>
    <col min="3593" max="3596" width="9.140625" customWidth="1"/>
    <col min="3597" max="3597" width="39.85546875" bestFit="1" customWidth="1"/>
    <col min="3841" max="3843" width="9.140625" customWidth="1"/>
    <col min="3844" max="3844" width="40.7109375" customWidth="1"/>
    <col min="3845" max="3847" width="9.140625" customWidth="1"/>
    <col min="3848" max="3848" width="10.7109375" bestFit="1" customWidth="1"/>
    <col min="3849" max="3852" width="9.140625" customWidth="1"/>
    <col min="3853" max="3853" width="39.85546875" bestFit="1" customWidth="1"/>
    <col min="4097" max="4099" width="9.140625" customWidth="1"/>
    <col min="4100" max="4100" width="40.7109375" customWidth="1"/>
    <col min="4101" max="4103" width="9.140625" customWidth="1"/>
    <col min="4104" max="4104" width="10.7109375" bestFit="1" customWidth="1"/>
    <col min="4105" max="4108" width="9.140625" customWidth="1"/>
    <col min="4109" max="4109" width="39.85546875" bestFit="1" customWidth="1"/>
    <col min="4353" max="4355" width="9.140625" customWidth="1"/>
    <col min="4356" max="4356" width="40.7109375" customWidth="1"/>
    <col min="4357" max="4359" width="9.140625" customWidth="1"/>
    <col min="4360" max="4360" width="10.7109375" bestFit="1" customWidth="1"/>
    <col min="4361" max="4364" width="9.140625" customWidth="1"/>
    <col min="4365" max="4365" width="39.85546875" bestFit="1" customWidth="1"/>
    <col min="4609" max="4611" width="9.140625" customWidth="1"/>
    <col min="4612" max="4612" width="40.7109375" customWidth="1"/>
    <col min="4613" max="4615" width="9.140625" customWidth="1"/>
    <col min="4616" max="4616" width="10.7109375" bestFit="1" customWidth="1"/>
    <col min="4617" max="4620" width="9.140625" customWidth="1"/>
    <col min="4621" max="4621" width="39.85546875" bestFit="1" customWidth="1"/>
    <col min="4865" max="4867" width="9.140625" customWidth="1"/>
    <col min="4868" max="4868" width="40.7109375" customWidth="1"/>
    <col min="4869" max="4871" width="9.140625" customWidth="1"/>
    <col min="4872" max="4872" width="10.7109375" bestFit="1" customWidth="1"/>
    <col min="4873" max="4876" width="9.140625" customWidth="1"/>
    <col min="4877" max="4877" width="39.85546875" bestFit="1" customWidth="1"/>
    <col min="5121" max="5123" width="9.140625" customWidth="1"/>
    <col min="5124" max="5124" width="40.7109375" customWidth="1"/>
    <col min="5125" max="5127" width="9.140625" customWidth="1"/>
    <col min="5128" max="5128" width="10.7109375" bestFit="1" customWidth="1"/>
    <col min="5129" max="5132" width="9.140625" customWidth="1"/>
    <col min="5133" max="5133" width="39.85546875" bestFit="1" customWidth="1"/>
    <col min="5377" max="5379" width="9.140625" customWidth="1"/>
    <col min="5380" max="5380" width="40.7109375" customWidth="1"/>
    <col min="5381" max="5383" width="9.140625" customWidth="1"/>
    <col min="5384" max="5384" width="10.7109375" bestFit="1" customWidth="1"/>
    <col min="5385" max="5388" width="9.140625" customWidth="1"/>
    <col min="5389" max="5389" width="39.85546875" bestFit="1" customWidth="1"/>
    <col min="5633" max="5635" width="9.140625" customWidth="1"/>
    <col min="5636" max="5636" width="40.7109375" customWidth="1"/>
    <col min="5637" max="5639" width="9.140625" customWidth="1"/>
    <col min="5640" max="5640" width="10.7109375" bestFit="1" customWidth="1"/>
    <col min="5641" max="5644" width="9.140625" customWidth="1"/>
    <col min="5645" max="5645" width="39.85546875" bestFit="1" customWidth="1"/>
    <col min="5889" max="5891" width="9.140625" customWidth="1"/>
    <col min="5892" max="5892" width="40.7109375" customWidth="1"/>
    <col min="5893" max="5895" width="9.140625" customWidth="1"/>
    <col min="5896" max="5896" width="10.7109375" bestFit="1" customWidth="1"/>
    <col min="5897" max="5900" width="9.140625" customWidth="1"/>
    <col min="5901" max="5901" width="39.85546875" bestFit="1" customWidth="1"/>
    <col min="6145" max="6147" width="9.140625" customWidth="1"/>
    <col min="6148" max="6148" width="40.7109375" customWidth="1"/>
    <col min="6149" max="6151" width="9.140625" customWidth="1"/>
    <col min="6152" max="6152" width="10.7109375" bestFit="1" customWidth="1"/>
    <col min="6153" max="6156" width="9.140625" customWidth="1"/>
    <col min="6157" max="6157" width="39.85546875" bestFit="1" customWidth="1"/>
    <col min="6401" max="6403" width="9.140625" customWidth="1"/>
    <col min="6404" max="6404" width="40.7109375" customWidth="1"/>
    <col min="6405" max="6407" width="9.140625" customWidth="1"/>
    <col min="6408" max="6408" width="10.7109375" bestFit="1" customWidth="1"/>
    <col min="6409" max="6412" width="9.140625" customWidth="1"/>
    <col min="6413" max="6413" width="39.85546875" bestFit="1" customWidth="1"/>
    <col min="6657" max="6659" width="9.140625" customWidth="1"/>
    <col min="6660" max="6660" width="40.7109375" customWidth="1"/>
    <col min="6661" max="6663" width="9.140625" customWidth="1"/>
    <col min="6664" max="6664" width="10.7109375" bestFit="1" customWidth="1"/>
    <col min="6665" max="6668" width="9.140625" customWidth="1"/>
    <col min="6669" max="6669" width="39.85546875" bestFit="1" customWidth="1"/>
    <col min="6913" max="6915" width="9.140625" customWidth="1"/>
    <col min="6916" max="6916" width="40.7109375" customWidth="1"/>
    <col min="6917" max="6919" width="9.140625" customWidth="1"/>
    <col min="6920" max="6920" width="10.7109375" bestFit="1" customWidth="1"/>
    <col min="6921" max="6924" width="9.140625" customWidth="1"/>
    <col min="6925" max="6925" width="39.85546875" bestFit="1" customWidth="1"/>
    <col min="7169" max="7171" width="9.140625" customWidth="1"/>
    <col min="7172" max="7172" width="40.7109375" customWidth="1"/>
    <col min="7173" max="7175" width="9.140625" customWidth="1"/>
    <col min="7176" max="7176" width="10.7109375" bestFit="1" customWidth="1"/>
    <col min="7177" max="7180" width="9.140625" customWidth="1"/>
    <col min="7181" max="7181" width="39.85546875" bestFit="1" customWidth="1"/>
    <col min="7425" max="7427" width="9.140625" customWidth="1"/>
    <col min="7428" max="7428" width="40.7109375" customWidth="1"/>
    <col min="7429" max="7431" width="9.140625" customWidth="1"/>
    <col min="7432" max="7432" width="10.7109375" bestFit="1" customWidth="1"/>
    <col min="7433" max="7436" width="9.140625" customWidth="1"/>
    <col min="7437" max="7437" width="39.85546875" bestFit="1" customWidth="1"/>
    <col min="7681" max="7683" width="9.140625" customWidth="1"/>
    <col min="7684" max="7684" width="40.7109375" customWidth="1"/>
    <col min="7685" max="7687" width="9.140625" customWidth="1"/>
    <col min="7688" max="7688" width="10.7109375" bestFit="1" customWidth="1"/>
    <col min="7689" max="7692" width="9.140625" customWidth="1"/>
    <col min="7693" max="7693" width="39.85546875" bestFit="1" customWidth="1"/>
    <col min="7937" max="7939" width="9.140625" customWidth="1"/>
    <col min="7940" max="7940" width="40.7109375" customWidth="1"/>
    <col min="7941" max="7943" width="9.140625" customWidth="1"/>
    <col min="7944" max="7944" width="10.7109375" bestFit="1" customWidth="1"/>
    <col min="7945" max="7948" width="9.140625" customWidth="1"/>
    <col min="7949" max="7949" width="39.85546875" bestFit="1" customWidth="1"/>
    <col min="8193" max="8195" width="9.140625" customWidth="1"/>
    <col min="8196" max="8196" width="40.7109375" customWidth="1"/>
    <col min="8197" max="8199" width="9.140625" customWidth="1"/>
    <col min="8200" max="8200" width="10.7109375" bestFit="1" customWidth="1"/>
    <col min="8201" max="8204" width="9.140625" customWidth="1"/>
    <col min="8205" max="8205" width="39.85546875" bestFit="1" customWidth="1"/>
    <col min="8449" max="8451" width="9.140625" customWidth="1"/>
    <col min="8452" max="8452" width="40.7109375" customWidth="1"/>
    <col min="8453" max="8455" width="9.140625" customWidth="1"/>
    <col min="8456" max="8456" width="10.7109375" bestFit="1" customWidth="1"/>
    <col min="8457" max="8460" width="9.140625" customWidth="1"/>
    <col min="8461" max="8461" width="39.85546875" bestFit="1" customWidth="1"/>
    <col min="8705" max="8707" width="9.140625" customWidth="1"/>
    <col min="8708" max="8708" width="40.7109375" customWidth="1"/>
    <col min="8709" max="8711" width="9.140625" customWidth="1"/>
    <col min="8712" max="8712" width="10.7109375" bestFit="1" customWidth="1"/>
    <col min="8713" max="8716" width="9.140625" customWidth="1"/>
    <col min="8717" max="8717" width="39.85546875" bestFit="1" customWidth="1"/>
    <col min="8961" max="8963" width="9.140625" customWidth="1"/>
    <col min="8964" max="8964" width="40.7109375" customWidth="1"/>
    <col min="8965" max="8967" width="9.140625" customWidth="1"/>
    <col min="8968" max="8968" width="10.7109375" bestFit="1" customWidth="1"/>
    <col min="8969" max="8972" width="9.140625" customWidth="1"/>
    <col min="8973" max="8973" width="39.85546875" bestFit="1" customWidth="1"/>
    <col min="9217" max="9219" width="9.140625" customWidth="1"/>
    <col min="9220" max="9220" width="40.7109375" customWidth="1"/>
    <col min="9221" max="9223" width="9.140625" customWidth="1"/>
    <col min="9224" max="9224" width="10.7109375" bestFit="1" customWidth="1"/>
    <col min="9225" max="9228" width="9.140625" customWidth="1"/>
    <col min="9229" max="9229" width="39.85546875" bestFit="1" customWidth="1"/>
    <col min="9473" max="9475" width="9.140625" customWidth="1"/>
    <col min="9476" max="9476" width="40.7109375" customWidth="1"/>
    <col min="9477" max="9479" width="9.140625" customWidth="1"/>
    <col min="9480" max="9480" width="10.7109375" bestFit="1" customWidth="1"/>
    <col min="9481" max="9484" width="9.140625" customWidth="1"/>
    <col min="9485" max="9485" width="39.85546875" bestFit="1" customWidth="1"/>
    <col min="9729" max="9731" width="9.140625" customWidth="1"/>
    <col min="9732" max="9732" width="40.7109375" customWidth="1"/>
    <col min="9733" max="9735" width="9.140625" customWidth="1"/>
    <col min="9736" max="9736" width="10.7109375" bestFit="1" customWidth="1"/>
    <col min="9737" max="9740" width="9.140625" customWidth="1"/>
    <col min="9741" max="9741" width="39.85546875" bestFit="1" customWidth="1"/>
    <col min="9985" max="9987" width="9.140625" customWidth="1"/>
    <col min="9988" max="9988" width="40.7109375" customWidth="1"/>
    <col min="9989" max="9991" width="9.140625" customWidth="1"/>
    <col min="9992" max="9992" width="10.7109375" bestFit="1" customWidth="1"/>
    <col min="9993" max="9996" width="9.140625" customWidth="1"/>
    <col min="9997" max="9997" width="39.85546875" bestFit="1" customWidth="1"/>
    <col min="10241" max="10243" width="9.140625" customWidth="1"/>
    <col min="10244" max="10244" width="40.7109375" customWidth="1"/>
    <col min="10245" max="10247" width="9.140625" customWidth="1"/>
    <col min="10248" max="10248" width="10.7109375" bestFit="1" customWidth="1"/>
    <col min="10249" max="10252" width="9.140625" customWidth="1"/>
    <col min="10253" max="10253" width="39.85546875" bestFit="1" customWidth="1"/>
    <col min="10497" max="10499" width="9.140625" customWidth="1"/>
    <col min="10500" max="10500" width="40.7109375" customWidth="1"/>
    <col min="10501" max="10503" width="9.140625" customWidth="1"/>
    <col min="10504" max="10504" width="10.7109375" bestFit="1" customWidth="1"/>
    <col min="10505" max="10508" width="9.140625" customWidth="1"/>
    <col min="10509" max="10509" width="39.85546875" bestFit="1" customWidth="1"/>
    <col min="10753" max="10755" width="9.140625" customWidth="1"/>
    <col min="10756" max="10756" width="40.7109375" customWidth="1"/>
    <col min="10757" max="10759" width="9.140625" customWidth="1"/>
    <col min="10760" max="10760" width="10.7109375" bestFit="1" customWidth="1"/>
    <col min="10761" max="10764" width="9.140625" customWidth="1"/>
    <col min="10765" max="10765" width="39.85546875" bestFit="1" customWidth="1"/>
    <col min="11009" max="11011" width="9.140625" customWidth="1"/>
    <col min="11012" max="11012" width="40.7109375" customWidth="1"/>
    <col min="11013" max="11015" width="9.140625" customWidth="1"/>
    <col min="11016" max="11016" width="10.7109375" bestFit="1" customWidth="1"/>
    <col min="11017" max="11020" width="9.140625" customWidth="1"/>
    <col min="11021" max="11021" width="39.85546875" bestFit="1" customWidth="1"/>
    <col min="11265" max="11267" width="9.140625" customWidth="1"/>
    <col min="11268" max="11268" width="40.7109375" customWidth="1"/>
    <col min="11269" max="11271" width="9.140625" customWidth="1"/>
    <col min="11272" max="11272" width="10.7109375" bestFit="1" customWidth="1"/>
    <col min="11273" max="11276" width="9.140625" customWidth="1"/>
    <col min="11277" max="11277" width="39.85546875" bestFit="1" customWidth="1"/>
    <col min="11521" max="11523" width="9.140625" customWidth="1"/>
    <col min="11524" max="11524" width="40.7109375" customWidth="1"/>
    <col min="11525" max="11527" width="9.140625" customWidth="1"/>
    <col min="11528" max="11528" width="10.7109375" bestFit="1" customWidth="1"/>
    <col min="11529" max="11532" width="9.140625" customWidth="1"/>
    <col min="11533" max="11533" width="39.85546875" bestFit="1" customWidth="1"/>
    <col min="11777" max="11779" width="9.140625" customWidth="1"/>
    <col min="11780" max="11780" width="40.7109375" customWidth="1"/>
    <col min="11781" max="11783" width="9.140625" customWidth="1"/>
    <col min="11784" max="11784" width="10.7109375" bestFit="1" customWidth="1"/>
    <col min="11785" max="11788" width="9.140625" customWidth="1"/>
    <col min="11789" max="11789" width="39.85546875" bestFit="1" customWidth="1"/>
    <col min="12033" max="12035" width="9.140625" customWidth="1"/>
    <col min="12036" max="12036" width="40.7109375" customWidth="1"/>
    <col min="12037" max="12039" width="9.140625" customWidth="1"/>
    <col min="12040" max="12040" width="10.7109375" bestFit="1" customWidth="1"/>
    <col min="12041" max="12044" width="9.140625" customWidth="1"/>
    <col min="12045" max="12045" width="39.85546875" bestFit="1" customWidth="1"/>
    <col min="12289" max="12291" width="9.140625" customWidth="1"/>
    <col min="12292" max="12292" width="40.7109375" customWidth="1"/>
    <col min="12293" max="12295" width="9.140625" customWidth="1"/>
    <col min="12296" max="12296" width="10.7109375" bestFit="1" customWidth="1"/>
    <col min="12297" max="12300" width="9.140625" customWidth="1"/>
    <col min="12301" max="12301" width="39.85546875" bestFit="1" customWidth="1"/>
    <col min="12545" max="12547" width="9.140625" customWidth="1"/>
    <col min="12548" max="12548" width="40.7109375" customWidth="1"/>
    <col min="12549" max="12551" width="9.140625" customWidth="1"/>
    <col min="12552" max="12552" width="10.7109375" bestFit="1" customWidth="1"/>
    <col min="12553" max="12556" width="9.140625" customWidth="1"/>
    <col min="12557" max="12557" width="39.85546875" bestFit="1" customWidth="1"/>
    <col min="12801" max="12803" width="9.140625" customWidth="1"/>
    <col min="12804" max="12804" width="40.7109375" customWidth="1"/>
    <col min="12805" max="12807" width="9.140625" customWidth="1"/>
    <col min="12808" max="12808" width="10.7109375" bestFit="1" customWidth="1"/>
    <col min="12809" max="12812" width="9.140625" customWidth="1"/>
    <col min="12813" max="12813" width="39.85546875" bestFit="1" customWidth="1"/>
    <col min="13057" max="13059" width="9.140625" customWidth="1"/>
    <col min="13060" max="13060" width="40.7109375" customWidth="1"/>
    <col min="13061" max="13063" width="9.140625" customWidth="1"/>
    <col min="13064" max="13064" width="10.7109375" bestFit="1" customWidth="1"/>
    <col min="13065" max="13068" width="9.140625" customWidth="1"/>
    <col min="13069" max="13069" width="39.85546875" bestFit="1" customWidth="1"/>
    <col min="13313" max="13315" width="9.140625" customWidth="1"/>
    <col min="13316" max="13316" width="40.7109375" customWidth="1"/>
    <col min="13317" max="13319" width="9.140625" customWidth="1"/>
    <col min="13320" max="13320" width="10.7109375" bestFit="1" customWidth="1"/>
    <col min="13321" max="13324" width="9.140625" customWidth="1"/>
    <col min="13325" max="13325" width="39.85546875" bestFit="1" customWidth="1"/>
    <col min="13569" max="13571" width="9.140625" customWidth="1"/>
    <col min="13572" max="13572" width="40.7109375" customWidth="1"/>
    <col min="13573" max="13575" width="9.140625" customWidth="1"/>
    <col min="13576" max="13576" width="10.7109375" bestFit="1" customWidth="1"/>
    <col min="13577" max="13580" width="9.140625" customWidth="1"/>
    <col min="13581" max="13581" width="39.85546875" bestFit="1" customWidth="1"/>
    <col min="13825" max="13827" width="9.140625" customWidth="1"/>
    <col min="13828" max="13828" width="40.7109375" customWidth="1"/>
    <col min="13829" max="13831" width="9.140625" customWidth="1"/>
    <col min="13832" max="13832" width="10.7109375" bestFit="1" customWidth="1"/>
    <col min="13833" max="13836" width="9.140625" customWidth="1"/>
    <col min="13837" max="13837" width="39.85546875" bestFit="1" customWidth="1"/>
    <col min="14081" max="14083" width="9.140625" customWidth="1"/>
    <col min="14084" max="14084" width="40.7109375" customWidth="1"/>
    <col min="14085" max="14087" width="9.140625" customWidth="1"/>
    <col min="14088" max="14088" width="10.7109375" bestFit="1" customWidth="1"/>
    <col min="14089" max="14092" width="9.140625" customWidth="1"/>
    <col min="14093" max="14093" width="39.85546875" bestFit="1" customWidth="1"/>
    <col min="14337" max="14339" width="9.140625" customWidth="1"/>
    <col min="14340" max="14340" width="40.7109375" customWidth="1"/>
    <col min="14341" max="14343" width="9.140625" customWidth="1"/>
    <col min="14344" max="14344" width="10.7109375" bestFit="1" customWidth="1"/>
    <col min="14345" max="14348" width="9.140625" customWidth="1"/>
    <col min="14349" max="14349" width="39.85546875" bestFit="1" customWidth="1"/>
    <col min="14593" max="14595" width="9.140625" customWidth="1"/>
    <col min="14596" max="14596" width="40.7109375" customWidth="1"/>
    <col min="14597" max="14599" width="9.140625" customWidth="1"/>
    <col min="14600" max="14600" width="10.7109375" bestFit="1" customWidth="1"/>
    <col min="14601" max="14604" width="9.140625" customWidth="1"/>
    <col min="14605" max="14605" width="39.85546875" bestFit="1" customWidth="1"/>
    <col min="14849" max="14851" width="9.140625" customWidth="1"/>
    <col min="14852" max="14852" width="40.7109375" customWidth="1"/>
    <col min="14853" max="14855" width="9.140625" customWidth="1"/>
    <col min="14856" max="14856" width="10.7109375" bestFit="1" customWidth="1"/>
    <col min="14857" max="14860" width="9.140625" customWidth="1"/>
    <col min="14861" max="14861" width="39.85546875" bestFit="1" customWidth="1"/>
    <col min="15105" max="15107" width="9.140625" customWidth="1"/>
    <col min="15108" max="15108" width="40.7109375" customWidth="1"/>
    <col min="15109" max="15111" width="9.140625" customWidth="1"/>
    <col min="15112" max="15112" width="10.7109375" bestFit="1" customWidth="1"/>
    <col min="15113" max="15116" width="9.140625" customWidth="1"/>
    <col min="15117" max="15117" width="39.85546875" bestFit="1" customWidth="1"/>
    <col min="15361" max="15363" width="9.140625" customWidth="1"/>
    <col min="15364" max="15364" width="40.7109375" customWidth="1"/>
    <col min="15365" max="15367" width="9.140625" customWidth="1"/>
    <col min="15368" max="15368" width="10.7109375" bestFit="1" customWidth="1"/>
    <col min="15369" max="15372" width="9.140625" customWidth="1"/>
    <col min="15373" max="15373" width="39.85546875" bestFit="1" customWidth="1"/>
    <col min="15617" max="15619" width="9.140625" customWidth="1"/>
    <col min="15620" max="15620" width="40.7109375" customWidth="1"/>
    <col min="15621" max="15623" width="9.140625" customWidth="1"/>
    <col min="15624" max="15624" width="10.7109375" bestFit="1" customWidth="1"/>
    <col min="15625" max="15628" width="9.140625" customWidth="1"/>
    <col min="15629" max="15629" width="39.85546875" bestFit="1" customWidth="1"/>
    <col min="15873" max="15875" width="9.140625" customWidth="1"/>
    <col min="15876" max="15876" width="40.7109375" customWidth="1"/>
    <col min="15877" max="15879" width="9.140625" customWidth="1"/>
    <col min="15880" max="15880" width="10.7109375" bestFit="1" customWidth="1"/>
    <col min="15881" max="15884" width="9.140625" customWidth="1"/>
    <col min="15885" max="15885" width="39.85546875" bestFit="1" customWidth="1"/>
    <col min="16129" max="16131" width="9.140625" customWidth="1"/>
    <col min="16132" max="16132" width="40.7109375" customWidth="1"/>
    <col min="16133" max="16135" width="9.140625" customWidth="1"/>
    <col min="16136" max="16136" width="10.7109375" bestFit="1" customWidth="1"/>
    <col min="16137" max="16140" width="9.140625" customWidth="1"/>
    <col min="16141" max="16141" width="39.85546875" bestFit="1" customWidth="1"/>
  </cols>
  <sheetData>
    <row r="1" spans="1:15" ht="38.25" x14ac:dyDescent="0.25">
      <c r="A1" s="25" t="s">
        <v>0</v>
      </c>
      <c r="B1" s="25" t="s">
        <v>24</v>
      </c>
      <c r="C1" s="25" t="s">
        <v>25</v>
      </c>
      <c r="D1" s="26" t="s">
        <v>1</v>
      </c>
      <c r="E1" s="27" t="s">
        <v>26</v>
      </c>
      <c r="F1" s="27" t="s">
        <v>27</v>
      </c>
      <c r="G1" s="27" t="s">
        <v>28</v>
      </c>
      <c r="H1" s="27" t="s">
        <v>2</v>
      </c>
      <c r="I1" s="73"/>
      <c r="J1" s="73"/>
    </row>
    <row r="2" spans="1:15" ht="79.900000000000006" customHeight="1" x14ac:dyDescent="0.25">
      <c r="A2" s="29" t="s">
        <v>16</v>
      </c>
      <c r="B2" s="3"/>
      <c r="C2" s="3"/>
      <c r="D2" s="30" t="s">
        <v>123</v>
      </c>
      <c r="E2" s="161" t="s">
        <v>30</v>
      </c>
      <c r="F2" s="162"/>
      <c r="G2" s="163"/>
      <c r="H2" s="58">
        <f>SUM(H3:H42)</f>
        <v>0</v>
      </c>
      <c r="I2" s="68"/>
      <c r="J2" s="86"/>
      <c r="K2" s="59"/>
    </row>
    <row r="3" spans="1:15" ht="15.75" x14ac:dyDescent="0.25">
      <c r="A3" s="31"/>
      <c r="B3" s="99" t="s">
        <v>214</v>
      </c>
      <c r="C3" s="99"/>
      <c r="D3" s="100" t="s">
        <v>259</v>
      </c>
      <c r="E3" s="34">
        <v>114</v>
      </c>
      <c r="F3" s="94"/>
      <c r="G3" s="36">
        <v>2</v>
      </c>
      <c r="H3" s="35">
        <f>(E3*F3)*G3</f>
        <v>0</v>
      </c>
      <c r="I3" s="74"/>
      <c r="J3" s="81"/>
      <c r="K3" s="78"/>
      <c r="L3" s="65"/>
      <c r="M3" s="79"/>
      <c r="N3" s="76"/>
    </row>
    <row r="4" spans="1:15" ht="15" customHeight="1" x14ac:dyDescent="0.25">
      <c r="A4" s="31"/>
      <c r="B4" s="95" t="s">
        <v>124</v>
      </c>
      <c r="C4" s="95"/>
      <c r="D4" s="101" t="s">
        <v>260</v>
      </c>
      <c r="E4" s="39">
        <v>103</v>
      </c>
      <c r="F4" s="94"/>
      <c r="G4" s="36">
        <v>2</v>
      </c>
      <c r="H4" s="35">
        <f>(E4*F4)*G4</f>
        <v>0</v>
      </c>
      <c r="I4" s="74"/>
      <c r="J4" s="82"/>
      <c r="K4" s="85"/>
      <c r="L4" s="65"/>
      <c r="M4" s="79"/>
      <c r="N4" s="76"/>
      <c r="O4" s="51"/>
    </row>
    <row r="5" spans="1:15" ht="15.75" x14ac:dyDescent="0.25">
      <c r="A5" s="31"/>
      <c r="B5" s="95" t="s">
        <v>126</v>
      </c>
      <c r="C5" s="95"/>
      <c r="D5" s="101" t="s">
        <v>261</v>
      </c>
      <c r="E5" s="34">
        <v>19</v>
      </c>
      <c r="F5" s="94"/>
      <c r="G5" s="36">
        <v>2</v>
      </c>
      <c r="H5" s="35">
        <f>(E5*F5)*G5</f>
        <v>0</v>
      </c>
      <c r="I5" s="74"/>
      <c r="J5" s="81"/>
      <c r="K5" s="85"/>
      <c r="L5" s="65"/>
      <c r="M5" s="79"/>
      <c r="N5" s="76"/>
      <c r="O5" s="51"/>
    </row>
    <row r="6" spans="1:15" ht="15.75" x14ac:dyDescent="0.25">
      <c r="A6" s="31"/>
      <c r="B6" s="95" t="s">
        <v>128</v>
      </c>
      <c r="C6" s="95"/>
      <c r="D6" s="101" t="s">
        <v>262</v>
      </c>
      <c r="E6" s="2">
        <v>0</v>
      </c>
      <c r="F6" s="94"/>
      <c r="G6" s="52">
        <v>2</v>
      </c>
      <c r="H6" s="53">
        <f t="shared" ref="H6:H20" si="0">(E6*F6)*G6</f>
        <v>0</v>
      </c>
      <c r="I6" s="74"/>
      <c r="J6" s="81"/>
      <c r="K6" s="85"/>
      <c r="L6" s="65"/>
      <c r="M6" s="79"/>
      <c r="N6" s="76"/>
      <c r="O6" s="51"/>
    </row>
    <row r="7" spans="1:15" ht="15.75" x14ac:dyDescent="0.25">
      <c r="A7" s="31"/>
      <c r="B7" s="95" t="s">
        <v>130</v>
      </c>
      <c r="C7" s="95"/>
      <c r="D7" s="101" t="s">
        <v>263</v>
      </c>
      <c r="E7" s="34">
        <v>1</v>
      </c>
      <c r="F7" s="94"/>
      <c r="G7" s="36">
        <v>2</v>
      </c>
      <c r="H7" s="35">
        <f t="shared" si="0"/>
        <v>0</v>
      </c>
      <c r="I7" s="74"/>
      <c r="J7" s="81"/>
      <c r="K7" s="85"/>
      <c r="L7" s="65"/>
      <c r="M7" s="79"/>
      <c r="N7" s="76"/>
      <c r="O7" s="51"/>
    </row>
    <row r="8" spans="1:15" ht="15.75" x14ac:dyDescent="0.25">
      <c r="A8" s="31"/>
      <c r="B8" s="95" t="s">
        <v>132</v>
      </c>
      <c r="C8" s="95"/>
      <c r="D8" s="101" t="s">
        <v>234</v>
      </c>
      <c r="E8" s="34">
        <v>6</v>
      </c>
      <c r="F8" s="94"/>
      <c r="G8" s="36">
        <v>2</v>
      </c>
      <c r="H8" s="35">
        <f>(E8*F8)*G8</f>
        <v>0</v>
      </c>
      <c r="I8" s="74"/>
      <c r="J8" s="81"/>
      <c r="K8" s="85"/>
      <c r="L8" s="65"/>
      <c r="M8" s="79"/>
      <c r="N8" s="76"/>
      <c r="O8" s="51"/>
    </row>
    <row r="9" spans="1:15" ht="15.75" x14ac:dyDescent="0.25">
      <c r="A9" s="31"/>
      <c r="B9" s="95" t="s">
        <v>134</v>
      </c>
      <c r="C9" s="95"/>
      <c r="D9" s="101" t="s">
        <v>264</v>
      </c>
      <c r="E9" s="34">
        <v>103</v>
      </c>
      <c r="F9" s="94"/>
      <c r="G9" s="36">
        <v>2</v>
      </c>
      <c r="H9" s="35">
        <f t="shared" si="0"/>
        <v>0</v>
      </c>
      <c r="I9" s="74"/>
      <c r="J9" s="83"/>
      <c r="K9" s="85"/>
      <c r="L9" s="65"/>
      <c r="M9" s="79"/>
      <c r="N9" s="76"/>
      <c r="O9" s="51"/>
    </row>
    <row r="10" spans="1:15" ht="15.75" x14ac:dyDescent="0.25">
      <c r="A10" s="31"/>
      <c r="B10" s="95" t="s">
        <v>136</v>
      </c>
      <c r="C10" s="95"/>
      <c r="D10" s="101" t="s">
        <v>265</v>
      </c>
      <c r="E10" s="34">
        <v>0</v>
      </c>
      <c r="F10" s="94"/>
      <c r="G10" s="36">
        <v>2</v>
      </c>
      <c r="H10" s="35">
        <f t="shared" si="0"/>
        <v>0</v>
      </c>
      <c r="I10" s="74"/>
      <c r="J10" s="81"/>
      <c r="K10" s="85"/>
      <c r="L10" s="65"/>
      <c r="M10" s="79"/>
      <c r="N10" s="76"/>
      <c r="O10" s="51"/>
    </row>
    <row r="11" spans="1:15" ht="15.75" x14ac:dyDescent="0.25">
      <c r="A11" s="31"/>
      <c r="B11" s="95" t="s">
        <v>138</v>
      </c>
      <c r="C11" s="95"/>
      <c r="D11" s="101" t="s">
        <v>266</v>
      </c>
      <c r="E11" s="34">
        <v>0</v>
      </c>
      <c r="F11" s="94"/>
      <c r="G11" s="36">
        <v>2</v>
      </c>
      <c r="H11" s="35">
        <f t="shared" si="0"/>
        <v>0</v>
      </c>
      <c r="I11" s="74"/>
      <c r="J11" s="81"/>
      <c r="K11" s="85"/>
      <c r="L11" s="65"/>
      <c r="M11" s="79"/>
      <c r="N11" s="76"/>
      <c r="O11" s="51"/>
    </row>
    <row r="12" spans="1:15" ht="15.75" x14ac:dyDescent="0.25">
      <c r="A12" s="31"/>
      <c r="B12" s="95" t="s">
        <v>140</v>
      </c>
      <c r="C12" s="95"/>
      <c r="D12" s="101" t="s">
        <v>267</v>
      </c>
      <c r="E12" s="34">
        <v>0</v>
      </c>
      <c r="F12" s="94"/>
      <c r="G12" s="36">
        <v>2</v>
      </c>
      <c r="H12" s="35">
        <f t="shared" si="0"/>
        <v>0</v>
      </c>
      <c r="I12" s="74"/>
      <c r="J12" s="81"/>
      <c r="K12" s="85"/>
      <c r="L12" s="65"/>
      <c r="M12" s="79"/>
      <c r="N12" s="76"/>
      <c r="O12" s="51"/>
    </row>
    <row r="13" spans="1:15" ht="15.75" x14ac:dyDescent="0.25">
      <c r="A13" s="31"/>
      <c r="B13" s="95" t="s">
        <v>142</v>
      </c>
      <c r="C13" s="95"/>
      <c r="D13" s="101" t="s">
        <v>268</v>
      </c>
      <c r="E13" s="34">
        <v>0</v>
      </c>
      <c r="F13" s="94"/>
      <c r="G13" s="36">
        <v>2</v>
      </c>
      <c r="H13" s="35">
        <f t="shared" si="0"/>
        <v>0</v>
      </c>
      <c r="I13" s="74"/>
      <c r="J13" s="81"/>
      <c r="K13" s="85"/>
      <c r="L13" s="65"/>
      <c r="M13" s="79"/>
      <c r="N13" s="76"/>
      <c r="O13" s="51"/>
    </row>
    <row r="14" spans="1:15" ht="15.75" x14ac:dyDescent="0.25">
      <c r="A14" s="31"/>
      <c r="B14" s="95" t="s">
        <v>144</v>
      </c>
      <c r="C14" s="95"/>
      <c r="D14" s="101" t="s">
        <v>269</v>
      </c>
      <c r="E14" s="34">
        <v>1</v>
      </c>
      <c r="F14" s="94"/>
      <c r="G14" s="36">
        <v>2</v>
      </c>
      <c r="H14" s="35">
        <f>(E14*F14)*G14</f>
        <v>0</v>
      </c>
      <c r="I14" s="74"/>
      <c r="J14" s="81"/>
      <c r="K14" s="85"/>
      <c r="L14" s="65"/>
      <c r="M14" s="79"/>
      <c r="N14" s="76"/>
      <c r="O14" s="51"/>
    </row>
    <row r="15" spans="1:15" ht="15.75" x14ac:dyDescent="0.25">
      <c r="A15" s="31"/>
      <c r="B15" s="95" t="s">
        <v>146</v>
      </c>
      <c r="C15" s="95"/>
      <c r="D15" s="101" t="s">
        <v>270</v>
      </c>
      <c r="E15" s="34">
        <v>1</v>
      </c>
      <c r="F15" s="94"/>
      <c r="G15" s="36">
        <v>2</v>
      </c>
      <c r="H15" s="35">
        <f t="shared" si="0"/>
        <v>0</v>
      </c>
      <c r="I15" s="74"/>
      <c r="J15" s="81"/>
      <c r="K15" s="85"/>
      <c r="L15" s="65"/>
      <c r="M15" s="79"/>
      <c r="N15" s="76"/>
      <c r="O15" s="51"/>
    </row>
    <row r="16" spans="1:15" ht="15.75" x14ac:dyDescent="0.25">
      <c r="A16" s="31"/>
      <c r="B16" s="95" t="s">
        <v>148</v>
      </c>
      <c r="C16" s="95"/>
      <c r="D16" s="101" t="s">
        <v>271</v>
      </c>
      <c r="E16" s="34">
        <v>0</v>
      </c>
      <c r="F16" s="94"/>
      <c r="G16" s="36">
        <v>2</v>
      </c>
      <c r="H16" s="35">
        <f>(E16*F16)*G16</f>
        <v>0</v>
      </c>
      <c r="I16" s="74"/>
      <c r="J16" s="81"/>
      <c r="K16" s="85"/>
      <c r="L16" s="65"/>
      <c r="M16" s="79"/>
      <c r="N16" s="76"/>
      <c r="O16" s="51"/>
    </row>
    <row r="17" spans="1:15" ht="15.75" x14ac:dyDescent="0.25">
      <c r="A17" s="31"/>
      <c r="B17" s="95" t="s">
        <v>150</v>
      </c>
      <c r="C17" s="95"/>
      <c r="D17" s="101" t="s">
        <v>272</v>
      </c>
      <c r="E17" s="34">
        <v>1</v>
      </c>
      <c r="F17" s="94"/>
      <c r="G17" s="36">
        <v>2</v>
      </c>
      <c r="H17" s="35">
        <f>(E17*F17)*G17</f>
        <v>0</v>
      </c>
      <c r="I17" s="74"/>
      <c r="J17" s="81"/>
      <c r="K17" s="85"/>
      <c r="L17" s="65"/>
      <c r="M17" s="79"/>
      <c r="N17" s="76"/>
      <c r="O17" s="51"/>
    </row>
    <row r="18" spans="1:15" ht="15.75" x14ac:dyDescent="0.25">
      <c r="A18" s="31"/>
      <c r="B18" s="95" t="s">
        <v>152</v>
      </c>
      <c r="C18" s="95"/>
      <c r="D18" s="101" t="s">
        <v>273</v>
      </c>
      <c r="E18" s="34">
        <v>134</v>
      </c>
      <c r="F18" s="94"/>
      <c r="G18" s="36">
        <v>2</v>
      </c>
      <c r="H18" s="35">
        <f t="shared" si="0"/>
        <v>0</v>
      </c>
      <c r="I18" s="74"/>
      <c r="J18" s="84"/>
      <c r="K18" s="85"/>
      <c r="L18" s="65"/>
      <c r="M18" s="79"/>
      <c r="N18" s="76"/>
      <c r="O18" s="51"/>
    </row>
    <row r="19" spans="1:15" ht="15.75" x14ac:dyDescent="0.25">
      <c r="A19" s="31"/>
      <c r="B19" s="95" t="s">
        <v>154</v>
      </c>
      <c r="C19" s="95"/>
      <c r="D19" s="101" t="s">
        <v>274</v>
      </c>
      <c r="E19" s="34">
        <v>103</v>
      </c>
      <c r="F19" s="94"/>
      <c r="G19" s="36">
        <v>2</v>
      </c>
      <c r="H19" s="35">
        <f t="shared" si="0"/>
        <v>0</v>
      </c>
      <c r="I19" s="74"/>
      <c r="J19" s="84"/>
      <c r="K19" s="85"/>
      <c r="L19" s="65"/>
      <c r="M19" s="79"/>
      <c r="N19" s="76"/>
      <c r="O19" s="51"/>
    </row>
    <row r="20" spans="1:15" ht="15.75" x14ac:dyDescent="0.25">
      <c r="A20" s="31"/>
      <c r="B20" s="95" t="s">
        <v>156</v>
      </c>
      <c r="C20" s="95"/>
      <c r="D20" s="101" t="s">
        <v>275</v>
      </c>
      <c r="E20" s="34">
        <v>1</v>
      </c>
      <c r="F20" s="94"/>
      <c r="G20" s="36">
        <v>2</v>
      </c>
      <c r="H20" s="35">
        <f t="shared" si="0"/>
        <v>0</v>
      </c>
      <c r="I20" s="74"/>
      <c r="J20" s="84"/>
      <c r="K20" s="85"/>
      <c r="L20" s="65"/>
      <c r="M20" s="79"/>
      <c r="N20" s="76"/>
      <c r="O20" s="51"/>
    </row>
    <row r="21" spans="1:15" ht="15.75" x14ac:dyDescent="0.25">
      <c r="A21" s="13"/>
      <c r="B21" s="95" t="s">
        <v>158</v>
      </c>
      <c r="C21" s="95"/>
      <c r="D21" s="101" t="s">
        <v>276</v>
      </c>
      <c r="E21" s="34">
        <v>103</v>
      </c>
      <c r="F21" s="94"/>
      <c r="G21" s="36">
        <v>2</v>
      </c>
      <c r="H21" s="35">
        <f>(E21*F21)*G21</f>
        <v>0</v>
      </c>
      <c r="I21" s="74"/>
      <c r="J21" s="84"/>
      <c r="K21" s="85"/>
      <c r="L21" s="65"/>
      <c r="M21" s="79"/>
      <c r="N21" s="76"/>
      <c r="O21" s="51"/>
    </row>
    <row r="22" spans="1:15" ht="15.75" x14ac:dyDescent="0.25">
      <c r="A22" s="23"/>
      <c r="B22" s="102" t="s">
        <v>160</v>
      </c>
      <c r="C22" s="102"/>
      <c r="D22" s="103" t="s">
        <v>277</v>
      </c>
      <c r="E22" s="104">
        <v>13</v>
      </c>
      <c r="F22" s="94"/>
      <c r="G22" s="36">
        <v>2</v>
      </c>
      <c r="H22" s="35">
        <f>(E22*F22)*G22</f>
        <v>0</v>
      </c>
      <c r="I22" s="74"/>
      <c r="J22" s="84"/>
      <c r="K22" s="85"/>
      <c r="L22" s="65"/>
      <c r="M22" s="79"/>
      <c r="N22" s="76"/>
      <c r="O22" s="51"/>
    </row>
    <row r="23" spans="1:15" ht="15.75" x14ac:dyDescent="0.25">
      <c r="A23" s="54" t="s">
        <v>4</v>
      </c>
      <c r="B23" s="95" t="s">
        <v>162</v>
      </c>
      <c r="C23" s="95"/>
      <c r="D23" s="107" t="s">
        <v>278</v>
      </c>
      <c r="E23" s="55">
        <v>104</v>
      </c>
      <c r="F23" s="94"/>
      <c r="G23" s="56">
        <v>2</v>
      </c>
      <c r="H23" s="57">
        <f>(E23*F23)*G23</f>
        <v>0</v>
      </c>
      <c r="I23" s="74"/>
      <c r="J23" s="84"/>
      <c r="K23" s="85"/>
      <c r="L23" s="65"/>
      <c r="M23" s="79"/>
      <c r="N23" s="76"/>
      <c r="O23" s="51"/>
    </row>
    <row r="24" spans="1:15" ht="15.75" x14ac:dyDescent="0.25">
      <c r="A24" s="13"/>
      <c r="B24" s="95" t="s">
        <v>221</v>
      </c>
      <c r="C24" s="95"/>
      <c r="D24" s="107" t="s">
        <v>279</v>
      </c>
      <c r="E24" s="34">
        <v>103</v>
      </c>
      <c r="F24" s="94"/>
      <c r="G24" s="56">
        <v>2</v>
      </c>
      <c r="H24" s="57">
        <f t="shared" ref="H24:H42" si="1">(E24*F24)*G24</f>
        <v>0</v>
      </c>
      <c r="J24" s="80"/>
      <c r="K24" s="78"/>
      <c r="L24" s="76"/>
      <c r="M24" s="79"/>
      <c r="N24" s="76"/>
      <c r="O24" s="51"/>
    </row>
    <row r="25" spans="1:15" ht="15.75" x14ac:dyDescent="0.25">
      <c r="A25" s="13"/>
      <c r="B25" s="95" t="s">
        <v>164</v>
      </c>
      <c r="C25" s="95"/>
      <c r="D25" s="107" t="s">
        <v>280</v>
      </c>
      <c r="E25" s="34">
        <v>70</v>
      </c>
      <c r="F25" s="94"/>
      <c r="G25" s="56">
        <v>2</v>
      </c>
      <c r="H25" s="57">
        <f t="shared" si="1"/>
        <v>0</v>
      </c>
      <c r="K25" s="51"/>
      <c r="L25" s="51"/>
      <c r="M25" s="51"/>
      <c r="N25" s="51"/>
      <c r="O25" s="51"/>
    </row>
    <row r="26" spans="1:15" ht="15.75" x14ac:dyDescent="0.25">
      <c r="A26" s="13"/>
      <c r="B26" s="95" t="s">
        <v>166</v>
      </c>
      <c r="C26" s="95"/>
      <c r="D26" s="107" t="s">
        <v>281</v>
      </c>
      <c r="E26" s="34">
        <v>117</v>
      </c>
      <c r="F26" s="94"/>
      <c r="G26" s="56">
        <v>2</v>
      </c>
      <c r="H26" s="57">
        <f t="shared" si="1"/>
        <v>0</v>
      </c>
      <c r="K26" s="51"/>
      <c r="L26" s="51"/>
      <c r="M26" s="51"/>
      <c r="N26" s="51"/>
      <c r="O26" s="51"/>
    </row>
    <row r="27" spans="1:15" ht="15.75" x14ac:dyDescent="0.25">
      <c r="A27" s="13"/>
      <c r="B27" s="95" t="s">
        <v>168</v>
      </c>
      <c r="C27" s="95"/>
      <c r="D27" s="107" t="s">
        <v>282</v>
      </c>
      <c r="E27" s="34">
        <v>1</v>
      </c>
      <c r="F27" s="94"/>
      <c r="G27" s="56">
        <v>2</v>
      </c>
      <c r="H27" s="57">
        <f t="shared" si="1"/>
        <v>0</v>
      </c>
      <c r="K27" s="51"/>
      <c r="L27" s="51"/>
      <c r="M27" s="51"/>
      <c r="N27" s="51"/>
      <c r="O27" s="51"/>
    </row>
    <row r="28" spans="1:15" ht="15.75" x14ac:dyDescent="0.25">
      <c r="A28" s="13"/>
      <c r="B28" s="95" t="s">
        <v>170</v>
      </c>
      <c r="C28" s="95"/>
      <c r="D28" s="107" t="s">
        <v>283</v>
      </c>
      <c r="E28" s="34">
        <v>81</v>
      </c>
      <c r="F28" s="94"/>
      <c r="G28" s="56">
        <v>2</v>
      </c>
      <c r="H28" s="57">
        <f t="shared" si="1"/>
        <v>0</v>
      </c>
      <c r="K28" s="51"/>
      <c r="L28" s="51"/>
      <c r="M28" s="51"/>
      <c r="N28" s="51"/>
      <c r="O28" s="51"/>
    </row>
    <row r="29" spans="1:15" ht="15.75" x14ac:dyDescent="0.25">
      <c r="A29" s="13"/>
      <c r="B29" s="95" t="s">
        <v>172</v>
      </c>
      <c r="C29" s="95"/>
      <c r="D29" s="107" t="s">
        <v>284</v>
      </c>
      <c r="E29" s="34">
        <v>70</v>
      </c>
      <c r="F29" s="94"/>
      <c r="G29" s="56">
        <v>2</v>
      </c>
      <c r="H29" s="57">
        <f t="shared" si="1"/>
        <v>0</v>
      </c>
      <c r="K29" s="51"/>
      <c r="L29" s="51"/>
      <c r="M29" s="51"/>
      <c r="N29" s="51"/>
      <c r="O29" s="51"/>
    </row>
    <row r="30" spans="1:15" ht="15.75" x14ac:dyDescent="0.25">
      <c r="A30" s="13"/>
      <c r="B30" s="95" t="s">
        <v>174</v>
      </c>
      <c r="C30" s="95"/>
      <c r="D30" s="107" t="s">
        <v>285</v>
      </c>
      <c r="E30" s="34">
        <v>1</v>
      </c>
      <c r="F30" s="94"/>
      <c r="G30" s="56">
        <v>2</v>
      </c>
      <c r="H30" s="57">
        <f t="shared" si="1"/>
        <v>0</v>
      </c>
      <c r="K30" s="51"/>
      <c r="L30" s="51"/>
      <c r="M30" s="51"/>
      <c r="N30" s="51"/>
      <c r="O30" s="51"/>
    </row>
    <row r="31" spans="1:15" ht="15.75" x14ac:dyDescent="0.25">
      <c r="A31" s="13"/>
      <c r="B31" s="95" t="s">
        <v>176</v>
      </c>
      <c r="C31" s="95"/>
      <c r="D31" s="107" t="s">
        <v>286</v>
      </c>
      <c r="E31" s="34">
        <v>1</v>
      </c>
      <c r="F31" s="94"/>
      <c r="G31" s="56">
        <v>2</v>
      </c>
      <c r="H31" s="57">
        <f t="shared" si="1"/>
        <v>0</v>
      </c>
      <c r="K31" s="51"/>
      <c r="L31" s="51"/>
      <c r="M31" s="51"/>
      <c r="N31" s="51"/>
      <c r="O31" s="51"/>
    </row>
    <row r="32" spans="1:15" ht="15.75" x14ac:dyDescent="0.25">
      <c r="A32" s="13"/>
      <c r="B32" s="95" t="s">
        <v>177</v>
      </c>
      <c r="C32" s="95"/>
      <c r="D32" s="107" t="s">
        <v>287</v>
      </c>
      <c r="E32" s="34">
        <v>0</v>
      </c>
      <c r="F32" s="94"/>
      <c r="G32" s="56">
        <v>2</v>
      </c>
      <c r="H32" s="57">
        <f t="shared" si="1"/>
        <v>0</v>
      </c>
      <c r="K32" s="51"/>
      <c r="L32" s="51"/>
      <c r="M32" s="51"/>
      <c r="N32" s="51"/>
      <c r="O32" s="51"/>
    </row>
    <row r="33" spans="1:15" ht="15.75" x14ac:dyDescent="0.25">
      <c r="A33" s="13"/>
      <c r="B33" s="95" t="s">
        <v>179</v>
      </c>
      <c r="C33" s="95"/>
      <c r="D33" s="107" t="s">
        <v>288</v>
      </c>
      <c r="E33" s="34">
        <v>91</v>
      </c>
      <c r="F33" s="94"/>
      <c r="G33" s="56">
        <v>2</v>
      </c>
      <c r="H33" s="57">
        <f t="shared" si="1"/>
        <v>0</v>
      </c>
      <c r="K33" s="51"/>
      <c r="L33" s="51"/>
      <c r="M33" s="51"/>
      <c r="N33" s="51"/>
      <c r="O33" s="51"/>
    </row>
    <row r="34" spans="1:15" ht="15.75" x14ac:dyDescent="0.25">
      <c r="A34" s="13"/>
      <c r="B34" s="95" t="s">
        <v>181</v>
      </c>
      <c r="C34" s="95"/>
      <c r="D34" s="107" t="s">
        <v>289</v>
      </c>
      <c r="E34" s="34">
        <v>103</v>
      </c>
      <c r="F34" s="94"/>
      <c r="G34" s="56">
        <v>2</v>
      </c>
      <c r="H34" s="57">
        <f t="shared" si="1"/>
        <v>0</v>
      </c>
      <c r="K34" s="51"/>
      <c r="L34" s="51"/>
      <c r="M34" s="51"/>
      <c r="N34" s="51"/>
      <c r="O34" s="51"/>
    </row>
    <row r="35" spans="1:15" ht="15.75" x14ac:dyDescent="0.25">
      <c r="A35" s="13"/>
      <c r="B35" s="95" t="s">
        <v>183</v>
      </c>
      <c r="C35" s="95"/>
      <c r="D35" s="107" t="s">
        <v>290</v>
      </c>
      <c r="E35" s="34">
        <v>129</v>
      </c>
      <c r="F35" s="94"/>
      <c r="G35" s="56">
        <v>2</v>
      </c>
      <c r="H35" s="57">
        <f t="shared" si="1"/>
        <v>0</v>
      </c>
      <c r="K35" s="51"/>
      <c r="L35" s="51"/>
      <c r="M35" s="51"/>
      <c r="N35" s="51"/>
      <c r="O35" s="51"/>
    </row>
    <row r="36" spans="1:15" ht="15.75" x14ac:dyDescent="0.25">
      <c r="A36" s="13"/>
      <c r="B36" s="95" t="s">
        <v>185</v>
      </c>
      <c r="C36" s="95"/>
      <c r="D36" s="107" t="s">
        <v>291</v>
      </c>
      <c r="E36" s="34">
        <v>1</v>
      </c>
      <c r="F36" s="94"/>
      <c r="G36" s="56">
        <v>2</v>
      </c>
      <c r="H36" s="57">
        <f t="shared" si="1"/>
        <v>0</v>
      </c>
    </row>
    <row r="37" spans="1:15" ht="15.75" x14ac:dyDescent="0.25">
      <c r="A37" s="13"/>
      <c r="B37" s="95" t="s">
        <v>187</v>
      </c>
      <c r="C37" s="95"/>
      <c r="D37" s="107" t="s">
        <v>292</v>
      </c>
      <c r="E37" s="34">
        <v>105</v>
      </c>
      <c r="F37" s="94"/>
      <c r="G37" s="56">
        <v>2</v>
      </c>
      <c r="H37" s="57">
        <f t="shared" si="1"/>
        <v>0</v>
      </c>
    </row>
    <row r="38" spans="1:15" ht="15.75" x14ac:dyDescent="0.25">
      <c r="A38" s="13"/>
      <c r="B38" s="95" t="s">
        <v>189</v>
      </c>
      <c r="C38" s="95"/>
      <c r="D38" s="107" t="s">
        <v>293</v>
      </c>
      <c r="E38" s="34">
        <v>1</v>
      </c>
      <c r="F38" s="94"/>
      <c r="G38" s="56">
        <v>2</v>
      </c>
      <c r="H38" s="57">
        <f t="shared" si="1"/>
        <v>0</v>
      </c>
    </row>
    <row r="39" spans="1:15" ht="15.75" x14ac:dyDescent="0.25">
      <c r="A39" s="13"/>
      <c r="B39" s="95" t="s">
        <v>224</v>
      </c>
      <c r="C39" s="95"/>
      <c r="D39" s="107" t="s">
        <v>294</v>
      </c>
      <c r="E39" s="34">
        <v>11530</v>
      </c>
      <c r="F39" s="94"/>
      <c r="G39" s="56">
        <v>2</v>
      </c>
      <c r="H39" s="57">
        <f t="shared" si="1"/>
        <v>0</v>
      </c>
    </row>
    <row r="40" spans="1:15" ht="15.75" x14ac:dyDescent="0.25">
      <c r="A40" s="13"/>
      <c r="B40" s="95" t="s">
        <v>226</v>
      </c>
      <c r="C40" s="95"/>
      <c r="D40" s="107" t="s">
        <v>295</v>
      </c>
      <c r="E40" s="34">
        <v>53</v>
      </c>
      <c r="F40" s="94"/>
      <c r="G40" s="56">
        <v>2</v>
      </c>
      <c r="H40" s="57">
        <f t="shared" si="1"/>
        <v>0</v>
      </c>
    </row>
    <row r="41" spans="1:15" ht="15.75" x14ac:dyDescent="0.25">
      <c r="A41" s="13"/>
      <c r="B41" s="95" t="s">
        <v>191</v>
      </c>
      <c r="C41" s="95"/>
      <c r="D41" s="107" t="s">
        <v>296</v>
      </c>
      <c r="E41" s="34">
        <v>32</v>
      </c>
      <c r="F41" s="94"/>
      <c r="G41" s="56">
        <v>2</v>
      </c>
      <c r="H41" s="57">
        <f t="shared" si="1"/>
        <v>0</v>
      </c>
    </row>
    <row r="42" spans="1:15" ht="15.75" x14ac:dyDescent="0.25">
      <c r="A42" s="13"/>
      <c r="B42" s="95" t="s">
        <v>215</v>
      </c>
      <c r="C42" s="95"/>
      <c r="D42" s="107" t="s">
        <v>297</v>
      </c>
      <c r="E42" s="34">
        <v>79</v>
      </c>
      <c r="F42" s="94"/>
      <c r="G42" s="56">
        <v>2</v>
      </c>
      <c r="H42" s="57">
        <f t="shared" si="1"/>
        <v>0</v>
      </c>
    </row>
  </sheetData>
  <mergeCells count="1">
    <mergeCell ref="E2:G2"/>
  </mergeCells>
  <pageMargins left="0.23622047244094488" right="0.23622047244094488" top="0.3543307086614173" bottom="0.19685039370078741" header="0.11811023622047244" footer="0.31496062992125984"/>
  <pageSetup paperSize="8" orientation="landscape"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H12"/>
  <sheetViews>
    <sheetView zoomScaleNormal="100" workbookViewId="0">
      <selection activeCell="F3" sqref="F3:F12"/>
    </sheetView>
  </sheetViews>
  <sheetFormatPr defaultColWidth="9.140625" defaultRowHeight="15" x14ac:dyDescent="0.25"/>
  <cols>
    <col min="4" max="4" width="45.85546875" customWidth="1"/>
    <col min="8" max="8" width="12.85546875" customWidth="1"/>
  </cols>
  <sheetData>
    <row r="1" spans="1:8" ht="38.25" x14ac:dyDescent="0.25">
      <c r="A1" s="25" t="s">
        <v>0</v>
      </c>
      <c r="B1" s="25" t="s">
        <v>24</v>
      </c>
      <c r="C1" s="25" t="s">
        <v>25</v>
      </c>
      <c r="D1" s="26" t="s">
        <v>1</v>
      </c>
      <c r="E1" s="27" t="s">
        <v>26</v>
      </c>
      <c r="F1" s="27" t="s">
        <v>27</v>
      </c>
      <c r="G1" s="27" t="s">
        <v>28</v>
      </c>
      <c r="H1" s="27" t="s">
        <v>2</v>
      </c>
    </row>
    <row r="2" spans="1:8" ht="92.25" customHeight="1" x14ac:dyDescent="0.25">
      <c r="A2" s="44" t="s">
        <v>16</v>
      </c>
      <c r="B2" s="88"/>
      <c r="C2" s="88"/>
      <c r="D2" s="30" t="s">
        <v>193</v>
      </c>
      <c r="E2" s="161" t="s">
        <v>30</v>
      </c>
      <c r="F2" s="162"/>
      <c r="G2" s="163"/>
      <c r="H2" s="89">
        <f>SUM(H3:H13)</f>
        <v>0</v>
      </c>
    </row>
    <row r="3" spans="1:8" ht="15.75" x14ac:dyDescent="0.25">
      <c r="A3" s="31"/>
      <c r="B3" s="95" t="s">
        <v>194</v>
      </c>
      <c r="C3" s="95"/>
      <c r="D3" s="101" t="s">
        <v>298</v>
      </c>
      <c r="E3" s="50">
        <v>75</v>
      </c>
      <c r="F3" s="93"/>
      <c r="G3" s="87">
        <v>2</v>
      </c>
      <c r="H3" s="64">
        <f>(E3*F3)*G3</f>
        <v>0</v>
      </c>
    </row>
    <row r="4" spans="1:8" ht="15.75" x14ac:dyDescent="0.25">
      <c r="A4" s="31"/>
      <c r="B4" s="95" t="s">
        <v>196</v>
      </c>
      <c r="C4" s="95"/>
      <c r="D4" s="101" t="s">
        <v>299</v>
      </c>
      <c r="E4" s="50">
        <v>0</v>
      </c>
      <c r="F4" s="93"/>
      <c r="G4" s="87">
        <v>2</v>
      </c>
      <c r="H4" s="64">
        <f t="shared" ref="H4:H12" si="0">(E4*F4)*G4</f>
        <v>0</v>
      </c>
    </row>
    <row r="5" spans="1:8" ht="15.75" x14ac:dyDescent="0.25">
      <c r="A5" s="31"/>
      <c r="B5" s="95" t="s">
        <v>198</v>
      </c>
      <c r="C5" s="95"/>
      <c r="D5" s="101" t="s">
        <v>300</v>
      </c>
      <c r="E5" s="2">
        <v>0</v>
      </c>
      <c r="F5" s="93"/>
      <c r="G5" s="87">
        <v>2</v>
      </c>
      <c r="H5" s="64">
        <f t="shared" si="0"/>
        <v>0</v>
      </c>
    </row>
    <row r="6" spans="1:8" ht="15.75" x14ac:dyDescent="0.25">
      <c r="A6" s="31"/>
      <c r="B6" s="95" t="s">
        <v>200</v>
      </c>
      <c r="C6" s="95"/>
      <c r="D6" s="101" t="s">
        <v>301</v>
      </c>
      <c r="E6" s="2">
        <v>0</v>
      </c>
      <c r="F6" s="93"/>
      <c r="G6" s="87">
        <v>2</v>
      </c>
      <c r="H6" s="64">
        <f t="shared" si="0"/>
        <v>0</v>
      </c>
    </row>
    <row r="7" spans="1:8" ht="15.75" x14ac:dyDescent="0.25">
      <c r="A7" s="31"/>
      <c r="B7" s="95" t="s">
        <v>202</v>
      </c>
      <c r="C7" s="95"/>
      <c r="D7" s="101" t="s">
        <v>302</v>
      </c>
      <c r="E7" s="2">
        <v>75</v>
      </c>
      <c r="F7" s="93"/>
      <c r="G7" s="87">
        <v>2</v>
      </c>
      <c r="H7" s="64">
        <f t="shared" si="0"/>
        <v>0</v>
      </c>
    </row>
    <row r="8" spans="1:8" ht="15.75" x14ac:dyDescent="0.25">
      <c r="A8" s="31"/>
      <c r="B8" s="95" t="s">
        <v>204</v>
      </c>
      <c r="C8" s="102"/>
      <c r="D8" s="103" t="s">
        <v>303</v>
      </c>
      <c r="E8" s="108">
        <v>0</v>
      </c>
      <c r="F8" s="93"/>
      <c r="G8" s="106">
        <v>2</v>
      </c>
      <c r="H8" s="64">
        <f t="shared" si="0"/>
        <v>0</v>
      </c>
    </row>
    <row r="9" spans="1:8" ht="15.75" x14ac:dyDescent="0.25">
      <c r="A9" s="13"/>
      <c r="B9" s="95" t="s">
        <v>206</v>
      </c>
      <c r="C9" s="95"/>
      <c r="D9" s="107" t="s">
        <v>304</v>
      </c>
      <c r="E9" s="109">
        <v>75</v>
      </c>
      <c r="F9" s="93"/>
      <c r="G9" s="106">
        <v>2</v>
      </c>
      <c r="H9" s="64">
        <f t="shared" si="0"/>
        <v>0</v>
      </c>
    </row>
    <row r="10" spans="1:8" ht="15.75" x14ac:dyDescent="0.25">
      <c r="A10" s="13"/>
      <c r="B10" s="95" t="s">
        <v>208</v>
      </c>
      <c r="C10" s="95"/>
      <c r="D10" s="107" t="s">
        <v>305</v>
      </c>
      <c r="E10" s="109">
        <v>75</v>
      </c>
      <c r="F10" s="93"/>
      <c r="G10" s="106">
        <v>2</v>
      </c>
      <c r="H10" s="64">
        <f t="shared" si="0"/>
        <v>0</v>
      </c>
    </row>
    <row r="11" spans="1:8" ht="15.75" x14ac:dyDescent="0.25">
      <c r="A11" s="13"/>
      <c r="B11" s="95" t="s">
        <v>210</v>
      </c>
      <c r="C11" s="95"/>
      <c r="D11" s="107" t="s">
        <v>306</v>
      </c>
      <c r="E11" s="109">
        <v>6</v>
      </c>
      <c r="F11" s="93"/>
      <c r="G11" s="106">
        <v>2</v>
      </c>
      <c r="H11" s="64">
        <f t="shared" si="0"/>
        <v>0</v>
      </c>
    </row>
    <row r="12" spans="1:8" ht="15.75" x14ac:dyDescent="0.25">
      <c r="A12" s="13"/>
      <c r="B12" s="95" t="s">
        <v>212</v>
      </c>
      <c r="C12" s="95"/>
      <c r="D12" s="107" t="s">
        <v>307</v>
      </c>
      <c r="E12" s="16">
        <v>75</v>
      </c>
      <c r="F12" s="93"/>
      <c r="G12" s="87">
        <v>2</v>
      </c>
      <c r="H12" s="64">
        <f t="shared" si="0"/>
        <v>0</v>
      </c>
    </row>
  </sheetData>
  <mergeCells count="1">
    <mergeCell ref="E2:G2"/>
  </mergeCells>
  <pageMargins left="0.7" right="0.7" top="0.75" bottom="0.75" header="0.3" footer="0.3"/>
  <pageSetup scale="79" orientation="portrait" horizontalDpi="1200" verticalDpi="12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5F48A-468D-4C41-9FAC-13FA5E70A717}">
  <sheetPr>
    <tabColor rgb="FFFF0000"/>
  </sheetPr>
  <dimension ref="A1:K51"/>
  <sheetViews>
    <sheetView topLeftCell="A19" workbookViewId="0">
      <selection activeCell="N20" sqref="N20"/>
    </sheetView>
  </sheetViews>
  <sheetFormatPr defaultColWidth="9.140625" defaultRowHeight="15" x14ac:dyDescent="0.25"/>
  <cols>
    <col min="1" max="1" width="7.5703125" customWidth="1"/>
    <col min="2" max="2" width="6.5703125" customWidth="1"/>
    <col min="3" max="3" width="61.5703125" customWidth="1"/>
    <col min="4" max="4" width="15.5703125" customWidth="1"/>
    <col min="5" max="5" width="7.5703125" customWidth="1"/>
    <col min="6" max="6" width="15.42578125" customWidth="1"/>
    <col min="7" max="7" width="9.5703125" customWidth="1"/>
    <col min="8" max="8" width="14.28515625" customWidth="1"/>
    <col min="10" max="10" width="11.5703125" bestFit="1" customWidth="1"/>
    <col min="11" max="11" width="13" customWidth="1"/>
  </cols>
  <sheetData>
    <row r="1" spans="1:8" ht="10.35" customHeight="1" x14ac:dyDescent="0.25">
      <c r="C1" s="157" t="s">
        <v>4</v>
      </c>
      <c r="D1" s="158"/>
      <c r="E1" s="158"/>
      <c r="F1" s="158"/>
      <c r="G1" s="158"/>
    </row>
    <row r="2" spans="1:8" ht="20.100000000000001" customHeight="1" x14ac:dyDescent="0.25">
      <c r="A2" s="159" t="s">
        <v>23</v>
      </c>
      <c r="B2" s="160"/>
      <c r="C2" s="160"/>
      <c r="D2" s="160"/>
      <c r="E2" s="160"/>
      <c r="F2" t="s">
        <v>4</v>
      </c>
    </row>
    <row r="3" spans="1:8" ht="20.100000000000001" customHeight="1" x14ac:dyDescent="0.25">
      <c r="A3" s="4" t="s">
        <v>6</v>
      </c>
      <c r="B3" s="4"/>
      <c r="C3" s="4"/>
    </row>
    <row r="4" spans="1:8" ht="20.100000000000001" customHeight="1" x14ac:dyDescent="0.25">
      <c r="A4" s="4" t="s">
        <v>312</v>
      </c>
      <c r="B4" s="4"/>
      <c r="C4" s="4"/>
      <c r="D4" t="s">
        <v>4</v>
      </c>
      <c r="E4" t="s">
        <v>4</v>
      </c>
      <c r="F4" t="s">
        <v>4</v>
      </c>
      <c r="G4" t="s">
        <v>4</v>
      </c>
    </row>
    <row r="5" spans="1:8" ht="20.100000000000001" customHeight="1" x14ac:dyDescent="0.25">
      <c r="A5" s="4"/>
    </row>
    <row r="6" spans="1:8" ht="16.350000000000001" customHeight="1" x14ac:dyDescent="0.25">
      <c r="A6" s="4"/>
      <c r="C6" s="5"/>
      <c r="D6" s="5"/>
    </row>
    <row r="7" spans="1:8" ht="25.5" x14ac:dyDescent="0.25">
      <c r="A7" s="6" t="s">
        <v>0</v>
      </c>
      <c r="B7" s="6" t="s">
        <v>4</v>
      </c>
      <c r="C7" s="7" t="s">
        <v>1</v>
      </c>
      <c r="D7" s="7" t="s">
        <v>7</v>
      </c>
      <c r="E7" s="6" t="s">
        <v>8</v>
      </c>
      <c r="F7" s="6" t="s">
        <v>9</v>
      </c>
      <c r="G7" s="6" t="s">
        <v>10</v>
      </c>
      <c r="H7" s="6" t="s">
        <v>2</v>
      </c>
    </row>
    <row r="8" spans="1:8" ht="24" x14ac:dyDescent="0.25">
      <c r="A8" s="127" t="s">
        <v>20</v>
      </c>
      <c r="B8" s="128"/>
      <c r="C8" s="129" t="s">
        <v>325</v>
      </c>
      <c r="D8" s="130" t="s">
        <v>13</v>
      </c>
      <c r="E8" s="131" t="s">
        <v>233</v>
      </c>
      <c r="F8" s="132">
        <f>SUBTOTAL(9,H9,H10,H11,H12,H13)</f>
        <v>0</v>
      </c>
      <c r="G8" s="133">
        <v>1</v>
      </c>
      <c r="H8" s="134">
        <f>G8*F8</f>
        <v>0</v>
      </c>
    </row>
    <row r="9" spans="1:8" ht="48" x14ac:dyDescent="0.25">
      <c r="B9" s="116" t="s">
        <v>322</v>
      </c>
      <c r="C9" s="20" t="s">
        <v>321</v>
      </c>
      <c r="D9" s="12" t="s">
        <v>13</v>
      </c>
      <c r="E9" s="8" t="s">
        <v>233</v>
      </c>
      <c r="F9" s="120"/>
      <c r="G9" s="18">
        <v>1</v>
      </c>
      <c r="H9" s="62">
        <f>G9*F9</f>
        <v>0</v>
      </c>
    </row>
    <row r="10" spans="1:8" ht="108" x14ac:dyDescent="0.25">
      <c r="B10" s="1" t="s">
        <v>323</v>
      </c>
      <c r="C10" s="19" t="s">
        <v>330</v>
      </c>
      <c r="D10" s="12" t="s">
        <v>13</v>
      </c>
      <c r="E10" s="10" t="s">
        <v>12</v>
      </c>
      <c r="F10" s="121"/>
      <c r="G10" s="122">
        <v>68</v>
      </c>
      <c r="H10" s="62">
        <f t="shared" ref="H10:H11" si="0">G10*F10</f>
        <v>0</v>
      </c>
    </row>
    <row r="11" spans="1:8" ht="108" x14ac:dyDescent="0.25">
      <c r="B11" s="1" t="s">
        <v>324</v>
      </c>
      <c r="C11" s="19" t="s">
        <v>331</v>
      </c>
      <c r="D11" s="8" t="s">
        <v>13</v>
      </c>
      <c r="E11" s="10" t="s">
        <v>12</v>
      </c>
      <c r="F11" s="121"/>
      <c r="G11" s="122">
        <v>21</v>
      </c>
      <c r="H11" s="62">
        <f t="shared" si="0"/>
        <v>0</v>
      </c>
    </row>
    <row r="12" spans="1:8" ht="36" x14ac:dyDescent="0.25">
      <c r="B12" s="16" t="s">
        <v>326</v>
      </c>
      <c r="C12" s="19" t="s">
        <v>332</v>
      </c>
      <c r="D12" s="16" t="s">
        <v>13</v>
      </c>
      <c r="E12" s="15" t="s">
        <v>233</v>
      </c>
      <c r="F12" s="123"/>
      <c r="G12" s="109">
        <v>1</v>
      </c>
      <c r="H12" s="62">
        <f>G12*F12</f>
        <v>0</v>
      </c>
    </row>
    <row r="13" spans="1:8" ht="36" x14ac:dyDescent="0.25">
      <c r="B13" s="24" t="s">
        <v>327</v>
      </c>
      <c r="C13" s="117" t="s">
        <v>333</v>
      </c>
      <c r="D13" s="24" t="s">
        <v>13</v>
      </c>
      <c r="E13" s="118" t="s">
        <v>12</v>
      </c>
      <c r="F13" s="124"/>
      <c r="G13" s="125">
        <v>104</v>
      </c>
      <c r="H13" s="119">
        <f>G13*F13</f>
        <v>0</v>
      </c>
    </row>
    <row r="14" spans="1:8" ht="15.75" x14ac:dyDescent="0.25">
      <c r="A14" s="148" t="s">
        <v>21</v>
      </c>
      <c r="B14" s="136"/>
      <c r="C14" s="137" t="s">
        <v>329</v>
      </c>
      <c r="D14" s="138" t="s">
        <v>13</v>
      </c>
      <c r="E14" s="139" t="s">
        <v>233</v>
      </c>
      <c r="F14" s="140">
        <f>SUBTOTAL(9,H15,H16)</f>
        <v>0</v>
      </c>
      <c r="G14" s="141">
        <v>1</v>
      </c>
      <c r="H14" s="142">
        <f>G14*F14</f>
        <v>0</v>
      </c>
    </row>
    <row r="15" spans="1:8" ht="60" x14ac:dyDescent="0.25">
      <c r="B15" s="2" t="s">
        <v>322</v>
      </c>
      <c r="C15" s="19" t="s">
        <v>334</v>
      </c>
      <c r="D15" s="8" t="s">
        <v>13</v>
      </c>
      <c r="E15" s="8" t="s">
        <v>12</v>
      </c>
      <c r="F15" s="126"/>
      <c r="G15" s="122">
        <v>356</v>
      </c>
      <c r="H15" s="62">
        <f>F15*G15</f>
        <v>0</v>
      </c>
    </row>
    <row r="16" spans="1:8" ht="24" x14ac:dyDescent="0.25">
      <c r="B16" s="16" t="s">
        <v>323</v>
      </c>
      <c r="C16" s="19" t="s">
        <v>335</v>
      </c>
      <c r="D16" s="22" t="s">
        <v>13</v>
      </c>
      <c r="E16" s="14" t="s">
        <v>233</v>
      </c>
      <c r="F16" s="123"/>
      <c r="G16" s="109">
        <v>1</v>
      </c>
      <c r="H16" s="62">
        <f>F16*G16</f>
        <v>0</v>
      </c>
    </row>
    <row r="17" spans="1:11" ht="24.75" customHeight="1" x14ac:dyDescent="0.25">
      <c r="A17" s="145" t="s">
        <v>350</v>
      </c>
      <c r="B17" s="136"/>
      <c r="C17" s="137" t="s">
        <v>349</v>
      </c>
      <c r="D17" s="141" t="s">
        <v>13</v>
      </c>
      <c r="E17" s="143" t="s">
        <v>233</v>
      </c>
      <c r="F17" s="144"/>
      <c r="G17" s="141">
        <v>1</v>
      </c>
      <c r="H17" s="134">
        <f t="shared" ref="H17:H26" si="1">G17*F17</f>
        <v>0</v>
      </c>
    </row>
    <row r="18" spans="1:11" ht="84" x14ac:dyDescent="0.25">
      <c r="A18" s="127" t="s">
        <v>22</v>
      </c>
      <c r="B18" s="128"/>
      <c r="C18" s="129" t="s">
        <v>344</v>
      </c>
      <c r="D18" s="130" t="s">
        <v>13</v>
      </c>
      <c r="E18" s="131" t="s">
        <v>233</v>
      </c>
      <c r="F18" s="132">
        <f>SUBTOTAL(9,H19,H20,H21,H22)</f>
        <v>0</v>
      </c>
      <c r="G18" s="133">
        <v>1</v>
      </c>
      <c r="H18" s="134">
        <f t="shared" si="1"/>
        <v>0</v>
      </c>
    </row>
    <row r="19" spans="1:11" ht="72" x14ac:dyDescent="0.25">
      <c r="B19" s="2" t="s">
        <v>322</v>
      </c>
      <c r="C19" s="20" t="s">
        <v>343</v>
      </c>
      <c r="D19" s="12" t="s">
        <v>14</v>
      </c>
      <c r="E19" s="8" t="s">
        <v>233</v>
      </c>
      <c r="F19" s="9"/>
      <c r="G19" s="18">
        <v>1</v>
      </c>
      <c r="H19" s="62">
        <f t="shared" si="1"/>
        <v>0</v>
      </c>
    </row>
    <row r="20" spans="1:11" ht="120" x14ac:dyDescent="0.25">
      <c r="B20" s="1" t="s">
        <v>323</v>
      </c>
      <c r="C20" s="19" t="s">
        <v>345</v>
      </c>
      <c r="D20" s="8" t="s">
        <v>14</v>
      </c>
      <c r="E20" s="10" t="s">
        <v>12</v>
      </c>
      <c r="F20" s="121"/>
      <c r="G20" s="11">
        <v>61</v>
      </c>
      <c r="H20" s="62">
        <f t="shared" si="1"/>
        <v>0</v>
      </c>
    </row>
    <row r="21" spans="1:11" ht="108" x14ac:dyDescent="0.25">
      <c r="B21" s="1" t="s">
        <v>324</v>
      </c>
      <c r="C21" s="19" t="s">
        <v>338</v>
      </c>
      <c r="D21" s="8" t="s">
        <v>14</v>
      </c>
      <c r="E21" s="10" t="s">
        <v>12</v>
      </c>
      <c r="F21" s="121"/>
      <c r="G21" s="11">
        <v>18</v>
      </c>
      <c r="H21" s="62">
        <f t="shared" si="1"/>
        <v>0</v>
      </c>
    </row>
    <row r="22" spans="1:11" ht="36" x14ac:dyDescent="0.25">
      <c r="A22" s="17"/>
      <c r="B22" s="146" t="s">
        <v>326</v>
      </c>
      <c r="C22" s="19" t="s">
        <v>346</v>
      </c>
      <c r="D22" s="16" t="s">
        <v>14</v>
      </c>
      <c r="E22" s="15" t="s">
        <v>12</v>
      </c>
      <c r="F22" s="147"/>
      <c r="G22" s="16">
        <v>20</v>
      </c>
      <c r="H22" s="62">
        <f t="shared" si="1"/>
        <v>0</v>
      </c>
      <c r="J22" s="90"/>
      <c r="K22" s="114"/>
    </row>
    <row r="23" spans="1:11" ht="15.75" x14ac:dyDescent="0.25">
      <c r="A23" s="135" t="s">
        <v>351</v>
      </c>
      <c r="B23" s="136"/>
      <c r="C23" s="137" t="s">
        <v>341</v>
      </c>
      <c r="D23" s="138" t="s">
        <v>14</v>
      </c>
      <c r="E23" s="139" t="s">
        <v>233</v>
      </c>
      <c r="F23" s="140">
        <f>SUBTOTAL(9,H24,H25)</f>
        <v>0</v>
      </c>
      <c r="G23" s="141">
        <v>1</v>
      </c>
      <c r="H23" s="142">
        <f t="shared" si="1"/>
        <v>0</v>
      </c>
    </row>
    <row r="24" spans="1:11" ht="60" x14ac:dyDescent="0.25">
      <c r="B24" s="2" t="s">
        <v>322</v>
      </c>
      <c r="C24" s="19" t="s">
        <v>347</v>
      </c>
      <c r="D24" s="12" t="s">
        <v>14</v>
      </c>
      <c r="E24" s="8" t="s">
        <v>12</v>
      </c>
      <c r="F24" s="126"/>
      <c r="G24" s="11">
        <v>310</v>
      </c>
      <c r="H24" s="62">
        <f t="shared" si="1"/>
        <v>0</v>
      </c>
    </row>
    <row r="25" spans="1:11" ht="24" x14ac:dyDescent="0.25">
      <c r="B25" s="16" t="s">
        <v>323</v>
      </c>
      <c r="C25" s="19" t="s">
        <v>348</v>
      </c>
      <c r="D25" s="16" t="s">
        <v>14</v>
      </c>
      <c r="E25" s="15" t="s">
        <v>233</v>
      </c>
      <c r="F25" s="147"/>
      <c r="G25" s="16">
        <v>1</v>
      </c>
      <c r="H25" s="62">
        <f t="shared" si="1"/>
        <v>0</v>
      </c>
    </row>
    <row r="26" spans="1:11" ht="24.75" customHeight="1" x14ac:dyDescent="0.25">
      <c r="A26" s="145" t="s">
        <v>352</v>
      </c>
      <c r="B26" s="136"/>
      <c r="C26" s="137" t="s">
        <v>339</v>
      </c>
      <c r="D26" s="141" t="s">
        <v>13</v>
      </c>
      <c r="E26" s="143" t="s">
        <v>233</v>
      </c>
      <c r="F26" s="144"/>
      <c r="G26" s="141">
        <v>1</v>
      </c>
      <c r="H26" s="134">
        <f t="shared" si="1"/>
        <v>0</v>
      </c>
    </row>
    <row r="29" spans="1:11" x14ac:dyDescent="0.25">
      <c r="F29" s="90">
        <f>SUM(F26,F23,F18,F17,F14,F8)</f>
        <v>0</v>
      </c>
    </row>
    <row r="51" ht="15.75" customHeight="1" x14ac:dyDescent="0.25"/>
  </sheetData>
  <mergeCells count="2">
    <mergeCell ref="C1:G1"/>
    <mergeCell ref="A2:E2"/>
  </mergeCells>
  <pageMargins left="0.7" right="0.7" top="0.75" bottom="0.75" header="0.3" footer="0.3"/>
  <pageSetup orientation="portrait" horizontalDpi="1200" verticalDpi="12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02F0E3-7C90-4117-A6FB-0DE6938BFE5D}">
  <sheetPr>
    <tabColor rgb="FFFF0000"/>
  </sheetPr>
  <dimension ref="A1:K52"/>
  <sheetViews>
    <sheetView workbookViewId="0">
      <selection activeCell="N16" sqref="N16"/>
    </sheetView>
  </sheetViews>
  <sheetFormatPr defaultColWidth="9.140625" defaultRowHeight="15" x14ac:dyDescent="0.25"/>
  <cols>
    <col min="4" max="4" width="40.7109375" customWidth="1"/>
    <col min="5" max="5" width="10.5703125" customWidth="1"/>
    <col min="6" max="6" width="7.140625" style="43" customWidth="1"/>
    <col min="7" max="7" width="9" customWidth="1"/>
    <col min="8" max="8" width="11.7109375" style="43" customWidth="1"/>
    <col min="258" max="258" width="40.7109375" customWidth="1"/>
    <col min="262" max="262" width="11.5703125" customWidth="1"/>
    <col min="514" max="514" width="40.7109375" customWidth="1"/>
    <col min="518" max="518" width="11.5703125" customWidth="1"/>
    <col min="770" max="770" width="40.7109375" customWidth="1"/>
    <col min="774" max="774" width="11.5703125" customWidth="1"/>
    <col min="1026" max="1026" width="40.7109375" customWidth="1"/>
    <col min="1030" max="1030" width="11.5703125" customWidth="1"/>
    <col min="1282" max="1282" width="40.7109375" customWidth="1"/>
    <col min="1286" max="1286" width="11.5703125" customWidth="1"/>
    <col min="1538" max="1538" width="40.7109375" customWidth="1"/>
    <col min="1542" max="1542" width="11.5703125" customWidth="1"/>
    <col min="1794" max="1794" width="40.7109375" customWidth="1"/>
    <col min="1798" max="1798" width="11.5703125" customWidth="1"/>
    <col min="2050" max="2050" width="40.7109375" customWidth="1"/>
    <col min="2054" max="2054" width="11.5703125" customWidth="1"/>
    <col min="2306" max="2306" width="40.7109375" customWidth="1"/>
    <col min="2310" max="2310" width="11.5703125" customWidth="1"/>
    <col min="2562" max="2562" width="40.7109375" customWidth="1"/>
    <col min="2566" max="2566" width="11.5703125" customWidth="1"/>
    <col min="2818" max="2818" width="40.7109375" customWidth="1"/>
    <col min="2822" max="2822" width="11.5703125" customWidth="1"/>
    <col min="3074" max="3074" width="40.7109375" customWidth="1"/>
    <col min="3078" max="3078" width="11.5703125" customWidth="1"/>
    <col min="3330" max="3330" width="40.7109375" customWidth="1"/>
    <col min="3334" max="3334" width="11.5703125" customWidth="1"/>
    <col min="3586" max="3586" width="40.7109375" customWidth="1"/>
    <col min="3590" max="3590" width="11.5703125" customWidth="1"/>
    <col min="3842" max="3842" width="40.7109375" customWidth="1"/>
    <col min="3846" max="3846" width="11.5703125" customWidth="1"/>
    <col min="4098" max="4098" width="40.7109375" customWidth="1"/>
    <col min="4102" max="4102" width="11.5703125" customWidth="1"/>
    <col min="4354" max="4354" width="40.7109375" customWidth="1"/>
    <col min="4358" max="4358" width="11.5703125" customWidth="1"/>
    <col min="4610" max="4610" width="40.7109375" customWidth="1"/>
    <col min="4614" max="4614" width="11.5703125" customWidth="1"/>
    <col min="4866" max="4866" width="40.7109375" customWidth="1"/>
    <col min="4870" max="4870" width="11.5703125" customWidth="1"/>
    <col min="5122" max="5122" width="40.7109375" customWidth="1"/>
    <col min="5126" max="5126" width="11.5703125" customWidth="1"/>
    <col min="5378" max="5378" width="40.7109375" customWidth="1"/>
    <col min="5382" max="5382" width="11.5703125" customWidth="1"/>
    <col min="5634" max="5634" width="40.7109375" customWidth="1"/>
    <col min="5638" max="5638" width="11.5703125" customWidth="1"/>
    <col min="5890" max="5890" width="40.7109375" customWidth="1"/>
    <col min="5894" max="5894" width="11.5703125" customWidth="1"/>
    <col min="6146" max="6146" width="40.7109375" customWidth="1"/>
    <col min="6150" max="6150" width="11.5703125" customWidth="1"/>
    <col min="6402" max="6402" width="40.7109375" customWidth="1"/>
    <col min="6406" max="6406" width="11.5703125" customWidth="1"/>
    <col min="6658" max="6658" width="40.7109375" customWidth="1"/>
    <col min="6662" max="6662" width="11.5703125" customWidth="1"/>
    <col min="6914" max="6914" width="40.7109375" customWidth="1"/>
    <col min="6918" max="6918" width="11.5703125" customWidth="1"/>
    <col min="7170" max="7170" width="40.7109375" customWidth="1"/>
    <col min="7174" max="7174" width="11.5703125" customWidth="1"/>
    <col min="7426" max="7426" width="40.7109375" customWidth="1"/>
    <col min="7430" max="7430" width="11.5703125" customWidth="1"/>
    <col min="7682" max="7682" width="40.7109375" customWidth="1"/>
    <col min="7686" max="7686" width="11.5703125" customWidth="1"/>
    <col min="7938" max="7938" width="40.7109375" customWidth="1"/>
    <col min="7942" max="7942" width="11.5703125" customWidth="1"/>
    <col min="8194" max="8194" width="40.7109375" customWidth="1"/>
    <col min="8198" max="8198" width="11.5703125" customWidth="1"/>
    <col min="8450" max="8450" width="40.7109375" customWidth="1"/>
    <col min="8454" max="8454" width="11.5703125" customWidth="1"/>
    <col min="8706" max="8706" width="40.7109375" customWidth="1"/>
    <col min="8710" max="8710" width="11.5703125" customWidth="1"/>
    <col min="8962" max="8962" width="40.7109375" customWidth="1"/>
    <col min="8966" max="8966" width="11.5703125" customWidth="1"/>
    <col min="9218" max="9218" width="40.7109375" customWidth="1"/>
    <col min="9222" max="9222" width="11.5703125" customWidth="1"/>
    <col min="9474" max="9474" width="40.7109375" customWidth="1"/>
    <col min="9478" max="9478" width="11.5703125" customWidth="1"/>
    <col min="9730" max="9730" width="40.7109375" customWidth="1"/>
    <col min="9734" max="9734" width="11.5703125" customWidth="1"/>
    <col min="9986" max="9986" width="40.7109375" customWidth="1"/>
    <col min="9990" max="9990" width="11.5703125" customWidth="1"/>
    <col min="10242" max="10242" width="40.7109375" customWidth="1"/>
    <col min="10246" max="10246" width="11.5703125" customWidth="1"/>
    <col min="10498" max="10498" width="40.7109375" customWidth="1"/>
    <col min="10502" max="10502" width="11.5703125" customWidth="1"/>
    <col min="10754" max="10754" width="40.7109375" customWidth="1"/>
    <col min="10758" max="10758" width="11.5703125" customWidth="1"/>
    <col min="11010" max="11010" width="40.7109375" customWidth="1"/>
    <col min="11014" max="11014" width="11.5703125" customWidth="1"/>
    <col min="11266" max="11266" width="40.7109375" customWidth="1"/>
    <col min="11270" max="11270" width="11.5703125" customWidth="1"/>
    <col min="11522" max="11522" width="40.7109375" customWidth="1"/>
    <col min="11526" max="11526" width="11.5703125" customWidth="1"/>
    <col min="11778" max="11778" width="40.7109375" customWidth="1"/>
    <col min="11782" max="11782" width="11.5703125" customWidth="1"/>
    <col min="12034" max="12034" width="40.7109375" customWidth="1"/>
    <col min="12038" max="12038" width="11.5703125" customWidth="1"/>
    <col min="12290" max="12290" width="40.7109375" customWidth="1"/>
    <col min="12294" max="12294" width="11.5703125" customWidth="1"/>
    <col min="12546" max="12546" width="40.7109375" customWidth="1"/>
    <col min="12550" max="12550" width="11.5703125" customWidth="1"/>
    <col min="12802" max="12802" width="40.7109375" customWidth="1"/>
    <col min="12806" max="12806" width="11.5703125" customWidth="1"/>
    <col min="13058" max="13058" width="40.7109375" customWidth="1"/>
    <col min="13062" max="13062" width="11.5703125" customWidth="1"/>
    <col min="13314" max="13314" width="40.7109375" customWidth="1"/>
    <col min="13318" max="13318" width="11.5703125" customWidth="1"/>
    <col min="13570" max="13570" width="40.7109375" customWidth="1"/>
    <col min="13574" max="13574" width="11.5703125" customWidth="1"/>
    <col min="13826" max="13826" width="40.7109375" customWidth="1"/>
    <col min="13830" max="13830" width="11.5703125" customWidth="1"/>
    <col min="14082" max="14082" width="40.7109375" customWidth="1"/>
    <col min="14086" max="14086" width="11.5703125" customWidth="1"/>
    <col min="14338" max="14338" width="40.7109375" customWidth="1"/>
    <col min="14342" max="14342" width="11.5703125" customWidth="1"/>
    <col min="14594" max="14594" width="40.7109375" customWidth="1"/>
    <col min="14598" max="14598" width="11.5703125" customWidth="1"/>
    <col min="14850" max="14850" width="40.7109375" customWidth="1"/>
    <col min="14854" max="14854" width="11.5703125" customWidth="1"/>
    <col min="15106" max="15106" width="40.7109375" customWidth="1"/>
    <col min="15110" max="15110" width="11.5703125" customWidth="1"/>
    <col min="15362" max="15362" width="40.7109375" customWidth="1"/>
    <col min="15366" max="15366" width="11.5703125" customWidth="1"/>
    <col min="15618" max="15618" width="40.7109375" customWidth="1"/>
    <col min="15622" max="15622" width="11.5703125" customWidth="1"/>
    <col min="15874" max="15874" width="40.7109375" customWidth="1"/>
    <col min="15878" max="15878" width="11.5703125" customWidth="1"/>
    <col min="16130" max="16130" width="40.7109375" customWidth="1"/>
    <col min="16134" max="16134" width="11.5703125" customWidth="1"/>
  </cols>
  <sheetData>
    <row r="1" spans="1:11" ht="38.25" x14ac:dyDescent="0.25">
      <c r="A1" s="25" t="s">
        <v>0</v>
      </c>
      <c r="B1" s="25" t="s">
        <v>24</v>
      </c>
      <c r="C1" s="25" t="s">
        <v>25</v>
      </c>
      <c r="D1" s="26" t="s">
        <v>1</v>
      </c>
      <c r="E1" s="27" t="s">
        <v>26</v>
      </c>
      <c r="F1" s="28" t="s">
        <v>27</v>
      </c>
      <c r="G1" s="27" t="s">
        <v>28</v>
      </c>
      <c r="H1" s="28" t="s">
        <v>216</v>
      </c>
      <c r="I1" s="21"/>
      <c r="J1" s="21"/>
    </row>
    <row r="2" spans="1:11" ht="78.75" customHeight="1" x14ac:dyDescent="0.25">
      <c r="A2" s="29" t="s">
        <v>20</v>
      </c>
      <c r="B2" s="3"/>
      <c r="C2" s="3"/>
      <c r="D2" s="30" t="s">
        <v>29</v>
      </c>
      <c r="E2" s="161" t="s">
        <v>30</v>
      </c>
      <c r="F2" s="162"/>
      <c r="G2" s="163"/>
      <c r="H2" s="58">
        <f>SUM(H3:H52)</f>
        <v>0</v>
      </c>
      <c r="I2" s="21"/>
      <c r="J2" s="21"/>
    </row>
    <row r="3" spans="1:11" ht="15" customHeight="1" x14ac:dyDescent="0.25">
      <c r="A3" s="31"/>
      <c r="B3" s="32" t="s">
        <v>31</v>
      </c>
      <c r="C3" s="2" t="s">
        <v>4</v>
      </c>
      <c r="D3" s="33" t="s">
        <v>32</v>
      </c>
      <c r="E3" s="110">
        <v>152</v>
      </c>
      <c r="F3" s="91"/>
      <c r="G3" s="36">
        <v>4</v>
      </c>
      <c r="H3" s="35">
        <f t="shared" ref="H3:H52" si="0">E3*F3*G3</f>
        <v>0</v>
      </c>
      <c r="I3" s="69"/>
      <c r="J3" s="21"/>
      <c r="K3" s="37" t="s">
        <v>4</v>
      </c>
    </row>
    <row r="4" spans="1:11" ht="18" customHeight="1" x14ac:dyDescent="0.25">
      <c r="A4" s="31"/>
      <c r="B4" s="32" t="s">
        <v>33</v>
      </c>
      <c r="C4" s="1"/>
      <c r="D4" s="38" t="s">
        <v>34</v>
      </c>
      <c r="E4" s="111">
        <v>168</v>
      </c>
      <c r="F4" s="91"/>
      <c r="G4" s="36">
        <v>4</v>
      </c>
      <c r="H4" s="35">
        <f t="shared" si="0"/>
        <v>0</v>
      </c>
      <c r="I4" s="69"/>
      <c r="J4" s="21"/>
      <c r="K4" s="37" t="s">
        <v>4</v>
      </c>
    </row>
    <row r="5" spans="1:11" x14ac:dyDescent="0.25">
      <c r="A5" s="31"/>
      <c r="B5" s="32" t="s">
        <v>35</v>
      </c>
      <c r="C5" s="1"/>
      <c r="D5" s="33" t="s">
        <v>36</v>
      </c>
      <c r="E5" s="110">
        <v>64</v>
      </c>
      <c r="F5" s="91"/>
      <c r="G5" s="36">
        <v>4</v>
      </c>
      <c r="H5" s="35">
        <f t="shared" si="0"/>
        <v>0</v>
      </c>
      <c r="I5" s="69"/>
      <c r="J5" s="21"/>
      <c r="K5" s="37" t="s">
        <v>4</v>
      </c>
    </row>
    <row r="6" spans="1:11" x14ac:dyDescent="0.25">
      <c r="A6" s="31"/>
      <c r="B6" s="32" t="s">
        <v>37</v>
      </c>
      <c r="C6" s="1"/>
      <c r="D6" s="33" t="s">
        <v>231</v>
      </c>
      <c r="E6" s="110">
        <v>6610</v>
      </c>
      <c r="F6" s="91"/>
      <c r="G6" s="36">
        <v>4</v>
      </c>
      <c r="H6" s="35">
        <f t="shared" si="0"/>
        <v>0</v>
      </c>
      <c r="I6" s="69"/>
      <c r="J6" s="21"/>
      <c r="K6" s="37" t="s">
        <v>4</v>
      </c>
    </row>
    <row r="7" spans="1:11" x14ac:dyDescent="0.25">
      <c r="A7" s="31"/>
      <c r="B7" s="32" t="s">
        <v>38</v>
      </c>
      <c r="C7" s="1"/>
      <c r="D7" s="33" t="s">
        <v>39</v>
      </c>
      <c r="E7" s="110">
        <v>283</v>
      </c>
      <c r="F7" s="91"/>
      <c r="G7" s="36">
        <v>4</v>
      </c>
      <c r="H7" s="35">
        <f t="shared" si="0"/>
        <v>0</v>
      </c>
      <c r="I7" s="69"/>
      <c r="J7" s="21"/>
    </row>
    <row r="8" spans="1:11" x14ac:dyDescent="0.25">
      <c r="A8" s="31"/>
      <c r="B8" s="32" t="s">
        <v>40</v>
      </c>
      <c r="C8" s="1"/>
      <c r="D8" s="33" t="s">
        <v>41</v>
      </c>
      <c r="E8" s="110">
        <v>514</v>
      </c>
      <c r="F8" s="91"/>
      <c r="G8" s="36">
        <v>4</v>
      </c>
      <c r="H8" s="35">
        <f t="shared" si="0"/>
        <v>0</v>
      </c>
      <c r="I8" s="69"/>
      <c r="J8" s="21"/>
    </row>
    <row r="9" spans="1:11" x14ac:dyDescent="0.25">
      <c r="A9" s="31"/>
      <c r="B9" s="32" t="s">
        <v>42</v>
      </c>
      <c r="C9" s="2"/>
      <c r="D9" s="40" t="s">
        <v>43</v>
      </c>
      <c r="E9" s="112">
        <v>32</v>
      </c>
      <c r="F9" s="91"/>
      <c r="G9" s="36">
        <v>4</v>
      </c>
      <c r="H9" s="35">
        <f t="shared" si="0"/>
        <v>0</v>
      </c>
      <c r="I9" s="69"/>
      <c r="J9" s="21"/>
    </row>
    <row r="10" spans="1:11" x14ac:dyDescent="0.25">
      <c r="A10" s="31"/>
      <c r="B10" s="32" t="s">
        <v>44</v>
      </c>
      <c r="C10" s="2"/>
      <c r="D10" s="40" t="s">
        <v>45</v>
      </c>
      <c r="E10" s="112">
        <v>6810</v>
      </c>
      <c r="F10" s="91"/>
      <c r="G10" s="36">
        <v>4</v>
      </c>
      <c r="H10" s="35">
        <f t="shared" si="0"/>
        <v>0</v>
      </c>
      <c r="I10" s="69"/>
      <c r="J10" s="21"/>
    </row>
    <row r="11" spans="1:11" x14ac:dyDescent="0.25">
      <c r="A11" s="31"/>
      <c r="B11" s="32" t="s">
        <v>46</v>
      </c>
      <c r="C11" s="2"/>
      <c r="D11" s="40" t="s">
        <v>47</v>
      </c>
      <c r="E11" s="110">
        <v>1485</v>
      </c>
      <c r="F11" s="91"/>
      <c r="G11" s="36">
        <v>4</v>
      </c>
      <c r="H11" s="35">
        <f t="shared" si="0"/>
        <v>0</v>
      </c>
      <c r="I11" s="69"/>
      <c r="J11" s="21"/>
    </row>
    <row r="12" spans="1:11" x14ac:dyDescent="0.25">
      <c r="A12" s="31"/>
      <c r="B12" s="32" t="s">
        <v>48</v>
      </c>
      <c r="C12" s="2"/>
      <c r="D12" s="40" t="s">
        <v>49</v>
      </c>
      <c r="E12" s="110">
        <v>591</v>
      </c>
      <c r="F12" s="91"/>
      <c r="G12" s="36">
        <v>4</v>
      </c>
      <c r="H12" s="35">
        <f t="shared" si="0"/>
        <v>0</v>
      </c>
      <c r="I12" s="69"/>
      <c r="J12" s="21"/>
    </row>
    <row r="13" spans="1:11" x14ac:dyDescent="0.25">
      <c r="A13" s="31"/>
      <c r="B13" s="32" t="s">
        <v>50</v>
      </c>
      <c r="C13" s="2"/>
      <c r="D13" s="33" t="s">
        <v>51</v>
      </c>
      <c r="E13" s="110">
        <v>44</v>
      </c>
      <c r="F13" s="91"/>
      <c r="G13" s="36">
        <v>4</v>
      </c>
      <c r="H13" s="35">
        <f t="shared" si="0"/>
        <v>0</v>
      </c>
      <c r="I13" s="69"/>
      <c r="J13" s="21"/>
    </row>
    <row r="14" spans="1:11" x14ac:dyDescent="0.25">
      <c r="A14" s="31"/>
      <c r="B14" s="32" t="s">
        <v>52</v>
      </c>
      <c r="C14" s="2"/>
      <c r="D14" s="33" t="s">
        <v>53</v>
      </c>
      <c r="E14" s="110">
        <v>1903</v>
      </c>
      <c r="F14" s="91"/>
      <c r="G14" s="36">
        <v>4</v>
      </c>
      <c r="H14" s="35">
        <f t="shared" si="0"/>
        <v>0</v>
      </c>
      <c r="I14" s="69"/>
      <c r="J14" s="21"/>
    </row>
    <row r="15" spans="1:11" x14ac:dyDescent="0.25">
      <c r="A15" s="31"/>
      <c r="B15" s="32" t="s">
        <v>54</v>
      </c>
      <c r="C15" s="2"/>
      <c r="D15" s="40" t="s">
        <v>55</v>
      </c>
      <c r="E15" s="110">
        <v>66</v>
      </c>
      <c r="F15" s="91"/>
      <c r="G15" s="36">
        <v>4</v>
      </c>
      <c r="H15" s="35">
        <f t="shared" si="0"/>
        <v>0</v>
      </c>
      <c r="I15" s="69"/>
      <c r="J15" s="21"/>
    </row>
    <row r="16" spans="1:11" x14ac:dyDescent="0.25">
      <c r="A16" s="31"/>
      <c r="B16" s="32" t="s">
        <v>56</v>
      </c>
      <c r="C16" s="2"/>
      <c r="D16" s="40" t="s">
        <v>57</v>
      </c>
      <c r="E16" s="110">
        <v>33</v>
      </c>
      <c r="F16" s="91"/>
      <c r="G16" s="36">
        <v>4</v>
      </c>
      <c r="H16" s="35">
        <f t="shared" si="0"/>
        <v>0</v>
      </c>
      <c r="I16" s="69"/>
      <c r="J16" s="21"/>
    </row>
    <row r="17" spans="1:10" x14ac:dyDescent="0.25">
      <c r="A17" s="31"/>
      <c r="B17" s="32" t="s">
        <v>58</v>
      </c>
      <c r="C17" s="2"/>
      <c r="D17" s="33" t="s">
        <v>59</v>
      </c>
      <c r="E17" s="110">
        <v>802</v>
      </c>
      <c r="F17" s="91"/>
      <c r="G17" s="36">
        <v>4</v>
      </c>
      <c r="H17" s="35">
        <f t="shared" si="0"/>
        <v>0</v>
      </c>
      <c r="I17" s="69"/>
      <c r="J17" s="21"/>
    </row>
    <row r="18" spans="1:10" x14ac:dyDescent="0.25">
      <c r="A18" s="31"/>
      <c r="B18" s="32" t="s">
        <v>60</v>
      </c>
      <c r="C18" s="2"/>
      <c r="D18" s="33" t="s">
        <v>61</v>
      </c>
      <c r="E18" s="110">
        <v>1150</v>
      </c>
      <c r="F18" s="91"/>
      <c r="G18" s="36">
        <v>4</v>
      </c>
      <c r="H18" s="35">
        <f t="shared" si="0"/>
        <v>0</v>
      </c>
      <c r="I18" s="69"/>
      <c r="J18" s="21"/>
    </row>
    <row r="19" spans="1:10" x14ac:dyDescent="0.25">
      <c r="A19" s="31"/>
      <c r="B19" s="32" t="s">
        <v>62</v>
      </c>
      <c r="C19" s="2"/>
      <c r="D19" s="33" t="s">
        <v>63</v>
      </c>
      <c r="E19" s="110">
        <v>4867</v>
      </c>
      <c r="F19" s="91"/>
      <c r="G19" s="36">
        <v>4</v>
      </c>
      <c r="H19" s="35">
        <f t="shared" si="0"/>
        <v>0</v>
      </c>
      <c r="I19" s="69"/>
      <c r="J19" s="21"/>
    </row>
    <row r="20" spans="1:10" x14ac:dyDescent="0.25">
      <c r="A20" s="31"/>
      <c r="B20" s="32" t="s">
        <v>64</v>
      </c>
      <c r="C20" s="2"/>
      <c r="D20" s="33" t="s">
        <v>65</v>
      </c>
      <c r="E20" s="110">
        <v>163</v>
      </c>
      <c r="F20" s="91"/>
      <c r="G20" s="36">
        <v>4</v>
      </c>
      <c r="H20" s="35">
        <f t="shared" si="0"/>
        <v>0</v>
      </c>
      <c r="I20" s="69"/>
      <c r="J20" s="21"/>
    </row>
    <row r="21" spans="1:10" x14ac:dyDescent="0.25">
      <c r="A21" s="31"/>
      <c r="B21" s="32" t="s">
        <v>66</v>
      </c>
      <c r="C21" s="2"/>
      <c r="D21" s="33" t="s">
        <v>67</v>
      </c>
      <c r="E21" s="110">
        <v>2714</v>
      </c>
      <c r="F21" s="91"/>
      <c r="G21" s="36">
        <v>4</v>
      </c>
      <c r="H21" s="35">
        <f t="shared" si="0"/>
        <v>0</v>
      </c>
      <c r="I21" s="69"/>
      <c r="J21" s="21"/>
    </row>
    <row r="22" spans="1:10" x14ac:dyDescent="0.25">
      <c r="A22" s="31"/>
      <c r="B22" s="32" t="s">
        <v>68</v>
      </c>
      <c r="C22" s="2"/>
      <c r="D22" s="33" t="s">
        <v>69</v>
      </c>
      <c r="E22" s="110">
        <v>2731</v>
      </c>
      <c r="F22" s="91"/>
      <c r="G22" s="36">
        <v>4</v>
      </c>
      <c r="H22" s="35">
        <f t="shared" si="0"/>
        <v>0</v>
      </c>
      <c r="I22" s="69"/>
      <c r="J22" s="21"/>
    </row>
    <row r="23" spans="1:10" x14ac:dyDescent="0.25">
      <c r="A23" s="31"/>
      <c r="B23" s="32" t="s">
        <v>70</v>
      </c>
      <c r="C23" s="2"/>
      <c r="D23" s="33" t="s">
        <v>71</v>
      </c>
      <c r="E23" s="110">
        <v>259</v>
      </c>
      <c r="F23" s="91"/>
      <c r="G23" s="36">
        <v>4</v>
      </c>
      <c r="H23" s="35">
        <f t="shared" si="0"/>
        <v>0</v>
      </c>
      <c r="I23" s="69"/>
      <c r="J23" s="21"/>
    </row>
    <row r="24" spans="1:10" x14ac:dyDescent="0.25">
      <c r="A24" s="31"/>
      <c r="B24" s="32" t="s">
        <v>72</v>
      </c>
      <c r="C24" s="2"/>
      <c r="D24" s="33" t="s">
        <v>73</v>
      </c>
      <c r="E24" s="110">
        <v>1642</v>
      </c>
      <c r="F24" s="91"/>
      <c r="G24" s="36">
        <v>4</v>
      </c>
      <c r="H24" s="35">
        <f t="shared" si="0"/>
        <v>0</v>
      </c>
      <c r="I24" s="69"/>
      <c r="J24" s="21"/>
    </row>
    <row r="25" spans="1:10" x14ac:dyDescent="0.25">
      <c r="A25" s="31"/>
      <c r="B25" s="32" t="s">
        <v>74</v>
      </c>
      <c r="C25" s="2"/>
      <c r="D25" s="33" t="s">
        <v>75</v>
      </c>
      <c r="E25" s="110">
        <v>856</v>
      </c>
      <c r="F25" s="91"/>
      <c r="G25" s="36">
        <v>4</v>
      </c>
      <c r="H25" s="35">
        <f t="shared" si="0"/>
        <v>0</v>
      </c>
      <c r="I25" s="69"/>
      <c r="J25" s="21"/>
    </row>
    <row r="26" spans="1:10" x14ac:dyDescent="0.25">
      <c r="A26" s="31"/>
      <c r="B26" s="32" t="s">
        <v>76</v>
      </c>
      <c r="C26" s="2"/>
      <c r="D26" s="33" t="s">
        <v>77</v>
      </c>
      <c r="E26" s="110">
        <v>1301</v>
      </c>
      <c r="F26" s="91"/>
      <c r="G26" s="36">
        <v>4</v>
      </c>
      <c r="H26" s="35">
        <f t="shared" si="0"/>
        <v>0</v>
      </c>
      <c r="I26" s="69"/>
      <c r="J26" s="21"/>
    </row>
    <row r="27" spans="1:10" x14ac:dyDescent="0.25">
      <c r="A27" s="31"/>
      <c r="B27" s="32" t="s">
        <v>78</v>
      </c>
      <c r="C27" s="2"/>
      <c r="D27" s="33" t="s">
        <v>79</v>
      </c>
      <c r="E27" s="110">
        <v>499</v>
      </c>
      <c r="F27" s="91"/>
      <c r="G27" s="36">
        <v>2</v>
      </c>
      <c r="H27" s="35">
        <f t="shared" si="0"/>
        <v>0</v>
      </c>
      <c r="I27" s="69"/>
      <c r="J27" s="21"/>
    </row>
    <row r="28" spans="1:10" x14ac:dyDescent="0.25">
      <c r="A28" s="31"/>
      <c r="B28" s="32" t="s">
        <v>80</v>
      </c>
      <c r="C28" s="2"/>
      <c r="D28" s="33" t="s">
        <v>81</v>
      </c>
      <c r="E28" s="110">
        <v>82</v>
      </c>
      <c r="F28" s="91"/>
      <c r="G28" s="36">
        <v>2</v>
      </c>
      <c r="H28" s="35">
        <f t="shared" si="0"/>
        <v>0</v>
      </c>
      <c r="I28" s="69"/>
      <c r="J28" s="21"/>
    </row>
    <row r="29" spans="1:10" x14ac:dyDescent="0.25">
      <c r="A29" s="31"/>
      <c r="B29" s="32" t="s">
        <v>82</v>
      </c>
      <c r="C29" s="2"/>
      <c r="D29" s="41" t="s">
        <v>83</v>
      </c>
      <c r="E29" s="110">
        <v>72</v>
      </c>
      <c r="F29" s="91"/>
      <c r="G29" s="36">
        <v>2</v>
      </c>
      <c r="H29" s="35">
        <f t="shared" si="0"/>
        <v>0</v>
      </c>
      <c r="I29" s="69"/>
      <c r="J29" s="21"/>
    </row>
    <row r="30" spans="1:10" x14ac:dyDescent="0.25">
      <c r="A30" s="31"/>
      <c r="B30" s="32" t="s">
        <v>84</v>
      </c>
      <c r="C30" s="2"/>
      <c r="D30" s="41" t="s">
        <v>85</v>
      </c>
      <c r="E30" s="110">
        <v>853</v>
      </c>
      <c r="F30" s="91"/>
      <c r="G30" s="36">
        <v>2</v>
      </c>
      <c r="H30" s="35">
        <f t="shared" si="0"/>
        <v>0</v>
      </c>
      <c r="I30" s="69"/>
      <c r="J30" s="21"/>
    </row>
    <row r="31" spans="1:10" x14ac:dyDescent="0.25">
      <c r="A31" s="31"/>
      <c r="B31" s="32" t="s">
        <v>86</v>
      </c>
      <c r="C31" s="2"/>
      <c r="D31" s="41" t="s">
        <v>87</v>
      </c>
      <c r="E31" s="110">
        <v>10</v>
      </c>
      <c r="F31" s="91"/>
      <c r="G31" s="36">
        <v>2</v>
      </c>
      <c r="H31" s="35">
        <f t="shared" si="0"/>
        <v>0</v>
      </c>
      <c r="I31" s="69"/>
      <c r="J31" s="21"/>
    </row>
    <row r="32" spans="1:10" x14ac:dyDescent="0.25">
      <c r="A32" s="31"/>
      <c r="B32" s="32" t="s">
        <v>88</v>
      </c>
      <c r="C32" s="2"/>
      <c r="D32" s="41" t="s">
        <v>89</v>
      </c>
      <c r="E32" s="110">
        <v>8</v>
      </c>
      <c r="F32" s="91"/>
      <c r="G32" s="36">
        <v>2</v>
      </c>
      <c r="H32" s="35">
        <f t="shared" si="0"/>
        <v>0</v>
      </c>
      <c r="I32" s="69"/>
      <c r="J32" s="21"/>
    </row>
    <row r="33" spans="1:10" x14ac:dyDescent="0.25">
      <c r="A33" s="31"/>
      <c r="B33" s="32" t="s">
        <v>90</v>
      </c>
      <c r="C33" s="2"/>
      <c r="D33" s="41" t="s">
        <v>91</v>
      </c>
      <c r="E33" s="110">
        <v>168</v>
      </c>
      <c r="F33" s="91"/>
      <c r="G33" s="36">
        <v>4</v>
      </c>
      <c r="H33" s="35">
        <f t="shared" si="0"/>
        <v>0</v>
      </c>
      <c r="I33" s="69"/>
      <c r="J33" s="21"/>
    </row>
    <row r="34" spans="1:10" x14ac:dyDescent="0.25">
      <c r="A34" s="31"/>
      <c r="B34" s="32" t="s">
        <v>92</v>
      </c>
      <c r="C34" s="2"/>
      <c r="D34" s="41" t="s">
        <v>93</v>
      </c>
      <c r="E34" s="110">
        <v>164</v>
      </c>
      <c r="F34" s="91"/>
      <c r="G34" s="36">
        <v>4</v>
      </c>
      <c r="H34" s="35">
        <f t="shared" si="0"/>
        <v>0</v>
      </c>
      <c r="I34" s="69"/>
      <c r="J34" s="21"/>
    </row>
    <row r="35" spans="1:10" x14ac:dyDescent="0.25">
      <c r="A35" s="31"/>
      <c r="B35" s="32" t="s">
        <v>94</v>
      </c>
      <c r="C35" s="2"/>
      <c r="D35" s="41" t="s">
        <v>95</v>
      </c>
      <c r="E35" s="110">
        <v>187</v>
      </c>
      <c r="F35" s="91"/>
      <c r="G35" s="36">
        <v>4</v>
      </c>
      <c r="H35" s="35">
        <f t="shared" si="0"/>
        <v>0</v>
      </c>
      <c r="I35" s="69"/>
      <c r="J35" s="21"/>
    </row>
    <row r="36" spans="1:10" x14ac:dyDescent="0.25">
      <c r="A36" s="31"/>
      <c r="B36" s="32" t="s">
        <v>96</v>
      </c>
      <c r="C36" s="2"/>
      <c r="D36" s="41" t="s">
        <v>97</v>
      </c>
      <c r="E36" s="110">
        <v>164</v>
      </c>
      <c r="F36" s="91"/>
      <c r="G36" s="36">
        <v>4</v>
      </c>
      <c r="H36" s="35">
        <f t="shared" si="0"/>
        <v>0</v>
      </c>
      <c r="I36" s="69"/>
      <c r="J36" s="21"/>
    </row>
    <row r="37" spans="1:10" x14ac:dyDescent="0.25">
      <c r="A37" s="31"/>
      <c r="B37" s="32" t="s">
        <v>98</v>
      </c>
      <c r="C37" s="2"/>
      <c r="D37" s="41" t="s">
        <v>99</v>
      </c>
      <c r="E37" s="110">
        <v>30</v>
      </c>
      <c r="F37" s="91"/>
      <c r="G37" s="36">
        <v>4</v>
      </c>
      <c r="H37" s="35">
        <f t="shared" si="0"/>
        <v>0</v>
      </c>
      <c r="I37" s="69"/>
      <c r="J37" s="21"/>
    </row>
    <row r="38" spans="1:10" x14ac:dyDescent="0.25">
      <c r="A38" s="31"/>
      <c r="B38" s="32" t="s">
        <v>100</v>
      </c>
      <c r="C38" s="2"/>
      <c r="D38" s="41" t="s">
        <v>101</v>
      </c>
      <c r="E38" s="110">
        <v>70</v>
      </c>
      <c r="F38" s="91"/>
      <c r="G38" s="36">
        <v>4</v>
      </c>
      <c r="H38" s="35">
        <f t="shared" si="0"/>
        <v>0</v>
      </c>
      <c r="I38" s="69"/>
      <c r="J38" s="21"/>
    </row>
    <row r="39" spans="1:10" x14ac:dyDescent="0.25">
      <c r="A39" s="31"/>
      <c r="B39" s="32" t="s">
        <v>102</v>
      </c>
      <c r="C39" s="2"/>
      <c r="D39" s="41" t="s">
        <v>103</v>
      </c>
      <c r="E39" s="110">
        <v>902</v>
      </c>
      <c r="F39" s="91"/>
      <c r="G39" s="36">
        <v>4</v>
      </c>
      <c r="H39" s="35">
        <f t="shared" si="0"/>
        <v>0</v>
      </c>
      <c r="I39" s="69"/>
      <c r="J39" s="21"/>
    </row>
    <row r="40" spans="1:10" x14ac:dyDescent="0.25">
      <c r="A40" s="31"/>
      <c r="B40" s="32" t="s">
        <v>104</v>
      </c>
      <c r="C40" s="2"/>
      <c r="D40" s="41" t="s">
        <v>105</v>
      </c>
      <c r="E40" s="110">
        <v>12</v>
      </c>
      <c r="F40" s="91"/>
      <c r="G40" s="36">
        <v>4</v>
      </c>
      <c r="H40" s="35">
        <f t="shared" si="0"/>
        <v>0</v>
      </c>
      <c r="I40" s="69"/>
      <c r="J40" s="21"/>
    </row>
    <row r="41" spans="1:10" x14ac:dyDescent="0.25">
      <c r="A41" s="31"/>
      <c r="B41" s="32" t="s">
        <v>106</v>
      </c>
      <c r="C41" s="2"/>
      <c r="D41" s="41" t="s">
        <v>107</v>
      </c>
      <c r="E41" s="110">
        <v>56</v>
      </c>
      <c r="F41" s="91"/>
      <c r="G41" s="36">
        <v>4</v>
      </c>
      <c r="H41" s="35">
        <f t="shared" si="0"/>
        <v>0</v>
      </c>
      <c r="I41" s="69"/>
      <c r="J41" s="21"/>
    </row>
    <row r="42" spans="1:10" x14ac:dyDescent="0.25">
      <c r="A42" s="31"/>
      <c r="B42" s="32" t="s">
        <v>108</v>
      </c>
      <c r="C42" s="2"/>
      <c r="D42" s="41" t="s">
        <v>109</v>
      </c>
      <c r="E42" s="110">
        <v>60</v>
      </c>
      <c r="F42" s="91"/>
      <c r="G42" s="36">
        <v>4</v>
      </c>
      <c r="H42" s="35">
        <f t="shared" si="0"/>
        <v>0</v>
      </c>
      <c r="I42" s="69"/>
      <c r="J42" s="21"/>
    </row>
    <row r="43" spans="1:10" x14ac:dyDescent="0.25">
      <c r="A43" s="31"/>
      <c r="B43" s="32" t="s">
        <v>110</v>
      </c>
      <c r="C43" s="2"/>
      <c r="D43" s="41" t="s">
        <v>111</v>
      </c>
      <c r="E43" s="110">
        <v>12</v>
      </c>
      <c r="F43" s="91"/>
      <c r="G43" s="36">
        <v>4</v>
      </c>
      <c r="H43" s="35">
        <f t="shared" si="0"/>
        <v>0</v>
      </c>
      <c r="I43" s="69"/>
      <c r="J43" s="21"/>
    </row>
    <row r="44" spans="1:10" x14ac:dyDescent="0.25">
      <c r="A44" s="31"/>
      <c r="B44" s="32" t="s">
        <v>112</v>
      </c>
      <c r="C44" s="2"/>
      <c r="D44" s="41" t="s">
        <v>228</v>
      </c>
      <c r="E44" s="110">
        <v>14</v>
      </c>
      <c r="F44" s="91"/>
      <c r="G44" s="36">
        <v>2</v>
      </c>
      <c r="H44" s="35">
        <f t="shared" si="0"/>
        <v>0</v>
      </c>
      <c r="I44" s="69"/>
      <c r="J44" s="21"/>
    </row>
    <row r="45" spans="1:10" x14ac:dyDescent="0.25">
      <c r="A45" s="31"/>
      <c r="B45" s="32" t="s">
        <v>113</v>
      </c>
      <c r="C45" s="2"/>
      <c r="D45" s="41" t="s">
        <v>229</v>
      </c>
      <c r="E45" s="110">
        <v>1</v>
      </c>
      <c r="F45" s="91"/>
      <c r="G45" s="36">
        <v>2</v>
      </c>
      <c r="H45" s="35">
        <f t="shared" si="0"/>
        <v>0</v>
      </c>
      <c r="I45" s="69"/>
      <c r="J45" s="21"/>
    </row>
    <row r="46" spans="1:10" x14ac:dyDescent="0.25">
      <c r="A46" s="31"/>
      <c r="B46" s="32" t="s">
        <v>114</v>
      </c>
      <c r="C46" s="2"/>
      <c r="D46" s="41" t="s">
        <v>230</v>
      </c>
      <c r="E46" s="110">
        <v>18</v>
      </c>
      <c r="F46" s="91"/>
      <c r="G46" s="36">
        <v>2</v>
      </c>
      <c r="H46" s="35">
        <f t="shared" si="0"/>
        <v>0</v>
      </c>
      <c r="I46" s="69"/>
      <c r="J46" s="21"/>
    </row>
    <row r="47" spans="1:10" x14ac:dyDescent="0.25">
      <c r="A47" s="31"/>
      <c r="B47" s="32" t="s">
        <v>115</v>
      </c>
      <c r="C47" s="2"/>
      <c r="D47" s="41" t="s">
        <v>116</v>
      </c>
      <c r="E47" s="110">
        <v>68</v>
      </c>
      <c r="F47" s="91"/>
      <c r="G47" s="36">
        <v>4</v>
      </c>
      <c r="H47" s="35">
        <f t="shared" si="0"/>
        <v>0</v>
      </c>
      <c r="I47" s="69"/>
      <c r="J47" s="21"/>
    </row>
    <row r="48" spans="1:10" x14ac:dyDescent="0.25">
      <c r="A48" s="31"/>
      <c r="B48" s="32" t="s">
        <v>117</v>
      </c>
      <c r="C48" s="2"/>
      <c r="D48" s="41" t="s">
        <v>118</v>
      </c>
      <c r="E48" s="110">
        <v>8</v>
      </c>
      <c r="F48" s="91"/>
      <c r="G48" s="36">
        <v>4</v>
      </c>
      <c r="H48" s="35">
        <f t="shared" si="0"/>
        <v>0</v>
      </c>
      <c r="I48" s="69"/>
      <c r="J48" s="21"/>
    </row>
    <row r="49" spans="1:10" x14ac:dyDescent="0.25">
      <c r="A49" s="31"/>
      <c r="B49" s="32" t="s">
        <v>119</v>
      </c>
      <c r="C49" s="2"/>
      <c r="D49" s="41" t="s">
        <v>120</v>
      </c>
      <c r="E49" s="110">
        <v>6</v>
      </c>
      <c r="F49" s="91"/>
      <c r="G49" s="36">
        <v>4</v>
      </c>
      <c r="H49" s="35">
        <f t="shared" si="0"/>
        <v>0</v>
      </c>
      <c r="I49" s="69"/>
      <c r="J49" s="21"/>
    </row>
    <row r="50" spans="1:10" x14ac:dyDescent="0.25">
      <c r="A50" s="31"/>
      <c r="B50" s="32" t="s">
        <v>121</v>
      </c>
      <c r="C50" s="2"/>
      <c r="D50" s="41" t="s">
        <v>218</v>
      </c>
      <c r="E50" s="110">
        <v>92</v>
      </c>
      <c r="F50" s="91"/>
      <c r="G50" s="36">
        <v>4</v>
      </c>
      <c r="H50" s="35">
        <f t="shared" si="0"/>
        <v>0</v>
      </c>
      <c r="I50" s="69"/>
      <c r="J50" s="21"/>
    </row>
    <row r="51" spans="1:10" x14ac:dyDescent="0.25">
      <c r="A51" s="31"/>
      <c r="B51" s="32" t="s">
        <v>122</v>
      </c>
      <c r="C51" s="2"/>
      <c r="D51" s="41" t="s">
        <v>219</v>
      </c>
      <c r="E51" s="110">
        <v>17</v>
      </c>
      <c r="F51" s="91"/>
      <c r="G51" s="61">
        <v>4</v>
      </c>
      <c r="H51" s="35">
        <f t="shared" si="0"/>
        <v>0</v>
      </c>
      <c r="I51" s="69"/>
      <c r="J51" s="21"/>
    </row>
    <row r="52" spans="1:10" x14ac:dyDescent="0.25">
      <c r="A52" s="31"/>
      <c r="B52" s="60" t="s">
        <v>220</v>
      </c>
      <c r="C52" s="31"/>
      <c r="D52" s="41" t="s">
        <v>217</v>
      </c>
      <c r="E52" s="110">
        <v>12</v>
      </c>
      <c r="F52" s="91"/>
      <c r="G52" s="87">
        <v>4</v>
      </c>
      <c r="H52" s="64">
        <f t="shared" si="0"/>
        <v>0</v>
      </c>
      <c r="I52" s="63"/>
    </row>
  </sheetData>
  <mergeCells count="1">
    <mergeCell ref="E2:G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24C59-DA92-46BA-A25C-69D3DA7A19FC}">
  <sheetPr>
    <tabColor rgb="FFFF0000"/>
  </sheetPr>
  <dimension ref="A1:I41"/>
  <sheetViews>
    <sheetView workbookViewId="0">
      <selection activeCell="F3" sqref="F3:F41"/>
    </sheetView>
  </sheetViews>
  <sheetFormatPr defaultColWidth="9.140625" defaultRowHeight="15" x14ac:dyDescent="0.25"/>
  <cols>
    <col min="4" max="4" width="40.7109375" customWidth="1"/>
    <col min="5" max="5" width="10.7109375" customWidth="1"/>
    <col min="6" max="6" width="7.140625" bestFit="1" customWidth="1"/>
    <col min="8" max="8" width="14.42578125" bestFit="1" customWidth="1"/>
    <col min="9" max="9" width="9.140625" style="21"/>
    <col min="258" max="258" width="40.7109375" customWidth="1"/>
    <col min="262" max="262" width="10.42578125" customWidth="1"/>
    <col min="514" max="514" width="40.7109375" customWidth="1"/>
    <col min="518" max="518" width="10.42578125" customWidth="1"/>
    <col min="770" max="770" width="40.7109375" customWidth="1"/>
    <col min="774" max="774" width="10.42578125" customWidth="1"/>
    <col min="1026" max="1026" width="40.7109375" customWidth="1"/>
    <col min="1030" max="1030" width="10.42578125" customWidth="1"/>
    <col min="1282" max="1282" width="40.7109375" customWidth="1"/>
    <col min="1286" max="1286" width="10.42578125" customWidth="1"/>
    <col min="1538" max="1538" width="40.7109375" customWidth="1"/>
    <col min="1542" max="1542" width="10.42578125" customWidth="1"/>
    <col min="1794" max="1794" width="40.7109375" customWidth="1"/>
    <col min="1798" max="1798" width="10.42578125" customWidth="1"/>
    <col min="2050" max="2050" width="40.7109375" customWidth="1"/>
    <col min="2054" max="2054" width="10.42578125" customWidth="1"/>
    <col min="2306" max="2306" width="40.7109375" customWidth="1"/>
    <col min="2310" max="2310" width="10.42578125" customWidth="1"/>
    <col min="2562" max="2562" width="40.7109375" customWidth="1"/>
    <col min="2566" max="2566" width="10.42578125" customWidth="1"/>
    <col min="2818" max="2818" width="40.7109375" customWidth="1"/>
    <col min="2822" max="2822" width="10.42578125" customWidth="1"/>
    <col min="3074" max="3074" width="40.7109375" customWidth="1"/>
    <col min="3078" max="3078" width="10.42578125" customWidth="1"/>
    <col min="3330" max="3330" width="40.7109375" customWidth="1"/>
    <col min="3334" max="3334" width="10.42578125" customWidth="1"/>
    <col min="3586" max="3586" width="40.7109375" customWidth="1"/>
    <col min="3590" max="3590" width="10.42578125" customWidth="1"/>
    <col min="3842" max="3842" width="40.7109375" customWidth="1"/>
    <col min="3846" max="3846" width="10.42578125" customWidth="1"/>
    <col min="4098" max="4098" width="40.7109375" customWidth="1"/>
    <col min="4102" max="4102" width="10.42578125" customWidth="1"/>
    <col min="4354" max="4354" width="40.7109375" customWidth="1"/>
    <col min="4358" max="4358" width="10.42578125" customWidth="1"/>
    <col min="4610" max="4610" width="40.7109375" customWidth="1"/>
    <col min="4614" max="4614" width="10.42578125" customWidth="1"/>
    <col min="4866" max="4866" width="40.7109375" customWidth="1"/>
    <col min="4870" max="4870" width="10.42578125" customWidth="1"/>
    <col min="5122" max="5122" width="40.7109375" customWidth="1"/>
    <col min="5126" max="5126" width="10.42578125" customWidth="1"/>
    <col min="5378" max="5378" width="40.7109375" customWidth="1"/>
    <col min="5382" max="5382" width="10.42578125" customWidth="1"/>
    <col min="5634" max="5634" width="40.7109375" customWidth="1"/>
    <col min="5638" max="5638" width="10.42578125" customWidth="1"/>
    <col min="5890" max="5890" width="40.7109375" customWidth="1"/>
    <col min="5894" max="5894" width="10.42578125" customWidth="1"/>
    <col min="6146" max="6146" width="40.7109375" customWidth="1"/>
    <col min="6150" max="6150" width="10.42578125" customWidth="1"/>
    <col min="6402" max="6402" width="40.7109375" customWidth="1"/>
    <col min="6406" max="6406" width="10.42578125" customWidth="1"/>
    <col min="6658" max="6658" width="40.7109375" customWidth="1"/>
    <col min="6662" max="6662" width="10.42578125" customWidth="1"/>
    <col min="6914" max="6914" width="40.7109375" customWidth="1"/>
    <col min="6918" max="6918" width="10.42578125" customWidth="1"/>
    <col min="7170" max="7170" width="40.7109375" customWidth="1"/>
    <col min="7174" max="7174" width="10.42578125" customWidth="1"/>
    <col min="7426" max="7426" width="40.7109375" customWidth="1"/>
    <col min="7430" max="7430" width="10.42578125" customWidth="1"/>
    <col min="7682" max="7682" width="40.7109375" customWidth="1"/>
    <col min="7686" max="7686" width="10.42578125" customWidth="1"/>
    <col min="7938" max="7938" width="40.7109375" customWidth="1"/>
    <col min="7942" max="7942" width="10.42578125" customWidth="1"/>
    <col min="8194" max="8194" width="40.7109375" customWidth="1"/>
    <col min="8198" max="8198" width="10.42578125" customWidth="1"/>
    <col min="8450" max="8450" width="40.7109375" customWidth="1"/>
    <col min="8454" max="8454" width="10.42578125" customWidth="1"/>
    <col min="8706" max="8706" width="40.7109375" customWidth="1"/>
    <col min="8710" max="8710" width="10.42578125" customWidth="1"/>
    <col min="8962" max="8962" width="40.7109375" customWidth="1"/>
    <col min="8966" max="8966" width="10.42578125" customWidth="1"/>
    <col min="9218" max="9218" width="40.7109375" customWidth="1"/>
    <col min="9222" max="9222" width="10.42578125" customWidth="1"/>
    <col min="9474" max="9474" width="40.7109375" customWidth="1"/>
    <col min="9478" max="9478" width="10.42578125" customWidth="1"/>
    <col min="9730" max="9730" width="40.7109375" customWidth="1"/>
    <col min="9734" max="9734" width="10.42578125" customWidth="1"/>
    <col min="9986" max="9986" width="40.7109375" customWidth="1"/>
    <col min="9990" max="9990" width="10.42578125" customWidth="1"/>
    <col min="10242" max="10242" width="40.7109375" customWidth="1"/>
    <col min="10246" max="10246" width="10.42578125" customWidth="1"/>
    <col min="10498" max="10498" width="40.7109375" customWidth="1"/>
    <col min="10502" max="10502" width="10.42578125" customWidth="1"/>
    <col min="10754" max="10754" width="40.7109375" customWidth="1"/>
    <col min="10758" max="10758" width="10.42578125" customWidth="1"/>
    <col min="11010" max="11010" width="40.7109375" customWidth="1"/>
    <col min="11014" max="11014" width="10.42578125" customWidth="1"/>
    <col min="11266" max="11266" width="40.7109375" customWidth="1"/>
    <col min="11270" max="11270" width="10.42578125" customWidth="1"/>
    <col min="11522" max="11522" width="40.7109375" customWidth="1"/>
    <col min="11526" max="11526" width="10.42578125" customWidth="1"/>
    <col min="11778" max="11778" width="40.7109375" customWidth="1"/>
    <col min="11782" max="11782" width="10.42578125" customWidth="1"/>
    <col min="12034" max="12034" width="40.7109375" customWidth="1"/>
    <col min="12038" max="12038" width="10.42578125" customWidth="1"/>
    <col min="12290" max="12290" width="40.7109375" customWidth="1"/>
    <col min="12294" max="12294" width="10.42578125" customWidth="1"/>
    <col min="12546" max="12546" width="40.7109375" customWidth="1"/>
    <col min="12550" max="12550" width="10.42578125" customWidth="1"/>
    <col min="12802" max="12802" width="40.7109375" customWidth="1"/>
    <col min="12806" max="12806" width="10.42578125" customWidth="1"/>
    <col min="13058" max="13058" width="40.7109375" customWidth="1"/>
    <col min="13062" max="13062" width="10.42578125" customWidth="1"/>
    <col min="13314" max="13314" width="40.7109375" customWidth="1"/>
    <col min="13318" max="13318" width="10.42578125" customWidth="1"/>
    <col min="13570" max="13570" width="40.7109375" customWidth="1"/>
    <col min="13574" max="13574" width="10.42578125" customWidth="1"/>
    <col min="13826" max="13826" width="40.7109375" customWidth="1"/>
    <col min="13830" max="13830" width="10.42578125" customWidth="1"/>
    <col min="14082" max="14082" width="40.7109375" customWidth="1"/>
    <col min="14086" max="14086" width="10.42578125" customWidth="1"/>
    <col min="14338" max="14338" width="40.7109375" customWidth="1"/>
    <col min="14342" max="14342" width="10.42578125" customWidth="1"/>
    <col min="14594" max="14594" width="40.7109375" customWidth="1"/>
    <col min="14598" max="14598" width="10.42578125" customWidth="1"/>
    <col min="14850" max="14850" width="40.7109375" customWidth="1"/>
    <col min="14854" max="14854" width="10.42578125" customWidth="1"/>
    <col min="15106" max="15106" width="40.7109375" customWidth="1"/>
    <col min="15110" max="15110" width="10.42578125" customWidth="1"/>
    <col min="15362" max="15362" width="40.7109375" customWidth="1"/>
    <col min="15366" max="15366" width="10.42578125" customWidth="1"/>
    <col min="15618" max="15618" width="40.7109375" customWidth="1"/>
    <col min="15622" max="15622" width="10.42578125" customWidth="1"/>
    <col min="15874" max="15874" width="40.7109375" customWidth="1"/>
    <col min="15878" max="15878" width="10.42578125" customWidth="1"/>
    <col min="16130" max="16130" width="40.7109375" customWidth="1"/>
    <col min="16134" max="16134" width="10.42578125" customWidth="1"/>
  </cols>
  <sheetData>
    <row r="1" spans="1:9" ht="38.25" x14ac:dyDescent="0.25">
      <c r="A1" s="25" t="s">
        <v>0</v>
      </c>
      <c r="B1" s="25" t="s">
        <v>24</v>
      </c>
      <c r="C1" s="25" t="s">
        <v>25</v>
      </c>
      <c r="D1" s="26" t="s">
        <v>1</v>
      </c>
      <c r="E1" s="27" t="s">
        <v>26</v>
      </c>
      <c r="F1" s="27" t="s">
        <v>27</v>
      </c>
      <c r="G1" s="27" t="s">
        <v>28</v>
      </c>
      <c r="H1" s="27" t="s">
        <v>2</v>
      </c>
    </row>
    <row r="2" spans="1:9" ht="91.5" customHeight="1" x14ac:dyDescent="0.25">
      <c r="A2" s="44" t="s">
        <v>20</v>
      </c>
      <c r="B2" s="3"/>
      <c r="C2" s="3"/>
      <c r="D2" s="30" t="s">
        <v>123</v>
      </c>
      <c r="E2" s="161" t="s">
        <v>30</v>
      </c>
      <c r="F2" s="162"/>
      <c r="G2" s="163"/>
      <c r="H2" s="58">
        <f>SUM(H3:H41)</f>
        <v>0</v>
      </c>
    </row>
    <row r="3" spans="1:9" ht="18" customHeight="1" x14ac:dyDescent="0.25">
      <c r="A3" s="31"/>
      <c r="B3" s="32" t="s">
        <v>124</v>
      </c>
      <c r="C3" s="1"/>
      <c r="D3" s="45" t="s">
        <v>125</v>
      </c>
      <c r="E3" s="111">
        <v>50</v>
      </c>
      <c r="F3" s="94"/>
      <c r="G3" s="36">
        <v>2</v>
      </c>
      <c r="H3" s="35">
        <f>(E3*F3)*G3</f>
        <v>0</v>
      </c>
      <c r="I3" s="69"/>
    </row>
    <row r="4" spans="1:9" x14ac:dyDescent="0.25">
      <c r="A4" s="31"/>
      <c r="B4" s="32" t="s">
        <v>126</v>
      </c>
      <c r="C4" s="1"/>
      <c r="D4" s="41" t="s">
        <v>127</v>
      </c>
      <c r="E4" s="110">
        <v>40</v>
      </c>
      <c r="F4" s="94"/>
      <c r="G4" s="36">
        <v>2</v>
      </c>
      <c r="H4" s="35">
        <f t="shared" ref="H4:H41" si="0">(E4*F4)*G4</f>
        <v>0</v>
      </c>
      <c r="I4" s="69"/>
    </row>
    <row r="5" spans="1:9" x14ac:dyDescent="0.25">
      <c r="A5" s="31"/>
      <c r="B5" s="32" t="s">
        <v>128</v>
      </c>
      <c r="C5" s="1"/>
      <c r="D5" s="41" t="s">
        <v>129</v>
      </c>
      <c r="E5" s="110">
        <v>6</v>
      </c>
      <c r="F5" s="94"/>
      <c r="G5" s="36">
        <v>2</v>
      </c>
      <c r="H5" s="35">
        <f t="shared" si="0"/>
        <v>0</v>
      </c>
      <c r="I5" s="69"/>
    </row>
    <row r="6" spans="1:9" x14ac:dyDescent="0.25">
      <c r="A6" s="31"/>
      <c r="B6" s="32" t="s">
        <v>130</v>
      </c>
      <c r="C6" s="1"/>
      <c r="D6" s="41" t="s">
        <v>131</v>
      </c>
      <c r="E6" s="110">
        <v>7</v>
      </c>
      <c r="F6" s="94"/>
      <c r="G6" s="36">
        <v>2</v>
      </c>
      <c r="H6" s="35">
        <f t="shared" si="0"/>
        <v>0</v>
      </c>
      <c r="I6" s="69"/>
    </row>
    <row r="7" spans="1:9" x14ac:dyDescent="0.25">
      <c r="A7" s="31"/>
      <c r="B7" s="32" t="s">
        <v>132</v>
      </c>
      <c r="C7" s="1"/>
      <c r="D7" s="41" t="s">
        <v>234</v>
      </c>
      <c r="E7" s="110">
        <v>4</v>
      </c>
      <c r="F7" s="94"/>
      <c r="G7" s="36">
        <v>2</v>
      </c>
      <c r="H7" s="35">
        <f t="shared" si="0"/>
        <v>0</v>
      </c>
      <c r="I7" s="69"/>
    </row>
    <row r="8" spans="1:9" x14ac:dyDescent="0.25">
      <c r="A8" s="31"/>
      <c r="B8" s="32" t="s">
        <v>134</v>
      </c>
      <c r="C8" s="2"/>
      <c r="D8" s="46" t="s">
        <v>133</v>
      </c>
      <c r="E8" s="112">
        <v>65</v>
      </c>
      <c r="F8" s="94"/>
      <c r="G8" s="36">
        <v>2</v>
      </c>
      <c r="H8" s="35">
        <f t="shared" si="0"/>
        <v>0</v>
      </c>
      <c r="I8" s="69"/>
    </row>
    <row r="9" spans="1:9" x14ac:dyDescent="0.25">
      <c r="A9" s="31"/>
      <c r="B9" s="32" t="s">
        <v>136</v>
      </c>
      <c r="C9" s="2"/>
      <c r="D9" s="46" t="s">
        <v>135</v>
      </c>
      <c r="E9" s="112">
        <v>20</v>
      </c>
      <c r="F9" s="94"/>
      <c r="G9" s="36">
        <v>2</v>
      </c>
      <c r="H9" s="35">
        <f t="shared" si="0"/>
        <v>0</v>
      </c>
      <c r="I9" s="69"/>
    </row>
    <row r="10" spans="1:9" x14ac:dyDescent="0.25">
      <c r="A10" s="31"/>
      <c r="B10" s="32" t="s">
        <v>138</v>
      </c>
      <c r="C10" s="2"/>
      <c r="D10" s="41" t="s">
        <v>137</v>
      </c>
      <c r="E10" s="110">
        <v>8</v>
      </c>
      <c r="F10" s="94"/>
      <c r="G10" s="36">
        <v>2</v>
      </c>
      <c r="H10" s="35">
        <f t="shared" si="0"/>
        <v>0</v>
      </c>
      <c r="I10" s="69"/>
    </row>
    <row r="11" spans="1:9" x14ac:dyDescent="0.25">
      <c r="A11" s="31"/>
      <c r="B11" s="32" t="s">
        <v>140</v>
      </c>
      <c r="C11" s="2"/>
      <c r="D11" s="41" t="s">
        <v>139</v>
      </c>
      <c r="E11" s="110">
        <v>22</v>
      </c>
      <c r="F11" s="94"/>
      <c r="G11" s="36">
        <v>2</v>
      </c>
      <c r="H11" s="35">
        <f t="shared" si="0"/>
        <v>0</v>
      </c>
      <c r="I11" s="69"/>
    </row>
    <row r="12" spans="1:9" x14ac:dyDescent="0.25">
      <c r="A12" s="31"/>
      <c r="B12" s="32" t="s">
        <v>142</v>
      </c>
      <c r="C12" s="2"/>
      <c r="D12" s="41" t="s">
        <v>141</v>
      </c>
      <c r="E12" s="110">
        <v>22</v>
      </c>
      <c r="F12" s="94"/>
      <c r="G12" s="36">
        <v>2</v>
      </c>
      <c r="H12" s="35">
        <f t="shared" si="0"/>
        <v>0</v>
      </c>
      <c r="I12" s="69"/>
    </row>
    <row r="13" spans="1:9" x14ac:dyDescent="0.25">
      <c r="A13" s="31"/>
      <c r="B13" s="32" t="s">
        <v>144</v>
      </c>
      <c r="C13" s="2"/>
      <c r="D13" s="41" t="s">
        <v>143</v>
      </c>
      <c r="E13" s="110">
        <v>26</v>
      </c>
      <c r="F13" s="94"/>
      <c r="G13" s="36">
        <v>2</v>
      </c>
      <c r="H13" s="35">
        <f t="shared" si="0"/>
        <v>0</v>
      </c>
      <c r="I13" s="69"/>
    </row>
    <row r="14" spans="1:9" x14ac:dyDescent="0.25">
      <c r="A14" s="31"/>
      <c r="B14" s="32" t="s">
        <v>146</v>
      </c>
      <c r="C14" s="2"/>
      <c r="D14" s="41" t="s">
        <v>145</v>
      </c>
      <c r="E14" s="110">
        <v>20</v>
      </c>
      <c r="F14" s="94"/>
      <c r="G14" s="36">
        <v>2</v>
      </c>
      <c r="H14" s="35">
        <f t="shared" si="0"/>
        <v>0</v>
      </c>
      <c r="I14" s="69"/>
    </row>
    <row r="15" spans="1:9" x14ac:dyDescent="0.25">
      <c r="A15" s="31"/>
      <c r="B15" s="32" t="s">
        <v>148</v>
      </c>
      <c r="C15" s="2"/>
      <c r="D15" s="41" t="s">
        <v>147</v>
      </c>
      <c r="E15" s="110">
        <v>44</v>
      </c>
      <c r="F15" s="94"/>
      <c r="G15" s="36">
        <v>2</v>
      </c>
      <c r="H15" s="35">
        <f t="shared" si="0"/>
        <v>0</v>
      </c>
      <c r="I15" s="69"/>
    </row>
    <row r="16" spans="1:9" x14ac:dyDescent="0.25">
      <c r="A16" s="31"/>
      <c r="B16" s="32" t="s">
        <v>150</v>
      </c>
      <c r="C16" s="2"/>
      <c r="D16" s="41" t="s">
        <v>149</v>
      </c>
      <c r="E16" s="110">
        <v>71</v>
      </c>
      <c r="F16" s="94"/>
      <c r="G16" s="36">
        <v>2</v>
      </c>
      <c r="H16" s="35">
        <f t="shared" si="0"/>
        <v>0</v>
      </c>
      <c r="I16" s="69"/>
    </row>
    <row r="17" spans="1:9" x14ac:dyDescent="0.25">
      <c r="A17" s="31"/>
      <c r="B17" s="32" t="s">
        <v>152</v>
      </c>
      <c r="C17" s="2"/>
      <c r="D17" s="41" t="s">
        <v>151</v>
      </c>
      <c r="E17" s="110">
        <v>75</v>
      </c>
      <c r="F17" s="94"/>
      <c r="G17" s="36">
        <v>2</v>
      </c>
      <c r="H17" s="35">
        <f t="shared" si="0"/>
        <v>0</v>
      </c>
      <c r="I17" s="69"/>
    </row>
    <row r="18" spans="1:9" x14ac:dyDescent="0.25">
      <c r="A18" s="31"/>
      <c r="B18" s="32" t="s">
        <v>154</v>
      </c>
      <c r="C18" s="2"/>
      <c r="D18" s="41" t="s">
        <v>153</v>
      </c>
      <c r="E18" s="110">
        <v>71</v>
      </c>
      <c r="F18" s="94"/>
      <c r="G18" s="36">
        <v>2</v>
      </c>
      <c r="H18" s="35">
        <f t="shared" si="0"/>
        <v>0</v>
      </c>
      <c r="I18" s="69"/>
    </row>
    <row r="19" spans="1:9" x14ac:dyDescent="0.25">
      <c r="A19" s="31"/>
      <c r="B19" s="32" t="s">
        <v>156</v>
      </c>
      <c r="C19" s="2"/>
      <c r="D19" s="41" t="s">
        <v>155</v>
      </c>
      <c r="E19" s="110">
        <v>8</v>
      </c>
      <c r="F19" s="94"/>
      <c r="G19" s="36">
        <v>2</v>
      </c>
      <c r="H19" s="35">
        <f t="shared" si="0"/>
        <v>0</v>
      </c>
      <c r="I19" s="69"/>
    </row>
    <row r="20" spans="1:9" x14ac:dyDescent="0.25">
      <c r="A20" s="31"/>
      <c r="B20" s="32" t="s">
        <v>158</v>
      </c>
      <c r="C20" s="2"/>
      <c r="D20" s="41" t="s">
        <v>157</v>
      </c>
      <c r="E20" s="110">
        <v>68</v>
      </c>
      <c r="F20" s="94"/>
      <c r="G20" s="36">
        <v>2</v>
      </c>
      <c r="H20" s="35">
        <f t="shared" si="0"/>
        <v>0</v>
      </c>
      <c r="I20" s="69"/>
    </row>
    <row r="21" spans="1:9" x14ac:dyDescent="0.25">
      <c r="A21" s="31"/>
      <c r="B21" s="32" t="s">
        <v>160</v>
      </c>
      <c r="C21" s="2"/>
      <c r="D21" s="41" t="s">
        <v>159</v>
      </c>
      <c r="E21" s="110">
        <v>6</v>
      </c>
      <c r="F21" s="94"/>
      <c r="G21" s="36">
        <v>2</v>
      </c>
      <c r="H21" s="35">
        <f t="shared" si="0"/>
        <v>0</v>
      </c>
      <c r="I21" s="69"/>
    </row>
    <row r="22" spans="1:9" x14ac:dyDescent="0.25">
      <c r="A22" s="31"/>
      <c r="B22" s="32" t="s">
        <v>162</v>
      </c>
      <c r="C22" s="2"/>
      <c r="D22" s="41" t="s">
        <v>161</v>
      </c>
      <c r="E22" s="110">
        <v>68</v>
      </c>
      <c r="F22" s="94"/>
      <c r="G22" s="36">
        <v>2</v>
      </c>
      <c r="H22" s="35">
        <f t="shared" si="0"/>
        <v>0</v>
      </c>
      <c r="I22" s="69"/>
    </row>
    <row r="23" spans="1:9" x14ac:dyDescent="0.25">
      <c r="A23" s="31"/>
      <c r="B23" s="32" t="s">
        <v>221</v>
      </c>
      <c r="C23" s="2"/>
      <c r="D23" s="41" t="s">
        <v>163</v>
      </c>
      <c r="E23" s="110">
        <v>79</v>
      </c>
      <c r="F23" s="94"/>
      <c r="G23" s="36">
        <v>2</v>
      </c>
      <c r="H23" s="35">
        <f t="shared" si="0"/>
        <v>0</v>
      </c>
      <c r="I23" s="69"/>
    </row>
    <row r="24" spans="1:9" x14ac:dyDescent="0.25">
      <c r="A24" s="31"/>
      <c r="B24" s="32" t="s">
        <v>164</v>
      </c>
      <c r="C24" s="2"/>
      <c r="D24" s="41" t="s">
        <v>222</v>
      </c>
      <c r="E24" s="110">
        <v>7</v>
      </c>
      <c r="F24" s="94"/>
      <c r="G24" s="36">
        <v>2</v>
      </c>
      <c r="H24" s="35">
        <f t="shared" si="0"/>
        <v>0</v>
      </c>
      <c r="I24" s="69"/>
    </row>
    <row r="25" spans="1:9" x14ac:dyDescent="0.25">
      <c r="A25" s="31"/>
      <c r="B25" s="32" t="s">
        <v>166</v>
      </c>
      <c r="C25" s="2"/>
      <c r="D25" s="41" t="s">
        <v>165</v>
      </c>
      <c r="E25" s="110">
        <v>143</v>
      </c>
      <c r="F25" s="94"/>
      <c r="G25" s="36">
        <v>2</v>
      </c>
      <c r="H25" s="35">
        <f t="shared" si="0"/>
        <v>0</v>
      </c>
      <c r="I25" s="69"/>
    </row>
    <row r="26" spans="1:9" x14ac:dyDescent="0.25">
      <c r="A26" s="31"/>
      <c r="B26" s="32" t="s">
        <v>168</v>
      </c>
      <c r="C26" s="2"/>
      <c r="D26" s="41" t="s">
        <v>167</v>
      </c>
      <c r="E26" s="110">
        <v>10</v>
      </c>
      <c r="F26" s="94"/>
      <c r="G26" s="36">
        <v>2</v>
      </c>
      <c r="H26" s="35">
        <f t="shared" si="0"/>
        <v>0</v>
      </c>
      <c r="I26" s="69"/>
    </row>
    <row r="27" spans="1:9" x14ac:dyDescent="0.25">
      <c r="A27" s="31"/>
      <c r="B27" s="32" t="s">
        <v>170</v>
      </c>
      <c r="C27" s="2"/>
      <c r="D27" s="41" t="s">
        <v>169</v>
      </c>
      <c r="E27" s="110">
        <v>72</v>
      </c>
      <c r="F27" s="94"/>
      <c r="G27" s="36">
        <v>2</v>
      </c>
      <c r="H27" s="35">
        <f t="shared" si="0"/>
        <v>0</v>
      </c>
      <c r="I27" s="69"/>
    </row>
    <row r="28" spans="1:9" x14ac:dyDescent="0.25">
      <c r="A28" s="31"/>
      <c r="B28" s="32" t="s">
        <v>172</v>
      </c>
      <c r="C28" s="2"/>
      <c r="D28" s="41" t="s">
        <v>171</v>
      </c>
      <c r="E28" s="110">
        <v>52</v>
      </c>
      <c r="F28" s="94"/>
      <c r="G28" s="36">
        <v>2</v>
      </c>
      <c r="H28" s="35">
        <f t="shared" si="0"/>
        <v>0</v>
      </c>
      <c r="I28" s="69"/>
    </row>
    <row r="29" spans="1:9" x14ac:dyDescent="0.25">
      <c r="A29" s="31"/>
      <c r="B29" s="32" t="s">
        <v>174</v>
      </c>
      <c r="C29" s="2"/>
      <c r="D29" s="41" t="s">
        <v>173</v>
      </c>
      <c r="E29" s="110">
        <v>52</v>
      </c>
      <c r="F29" s="94"/>
      <c r="G29" s="36">
        <v>2</v>
      </c>
      <c r="H29" s="35">
        <f t="shared" si="0"/>
        <v>0</v>
      </c>
      <c r="I29" s="69"/>
    </row>
    <row r="30" spans="1:9" x14ac:dyDescent="0.25">
      <c r="A30" s="31"/>
      <c r="B30" s="32" t="s">
        <v>176</v>
      </c>
      <c r="C30" s="2"/>
      <c r="D30" s="41" t="s">
        <v>175</v>
      </c>
      <c r="E30" s="110">
        <v>4</v>
      </c>
      <c r="F30" s="94"/>
      <c r="G30" s="36">
        <v>2</v>
      </c>
      <c r="H30" s="35">
        <f t="shared" si="0"/>
        <v>0</v>
      </c>
      <c r="I30" s="69"/>
    </row>
    <row r="31" spans="1:9" x14ac:dyDescent="0.25">
      <c r="A31" s="31"/>
      <c r="B31" s="32" t="s">
        <v>177</v>
      </c>
      <c r="C31" s="2"/>
      <c r="D31" s="41" t="s">
        <v>223</v>
      </c>
      <c r="E31" s="110">
        <v>4</v>
      </c>
      <c r="F31" s="94"/>
      <c r="G31" s="36">
        <v>2</v>
      </c>
      <c r="H31" s="35">
        <f t="shared" si="0"/>
        <v>0</v>
      </c>
      <c r="I31" s="69"/>
    </row>
    <row r="32" spans="1:9" x14ac:dyDescent="0.25">
      <c r="A32" s="31"/>
      <c r="B32" s="32" t="s">
        <v>179</v>
      </c>
      <c r="C32" s="2"/>
      <c r="D32" s="41" t="s">
        <v>178</v>
      </c>
      <c r="E32" s="110">
        <v>25</v>
      </c>
      <c r="F32" s="94"/>
      <c r="G32" s="36">
        <v>2</v>
      </c>
      <c r="H32" s="35">
        <f t="shared" si="0"/>
        <v>0</v>
      </c>
      <c r="I32" s="69"/>
    </row>
    <row r="33" spans="1:9" x14ac:dyDescent="0.25">
      <c r="A33" s="31"/>
      <c r="B33" s="32" t="s">
        <v>181</v>
      </c>
      <c r="C33" s="2"/>
      <c r="D33" s="41" t="s">
        <v>180</v>
      </c>
      <c r="E33" s="110">
        <v>72</v>
      </c>
      <c r="F33" s="94"/>
      <c r="G33" s="36">
        <v>2</v>
      </c>
      <c r="H33" s="35">
        <f t="shared" si="0"/>
        <v>0</v>
      </c>
      <c r="I33" s="69"/>
    </row>
    <row r="34" spans="1:9" x14ac:dyDescent="0.25">
      <c r="A34" s="31"/>
      <c r="B34" s="32" t="s">
        <v>183</v>
      </c>
      <c r="C34" s="2"/>
      <c r="D34" s="41" t="s">
        <v>182</v>
      </c>
      <c r="E34" s="110">
        <v>66</v>
      </c>
      <c r="F34" s="94"/>
      <c r="G34" s="36">
        <v>2</v>
      </c>
      <c r="H34" s="35">
        <f t="shared" si="0"/>
        <v>0</v>
      </c>
      <c r="I34" s="69"/>
    </row>
    <row r="35" spans="1:9" x14ac:dyDescent="0.25">
      <c r="A35" s="31"/>
      <c r="B35" s="32" t="s">
        <v>185</v>
      </c>
      <c r="C35" s="2"/>
      <c r="D35" s="41" t="s">
        <v>184</v>
      </c>
      <c r="E35" s="110">
        <v>6</v>
      </c>
      <c r="F35" s="94"/>
      <c r="G35" s="36">
        <v>2</v>
      </c>
      <c r="H35" s="35">
        <f t="shared" si="0"/>
        <v>0</v>
      </c>
      <c r="I35" s="69"/>
    </row>
    <row r="36" spans="1:9" x14ac:dyDescent="0.25">
      <c r="A36" s="31"/>
      <c r="B36" s="32" t="s">
        <v>187</v>
      </c>
      <c r="C36" s="2"/>
      <c r="D36" s="41" t="s">
        <v>186</v>
      </c>
      <c r="E36" s="110">
        <v>31</v>
      </c>
      <c r="F36" s="94"/>
      <c r="G36" s="36">
        <v>2</v>
      </c>
      <c r="H36" s="35">
        <f t="shared" si="0"/>
        <v>0</v>
      </c>
      <c r="I36" s="69"/>
    </row>
    <row r="37" spans="1:9" x14ac:dyDescent="0.25">
      <c r="A37" s="31"/>
      <c r="B37" s="32" t="s">
        <v>189</v>
      </c>
      <c r="C37" s="2"/>
      <c r="D37" s="41" t="s">
        <v>188</v>
      </c>
      <c r="E37" s="110">
        <v>39</v>
      </c>
      <c r="F37" s="94"/>
      <c r="G37" s="36">
        <v>2</v>
      </c>
      <c r="H37" s="35">
        <f t="shared" si="0"/>
        <v>0</v>
      </c>
      <c r="I37" s="69"/>
    </row>
    <row r="38" spans="1:9" x14ac:dyDescent="0.25">
      <c r="A38" s="31"/>
      <c r="B38" s="32" t="s">
        <v>224</v>
      </c>
      <c r="C38" s="2"/>
      <c r="D38" s="41" t="s">
        <v>190</v>
      </c>
      <c r="E38" s="110">
        <v>15302</v>
      </c>
      <c r="F38" s="94"/>
      <c r="G38" s="36">
        <v>2</v>
      </c>
      <c r="H38" s="35">
        <f t="shared" si="0"/>
        <v>0</v>
      </c>
      <c r="I38" s="69"/>
    </row>
    <row r="39" spans="1:9" x14ac:dyDescent="0.25">
      <c r="A39" s="31"/>
      <c r="B39" s="32" t="s">
        <v>226</v>
      </c>
      <c r="C39" s="2"/>
      <c r="D39" s="41" t="s">
        <v>225</v>
      </c>
      <c r="E39" s="110">
        <v>0</v>
      </c>
      <c r="F39" s="94"/>
      <c r="G39" s="36">
        <v>2</v>
      </c>
      <c r="H39" s="35">
        <f t="shared" si="0"/>
        <v>0</v>
      </c>
      <c r="I39" s="69"/>
    </row>
    <row r="40" spans="1:9" x14ac:dyDescent="0.25">
      <c r="A40" s="31"/>
      <c r="B40" s="32" t="s">
        <v>191</v>
      </c>
      <c r="C40" s="2"/>
      <c r="D40" s="41" t="s">
        <v>227</v>
      </c>
      <c r="E40" s="110">
        <v>0</v>
      </c>
      <c r="F40" s="94"/>
      <c r="G40" s="36">
        <v>2</v>
      </c>
      <c r="H40" s="35">
        <f t="shared" si="0"/>
        <v>0</v>
      </c>
      <c r="I40" s="69"/>
    </row>
    <row r="41" spans="1:9" x14ac:dyDescent="0.25">
      <c r="A41" s="13"/>
      <c r="B41" s="32" t="s">
        <v>215</v>
      </c>
      <c r="C41" s="2"/>
      <c r="D41" s="41" t="s">
        <v>192</v>
      </c>
      <c r="E41" s="110">
        <v>66</v>
      </c>
      <c r="F41" s="94"/>
      <c r="G41" s="36">
        <v>2</v>
      </c>
      <c r="H41" s="35">
        <f t="shared" si="0"/>
        <v>0</v>
      </c>
    </row>
  </sheetData>
  <mergeCells count="1">
    <mergeCell ref="E2:G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6DABD-BDBE-43D1-BA90-5833F165A0DB}">
  <sheetPr>
    <tabColor rgb="FFFF0000"/>
  </sheetPr>
  <dimension ref="A1:K16"/>
  <sheetViews>
    <sheetView workbookViewId="0">
      <selection activeCell="F3" sqref="F3:F12"/>
    </sheetView>
  </sheetViews>
  <sheetFormatPr defaultColWidth="9.140625" defaultRowHeight="15" x14ac:dyDescent="0.25"/>
  <cols>
    <col min="4" max="4" width="40.7109375" customWidth="1"/>
    <col min="6" max="6" width="10.28515625" customWidth="1"/>
    <col min="8" max="8" width="10.85546875" customWidth="1"/>
    <col min="9" max="9" width="14.42578125" style="66" customWidth="1"/>
    <col min="10" max="10" width="9.140625" style="66"/>
    <col min="260" max="260" width="40.7109375" customWidth="1"/>
    <col min="264" max="264" width="10.85546875" customWidth="1"/>
    <col min="516" max="516" width="40.7109375" customWidth="1"/>
    <col min="520" max="520" width="10.85546875" customWidth="1"/>
    <col min="772" max="772" width="40.7109375" customWidth="1"/>
    <col min="776" max="776" width="10.85546875" customWidth="1"/>
    <col min="1028" max="1028" width="40.7109375" customWidth="1"/>
    <col min="1032" max="1032" width="10.85546875" customWidth="1"/>
    <col min="1284" max="1284" width="40.7109375" customWidth="1"/>
    <col min="1288" max="1288" width="10.85546875" customWidth="1"/>
    <col min="1540" max="1540" width="40.7109375" customWidth="1"/>
    <col min="1544" max="1544" width="10.85546875" customWidth="1"/>
    <col min="1796" max="1796" width="40.7109375" customWidth="1"/>
    <col min="1800" max="1800" width="10.85546875" customWidth="1"/>
    <col min="2052" max="2052" width="40.7109375" customWidth="1"/>
    <col min="2056" max="2056" width="10.85546875" customWidth="1"/>
    <col min="2308" max="2308" width="40.7109375" customWidth="1"/>
    <col min="2312" max="2312" width="10.85546875" customWidth="1"/>
    <col min="2564" max="2564" width="40.7109375" customWidth="1"/>
    <col min="2568" max="2568" width="10.85546875" customWidth="1"/>
    <col min="2820" max="2820" width="40.7109375" customWidth="1"/>
    <col min="2824" max="2824" width="10.85546875" customWidth="1"/>
    <col min="3076" max="3076" width="40.7109375" customWidth="1"/>
    <col min="3080" max="3080" width="10.85546875" customWidth="1"/>
    <col min="3332" max="3332" width="40.7109375" customWidth="1"/>
    <col min="3336" max="3336" width="10.85546875" customWidth="1"/>
    <col min="3588" max="3588" width="40.7109375" customWidth="1"/>
    <col min="3592" max="3592" width="10.85546875" customWidth="1"/>
    <col min="3844" max="3844" width="40.7109375" customWidth="1"/>
    <col min="3848" max="3848" width="10.85546875" customWidth="1"/>
    <col min="4100" max="4100" width="40.7109375" customWidth="1"/>
    <col min="4104" max="4104" width="10.85546875" customWidth="1"/>
    <col min="4356" max="4356" width="40.7109375" customWidth="1"/>
    <col min="4360" max="4360" width="10.85546875" customWidth="1"/>
    <col min="4612" max="4612" width="40.7109375" customWidth="1"/>
    <col min="4616" max="4616" width="10.85546875" customWidth="1"/>
    <col min="4868" max="4868" width="40.7109375" customWidth="1"/>
    <col min="4872" max="4872" width="10.85546875" customWidth="1"/>
    <col min="5124" max="5124" width="40.7109375" customWidth="1"/>
    <col min="5128" max="5128" width="10.85546875" customWidth="1"/>
    <col min="5380" max="5380" width="40.7109375" customWidth="1"/>
    <col min="5384" max="5384" width="10.85546875" customWidth="1"/>
    <col min="5636" max="5636" width="40.7109375" customWidth="1"/>
    <col min="5640" max="5640" width="10.85546875" customWidth="1"/>
    <col min="5892" max="5892" width="40.7109375" customWidth="1"/>
    <col min="5896" max="5896" width="10.85546875" customWidth="1"/>
    <col min="6148" max="6148" width="40.7109375" customWidth="1"/>
    <col min="6152" max="6152" width="10.85546875" customWidth="1"/>
    <col min="6404" max="6404" width="40.7109375" customWidth="1"/>
    <col min="6408" max="6408" width="10.85546875" customWidth="1"/>
    <col min="6660" max="6660" width="40.7109375" customWidth="1"/>
    <col min="6664" max="6664" width="10.85546875" customWidth="1"/>
    <col min="6916" max="6916" width="40.7109375" customWidth="1"/>
    <col min="6920" max="6920" width="10.85546875" customWidth="1"/>
    <col min="7172" max="7172" width="40.7109375" customWidth="1"/>
    <col min="7176" max="7176" width="10.85546875" customWidth="1"/>
    <col min="7428" max="7428" width="40.7109375" customWidth="1"/>
    <col min="7432" max="7432" width="10.85546875" customWidth="1"/>
    <col min="7684" max="7684" width="40.7109375" customWidth="1"/>
    <col min="7688" max="7688" width="10.85546875" customWidth="1"/>
    <col min="7940" max="7940" width="40.7109375" customWidth="1"/>
    <col min="7944" max="7944" width="10.85546875" customWidth="1"/>
    <col min="8196" max="8196" width="40.7109375" customWidth="1"/>
    <col min="8200" max="8200" width="10.85546875" customWidth="1"/>
    <col min="8452" max="8452" width="40.7109375" customWidth="1"/>
    <col min="8456" max="8456" width="10.85546875" customWidth="1"/>
    <col min="8708" max="8708" width="40.7109375" customWidth="1"/>
    <col min="8712" max="8712" width="10.85546875" customWidth="1"/>
    <col min="8964" max="8964" width="40.7109375" customWidth="1"/>
    <col min="8968" max="8968" width="10.85546875" customWidth="1"/>
    <col min="9220" max="9220" width="40.7109375" customWidth="1"/>
    <col min="9224" max="9224" width="10.85546875" customWidth="1"/>
    <col min="9476" max="9476" width="40.7109375" customWidth="1"/>
    <col min="9480" max="9480" width="10.85546875" customWidth="1"/>
    <col min="9732" max="9732" width="40.7109375" customWidth="1"/>
    <col min="9736" max="9736" width="10.85546875" customWidth="1"/>
    <col min="9988" max="9988" width="40.7109375" customWidth="1"/>
    <col min="9992" max="9992" width="10.85546875" customWidth="1"/>
    <col min="10244" max="10244" width="40.7109375" customWidth="1"/>
    <col min="10248" max="10248" width="10.85546875" customWidth="1"/>
    <col min="10500" max="10500" width="40.7109375" customWidth="1"/>
    <col min="10504" max="10504" width="10.85546875" customWidth="1"/>
    <col min="10756" max="10756" width="40.7109375" customWidth="1"/>
    <col min="10760" max="10760" width="10.85546875" customWidth="1"/>
    <col min="11012" max="11012" width="40.7109375" customWidth="1"/>
    <col min="11016" max="11016" width="10.85546875" customWidth="1"/>
    <col min="11268" max="11268" width="40.7109375" customWidth="1"/>
    <col min="11272" max="11272" width="10.85546875" customWidth="1"/>
    <col min="11524" max="11524" width="40.7109375" customWidth="1"/>
    <col min="11528" max="11528" width="10.85546875" customWidth="1"/>
    <col min="11780" max="11780" width="40.7109375" customWidth="1"/>
    <col min="11784" max="11784" width="10.85546875" customWidth="1"/>
    <col min="12036" max="12036" width="40.7109375" customWidth="1"/>
    <col min="12040" max="12040" width="10.85546875" customWidth="1"/>
    <col min="12292" max="12292" width="40.7109375" customWidth="1"/>
    <col min="12296" max="12296" width="10.85546875" customWidth="1"/>
    <col min="12548" max="12548" width="40.7109375" customWidth="1"/>
    <col min="12552" max="12552" width="10.85546875" customWidth="1"/>
    <col min="12804" max="12804" width="40.7109375" customWidth="1"/>
    <col min="12808" max="12808" width="10.85546875" customWidth="1"/>
    <col min="13060" max="13060" width="40.7109375" customWidth="1"/>
    <col min="13064" max="13064" width="10.85546875" customWidth="1"/>
    <col min="13316" max="13316" width="40.7109375" customWidth="1"/>
    <col min="13320" max="13320" width="10.85546875" customWidth="1"/>
    <col min="13572" max="13572" width="40.7109375" customWidth="1"/>
    <col min="13576" max="13576" width="10.85546875" customWidth="1"/>
    <col min="13828" max="13828" width="40.7109375" customWidth="1"/>
    <col min="13832" max="13832" width="10.85546875" customWidth="1"/>
    <col min="14084" max="14084" width="40.7109375" customWidth="1"/>
    <col min="14088" max="14088" width="10.85546875" customWidth="1"/>
    <col min="14340" max="14340" width="40.7109375" customWidth="1"/>
    <col min="14344" max="14344" width="10.85546875" customWidth="1"/>
    <col min="14596" max="14596" width="40.7109375" customWidth="1"/>
    <col min="14600" max="14600" width="10.85546875" customWidth="1"/>
    <col min="14852" max="14852" width="40.7109375" customWidth="1"/>
    <col min="14856" max="14856" width="10.85546875" customWidth="1"/>
    <col min="15108" max="15108" width="40.7109375" customWidth="1"/>
    <col min="15112" max="15112" width="10.85546875" customWidth="1"/>
    <col min="15364" max="15364" width="40.7109375" customWidth="1"/>
    <col min="15368" max="15368" width="10.85546875" customWidth="1"/>
    <col min="15620" max="15620" width="40.7109375" customWidth="1"/>
    <col min="15624" max="15624" width="10.85546875" customWidth="1"/>
    <col min="15876" max="15876" width="40.7109375" customWidth="1"/>
    <col min="15880" max="15880" width="10.85546875" customWidth="1"/>
    <col min="16132" max="16132" width="40.7109375" customWidth="1"/>
    <col min="16136" max="16136" width="10.85546875" customWidth="1"/>
  </cols>
  <sheetData>
    <row r="1" spans="1:11" ht="38.25" x14ac:dyDescent="0.25">
      <c r="A1" s="25" t="s">
        <v>0</v>
      </c>
      <c r="B1" s="25" t="s">
        <v>24</v>
      </c>
      <c r="C1" s="25" t="s">
        <v>25</v>
      </c>
      <c r="D1" s="26" t="s">
        <v>1</v>
      </c>
      <c r="E1" s="27" t="s">
        <v>26</v>
      </c>
      <c r="F1" s="27" t="s">
        <v>27</v>
      </c>
      <c r="G1" s="27" t="s">
        <v>28</v>
      </c>
      <c r="H1" s="27" t="s">
        <v>2</v>
      </c>
      <c r="I1" s="73"/>
      <c r="J1" s="73"/>
    </row>
    <row r="2" spans="1:11" ht="76.5" x14ac:dyDescent="0.25">
      <c r="A2" s="44" t="s">
        <v>20</v>
      </c>
      <c r="B2" s="3"/>
      <c r="C2" s="3"/>
      <c r="D2" s="30" t="s">
        <v>193</v>
      </c>
      <c r="E2" s="161" t="s">
        <v>30</v>
      </c>
      <c r="F2" s="162"/>
      <c r="G2" s="163"/>
      <c r="H2" s="58">
        <f>SUM(H3:H12)</f>
        <v>0</v>
      </c>
      <c r="I2" s="68"/>
    </row>
    <row r="3" spans="1:11" x14ac:dyDescent="0.25">
      <c r="A3" s="31"/>
      <c r="B3" s="32" t="s">
        <v>194</v>
      </c>
      <c r="C3" s="2" t="s">
        <v>4</v>
      </c>
      <c r="D3" s="41" t="s">
        <v>195</v>
      </c>
      <c r="E3" s="48">
        <v>103</v>
      </c>
      <c r="F3" s="93"/>
      <c r="G3" s="36">
        <v>2</v>
      </c>
      <c r="H3" s="35">
        <f>(E3*F3)*G3</f>
        <v>0</v>
      </c>
      <c r="I3" s="74"/>
      <c r="J3" s="75"/>
      <c r="K3" s="77"/>
    </row>
    <row r="4" spans="1:11" x14ac:dyDescent="0.25">
      <c r="A4" s="31"/>
      <c r="B4" s="32" t="s">
        <v>196</v>
      </c>
      <c r="C4" s="1"/>
      <c r="D4" s="45" t="s">
        <v>197</v>
      </c>
      <c r="E4" s="49">
        <v>59</v>
      </c>
      <c r="F4" s="93"/>
      <c r="G4" s="36">
        <v>2</v>
      </c>
      <c r="H4" s="35">
        <f>(E4*F4)*G4</f>
        <v>0</v>
      </c>
      <c r="I4" s="74"/>
      <c r="J4" s="75"/>
      <c r="K4" s="77"/>
    </row>
    <row r="5" spans="1:11" x14ac:dyDescent="0.25">
      <c r="A5" s="31"/>
      <c r="B5" s="32" t="s">
        <v>198</v>
      </c>
      <c r="C5" s="1"/>
      <c r="D5" s="41" t="s">
        <v>199</v>
      </c>
      <c r="E5" s="48">
        <v>58</v>
      </c>
      <c r="F5" s="93"/>
      <c r="G5" s="36">
        <v>2</v>
      </c>
      <c r="H5" s="35">
        <f t="shared" ref="H5:H12" si="0">(E5*F5)*G5</f>
        <v>0</v>
      </c>
      <c r="I5" s="74"/>
      <c r="J5" s="75"/>
      <c r="K5" s="77"/>
    </row>
    <row r="6" spans="1:11" x14ac:dyDescent="0.25">
      <c r="A6" s="31"/>
      <c r="B6" s="32" t="s">
        <v>200</v>
      </c>
      <c r="C6" s="1"/>
      <c r="D6" s="41" t="s">
        <v>201</v>
      </c>
      <c r="E6" s="48">
        <v>170</v>
      </c>
      <c r="F6" s="93"/>
      <c r="G6" s="36">
        <v>2</v>
      </c>
      <c r="H6" s="35">
        <f t="shared" si="0"/>
        <v>0</v>
      </c>
      <c r="I6" s="74"/>
      <c r="J6" s="75"/>
      <c r="K6" s="77"/>
    </row>
    <row r="7" spans="1:11" x14ac:dyDescent="0.25">
      <c r="A7" s="31"/>
      <c r="B7" s="32" t="s">
        <v>202</v>
      </c>
      <c r="C7" s="1"/>
      <c r="D7" s="41" t="s">
        <v>203</v>
      </c>
      <c r="E7" s="48">
        <v>216</v>
      </c>
      <c r="F7" s="93"/>
      <c r="G7" s="36">
        <v>2</v>
      </c>
      <c r="H7" s="35">
        <f t="shared" si="0"/>
        <v>0</v>
      </c>
      <c r="I7" s="74"/>
      <c r="J7" s="75"/>
      <c r="K7" s="77"/>
    </row>
    <row r="8" spans="1:11" x14ac:dyDescent="0.25">
      <c r="A8" s="31"/>
      <c r="B8" s="32" t="s">
        <v>204</v>
      </c>
      <c r="C8" s="2"/>
      <c r="D8" s="41" t="s">
        <v>205</v>
      </c>
      <c r="E8" s="50">
        <v>64</v>
      </c>
      <c r="F8" s="93"/>
      <c r="G8" s="36">
        <v>2</v>
      </c>
      <c r="H8" s="35">
        <f t="shared" si="0"/>
        <v>0</v>
      </c>
      <c r="I8" s="74"/>
      <c r="J8" s="75"/>
      <c r="K8" s="77"/>
    </row>
    <row r="9" spans="1:11" x14ac:dyDescent="0.25">
      <c r="A9" s="31"/>
      <c r="B9" s="32" t="s">
        <v>206</v>
      </c>
      <c r="C9" s="2"/>
      <c r="D9" s="46" t="s">
        <v>207</v>
      </c>
      <c r="E9" s="2">
        <v>227</v>
      </c>
      <c r="F9" s="93"/>
      <c r="G9" s="36">
        <v>2</v>
      </c>
      <c r="H9" s="35">
        <f t="shared" si="0"/>
        <v>0</v>
      </c>
      <c r="I9" s="74"/>
      <c r="J9" s="75"/>
      <c r="K9" s="77"/>
    </row>
    <row r="10" spans="1:11" x14ac:dyDescent="0.25">
      <c r="A10" s="31"/>
      <c r="B10" s="32" t="s">
        <v>208</v>
      </c>
      <c r="C10" s="2"/>
      <c r="D10" s="41" t="s">
        <v>209</v>
      </c>
      <c r="E10" s="34">
        <v>88</v>
      </c>
      <c r="F10" s="93"/>
      <c r="G10" s="36">
        <v>2</v>
      </c>
      <c r="H10" s="35">
        <f t="shared" si="0"/>
        <v>0</v>
      </c>
      <c r="I10" s="74"/>
      <c r="J10" s="75"/>
      <c r="K10" s="77"/>
    </row>
    <row r="11" spans="1:11" x14ac:dyDescent="0.25">
      <c r="A11" s="31"/>
      <c r="B11" s="32" t="s">
        <v>210</v>
      </c>
      <c r="C11" s="2"/>
      <c r="D11" s="41" t="s">
        <v>211</v>
      </c>
      <c r="E11" s="34">
        <v>24</v>
      </c>
      <c r="F11" s="93"/>
      <c r="G11" s="36">
        <v>2</v>
      </c>
      <c r="H11" s="35">
        <f t="shared" si="0"/>
        <v>0</v>
      </c>
      <c r="I11" s="74"/>
      <c r="J11" s="75"/>
      <c r="K11" s="77"/>
    </row>
    <row r="12" spans="1:11" x14ac:dyDescent="0.25">
      <c r="A12" s="31"/>
      <c r="B12" s="32" t="s">
        <v>212</v>
      </c>
      <c r="C12" s="2"/>
      <c r="D12" s="41" t="s">
        <v>213</v>
      </c>
      <c r="E12" s="34">
        <v>57</v>
      </c>
      <c r="F12" s="93"/>
      <c r="G12" s="36">
        <v>2</v>
      </c>
      <c r="H12" s="35">
        <f t="shared" si="0"/>
        <v>0</v>
      </c>
      <c r="I12" s="74"/>
      <c r="J12" s="75"/>
      <c r="K12" s="77"/>
    </row>
    <row r="13" spans="1:11" x14ac:dyDescent="0.25">
      <c r="A13" s="42"/>
      <c r="B13" s="42"/>
      <c r="C13" s="42"/>
      <c r="D13" s="42"/>
      <c r="E13" s="42"/>
      <c r="F13" s="42"/>
      <c r="G13" s="42"/>
      <c r="H13" s="42"/>
    </row>
    <row r="16" spans="1:11" x14ac:dyDescent="0.25">
      <c r="A16" s="47" t="s">
        <v>4</v>
      </c>
    </row>
  </sheetData>
  <mergeCells count="1">
    <mergeCell ref="E2:G2"/>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E0C4D-1D33-4246-95F1-E8F5E21E1852}">
  <sheetPr>
    <tabColor rgb="FFFF0000"/>
  </sheetPr>
  <dimension ref="A1:N47"/>
  <sheetViews>
    <sheetView workbookViewId="0">
      <selection activeCell="F3" sqref="F3:F47"/>
    </sheetView>
  </sheetViews>
  <sheetFormatPr defaultColWidth="9.140625" defaultRowHeight="15" x14ac:dyDescent="0.25"/>
  <cols>
    <col min="4" max="4" width="40.7109375" customWidth="1"/>
    <col min="6" max="6" width="9.28515625" customWidth="1"/>
    <col min="8" max="8" width="13.7109375" customWidth="1"/>
    <col min="9" max="9" width="14.42578125" style="66" customWidth="1"/>
    <col min="10" max="10" width="9.140625" style="66"/>
    <col min="260" max="260" width="40.7109375" customWidth="1"/>
    <col min="264" max="264" width="10.7109375" bestFit="1" customWidth="1"/>
    <col min="516" max="516" width="40.7109375" customWidth="1"/>
    <col min="520" max="520" width="10.7109375" bestFit="1" customWidth="1"/>
    <col min="772" max="772" width="40.7109375" customWidth="1"/>
    <col min="776" max="776" width="10.7109375" bestFit="1" customWidth="1"/>
    <col min="1028" max="1028" width="40.7109375" customWidth="1"/>
    <col min="1032" max="1032" width="10.7109375" bestFit="1" customWidth="1"/>
    <col min="1284" max="1284" width="40.7109375" customWidth="1"/>
    <col min="1288" max="1288" width="10.7109375" bestFit="1" customWidth="1"/>
    <col min="1540" max="1540" width="40.7109375" customWidth="1"/>
    <col min="1544" max="1544" width="10.7109375" bestFit="1" customWidth="1"/>
    <col min="1796" max="1796" width="40.7109375" customWidth="1"/>
    <col min="1800" max="1800" width="10.7109375" bestFit="1" customWidth="1"/>
    <col min="2052" max="2052" width="40.7109375" customWidth="1"/>
    <col min="2056" max="2056" width="10.7109375" bestFit="1" customWidth="1"/>
    <col min="2308" max="2308" width="40.7109375" customWidth="1"/>
    <col min="2312" max="2312" width="10.7109375" bestFit="1" customWidth="1"/>
    <col min="2564" max="2564" width="40.7109375" customWidth="1"/>
    <col min="2568" max="2568" width="10.7109375" bestFit="1" customWidth="1"/>
    <col min="2820" max="2820" width="40.7109375" customWidth="1"/>
    <col min="2824" max="2824" width="10.7109375" bestFit="1" customWidth="1"/>
    <col min="3076" max="3076" width="40.7109375" customWidth="1"/>
    <col min="3080" max="3080" width="10.7109375" bestFit="1" customWidth="1"/>
    <col min="3332" max="3332" width="40.7109375" customWidth="1"/>
    <col min="3336" max="3336" width="10.7109375" bestFit="1" customWidth="1"/>
    <col min="3588" max="3588" width="40.7109375" customWidth="1"/>
    <col min="3592" max="3592" width="10.7109375" bestFit="1" customWidth="1"/>
    <col min="3844" max="3844" width="40.7109375" customWidth="1"/>
    <col min="3848" max="3848" width="10.7109375" bestFit="1" customWidth="1"/>
    <col min="4100" max="4100" width="40.7109375" customWidth="1"/>
    <col min="4104" max="4104" width="10.7109375" bestFit="1" customWidth="1"/>
    <col min="4356" max="4356" width="40.7109375" customWidth="1"/>
    <col min="4360" max="4360" width="10.7109375" bestFit="1" customWidth="1"/>
    <col min="4612" max="4612" width="40.7109375" customWidth="1"/>
    <col min="4616" max="4616" width="10.7109375" bestFit="1" customWidth="1"/>
    <col min="4868" max="4868" width="40.7109375" customWidth="1"/>
    <col min="4872" max="4872" width="10.7109375" bestFit="1" customWidth="1"/>
    <col min="5124" max="5124" width="40.7109375" customWidth="1"/>
    <col min="5128" max="5128" width="10.7109375" bestFit="1" customWidth="1"/>
    <col min="5380" max="5380" width="40.7109375" customWidth="1"/>
    <col min="5384" max="5384" width="10.7109375" bestFit="1" customWidth="1"/>
    <col min="5636" max="5636" width="40.7109375" customWidth="1"/>
    <col min="5640" max="5640" width="10.7109375" bestFit="1" customWidth="1"/>
    <col min="5892" max="5892" width="40.7109375" customWidth="1"/>
    <col min="5896" max="5896" width="10.7109375" bestFit="1" customWidth="1"/>
    <col min="6148" max="6148" width="40.7109375" customWidth="1"/>
    <col min="6152" max="6152" width="10.7109375" bestFit="1" customWidth="1"/>
    <col min="6404" max="6404" width="40.7109375" customWidth="1"/>
    <col min="6408" max="6408" width="10.7109375" bestFit="1" customWidth="1"/>
    <col min="6660" max="6660" width="40.7109375" customWidth="1"/>
    <col min="6664" max="6664" width="10.7109375" bestFit="1" customWidth="1"/>
    <col min="6916" max="6916" width="40.7109375" customWidth="1"/>
    <col min="6920" max="6920" width="10.7109375" bestFit="1" customWidth="1"/>
    <col min="7172" max="7172" width="40.7109375" customWidth="1"/>
    <col min="7176" max="7176" width="10.7109375" bestFit="1" customWidth="1"/>
    <col min="7428" max="7428" width="40.7109375" customWidth="1"/>
    <col min="7432" max="7432" width="10.7109375" bestFit="1" customWidth="1"/>
    <col min="7684" max="7684" width="40.7109375" customWidth="1"/>
    <col min="7688" max="7688" width="10.7109375" bestFit="1" customWidth="1"/>
    <col min="7940" max="7940" width="40.7109375" customWidth="1"/>
    <col min="7944" max="7944" width="10.7109375" bestFit="1" customWidth="1"/>
    <col min="8196" max="8196" width="40.7109375" customWidth="1"/>
    <col min="8200" max="8200" width="10.7109375" bestFit="1" customWidth="1"/>
    <col min="8452" max="8452" width="40.7109375" customWidth="1"/>
    <col min="8456" max="8456" width="10.7109375" bestFit="1" customWidth="1"/>
    <col min="8708" max="8708" width="40.7109375" customWidth="1"/>
    <col min="8712" max="8712" width="10.7109375" bestFit="1" customWidth="1"/>
    <col min="8964" max="8964" width="40.7109375" customWidth="1"/>
    <col min="8968" max="8968" width="10.7109375" bestFit="1" customWidth="1"/>
    <col min="9220" max="9220" width="40.7109375" customWidth="1"/>
    <col min="9224" max="9224" width="10.7109375" bestFit="1" customWidth="1"/>
    <col min="9476" max="9476" width="40.7109375" customWidth="1"/>
    <col min="9480" max="9480" width="10.7109375" bestFit="1" customWidth="1"/>
    <col min="9732" max="9732" width="40.7109375" customWidth="1"/>
    <col min="9736" max="9736" width="10.7109375" bestFit="1" customWidth="1"/>
    <col min="9988" max="9988" width="40.7109375" customWidth="1"/>
    <col min="9992" max="9992" width="10.7109375" bestFit="1" customWidth="1"/>
    <col min="10244" max="10244" width="40.7109375" customWidth="1"/>
    <col min="10248" max="10248" width="10.7109375" bestFit="1" customWidth="1"/>
    <col min="10500" max="10500" width="40.7109375" customWidth="1"/>
    <col min="10504" max="10504" width="10.7109375" bestFit="1" customWidth="1"/>
    <col min="10756" max="10756" width="40.7109375" customWidth="1"/>
    <col min="10760" max="10760" width="10.7109375" bestFit="1" customWidth="1"/>
    <col min="11012" max="11012" width="40.7109375" customWidth="1"/>
    <col min="11016" max="11016" width="10.7109375" bestFit="1" customWidth="1"/>
    <col min="11268" max="11268" width="40.7109375" customWidth="1"/>
    <col min="11272" max="11272" width="10.7109375" bestFit="1" customWidth="1"/>
    <col min="11524" max="11524" width="40.7109375" customWidth="1"/>
    <col min="11528" max="11528" width="10.7109375" bestFit="1" customWidth="1"/>
    <col min="11780" max="11780" width="40.7109375" customWidth="1"/>
    <col min="11784" max="11784" width="10.7109375" bestFit="1" customWidth="1"/>
    <col min="12036" max="12036" width="40.7109375" customWidth="1"/>
    <col min="12040" max="12040" width="10.7109375" bestFit="1" customWidth="1"/>
    <col min="12292" max="12292" width="40.7109375" customWidth="1"/>
    <col min="12296" max="12296" width="10.7109375" bestFit="1" customWidth="1"/>
    <col min="12548" max="12548" width="40.7109375" customWidth="1"/>
    <col min="12552" max="12552" width="10.7109375" bestFit="1" customWidth="1"/>
    <col min="12804" max="12804" width="40.7109375" customWidth="1"/>
    <col min="12808" max="12808" width="10.7109375" bestFit="1" customWidth="1"/>
    <col min="13060" max="13060" width="40.7109375" customWidth="1"/>
    <col min="13064" max="13064" width="10.7109375" bestFit="1" customWidth="1"/>
    <col min="13316" max="13316" width="40.7109375" customWidth="1"/>
    <col min="13320" max="13320" width="10.7109375" bestFit="1" customWidth="1"/>
    <col min="13572" max="13572" width="40.7109375" customWidth="1"/>
    <col min="13576" max="13576" width="10.7109375" bestFit="1" customWidth="1"/>
    <col min="13828" max="13828" width="40.7109375" customWidth="1"/>
    <col min="13832" max="13832" width="10.7109375" bestFit="1" customWidth="1"/>
    <col min="14084" max="14084" width="40.7109375" customWidth="1"/>
    <col min="14088" max="14088" width="10.7109375" bestFit="1" customWidth="1"/>
    <col min="14340" max="14340" width="40.7109375" customWidth="1"/>
    <col min="14344" max="14344" width="10.7109375" bestFit="1" customWidth="1"/>
    <col min="14596" max="14596" width="40.7109375" customWidth="1"/>
    <col min="14600" max="14600" width="10.7109375" bestFit="1" customWidth="1"/>
    <col min="14852" max="14852" width="40.7109375" customWidth="1"/>
    <col min="14856" max="14856" width="10.7109375" bestFit="1" customWidth="1"/>
    <col min="15108" max="15108" width="40.7109375" customWidth="1"/>
    <col min="15112" max="15112" width="10.7109375" bestFit="1" customWidth="1"/>
    <col min="15364" max="15364" width="40.7109375" customWidth="1"/>
    <col min="15368" max="15368" width="10.7109375" bestFit="1" customWidth="1"/>
    <col min="15620" max="15620" width="40.7109375" customWidth="1"/>
    <col min="15624" max="15624" width="10.7109375" bestFit="1" customWidth="1"/>
    <col min="15876" max="15876" width="40.7109375" customWidth="1"/>
    <col min="15880" max="15880" width="10.7109375" bestFit="1" customWidth="1"/>
    <col min="16132" max="16132" width="40.7109375" customWidth="1"/>
    <col min="16136" max="16136" width="10.7109375" bestFit="1" customWidth="1"/>
  </cols>
  <sheetData>
    <row r="1" spans="1:14" ht="42.75" customHeight="1" x14ac:dyDescent="0.25">
      <c r="A1" s="25" t="s">
        <v>0</v>
      </c>
      <c r="B1" s="25" t="s">
        <v>24</v>
      </c>
      <c r="C1" s="25" t="s">
        <v>25</v>
      </c>
      <c r="D1" s="26" t="s">
        <v>1</v>
      </c>
      <c r="E1" s="27" t="s">
        <v>26</v>
      </c>
      <c r="F1" s="27" t="s">
        <v>27</v>
      </c>
      <c r="G1" s="27" t="s">
        <v>28</v>
      </c>
      <c r="H1" s="27" t="s">
        <v>2</v>
      </c>
      <c r="I1" s="73"/>
      <c r="J1" s="73"/>
    </row>
    <row r="2" spans="1:14" ht="63.75" x14ac:dyDescent="0.25">
      <c r="A2" s="44" t="s">
        <v>21</v>
      </c>
      <c r="B2" s="3"/>
      <c r="C2" s="3"/>
      <c r="D2" s="30" t="s">
        <v>29</v>
      </c>
      <c r="E2" s="161" t="s">
        <v>30</v>
      </c>
      <c r="F2" s="162"/>
      <c r="G2" s="163"/>
      <c r="H2" s="58">
        <f>SUM(H3:H47)</f>
        <v>0</v>
      </c>
      <c r="I2" s="68"/>
    </row>
    <row r="3" spans="1:14" ht="15.75" x14ac:dyDescent="0.25">
      <c r="A3" s="31"/>
      <c r="B3" s="95" t="s">
        <v>31</v>
      </c>
      <c r="C3" s="95"/>
      <c r="D3" s="96" t="s">
        <v>235</v>
      </c>
      <c r="E3" s="97">
        <v>125</v>
      </c>
      <c r="F3" s="94"/>
      <c r="G3" s="98">
        <v>4</v>
      </c>
      <c r="H3" s="35">
        <f>(E3*F3)*G3</f>
        <v>0</v>
      </c>
      <c r="I3" s="74"/>
      <c r="J3" s="75"/>
      <c r="K3" s="77"/>
      <c r="N3" t="s">
        <v>4</v>
      </c>
    </row>
    <row r="4" spans="1:14" ht="15.75" x14ac:dyDescent="0.25">
      <c r="A4" s="31"/>
      <c r="B4" s="95" t="s">
        <v>33</v>
      </c>
      <c r="C4" s="95"/>
      <c r="D4" s="96" t="s">
        <v>34</v>
      </c>
      <c r="E4" s="97">
        <v>125</v>
      </c>
      <c r="F4" s="94"/>
      <c r="G4" s="98">
        <v>4</v>
      </c>
      <c r="H4" s="35">
        <f>(E4*F4)*G4</f>
        <v>0</v>
      </c>
      <c r="I4" s="74"/>
      <c r="J4" s="75"/>
      <c r="K4" s="77"/>
      <c r="N4" t="s">
        <v>4</v>
      </c>
    </row>
    <row r="5" spans="1:14" ht="15.75" x14ac:dyDescent="0.25">
      <c r="A5" s="31"/>
      <c r="B5" s="95" t="s">
        <v>35</v>
      </c>
      <c r="C5" s="95"/>
      <c r="D5" s="96" t="s">
        <v>236</v>
      </c>
      <c r="E5" s="97">
        <v>68</v>
      </c>
      <c r="F5" s="94"/>
      <c r="G5" s="98">
        <v>4</v>
      </c>
      <c r="H5" s="35">
        <f>(E5*F5)*G5</f>
        <v>0</v>
      </c>
      <c r="I5" s="74"/>
      <c r="J5" s="75"/>
      <c r="K5" s="77"/>
      <c r="N5" t="s">
        <v>4</v>
      </c>
    </row>
    <row r="6" spans="1:14" ht="15.75" x14ac:dyDescent="0.25">
      <c r="A6" s="31"/>
      <c r="B6" s="95" t="s">
        <v>37</v>
      </c>
      <c r="C6" s="95"/>
      <c r="D6" s="96" t="s">
        <v>231</v>
      </c>
      <c r="E6" s="97">
        <v>338</v>
      </c>
      <c r="F6" s="94"/>
      <c r="G6" s="98">
        <v>4</v>
      </c>
      <c r="H6" s="35">
        <f>(E6*F6)*G6</f>
        <v>0</v>
      </c>
      <c r="I6" s="74"/>
      <c r="J6" s="75"/>
      <c r="K6" s="77"/>
      <c r="N6" t="s">
        <v>4</v>
      </c>
    </row>
    <row r="7" spans="1:14" ht="15.75" x14ac:dyDescent="0.25">
      <c r="A7" s="31"/>
      <c r="B7" s="95" t="s">
        <v>38</v>
      </c>
      <c r="C7" s="95"/>
      <c r="D7" s="96" t="s">
        <v>39</v>
      </c>
      <c r="E7" s="98">
        <v>113</v>
      </c>
      <c r="F7" s="94"/>
      <c r="G7" s="98">
        <v>4</v>
      </c>
      <c r="H7" s="35">
        <f t="shared" ref="H7:H47" si="0">(E7*F7)*G7</f>
        <v>0</v>
      </c>
      <c r="I7" s="74"/>
      <c r="J7" s="75"/>
      <c r="K7" s="77"/>
    </row>
    <row r="8" spans="1:14" ht="15.75" x14ac:dyDescent="0.25">
      <c r="A8" s="31"/>
      <c r="B8" s="95" t="s">
        <v>40</v>
      </c>
      <c r="C8" s="95"/>
      <c r="D8" s="96" t="s">
        <v>237</v>
      </c>
      <c r="E8" s="98">
        <v>434</v>
      </c>
      <c r="F8" s="94"/>
      <c r="G8" s="98">
        <v>4</v>
      </c>
      <c r="H8" s="35">
        <f t="shared" si="0"/>
        <v>0</v>
      </c>
      <c r="I8" s="74"/>
      <c r="J8" s="75"/>
      <c r="K8" s="77"/>
    </row>
    <row r="9" spans="1:14" ht="15.75" x14ac:dyDescent="0.25">
      <c r="A9" s="31"/>
      <c r="B9" s="95" t="s">
        <v>42</v>
      </c>
      <c r="C9" s="95"/>
      <c r="D9" s="96" t="s">
        <v>43</v>
      </c>
      <c r="E9" s="98">
        <v>0</v>
      </c>
      <c r="F9" s="94"/>
      <c r="G9" s="98">
        <v>4</v>
      </c>
      <c r="H9" s="35">
        <f t="shared" si="0"/>
        <v>0</v>
      </c>
      <c r="I9" s="74"/>
      <c r="J9" s="75"/>
      <c r="K9" s="77"/>
    </row>
    <row r="10" spans="1:14" ht="15.75" x14ac:dyDescent="0.25">
      <c r="A10" s="31"/>
      <c r="B10" s="95" t="s">
        <v>44</v>
      </c>
      <c r="C10" s="95"/>
      <c r="D10" s="96" t="s">
        <v>238</v>
      </c>
      <c r="E10" s="98">
        <v>4733</v>
      </c>
      <c r="F10" s="94"/>
      <c r="G10" s="98">
        <v>4</v>
      </c>
      <c r="H10" s="35">
        <f t="shared" si="0"/>
        <v>0</v>
      </c>
      <c r="I10" s="74"/>
      <c r="J10" s="75"/>
      <c r="K10" s="77"/>
    </row>
    <row r="11" spans="1:14" ht="15.75" x14ac:dyDescent="0.25">
      <c r="A11" s="31"/>
      <c r="B11" s="95" t="s">
        <v>46</v>
      </c>
      <c r="C11" s="95"/>
      <c r="D11" s="96" t="s">
        <v>239</v>
      </c>
      <c r="E11" s="98">
        <v>0</v>
      </c>
      <c r="F11" s="94"/>
      <c r="G11" s="98">
        <v>4</v>
      </c>
      <c r="H11" s="35">
        <f t="shared" si="0"/>
        <v>0</v>
      </c>
      <c r="I11" s="74"/>
      <c r="J11" s="75"/>
      <c r="K11" s="77"/>
    </row>
    <row r="12" spans="1:14" ht="15.75" x14ac:dyDescent="0.25">
      <c r="A12" s="31"/>
      <c r="B12" s="95" t="s">
        <v>48</v>
      </c>
      <c r="C12" s="95"/>
      <c r="D12" s="96" t="s">
        <v>240</v>
      </c>
      <c r="E12" s="98">
        <v>0</v>
      </c>
      <c r="F12" s="94"/>
      <c r="G12" s="98">
        <v>4</v>
      </c>
      <c r="H12" s="35">
        <f t="shared" si="0"/>
        <v>0</v>
      </c>
      <c r="I12" s="74"/>
      <c r="J12" s="75"/>
      <c r="K12" s="77"/>
    </row>
    <row r="13" spans="1:14" ht="15.75" x14ac:dyDescent="0.25">
      <c r="A13" s="31"/>
      <c r="B13" s="95" t="s">
        <v>50</v>
      </c>
      <c r="C13" s="95"/>
      <c r="D13" s="96" t="s">
        <v>241</v>
      </c>
      <c r="E13" s="98">
        <v>0</v>
      </c>
      <c r="F13" s="94"/>
      <c r="G13" s="98">
        <v>4</v>
      </c>
      <c r="H13" s="35">
        <f t="shared" si="0"/>
        <v>0</v>
      </c>
      <c r="I13" s="74"/>
      <c r="J13" s="75"/>
      <c r="K13" s="77"/>
    </row>
    <row r="14" spans="1:14" ht="15.75" x14ac:dyDescent="0.25">
      <c r="A14" s="31"/>
      <c r="B14" s="95" t="s">
        <v>52</v>
      </c>
      <c r="C14" s="95"/>
      <c r="D14" s="96" t="s">
        <v>242</v>
      </c>
      <c r="E14" s="98">
        <v>1078</v>
      </c>
      <c r="F14" s="94"/>
      <c r="G14" s="98">
        <v>4</v>
      </c>
      <c r="H14" s="35">
        <f t="shared" si="0"/>
        <v>0</v>
      </c>
      <c r="I14" s="74"/>
      <c r="J14" s="75"/>
      <c r="K14" s="77"/>
    </row>
    <row r="15" spans="1:14" ht="15.75" x14ac:dyDescent="0.25">
      <c r="A15" s="31"/>
      <c r="B15" s="95" t="s">
        <v>54</v>
      </c>
      <c r="C15" s="95"/>
      <c r="D15" s="96" t="s">
        <v>55</v>
      </c>
      <c r="E15" s="98">
        <v>0</v>
      </c>
      <c r="F15" s="94"/>
      <c r="G15" s="98">
        <v>4</v>
      </c>
      <c r="H15" s="35">
        <f t="shared" si="0"/>
        <v>0</v>
      </c>
      <c r="I15" s="74"/>
      <c r="J15" s="75"/>
      <c r="K15" s="77"/>
    </row>
    <row r="16" spans="1:14" ht="15.75" x14ac:dyDescent="0.25">
      <c r="A16" s="31"/>
      <c r="B16" s="95" t="s">
        <v>56</v>
      </c>
      <c r="C16" s="95"/>
      <c r="D16" s="96" t="s">
        <v>57</v>
      </c>
      <c r="E16" s="98">
        <v>0</v>
      </c>
      <c r="F16" s="94"/>
      <c r="G16" s="98">
        <v>4</v>
      </c>
      <c r="H16" s="35">
        <f t="shared" si="0"/>
        <v>0</v>
      </c>
      <c r="I16" s="74"/>
      <c r="J16" s="75"/>
      <c r="K16" s="77"/>
    </row>
    <row r="17" spans="1:11" ht="15.75" x14ac:dyDescent="0.25">
      <c r="A17" s="31"/>
      <c r="B17" s="95" t="s">
        <v>58</v>
      </c>
      <c r="C17" s="95"/>
      <c r="D17" s="96" t="s">
        <v>59</v>
      </c>
      <c r="E17" s="98">
        <v>644</v>
      </c>
      <c r="F17" s="94"/>
      <c r="G17" s="98">
        <v>4</v>
      </c>
      <c r="H17" s="35">
        <f t="shared" si="0"/>
        <v>0</v>
      </c>
      <c r="I17" s="74"/>
      <c r="J17" s="75"/>
      <c r="K17" s="77"/>
    </row>
    <row r="18" spans="1:11" ht="15.75" x14ac:dyDescent="0.25">
      <c r="A18" s="31"/>
      <c r="B18" s="95" t="s">
        <v>60</v>
      </c>
      <c r="C18" s="95"/>
      <c r="D18" s="96" t="s">
        <v>243</v>
      </c>
      <c r="E18" s="98">
        <v>31</v>
      </c>
      <c r="F18" s="94"/>
      <c r="G18" s="98">
        <v>4</v>
      </c>
      <c r="H18" s="35">
        <f t="shared" si="0"/>
        <v>0</v>
      </c>
      <c r="I18" s="74"/>
      <c r="J18" s="75"/>
      <c r="K18" s="77"/>
    </row>
    <row r="19" spans="1:11" ht="15.75" x14ac:dyDescent="0.25">
      <c r="A19" s="31"/>
      <c r="B19" s="95" t="s">
        <v>62</v>
      </c>
      <c r="C19" s="95"/>
      <c r="D19" s="96" t="s">
        <v>244</v>
      </c>
      <c r="E19" s="98">
        <v>240</v>
      </c>
      <c r="F19" s="94"/>
      <c r="G19" s="98">
        <v>4</v>
      </c>
      <c r="H19" s="35">
        <f t="shared" si="0"/>
        <v>0</v>
      </c>
      <c r="I19" s="74"/>
      <c r="J19" s="75"/>
      <c r="K19" s="77"/>
    </row>
    <row r="20" spans="1:11" ht="15.75" x14ac:dyDescent="0.25">
      <c r="A20" s="31"/>
      <c r="B20" s="95" t="s">
        <v>64</v>
      </c>
      <c r="C20" s="95"/>
      <c r="D20" s="96" t="s">
        <v>245</v>
      </c>
      <c r="E20" s="98">
        <v>7</v>
      </c>
      <c r="F20" s="94"/>
      <c r="G20" s="98">
        <v>4</v>
      </c>
      <c r="H20" s="35">
        <f t="shared" si="0"/>
        <v>0</v>
      </c>
      <c r="I20" s="74"/>
      <c r="J20" s="75"/>
      <c r="K20" s="77"/>
    </row>
    <row r="21" spans="1:11" ht="15.75" x14ac:dyDescent="0.25">
      <c r="A21" s="31"/>
      <c r="B21" s="95" t="s">
        <v>66</v>
      </c>
      <c r="C21" s="95"/>
      <c r="D21" s="96" t="s">
        <v>246</v>
      </c>
      <c r="E21" s="98">
        <v>869</v>
      </c>
      <c r="F21" s="94"/>
      <c r="G21" s="98">
        <v>4</v>
      </c>
      <c r="H21" s="35">
        <f t="shared" si="0"/>
        <v>0</v>
      </c>
      <c r="I21" s="74"/>
      <c r="J21" s="75"/>
      <c r="K21" s="77"/>
    </row>
    <row r="22" spans="1:11" ht="15.75" x14ac:dyDescent="0.25">
      <c r="A22" s="31"/>
      <c r="B22" s="95" t="s">
        <v>68</v>
      </c>
      <c r="C22" s="95"/>
      <c r="D22" s="96" t="s">
        <v>247</v>
      </c>
      <c r="E22" s="98">
        <v>1569</v>
      </c>
      <c r="F22" s="94"/>
      <c r="G22" s="98">
        <v>4</v>
      </c>
      <c r="H22" s="35">
        <f t="shared" si="0"/>
        <v>0</v>
      </c>
      <c r="I22" s="74"/>
      <c r="J22" s="75"/>
      <c r="K22" s="77"/>
    </row>
    <row r="23" spans="1:11" ht="15.75" x14ac:dyDescent="0.25">
      <c r="A23" s="31"/>
      <c r="B23" s="95" t="s">
        <v>70</v>
      </c>
      <c r="C23" s="95"/>
      <c r="D23" s="96" t="s">
        <v>248</v>
      </c>
      <c r="E23" s="98">
        <v>0</v>
      </c>
      <c r="F23" s="94"/>
      <c r="G23" s="98">
        <v>4</v>
      </c>
      <c r="H23" s="35">
        <f t="shared" si="0"/>
        <v>0</v>
      </c>
      <c r="I23" s="74"/>
      <c r="J23" s="75"/>
      <c r="K23" s="77"/>
    </row>
    <row r="24" spans="1:11" ht="15.75" x14ac:dyDescent="0.25">
      <c r="A24" s="31"/>
      <c r="B24" s="95" t="s">
        <v>72</v>
      </c>
      <c r="C24" s="95"/>
      <c r="D24" s="96" t="s">
        <v>249</v>
      </c>
      <c r="E24" s="97">
        <v>591</v>
      </c>
      <c r="F24" s="94"/>
      <c r="G24" s="98">
        <v>4</v>
      </c>
      <c r="H24" s="35">
        <f t="shared" si="0"/>
        <v>0</v>
      </c>
      <c r="I24" s="74"/>
      <c r="J24" s="75"/>
      <c r="K24" s="77"/>
    </row>
    <row r="25" spans="1:11" ht="15.75" x14ac:dyDescent="0.25">
      <c r="A25" s="13"/>
      <c r="B25" s="95" t="s">
        <v>74</v>
      </c>
      <c r="C25" s="95"/>
      <c r="D25" s="96" t="s">
        <v>75</v>
      </c>
      <c r="E25" s="97">
        <v>186</v>
      </c>
      <c r="F25" s="94"/>
      <c r="G25" s="98">
        <v>4</v>
      </c>
      <c r="H25" s="35">
        <f t="shared" si="0"/>
        <v>0</v>
      </c>
    </row>
    <row r="26" spans="1:11" ht="15.75" x14ac:dyDescent="0.25">
      <c r="A26" s="13"/>
      <c r="B26" s="95" t="s">
        <v>76</v>
      </c>
      <c r="C26" s="95"/>
      <c r="D26" s="96" t="s">
        <v>77</v>
      </c>
      <c r="E26" s="98">
        <v>0</v>
      </c>
      <c r="F26" s="94"/>
      <c r="G26" s="98">
        <v>4</v>
      </c>
      <c r="H26" s="35">
        <f t="shared" si="0"/>
        <v>0</v>
      </c>
    </row>
    <row r="27" spans="1:11" ht="15.75" x14ac:dyDescent="0.25">
      <c r="A27" s="13"/>
      <c r="B27" s="95" t="s">
        <v>78</v>
      </c>
      <c r="C27" s="95"/>
      <c r="D27" s="96" t="s">
        <v>79</v>
      </c>
      <c r="E27" s="98">
        <v>291</v>
      </c>
      <c r="F27" s="94"/>
      <c r="G27" s="98">
        <v>2</v>
      </c>
      <c r="H27" s="35">
        <f t="shared" si="0"/>
        <v>0</v>
      </c>
    </row>
    <row r="28" spans="1:11" ht="15.75" x14ac:dyDescent="0.25">
      <c r="A28" s="13"/>
      <c r="B28" s="95" t="s">
        <v>80</v>
      </c>
      <c r="C28" s="95"/>
      <c r="D28" s="96" t="s">
        <v>81</v>
      </c>
      <c r="E28" s="98">
        <v>12</v>
      </c>
      <c r="F28" s="94"/>
      <c r="G28" s="98">
        <v>2</v>
      </c>
      <c r="H28" s="35">
        <f t="shared" si="0"/>
        <v>0</v>
      </c>
    </row>
    <row r="29" spans="1:11" ht="15.75" x14ac:dyDescent="0.25">
      <c r="A29" s="13"/>
      <c r="B29" s="95" t="s">
        <v>82</v>
      </c>
      <c r="C29" s="95"/>
      <c r="D29" s="96" t="s">
        <v>250</v>
      </c>
      <c r="E29" s="98">
        <v>0</v>
      </c>
      <c r="F29" s="94"/>
      <c r="G29" s="98">
        <v>2</v>
      </c>
      <c r="H29" s="35">
        <f t="shared" si="0"/>
        <v>0</v>
      </c>
    </row>
    <row r="30" spans="1:11" ht="15.75" x14ac:dyDescent="0.25">
      <c r="A30" s="13"/>
      <c r="B30" s="95" t="s">
        <v>84</v>
      </c>
      <c r="C30" s="95"/>
      <c r="D30" s="96" t="s">
        <v>251</v>
      </c>
      <c r="E30" s="98">
        <v>5</v>
      </c>
      <c r="F30" s="94"/>
      <c r="G30" s="98">
        <v>2</v>
      </c>
      <c r="H30" s="35">
        <f t="shared" si="0"/>
        <v>0</v>
      </c>
    </row>
    <row r="31" spans="1:11" ht="15.75" x14ac:dyDescent="0.25">
      <c r="A31" s="13"/>
      <c r="B31" s="95" t="s">
        <v>86</v>
      </c>
      <c r="C31" s="95"/>
      <c r="D31" s="96" t="s">
        <v>87</v>
      </c>
      <c r="E31" s="98">
        <v>0</v>
      </c>
      <c r="F31" s="94"/>
      <c r="G31" s="98">
        <v>2</v>
      </c>
      <c r="H31" s="35">
        <f t="shared" si="0"/>
        <v>0</v>
      </c>
    </row>
    <row r="32" spans="1:11" ht="15.75" x14ac:dyDescent="0.25">
      <c r="A32" s="13"/>
      <c r="B32" s="95" t="s">
        <v>88</v>
      </c>
      <c r="C32" s="95"/>
      <c r="D32" s="96" t="s">
        <v>252</v>
      </c>
      <c r="E32" s="98">
        <v>0</v>
      </c>
      <c r="F32" s="94"/>
      <c r="G32" s="98">
        <v>2</v>
      </c>
      <c r="H32" s="35">
        <f t="shared" si="0"/>
        <v>0</v>
      </c>
    </row>
    <row r="33" spans="1:8" ht="15.75" x14ac:dyDescent="0.25">
      <c r="A33" s="13"/>
      <c r="B33" s="95" t="s">
        <v>90</v>
      </c>
      <c r="C33" s="95"/>
      <c r="D33" s="96" t="s">
        <v>91</v>
      </c>
      <c r="E33" s="98">
        <v>116</v>
      </c>
      <c r="F33" s="94"/>
      <c r="G33" s="98">
        <v>4</v>
      </c>
      <c r="H33" s="35">
        <f t="shared" si="0"/>
        <v>0</v>
      </c>
    </row>
    <row r="34" spans="1:8" ht="15.75" x14ac:dyDescent="0.25">
      <c r="A34" s="13"/>
      <c r="B34" s="95" t="s">
        <v>92</v>
      </c>
      <c r="C34" s="95"/>
      <c r="D34" s="96" t="s">
        <v>253</v>
      </c>
      <c r="E34" s="98">
        <v>97</v>
      </c>
      <c r="F34" s="94"/>
      <c r="G34" s="98">
        <v>4</v>
      </c>
      <c r="H34" s="35">
        <f t="shared" si="0"/>
        <v>0</v>
      </c>
    </row>
    <row r="35" spans="1:8" ht="15.75" x14ac:dyDescent="0.25">
      <c r="A35" s="13"/>
      <c r="B35" s="95" t="s">
        <v>94</v>
      </c>
      <c r="C35" s="95"/>
      <c r="D35" s="96" t="s">
        <v>254</v>
      </c>
      <c r="E35" s="98">
        <v>108</v>
      </c>
      <c r="F35" s="94"/>
      <c r="G35" s="98">
        <v>4</v>
      </c>
      <c r="H35" s="35">
        <f t="shared" si="0"/>
        <v>0</v>
      </c>
    </row>
    <row r="36" spans="1:8" ht="15.75" x14ac:dyDescent="0.25">
      <c r="A36" s="13"/>
      <c r="B36" s="95" t="s">
        <v>96</v>
      </c>
      <c r="C36" s="95"/>
      <c r="D36" s="96" t="s">
        <v>97</v>
      </c>
      <c r="E36" s="98">
        <v>9</v>
      </c>
      <c r="F36" s="94"/>
      <c r="G36" s="98">
        <v>4</v>
      </c>
      <c r="H36" s="35">
        <f t="shared" si="0"/>
        <v>0</v>
      </c>
    </row>
    <row r="37" spans="1:8" ht="15.75" x14ac:dyDescent="0.25">
      <c r="A37" s="13"/>
      <c r="B37" s="95" t="s">
        <v>98</v>
      </c>
      <c r="C37" s="95"/>
      <c r="D37" s="96" t="s">
        <v>255</v>
      </c>
      <c r="E37" s="98">
        <v>0</v>
      </c>
      <c r="F37" s="94"/>
      <c r="G37" s="98">
        <v>4</v>
      </c>
      <c r="H37" s="35">
        <f t="shared" si="0"/>
        <v>0</v>
      </c>
    </row>
    <row r="38" spans="1:8" ht="15.75" x14ac:dyDescent="0.25">
      <c r="A38" s="13"/>
      <c r="B38" s="95" t="s">
        <v>100</v>
      </c>
      <c r="C38" s="95"/>
      <c r="D38" s="96" t="s">
        <v>101</v>
      </c>
      <c r="E38" s="98">
        <v>0</v>
      </c>
      <c r="F38" s="94"/>
      <c r="G38" s="98">
        <v>4</v>
      </c>
      <c r="H38" s="35">
        <f t="shared" si="0"/>
        <v>0</v>
      </c>
    </row>
    <row r="39" spans="1:8" ht="15.75" x14ac:dyDescent="0.25">
      <c r="A39" s="13"/>
      <c r="B39" s="95" t="s">
        <v>102</v>
      </c>
      <c r="C39" s="95"/>
      <c r="D39" s="96" t="s">
        <v>256</v>
      </c>
      <c r="E39" s="98">
        <v>0</v>
      </c>
      <c r="F39" s="94"/>
      <c r="G39" s="98">
        <v>4</v>
      </c>
      <c r="H39" s="35">
        <f t="shared" si="0"/>
        <v>0</v>
      </c>
    </row>
    <row r="40" spans="1:8" ht="15.75" x14ac:dyDescent="0.25">
      <c r="A40" s="13"/>
      <c r="B40" s="95" t="s">
        <v>104</v>
      </c>
      <c r="C40" s="95"/>
      <c r="D40" s="96" t="s">
        <v>257</v>
      </c>
      <c r="E40" s="98">
        <v>0</v>
      </c>
      <c r="F40" s="94"/>
      <c r="G40" s="98">
        <v>4</v>
      </c>
      <c r="H40" s="35">
        <f t="shared" si="0"/>
        <v>0</v>
      </c>
    </row>
    <row r="41" spans="1:8" ht="15.75" x14ac:dyDescent="0.25">
      <c r="A41" s="13"/>
      <c r="B41" s="95" t="s">
        <v>106</v>
      </c>
      <c r="C41" s="95"/>
      <c r="D41" s="96" t="s">
        <v>258</v>
      </c>
      <c r="E41" s="98">
        <v>157</v>
      </c>
      <c r="F41" s="94"/>
      <c r="G41" s="98">
        <v>4</v>
      </c>
      <c r="H41" s="35">
        <f t="shared" si="0"/>
        <v>0</v>
      </c>
    </row>
    <row r="42" spans="1:8" ht="15.75" x14ac:dyDescent="0.25">
      <c r="A42" s="13"/>
      <c r="B42" s="95" t="s">
        <v>108</v>
      </c>
      <c r="C42" s="95"/>
      <c r="D42" s="96" t="s">
        <v>109</v>
      </c>
      <c r="E42" s="98">
        <v>66</v>
      </c>
      <c r="F42" s="94"/>
      <c r="G42" s="98">
        <v>4</v>
      </c>
      <c r="H42" s="35">
        <f t="shared" si="0"/>
        <v>0</v>
      </c>
    </row>
    <row r="43" spans="1:8" ht="15.75" x14ac:dyDescent="0.25">
      <c r="A43" s="13"/>
      <c r="B43" s="95" t="s">
        <v>110</v>
      </c>
      <c r="C43" s="95"/>
      <c r="D43" s="96" t="s">
        <v>111</v>
      </c>
      <c r="E43" s="98">
        <v>0</v>
      </c>
      <c r="F43" s="94"/>
      <c r="G43" s="98">
        <v>4</v>
      </c>
      <c r="H43" s="35">
        <f t="shared" si="0"/>
        <v>0</v>
      </c>
    </row>
    <row r="44" spans="1:8" ht="15.75" x14ac:dyDescent="0.25">
      <c r="A44" s="13"/>
      <c r="B44" s="95" t="s">
        <v>112</v>
      </c>
      <c r="C44" s="95"/>
      <c r="D44" s="96" t="s">
        <v>228</v>
      </c>
      <c r="E44" s="98">
        <v>0</v>
      </c>
      <c r="F44" s="94"/>
      <c r="G44" s="98">
        <v>2</v>
      </c>
      <c r="H44" s="35">
        <f t="shared" si="0"/>
        <v>0</v>
      </c>
    </row>
    <row r="45" spans="1:8" ht="15.75" x14ac:dyDescent="0.25">
      <c r="A45" s="13"/>
      <c r="B45" s="95" t="s">
        <v>113</v>
      </c>
      <c r="C45" s="95"/>
      <c r="D45" s="96" t="s">
        <v>229</v>
      </c>
      <c r="E45" s="98">
        <v>0</v>
      </c>
      <c r="F45" s="94"/>
      <c r="G45" s="98">
        <v>2</v>
      </c>
      <c r="H45" s="35">
        <f t="shared" si="0"/>
        <v>0</v>
      </c>
    </row>
    <row r="46" spans="1:8" ht="15.75" x14ac:dyDescent="0.25">
      <c r="A46" s="13"/>
      <c r="B46" s="95" t="s">
        <v>114</v>
      </c>
      <c r="C46" s="95"/>
      <c r="D46" s="96" t="s">
        <v>230</v>
      </c>
      <c r="E46" s="98">
        <v>0</v>
      </c>
      <c r="F46" s="94"/>
      <c r="G46" s="98">
        <v>2</v>
      </c>
      <c r="H46" s="35">
        <f t="shared" si="0"/>
        <v>0</v>
      </c>
    </row>
    <row r="47" spans="1:8" ht="15.75" x14ac:dyDescent="0.25">
      <c r="A47" s="13"/>
      <c r="B47" s="95" t="s">
        <v>115</v>
      </c>
      <c r="C47" s="95"/>
      <c r="D47" s="96" t="s">
        <v>116</v>
      </c>
      <c r="E47" s="98">
        <v>697</v>
      </c>
      <c r="F47" s="94"/>
      <c r="G47" s="98">
        <v>4</v>
      </c>
      <c r="H47" s="35">
        <f t="shared" si="0"/>
        <v>0</v>
      </c>
    </row>
  </sheetData>
  <mergeCells count="1">
    <mergeCell ref="E2:G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C8D98-F025-4690-ABD3-C0E2CFFDE7D3}">
  <sheetPr>
    <tabColor rgb="FFFF0000"/>
  </sheetPr>
  <dimension ref="A1:O42"/>
  <sheetViews>
    <sheetView workbookViewId="0">
      <selection activeCell="F3" sqref="F3:F42"/>
    </sheetView>
  </sheetViews>
  <sheetFormatPr defaultColWidth="9.140625" defaultRowHeight="15" x14ac:dyDescent="0.25"/>
  <cols>
    <col min="4" max="4" width="40.7109375" customWidth="1"/>
    <col min="6" max="6" width="8.140625" customWidth="1"/>
    <col min="8" max="8" width="12.7109375" customWidth="1"/>
    <col min="9" max="9" width="10.85546875" customWidth="1"/>
    <col min="10" max="10" width="8.42578125" customWidth="1"/>
    <col min="13" max="13" width="39.85546875" bestFit="1" customWidth="1"/>
    <col min="260" max="260" width="40.7109375" customWidth="1"/>
    <col min="264" max="264" width="10.7109375" bestFit="1" customWidth="1"/>
    <col min="269" max="269" width="39.85546875" bestFit="1" customWidth="1"/>
    <col min="516" max="516" width="40.7109375" customWidth="1"/>
    <col min="520" max="520" width="10.7109375" bestFit="1" customWidth="1"/>
    <col min="525" max="525" width="39.85546875" bestFit="1" customWidth="1"/>
    <col min="772" max="772" width="40.7109375" customWidth="1"/>
    <col min="776" max="776" width="10.7109375" bestFit="1" customWidth="1"/>
    <col min="781" max="781" width="39.85546875" bestFit="1" customWidth="1"/>
    <col min="1028" max="1028" width="40.7109375" customWidth="1"/>
    <col min="1032" max="1032" width="10.7109375" bestFit="1" customWidth="1"/>
    <col min="1037" max="1037" width="39.85546875" bestFit="1" customWidth="1"/>
    <col min="1284" max="1284" width="40.7109375" customWidth="1"/>
    <col min="1288" max="1288" width="10.7109375" bestFit="1" customWidth="1"/>
    <col min="1293" max="1293" width="39.85546875" bestFit="1" customWidth="1"/>
    <col min="1540" max="1540" width="40.7109375" customWidth="1"/>
    <col min="1544" max="1544" width="10.7109375" bestFit="1" customWidth="1"/>
    <col min="1549" max="1549" width="39.85546875" bestFit="1" customWidth="1"/>
    <col min="1796" max="1796" width="40.7109375" customWidth="1"/>
    <col min="1800" max="1800" width="10.7109375" bestFit="1" customWidth="1"/>
    <col min="1805" max="1805" width="39.85546875" bestFit="1" customWidth="1"/>
    <col min="2052" max="2052" width="40.7109375" customWidth="1"/>
    <col min="2056" max="2056" width="10.7109375" bestFit="1" customWidth="1"/>
    <col min="2061" max="2061" width="39.85546875" bestFit="1" customWidth="1"/>
    <col min="2308" max="2308" width="40.7109375" customWidth="1"/>
    <col min="2312" max="2312" width="10.7109375" bestFit="1" customWidth="1"/>
    <col min="2317" max="2317" width="39.85546875" bestFit="1" customWidth="1"/>
    <col min="2564" max="2564" width="40.7109375" customWidth="1"/>
    <col min="2568" max="2568" width="10.7109375" bestFit="1" customWidth="1"/>
    <col min="2573" max="2573" width="39.85546875" bestFit="1" customWidth="1"/>
    <col min="2820" max="2820" width="40.7109375" customWidth="1"/>
    <col min="2824" max="2824" width="10.7109375" bestFit="1" customWidth="1"/>
    <col min="2829" max="2829" width="39.85546875" bestFit="1" customWidth="1"/>
    <col min="3076" max="3076" width="40.7109375" customWidth="1"/>
    <col min="3080" max="3080" width="10.7109375" bestFit="1" customWidth="1"/>
    <col min="3085" max="3085" width="39.85546875" bestFit="1" customWidth="1"/>
    <col min="3332" max="3332" width="40.7109375" customWidth="1"/>
    <col min="3336" max="3336" width="10.7109375" bestFit="1" customWidth="1"/>
    <col min="3341" max="3341" width="39.85546875" bestFit="1" customWidth="1"/>
    <col min="3588" max="3588" width="40.7109375" customWidth="1"/>
    <col min="3592" max="3592" width="10.7109375" bestFit="1" customWidth="1"/>
    <col min="3597" max="3597" width="39.85546875" bestFit="1" customWidth="1"/>
    <col min="3844" max="3844" width="40.7109375" customWidth="1"/>
    <col min="3848" max="3848" width="10.7109375" bestFit="1" customWidth="1"/>
    <col min="3853" max="3853" width="39.85546875" bestFit="1" customWidth="1"/>
    <col min="4100" max="4100" width="40.7109375" customWidth="1"/>
    <col min="4104" max="4104" width="10.7109375" bestFit="1" customWidth="1"/>
    <col min="4109" max="4109" width="39.85546875" bestFit="1" customWidth="1"/>
    <col min="4356" max="4356" width="40.7109375" customWidth="1"/>
    <col min="4360" max="4360" width="10.7109375" bestFit="1" customWidth="1"/>
    <col min="4365" max="4365" width="39.85546875" bestFit="1" customWidth="1"/>
    <col min="4612" max="4612" width="40.7109375" customWidth="1"/>
    <col min="4616" max="4616" width="10.7109375" bestFit="1" customWidth="1"/>
    <col min="4621" max="4621" width="39.85546875" bestFit="1" customWidth="1"/>
    <col min="4868" max="4868" width="40.7109375" customWidth="1"/>
    <col min="4872" max="4872" width="10.7109375" bestFit="1" customWidth="1"/>
    <col min="4877" max="4877" width="39.85546875" bestFit="1" customWidth="1"/>
    <col min="5124" max="5124" width="40.7109375" customWidth="1"/>
    <col min="5128" max="5128" width="10.7109375" bestFit="1" customWidth="1"/>
    <col min="5133" max="5133" width="39.85546875" bestFit="1" customWidth="1"/>
    <col min="5380" max="5380" width="40.7109375" customWidth="1"/>
    <col min="5384" max="5384" width="10.7109375" bestFit="1" customWidth="1"/>
    <col min="5389" max="5389" width="39.85546875" bestFit="1" customWidth="1"/>
    <col min="5636" max="5636" width="40.7109375" customWidth="1"/>
    <col min="5640" max="5640" width="10.7109375" bestFit="1" customWidth="1"/>
    <col min="5645" max="5645" width="39.85546875" bestFit="1" customWidth="1"/>
    <col min="5892" max="5892" width="40.7109375" customWidth="1"/>
    <col min="5896" max="5896" width="10.7109375" bestFit="1" customWidth="1"/>
    <col min="5901" max="5901" width="39.85546875" bestFit="1" customWidth="1"/>
    <col min="6148" max="6148" width="40.7109375" customWidth="1"/>
    <col min="6152" max="6152" width="10.7109375" bestFit="1" customWidth="1"/>
    <col min="6157" max="6157" width="39.85546875" bestFit="1" customWidth="1"/>
    <col min="6404" max="6404" width="40.7109375" customWidth="1"/>
    <col min="6408" max="6408" width="10.7109375" bestFit="1" customWidth="1"/>
    <col min="6413" max="6413" width="39.85546875" bestFit="1" customWidth="1"/>
    <col min="6660" max="6660" width="40.7109375" customWidth="1"/>
    <col min="6664" max="6664" width="10.7109375" bestFit="1" customWidth="1"/>
    <col min="6669" max="6669" width="39.85546875" bestFit="1" customWidth="1"/>
    <col min="6916" max="6916" width="40.7109375" customWidth="1"/>
    <col min="6920" max="6920" width="10.7109375" bestFit="1" customWidth="1"/>
    <col min="6925" max="6925" width="39.85546875" bestFit="1" customWidth="1"/>
    <col min="7172" max="7172" width="40.7109375" customWidth="1"/>
    <col min="7176" max="7176" width="10.7109375" bestFit="1" customWidth="1"/>
    <col min="7181" max="7181" width="39.85546875" bestFit="1" customWidth="1"/>
    <col min="7428" max="7428" width="40.7109375" customWidth="1"/>
    <col min="7432" max="7432" width="10.7109375" bestFit="1" customWidth="1"/>
    <col min="7437" max="7437" width="39.85546875" bestFit="1" customWidth="1"/>
    <col min="7684" max="7684" width="40.7109375" customWidth="1"/>
    <col min="7688" max="7688" width="10.7109375" bestFit="1" customWidth="1"/>
    <col min="7693" max="7693" width="39.85546875" bestFit="1" customWidth="1"/>
    <col min="7940" max="7940" width="40.7109375" customWidth="1"/>
    <col min="7944" max="7944" width="10.7109375" bestFit="1" customWidth="1"/>
    <col min="7949" max="7949" width="39.85546875" bestFit="1" customWidth="1"/>
    <col min="8196" max="8196" width="40.7109375" customWidth="1"/>
    <col min="8200" max="8200" width="10.7109375" bestFit="1" customWidth="1"/>
    <col min="8205" max="8205" width="39.85546875" bestFit="1" customWidth="1"/>
    <col min="8452" max="8452" width="40.7109375" customWidth="1"/>
    <col min="8456" max="8456" width="10.7109375" bestFit="1" customWidth="1"/>
    <col min="8461" max="8461" width="39.85546875" bestFit="1" customWidth="1"/>
    <col min="8708" max="8708" width="40.7109375" customWidth="1"/>
    <col min="8712" max="8712" width="10.7109375" bestFit="1" customWidth="1"/>
    <col min="8717" max="8717" width="39.85546875" bestFit="1" customWidth="1"/>
    <col min="8964" max="8964" width="40.7109375" customWidth="1"/>
    <col min="8968" max="8968" width="10.7109375" bestFit="1" customWidth="1"/>
    <col min="8973" max="8973" width="39.85546875" bestFit="1" customWidth="1"/>
    <col min="9220" max="9220" width="40.7109375" customWidth="1"/>
    <col min="9224" max="9224" width="10.7109375" bestFit="1" customWidth="1"/>
    <col min="9229" max="9229" width="39.85546875" bestFit="1" customWidth="1"/>
    <col min="9476" max="9476" width="40.7109375" customWidth="1"/>
    <col min="9480" max="9480" width="10.7109375" bestFit="1" customWidth="1"/>
    <col min="9485" max="9485" width="39.85546875" bestFit="1" customWidth="1"/>
    <col min="9732" max="9732" width="40.7109375" customWidth="1"/>
    <col min="9736" max="9736" width="10.7109375" bestFit="1" customWidth="1"/>
    <col min="9741" max="9741" width="39.85546875" bestFit="1" customWidth="1"/>
    <col min="9988" max="9988" width="40.7109375" customWidth="1"/>
    <col min="9992" max="9992" width="10.7109375" bestFit="1" customWidth="1"/>
    <col min="9997" max="9997" width="39.85546875" bestFit="1" customWidth="1"/>
    <col min="10244" max="10244" width="40.7109375" customWidth="1"/>
    <col min="10248" max="10248" width="10.7109375" bestFit="1" customWidth="1"/>
    <col min="10253" max="10253" width="39.85546875" bestFit="1" customWidth="1"/>
    <col min="10500" max="10500" width="40.7109375" customWidth="1"/>
    <col min="10504" max="10504" width="10.7109375" bestFit="1" customWidth="1"/>
    <col min="10509" max="10509" width="39.85546875" bestFit="1" customWidth="1"/>
    <col min="10756" max="10756" width="40.7109375" customWidth="1"/>
    <col min="10760" max="10760" width="10.7109375" bestFit="1" customWidth="1"/>
    <col min="10765" max="10765" width="39.85546875" bestFit="1" customWidth="1"/>
    <col min="11012" max="11012" width="40.7109375" customWidth="1"/>
    <col min="11016" max="11016" width="10.7109375" bestFit="1" customWidth="1"/>
    <col min="11021" max="11021" width="39.85546875" bestFit="1" customWidth="1"/>
    <col min="11268" max="11268" width="40.7109375" customWidth="1"/>
    <col min="11272" max="11272" width="10.7109375" bestFit="1" customWidth="1"/>
    <col min="11277" max="11277" width="39.85546875" bestFit="1" customWidth="1"/>
    <col min="11524" max="11524" width="40.7109375" customWidth="1"/>
    <col min="11528" max="11528" width="10.7109375" bestFit="1" customWidth="1"/>
    <col min="11533" max="11533" width="39.85546875" bestFit="1" customWidth="1"/>
    <col min="11780" max="11780" width="40.7109375" customWidth="1"/>
    <col min="11784" max="11784" width="10.7109375" bestFit="1" customWidth="1"/>
    <col min="11789" max="11789" width="39.85546875" bestFit="1" customWidth="1"/>
    <col min="12036" max="12036" width="40.7109375" customWidth="1"/>
    <col min="12040" max="12040" width="10.7109375" bestFit="1" customWidth="1"/>
    <col min="12045" max="12045" width="39.85546875" bestFit="1" customWidth="1"/>
    <col min="12292" max="12292" width="40.7109375" customWidth="1"/>
    <col min="12296" max="12296" width="10.7109375" bestFit="1" customWidth="1"/>
    <col min="12301" max="12301" width="39.85546875" bestFit="1" customWidth="1"/>
    <col min="12548" max="12548" width="40.7109375" customWidth="1"/>
    <col min="12552" max="12552" width="10.7109375" bestFit="1" customWidth="1"/>
    <col min="12557" max="12557" width="39.85546875" bestFit="1" customWidth="1"/>
    <col min="12804" max="12804" width="40.7109375" customWidth="1"/>
    <col min="12808" max="12808" width="10.7109375" bestFit="1" customWidth="1"/>
    <col min="12813" max="12813" width="39.85546875" bestFit="1" customWidth="1"/>
    <col min="13060" max="13060" width="40.7109375" customWidth="1"/>
    <col min="13064" max="13064" width="10.7109375" bestFit="1" customWidth="1"/>
    <col min="13069" max="13069" width="39.85546875" bestFit="1" customWidth="1"/>
    <col min="13316" max="13316" width="40.7109375" customWidth="1"/>
    <col min="13320" max="13320" width="10.7109375" bestFit="1" customWidth="1"/>
    <col min="13325" max="13325" width="39.85546875" bestFit="1" customWidth="1"/>
    <col min="13572" max="13572" width="40.7109375" customWidth="1"/>
    <col min="13576" max="13576" width="10.7109375" bestFit="1" customWidth="1"/>
    <col min="13581" max="13581" width="39.85546875" bestFit="1" customWidth="1"/>
    <col min="13828" max="13828" width="40.7109375" customWidth="1"/>
    <col min="13832" max="13832" width="10.7109375" bestFit="1" customWidth="1"/>
    <col min="13837" max="13837" width="39.85546875" bestFit="1" customWidth="1"/>
    <col min="14084" max="14084" width="40.7109375" customWidth="1"/>
    <col min="14088" max="14088" width="10.7109375" bestFit="1" customWidth="1"/>
    <col min="14093" max="14093" width="39.85546875" bestFit="1" customWidth="1"/>
    <col min="14340" max="14340" width="40.7109375" customWidth="1"/>
    <col min="14344" max="14344" width="10.7109375" bestFit="1" customWidth="1"/>
    <col min="14349" max="14349" width="39.85546875" bestFit="1" customWidth="1"/>
    <col min="14596" max="14596" width="40.7109375" customWidth="1"/>
    <col min="14600" max="14600" width="10.7109375" bestFit="1" customWidth="1"/>
    <col min="14605" max="14605" width="39.85546875" bestFit="1" customWidth="1"/>
    <col min="14852" max="14852" width="40.7109375" customWidth="1"/>
    <col min="14856" max="14856" width="10.7109375" bestFit="1" customWidth="1"/>
    <col min="14861" max="14861" width="39.85546875" bestFit="1" customWidth="1"/>
    <col min="15108" max="15108" width="40.7109375" customWidth="1"/>
    <col min="15112" max="15112" width="10.7109375" bestFit="1" customWidth="1"/>
    <col min="15117" max="15117" width="39.85546875" bestFit="1" customWidth="1"/>
    <col min="15364" max="15364" width="40.7109375" customWidth="1"/>
    <col min="15368" max="15368" width="10.7109375" bestFit="1" customWidth="1"/>
    <col min="15373" max="15373" width="39.85546875" bestFit="1" customWidth="1"/>
    <col min="15620" max="15620" width="40.7109375" customWidth="1"/>
    <col min="15624" max="15624" width="10.7109375" bestFit="1" customWidth="1"/>
    <col min="15629" max="15629" width="39.85546875" bestFit="1" customWidth="1"/>
    <col min="15876" max="15876" width="40.7109375" customWidth="1"/>
    <col min="15880" max="15880" width="10.7109375" bestFit="1" customWidth="1"/>
    <col min="15885" max="15885" width="39.85546875" bestFit="1" customWidth="1"/>
    <col min="16132" max="16132" width="40.7109375" customWidth="1"/>
    <col min="16136" max="16136" width="10.7109375" bestFit="1" customWidth="1"/>
    <col min="16141" max="16141" width="39.85546875" bestFit="1" customWidth="1"/>
  </cols>
  <sheetData>
    <row r="1" spans="1:15" ht="38.25" x14ac:dyDescent="0.25">
      <c r="A1" s="25" t="s">
        <v>0</v>
      </c>
      <c r="B1" s="25" t="s">
        <v>24</v>
      </c>
      <c r="C1" s="25" t="s">
        <v>25</v>
      </c>
      <c r="D1" s="26" t="s">
        <v>1</v>
      </c>
      <c r="E1" s="27" t="s">
        <v>26</v>
      </c>
      <c r="F1" s="27" t="s">
        <v>27</v>
      </c>
      <c r="G1" s="27" t="s">
        <v>28</v>
      </c>
      <c r="H1" s="27" t="s">
        <v>2</v>
      </c>
      <c r="I1" s="73"/>
      <c r="J1" s="73"/>
    </row>
    <row r="2" spans="1:15" ht="79.900000000000006" customHeight="1" x14ac:dyDescent="0.25">
      <c r="A2" s="29" t="s">
        <v>21</v>
      </c>
      <c r="B2" s="3"/>
      <c r="C2" s="3"/>
      <c r="D2" s="30" t="s">
        <v>123</v>
      </c>
      <c r="E2" s="161" t="s">
        <v>30</v>
      </c>
      <c r="F2" s="162"/>
      <c r="G2" s="163"/>
      <c r="H2" s="58">
        <f>SUM(H3:H42)</f>
        <v>0</v>
      </c>
      <c r="I2" s="68"/>
      <c r="J2" s="86"/>
      <c r="K2" s="59"/>
    </row>
    <row r="3" spans="1:15" ht="15.75" x14ac:dyDescent="0.25">
      <c r="A3" s="31"/>
      <c r="B3" s="99" t="s">
        <v>214</v>
      </c>
      <c r="C3" s="99"/>
      <c r="D3" s="100" t="s">
        <v>259</v>
      </c>
      <c r="E3" s="34">
        <v>114</v>
      </c>
      <c r="F3" s="94"/>
      <c r="G3" s="36">
        <v>2</v>
      </c>
      <c r="H3" s="35">
        <f>(E3*F3)*G3</f>
        <v>0</v>
      </c>
      <c r="I3" s="74"/>
      <c r="J3" s="81"/>
      <c r="K3" s="78"/>
      <c r="L3" s="65"/>
      <c r="M3" s="79"/>
      <c r="N3" s="76"/>
    </row>
    <row r="4" spans="1:15" ht="15" customHeight="1" x14ac:dyDescent="0.25">
      <c r="A4" s="31"/>
      <c r="B4" s="95" t="s">
        <v>124</v>
      </c>
      <c r="C4" s="95"/>
      <c r="D4" s="101" t="s">
        <v>260</v>
      </c>
      <c r="E4" s="39">
        <v>103</v>
      </c>
      <c r="F4" s="94"/>
      <c r="G4" s="36">
        <v>2</v>
      </c>
      <c r="H4" s="35">
        <f>(E4*F4)*G4</f>
        <v>0</v>
      </c>
      <c r="I4" s="74"/>
      <c r="J4" s="82"/>
      <c r="K4" s="85"/>
      <c r="L4" s="65"/>
      <c r="M4" s="79"/>
      <c r="N4" s="76"/>
      <c r="O4" s="51"/>
    </row>
    <row r="5" spans="1:15" ht="15.75" x14ac:dyDescent="0.25">
      <c r="A5" s="31"/>
      <c r="B5" s="95" t="s">
        <v>126</v>
      </c>
      <c r="C5" s="95"/>
      <c r="D5" s="101" t="s">
        <v>261</v>
      </c>
      <c r="E5" s="34">
        <v>19</v>
      </c>
      <c r="F5" s="94"/>
      <c r="G5" s="36">
        <v>2</v>
      </c>
      <c r="H5" s="35">
        <f>(E5*F5)*G5</f>
        <v>0</v>
      </c>
      <c r="I5" s="74"/>
      <c r="J5" s="81"/>
      <c r="K5" s="85"/>
      <c r="L5" s="65"/>
      <c r="M5" s="79"/>
      <c r="N5" s="76"/>
      <c r="O5" s="51"/>
    </row>
    <row r="6" spans="1:15" ht="15.75" x14ac:dyDescent="0.25">
      <c r="A6" s="31"/>
      <c r="B6" s="95" t="s">
        <v>128</v>
      </c>
      <c r="C6" s="95"/>
      <c r="D6" s="101" t="s">
        <v>262</v>
      </c>
      <c r="E6" s="2">
        <v>0</v>
      </c>
      <c r="F6" s="94"/>
      <c r="G6" s="52">
        <v>2</v>
      </c>
      <c r="H6" s="53">
        <f t="shared" ref="H6:H20" si="0">(E6*F6)*G6</f>
        <v>0</v>
      </c>
      <c r="I6" s="74"/>
      <c r="J6" s="81"/>
      <c r="K6" s="85"/>
      <c r="L6" s="65"/>
      <c r="M6" s="79"/>
      <c r="N6" s="76"/>
      <c r="O6" s="51"/>
    </row>
    <row r="7" spans="1:15" ht="15.75" x14ac:dyDescent="0.25">
      <c r="A7" s="31"/>
      <c r="B7" s="95" t="s">
        <v>130</v>
      </c>
      <c r="C7" s="95"/>
      <c r="D7" s="101" t="s">
        <v>263</v>
      </c>
      <c r="E7" s="34">
        <v>1</v>
      </c>
      <c r="F7" s="94"/>
      <c r="G7" s="36">
        <v>2</v>
      </c>
      <c r="H7" s="35">
        <f t="shared" si="0"/>
        <v>0</v>
      </c>
      <c r="I7" s="74"/>
      <c r="J7" s="81"/>
      <c r="K7" s="85"/>
      <c r="L7" s="65"/>
      <c r="M7" s="79"/>
      <c r="N7" s="76"/>
      <c r="O7" s="51"/>
    </row>
    <row r="8" spans="1:15" ht="15.75" x14ac:dyDescent="0.25">
      <c r="A8" s="31"/>
      <c r="B8" s="95" t="s">
        <v>132</v>
      </c>
      <c r="C8" s="95"/>
      <c r="D8" s="101" t="s">
        <v>234</v>
      </c>
      <c r="E8" s="34">
        <v>6</v>
      </c>
      <c r="F8" s="94"/>
      <c r="G8" s="36">
        <v>2</v>
      </c>
      <c r="H8" s="35">
        <f>(E8*F8)*G8</f>
        <v>0</v>
      </c>
      <c r="I8" s="74"/>
      <c r="J8" s="81"/>
      <c r="K8" s="85"/>
      <c r="L8" s="65"/>
      <c r="M8" s="79"/>
      <c r="N8" s="76"/>
      <c r="O8" s="51"/>
    </row>
    <row r="9" spans="1:15" ht="15.75" x14ac:dyDescent="0.25">
      <c r="A9" s="31"/>
      <c r="B9" s="95" t="s">
        <v>134</v>
      </c>
      <c r="C9" s="95"/>
      <c r="D9" s="101" t="s">
        <v>264</v>
      </c>
      <c r="E9" s="34">
        <v>103</v>
      </c>
      <c r="F9" s="94"/>
      <c r="G9" s="36">
        <v>2</v>
      </c>
      <c r="H9" s="35">
        <f t="shared" si="0"/>
        <v>0</v>
      </c>
      <c r="I9" s="74"/>
      <c r="J9" s="83"/>
      <c r="K9" s="85"/>
      <c r="L9" s="65"/>
      <c r="M9" s="79"/>
      <c r="N9" s="76"/>
      <c r="O9" s="51"/>
    </row>
    <row r="10" spans="1:15" ht="15.75" x14ac:dyDescent="0.25">
      <c r="A10" s="31"/>
      <c r="B10" s="95" t="s">
        <v>136</v>
      </c>
      <c r="C10" s="95"/>
      <c r="D10" s="101" t="s">
        <v>265</v>
      </c>
      <c r="E10" s="34">
        <v>0</v>
      </c>
      <c r="F10" s="94"/>
      <c r="G10" s="36">
        <v>2</v>
      </c>
      <c r="H10" s="35">
        <f t="shared" si="0"/>
        <v>0</v>
      </c>
      <c r="I10" s="74"/>
      <c r="J10" s="81"/>
      <c r="K10" s="85"/>
      <c r="L10" s="65"/>
      <c r="M10" s="79"/>
      <c r="N10" s="76"/>
      <c r="O10" s="51"/>
    </row>
    <row r="11" spans="1:15" ht="15.75" x14ac:dyDescent="0.25">
      <c r="A11" s="31"/>
      <c r="B11" s="95" t="s">
        <v>138</v>
      </c>
      <c r="C11" s="95"/>
      <c r="D11" s="101" t="s">
        <v>266</v>
      </c>
      <c r="E11" s="34">
        <v>0</v>
      </c>
      <c r="F11" s="94"/>
      <c r="G11" s="36">
        <v>2</v>
      </c>
      <c r="H11" s="35">
        <f t="shared" si="0"/>
        <v>0</v>
      </c>
      <c r="I11" s="74"/>
      <c r="J11" s="81"/>
      <c r="K11" s="85"/>
      <c r="L11" s="65"/>
      <c r="M11" s="79"/>
      <c r="N11" s="76"/>
      <c r="O11" s="51"/>
    </row>
    <row r="12" spans="1:15" ht="15.75" x14ac:dyDescent="0.25">
      <c r="A12" s="31"/>
      <c r="B12" s="95" t="s">
        <v>140</v>
      </c>
      <c r="C12" s="95"/>
      <c r="D12" s="101" t="s">
        <v>267</v>
      </c>
      <c r="E12" s="34">
        <v>0</v>
      </c>
      <c r="F12" s="94"/>
      <c r="G12" s="36">
        <v>2</v>
      </c>
      <c r="H12" s="35">
        <f t="shared" si="0"/>
        <v>0</v>
      </c>
      <c r="I12" s="74"/>
      <c r="J12" s="81"/>
      <c r="K12" s="85"/>
      <c r="L12" s="65"/>
      <c r="M12" s="79"/>
      <c r="N12" s="76"/>
      <c r="O12" s="51"/>
    </row>
    <row r="13" spans="1:15" ht="15.75" x14ac:dyDescent="0.25">
      <c r="A13" s="31"/>
      <c r="B13" s="95" t="s">
        <v>142</v>
      </c>
      <c r="C13" s="95"/>
      <c r="D13" s="101" t="s">
        <v>268</v>
      </c>
      <c r="E13" s="34">
        <v>0</v>
      </c>
      <c r="F13" s="94"/>
      <c r="G13" s="36">
        <v>2</v>
      </c>
      <c r="H13" s="35">
        <f t="shared" si="0"/>
        <v>0</v>
      </c>
      <c r="I13" s="74"/>
      <c r="J13" s="81"/>
      <c r="K13" s="85"/>
      <c r="L13" s="65"/>
      <c r="M13" s="79"/>
      <c r="N13" s="76"/>
      <c r="O13" s="51"/>
    </row>
    <row r="14" spans="1:15" ht="15.75" x14ac:dyDescent="0.25">
      <c r="A14" s="31"/>
      <c r="B14" s="95" t="s">
        <v>144</v>
      </c>
      <c r="C14" s="95"/>
      <c r="D14" s="101" t="s">
        <v>269</v>
      </c>
      <c r="E14" s="34">
        <v>1</v>
      </c>
      <c r="F14" s="94"/>
      <c r="G14" s="36">
        <v>2</v>
      </c>
      <c r="H14" s="35">
        <f>(E14*F14)*G14</f>
        <v>0</v>
      </c>
      <c r="I14" s="74"/>
      <c r="J14" s="81"/>
      <c r="K14" s="85"/>
      <c r="L14" s="65"/>
      <c r="M14" s="79"/>
      <c r="N14" s="76"/>
      <c r="O14" s="51"/>
    </row>
    <row r="15" spans="1:15" ht="15.75" x14ac:dyDescent="0.25">
      <c r="A15" s="31"/>
      <c r="B15" s="95" t="s">
        <v>146</v>
      </c>
      <c r="C15" s="95"/>
      <c r="D15" s="101" t="s">
        <v>270</v>
      </c>
      <c r="E15" s="34">
        <v>1</v>
      </c>
      <c r="F15" s="94"/>
      <c r="G15" s="36">
        <v>2</v>
      </c>
      <c r="H15" s="35">
        <f t="shared" si="0"/>
        <v>0</v>
      </c>
      <c r="I15" s="74"/>
      <c r="J15" s="81"/>
      <c r="K15" s="85"/>
      <c r="L15" s="65"/>
      <c r="M15" s="79"/>
      <c r="N15" s="76"/>
      <c r="O15" s="51"/>
    </row>
    <row r="16" spans="1:15" ht="15.75" x14ac:dyDescent="0.25">
      <c r="A16" s="31"/>
      <c r="B16" s="95" t="s">
        <v>148</v>
      </c>
      <c r="C16" s="95"/>
      <c r="D16" s="101" t="s">
        <v>271</v>
      </c>
      <c r="E16" s="34">
        <v>0</v>
      </c>
      <c r="F16" s="94"/>
      <c r="G16" s="36">
        <v>2</v>
      </c>
      <c r="H16" s="35">
        <f>(E16*F16)*G16</f>
        <v>0</v>
      </c>
      <c r="I16" s="74"/>
      <c r="J16" s="81"/>
      <c r="K16" s="85"/>
      <c r="L16" s="65"/>
      <c r="M16" s="79"/>
      <c r="N16" s="76"/>
      <c r="O16" s="51"/>
    </row>
    <row r="17" spans="1:15" ht="15.75" x14ac:dyDescent="0.25">
      <c r="A17" s="31"/>
      <c r="B17" s="95" t="s">
        <v>150</v>
      </c>
      <c r="C17" s="95"/>
      <c r="D17" s="101" t="s">
        <v>272</v>
      </c>
      <c r="E17" s="34">
        <v>1</v>
      </c>
      <c r="F17" s="94"/>
      <c r="G17" s="36">
        <v>2</v>
      </c>
      <c r="H17" s="35">
        <f>(E17*F17)*G17</f>
        <v>0</v>
      </c>
      <c r="I17" s="74"/>
      <c r="J17" s="81"/>
      <c r="K17" s="85"/>
      <c r="L17" s="65"/>
      <c r="M17" s="79"/>
      <c r="N17" s="76"/>
      <c r="O17" s="51"/>
    </row>
    <row r="18" spans="1:15" ht="15.75" x14ac:dyDescent="0.25">
      <c r="A18" s="31"/>
      <c r="B18" s="95" t="s">
        <v>152</v>
      </c>
      <c r="C18" s="95"/>
      <c r="D18" s="101" t="s">
        <v>273</v>
      </c>
      <c r="E18" s="34">
        <v>134</v>
      </c>
      <c r="F18" s="94"/>
      <c r="G18" s="36">
        <v>2</v>
      </c>
      <c r="H18" s="35">
        <f t="shared" si="0"/>
        <v>0</v>
      </c>
      <c r="I18" s="74"/>
      <c r="J18" s="84"/>
      <c r="K18" s="85"/>
      <c r="L18" s="65"/>
      <c r="M18" s="79"/>
      <c r="N18" s="76"/>
      <c r="O18" s="51"/>
    </row>
    <row r="19" spans="1:15" ht="15.75" x14ac:dyDescent="0.25">
      <c r="A19" s="31"/>
      <c r="B19" s="95" t="s">
        <v>154</v>
      </c>
      <c r="C19" s="95"/>
      <c r="D19" s="101" t="s">
        <v>274</v>
      </c>
      <c r="E19" s="34">
        <v>103</v>
      </c>
      <c r="F19" s="94"/>
      <c r="G19" s="36">
        <v>2</v>
      </c>
      <c r="H19" s="35">
        <f t="shared" si="0"/>
        <v>0</v>
      </c>
      <c r="I19" s="74"/>
      <c r="J19" s="84"/>
      <c r="K19" s="85"/>
      <c r="L19" s="65"/>
      <c r="M19" s="79"/>
      <c r="N19" s="76"/>
      <c r="O19" s="51"/>
    </row>
    <row r="20" spans="1:15" ht="15.75" x14ac:dyDescent="0.25">
      <c r="A20" s="31"/>
      <c r="B20" s="95" t="s">
        <v>156</v>
      </c>
      <c r="C20" s="95"/>
      <c r="D20" s="101" t="s">
        <v>275</v>
      </c>
      <c r="E20" s="34">
        <v>1</v>
      </c>
      <c r="F20" s="94"/>
      <c r="G20" s="36">
        <v>2</v>
      </c>
      <c r="H20" s="35">
        <f t="shared" si="0"/>
        <v>0</v>
      </c>
      <c r="I20" s="74"/>
      <c r="J20" s="84"/>
      <c r="K20" s="85"/>
      <c r="L20" s="65"/>
      <c r="M20" s="79"/>
      <c r="N20" s="76"/>
      <c r="O20" s="51"/>
    </row>
    <row r="21" spans="1:15" ht="15.75" x14ac:dyDescent="0.25">
      <c r="A21" s="13"/>
      <c r="B21" s="95" t="s">
        <v>158</v>
      </c>
      <c r="C21" s="95"/>
      <c r="D21" s="101" t="s">
        <v>276</v>
      </c>
      <c r="E21" s="34">
        <v>103</v>
      </c>
      <c r="F21" s="94"/>
      <c r="G21" s="36">
        <v>2</v>
      </c>
      <c r="H21" s="35">
        <f>(E21*F21)*G21</f>
        <v>0</v>
      </c>
      <c r="I21" s="74"/>
      <c r="J21" s="84"/>
      <c r="K21" s="85"/>
      <c r="L21" s="65"/>
      <c r="M21" s="79"/>
      <c r="N21" s="76"/>
      <c r="O21" s="51"/>
    </row>
    <row r="22" spans="1:15" ht="15.75" x14ac:dyDescent="0.25">
      <c r="A22" s="23"/>
      <c r="B22" s="102" t="s">
        <v>160</v>
      </c>
      <c r="C22" s="102"/>
      <c r="D22" s="103" t="s">
        <v>277</v>
      </c>
      <c r="E22" s="104">
        <v>13</v>
      </c>
      <c r="F22" s="94"/>
      <c r="G22" s="36">
        <v>2</v>
      </c>
      <c r="H22" s="35">
        <f>(E22*F22)*G22</f>
        <v>0</v>
      </c>
      <c r="I22" s="74"/>
      <c r="J22" s="84"/>
      <c r="K22" s="85"/>
      <c r="L22" s="65"/>
      <c r="M22" s="79"/>
      <c r="N22" s="76"/>
      <c r="O22" s="51"/>
    </row>
    <row r="23" spans="1:15" ht="15.75" x14ac:dyDescent="0.25">
      <c r="A23" s="54" t="s">
        <v>4</v>
      </c>
      <c r="B23" s="95" t="s">
        <v>162</v>
      </c>
      <c r="C23" s="95"/>
      <c r="D23" s="107" t="s">
        <v>278</v>
      </c>
      <c r="E23" s="55">
        <v>104</v>
      </c>
      <c r="F23" s="94"/>
      <c r="G23" s="56">
        <v>2</v>
      </c>
      <c r="H23" s="57">
        <f>(E23*F23)*G23</f>
        <v>0</v>
      </c>
      <c r="I23" s="74"/>
      <c r="J23" s="84"/>
      <c r="K23" s="85"/>
      <c r="L23" s="65"/>
      <c r="M23" s="79"/>
      <c r="N23" s="76"/>
      <c r="O23" s="51"/>
    </row>
    <row r="24" spans="1:15" ht="15.75" x14ac:dyDescent="0.25">
      <c r="A24" s="13"/>
      <c r="B24" s="95" t="s">
        <v>221</v>
      </c>
      <c r="C24" s="95"/>
      <c r="D24" s="107" t="s">
        <v>279</v>
      </c>
      <c r="E24" s="34">
        <v>103</v>
      </c>
      <c r="F24" s="94"/>
      <c r="G24" s="56">
        <v>2</v>
      </c>
      <c r="H24" s="57">
        <f t="shared" ref="H24:H42" si="1">(E24*F24)*G24</f>
        <v>0</v>
      </c>
      <c r="J24" s="80"/>
      <c r="K24" s="78"/>
      <c r="L24" s="76"/>
      <c r="M24" s="79"/>
      <c r="N24" s="76"/>
      <c r="O24" s="51"/>
    </row>
    <row r="25" spans="1:15" ht="15.75" x14ac:dyDescent="0.25">
      <c r="A25" s="13"/>
      <c r="B25" s="95" t="s">
        <v>164</v>
      </c>
      <c r="C25" s="95"/>
      <c r="D25" s="107" t="s">
        <v>280</v>
      </c>
      <c r="E25" s="34">
        <v>70</v>
      </c>
      <c r="F25" s="94"/>
      <c r="G25" s="56">
        <v>2</v>
      </c>
      <c r="H25" s="57">
        <f t="shared" si="1"/>
        <v>0</v>
      </c>
      <c r="K25" s="51"/>
      <c r="L25" s="51"/>
      <c r="M25" s="51"/>
      <c r="N25" s="51"/>
      <c r="O25" s="51"/>
    </row>
    <row r="26" spans="1:15" ht="15.75" x14ac:dyDescent="0.25">
      <c r="A26" s="13"/>
      <c r="B26" s="95" t="s">
        <v>166</v>
      </c>
      <c r="C26" s="95"/>
      <c r="D26" s="107" t="s">
        <v>281</v>
      </c>
      <c r="E26" s="34">
        <v>117</v>
      </c>
      <c r="F26" s="94"/>
      <c r="G26" s="56">
        <v>2</v>
      </c>
      <c r="H26" s="57">
        <f t="shared" si="1"/>
        <v>0</v>
      </c>
      <c r="K26" s="51"/>
      <c r="L26" s="51"/>
      <c r="M26" s="51"/>
      <c r="N26" s="51"/>
      <c r="O26" s="51"/>
    </row>
    <row r="27" spans="1:15" ht="15.75" x14ac:dyDescent="0.25">
      <c r="A27" s="13"/>
      <c r="B27" s="95" t="s">
        <v>168</v>
      </c>
      <c r="C27" s="95"/>
      <c r="D27" s="107" t="s">
        <v>282</v>
      </c>
      <c r="E27" s="34">
        <v>1</v>
      </c>
      <c r="F27" s="94"/>
      <c r="G27" s="56">
        <v>2</v>
      </c>
      <c r="H27" s="57">
        <f t="shared" si="1"/>
        <v>0</v>
      </c>
      <c r="K27" s="51"/>
      <c r="L27" s="51"/>
      <c r="M27" s="51"/>
      <c r="N27" s="51"/>
      <c r="O27" s="51"/>
    </row>
    <row r="28" spans="1:15" ht="15.75" x14ac:dyDescent="0.25">
      <c r="A28" s="13"/>
      <c r="B28" s="95" t="s">
        <v>170</v>
      </c>
      <c r="C28" s="95"/>
      <c r="D28" s="107" t="s">
        <v>283</v>
      </c>
      <c r="E28" s="34">
        <v>81</v>
      </c>
      <c r="F28" s="94"/>
      <c r="G28" s="56">
        <v>2</v>
      </c>
      <c r="H28" s="57">
        <f t="shared" si="1"/>
        <v>0</v>
      </c>
      <c r="K28" s="51"/>
      <c r="L28" s="51"/>
      <c r="M28" s="51"/>
      <c r="N28" s="51"/>
      <c r="O28" s="51"/>
    </row>
    <row r="29" spans="1:15" ht="15.75" x14ac:dyDescent="0.25">
      <c r="A29" s="13"/>
      <c r="B29" s="95" t="s">
        <v>172</v>
      </c>
      <c r="C29" s="95"/>
      <c r="D29" s="107" t="s">
        <v>284</v>
      </c>
      <c r="E29" s="34">
        <v>70</v>
      </c>
      <c r="F29" s="94"/>
      <c r="G29" s="56">
        <v>2</v>
      </c>
      <c r="H29" s="57">
        <f t="shared" si="1"/>
        <v>0</v>
      </c>
      <c r="K29" s="51"/>
      <c r="L29" s="51"/>
      <c r="M29" s="51"/>
      <c r="N29" s="51"/>
      <c r="O29" s="51"/>
    </row>
    <row r="30" spans="1:15" ht="15.75" x14ac:dyDescent="0.25">
      <c r="A30" s="13"/>
      <c r="B30" s="95" t="s">
        <v>174</v>
      </c>
      <c r="C30" s="95"/>
      <c r="D30" s="107" t="s">
        <v>285</v>
      </c>
      <c r="E30" s="34">
        <v>1</v>
      </c>
      <c r="F30" s="94"/>
      <c r="G30" s="56">
        <v>2</v>
      </c>
      <c r="H30" s="57">
        <f t="shared" si="1"/>
        <v>0</v>
      </c>
      <c r="K30" s="51"/>
      <c r="L30" s="51"/>
      <c r="M30" s="51"/>
      <c r="N30" s="51"/>
      <c r="O30" s="51"/>
    </row>
    <row r="31" spans="1:15" ht="15.75" x14ac:dyDescent="0.25">
      <c r="A31" s="13"/>
      <c r="B31" s="95" t="s">
        <v>176</v>
      </c>
      <c r="C31" s="95"/>
      <c r="D31" s="107" t="s">
        <v>286</v>
      </c>
      <c r="E31" s="34">
        <v>1</v>
      </c>
      <c r="F31" s="94"/>
      <c r="G31" s="56">
        <v>2</v>
      </c>
      <c r="H31" s="57">
        <f t="shared" si="1"/>
        <v>0</v>
      </c>
      <c r="K31" s="51"/>
      <c r="L31" s="51"/>
      <c r="M31" s="51"/>
      <c r="N31" s="51"/>
      <c r="O31" s="51"/>
    </row>
    <row r="32" spans="1:15" ht="15.75" x14ac:dyDescent="0.25">
      <c r="A32" s="13"/>
      <c r="B32" s="95" t="s">
        <v>177</v>
      </c>
      <c r="C32" s="95"/>
      <c r="D32" s="107" t="s">
        <v>287</v>
      </c>
      <c r="E32" s="34">
        <v>0</v>
      </c>
      <c r="F32" s="94"/>
      <c r="G32" s="56">
        <v>2</v>
      </c>
      <c r="H32" s="57">
        <f t="shared" si="1"/>
        <v>0</v>
      </c>
      <c r="K32" s="51"/>
      <c r="L32" s="51"/>
      <c r="M32" s="51"/>
      <c r="N32" s="51"/>
      <c r="O32" s="51"/>
    </row>
    <row r="33" spans="1:15" ht="15.75" x14ac:dyDescent="0.25">
      <c r="A33" s="13"/>
      <c r="B33" s="95" t="s">
        <v>179</v>
      </c>
      <c r="C33" s="95"/>
      <c r="D33" s="107" t="s">
        <v>288</v>
      </c>
      <c r="E33" s="34">
        <v>91</v>
      </c>
      <c r="F33" s="94"/>
      <c r="G33" s="56">
        <v>2</v>
      </c>
      <c r="H33" s="57">
        <f t="shared" si="1"/>
        <v>0</v>
      </c>
      <c r="K33" s="51"/>
      <c r="L33" s="51"/>
      <c r="M33" s="51"/>
      <c r="N33" s="51"/>
      <c r="O33" s="51"/>
    </row>
    <row r="34" spans="1:15" ht="15.75" x14ac:dyDescent="0.25">
      <c r="A34" s="13"/>
      <c r="B34" s="95" t="s">
        <v>181</v>
      </c>
      <c r="C34" s="95"/>
      <c r="D34" s="107" t="s">
        <v>289</v>
      </c>
      <c r="E34" s="34">
        <v>103</v>
      </c>
      <c r="F34" s="94"/>
      <c r="G34" s="56">
        <v>2</v>
      </c>
      <c r="H34" s="57">
        <f t="shared" si="1"/>
        <v>0</v>
      </c>
      <c r="K34" s="51"/>
      <c r="L34" s="51"/>
      <c r="M34" s="51"/>
      <c r="N34" s="51"/>
      <c r="O34" s="51"/>
    </row>
    <row r="35" spans="1:15" ht="15.75" x14ac:dyDescent="0.25">
      <c r="A35" s="13"/>
      <c r="B35" s="95" t="s">
        <v>183</v>
      </c>
      <c r="C35" s="95"/>
      <c r="D35" s="107" t="s">
        <v>290</v>
      </c>
      <c r="E35" s="34">
        <v>129</v>
      </c>
      <c r="F35" s="94"/>
      <c r="G35" s="56">
        <v>2</v>
      </c>
      <c r="H35" s="57">
        <f t="shared" si="1"/>
        <v>0</v>
      </c>
      <c r="K35" s="51"/>
      <c r="L35" s="51"/>
      <c r="M35" s="51"/>
      <c r="N35" s="51"/>
      <c r="O35" s="51"/>
    </row>
    <row r="36" spans="1:15" ht="15.75" x14ac:dyDescent="0.25">
      <c r="A36" s="13"/>
      <c r="B36" s="95" t="s">
        <v>185</v>
      </c>
      <c r="C36" s="95"/>
      <c r="D36" s="107" t="s">
        <v>291</v>
      </c>
      <c r="E36" s="34">
        <v>1</v>
      </c>
      <c r="F36" s="94"/>
      <c r="G36" s="56">
        <v>2</v>
      </c>
      <c r="H36" s="57">
        <f t="shared" si="1"/>
        <v>0</v>
      </c>
    </row>
    <row r="37" spans="1:15" ht="15.75" x14ac:dyDescent="0.25">
      <c r="A37" s="13"/>
      <c r="B37" s="95" t="s">
        <v>187</v>
      </c>
      <c r="C37" s="95"/>
      <c r="D37" s="107" t="s">
        <v>292</v>
      </c>
      <c r="E37" s="34">
        <v>105</v>
      </c>
      <c r="F37" s="94"/>
      <c r="G37" s="56">
        <v>2</v>
      </c>
      <c r="H37" s="57">
        <f t="shared" si="1"/>
        <v>0</v>
      </c>
    </row>
    <row r="38" spans="1:15" ht="15.75" x14ac:dyDescent="0.25">
      <c r="A38" s="13"/>
      <c r="B38" s="95" t="s">
        <v>189</v>
      </c>
      <c r="C38" s="95"/>
      <c r="D38" s="107" t="s">
        <v>293</v>
      </c>
      <c r="E38" s="34">
        <v>1</v>
      </c>
      <c r="F38" s="94"/>
      <c r="G38" s="56">
        <v>2</v>
      </c>
      <c r="H38" s="57">
        <f t="shared" si="1"/>
        <v>0</v>
      </c>
    </row>
    <row r="39" spans="1:15" ht="15.75" x14ac:dyDescent="0.25">
      <c r="A39" s="13"/>
      <c r="B39" s="95" t="s">
        <v>224</v>
      </c>
      <c r="C39" s="95"/>
      <c r="D39" s="107" t="s">
        <v>294</v>
      </c>
      <c r="E39" s="34">
        <v>11530</v>
      </c>
      <c r="F39" s="94"/>
      <c r="G39" s="56">
        <v>2</v>
      </c>
      <c r="H39" s="57">
        <f t="shared" si="1"/>
        <v>0</v>
      </c>
    </row>
    <row r="40" spans="1:15" ht="15.75" x14ac:dyDescent="0.25">
      <c r="A40" s="13"/>
      <c r="B40" s="95" t="s">
        <v>226</v>
      </c>
      <c r="C40" s="95"/>
      <c r="D40" s="107" t="s">
        <v>295</v>
      </c>
      <c r="E40" s="34">
        <v>53</v>
      </c>
      <c r="F40" s="94"/>
      <c r="G40" s="56">
        <v>2</v>
      </c>
      <c r="H40" s="57">
        <f t="shared" si="1"/>
        <v>0</v>
      </c>
    </row>
    <row r="41" spans="1:15" ht="15.75" x14ac:dyDescent="0.25">
      <c r="A41" s="13"/>
      <c r="B41" s="95" t="s">
        <v>191</v>
      </c>
      <c r="C41" s="95"/>
      <c r="D41" s="107" t="s">
        <v>296</v>
      </c>
      <c r="E41" s="34">
        <v>32</v>
      </c>
      <c r="F41" s="94"/>
      <c r="G41" s="56">
        <v>2</v>
      </c>
      <c r="H41" s="57">
        <f t="shared" si="1"/>
        <v>0</v>
      </c>
    </row>
    <row r="42" spans="1:15" ht="15.75" x14ac:dyDescent="0.25">
      <c r="A42" s="13"/>
      <c r="B42" s="95" t="s">
        <v>215</v>
      </c>
      <c r="C42" s="95"/>
      <c r="D42" s="107" t="s">
        <v>297</v>
      </c>
      <c r="E42" s="34">
        <v>79</v>
      </c>
      <c r="F42" s="94"/>
      <c r="G42" s="56">
        <v>2</v>
      </c>
      <c r="H42" s="57">
        <f t="shared" si="1"/>
        <v>0</v>
      </c>
    </row>
  </sheetData>
  <mergeCells count="1">
    <mergeCell ref="E2:G2"/>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6A5E5-4E9A-4E5F-9E83-C90758A3B829}">
  <sheetPr>
    <tabColor rgb="FFFF0000"/>
  </sheetPr>
  <dimension ref="A1:H12"/>
  <sheetViews>
    <sheetView workbookViewId="0">
      <selection activeCell="F3" sqref="F3:F12"/>
    </sheetView>
  </sheetViews>
  <sheetFormatPr defaultColWidth="9.140625" defaultRowHeight="15" x14ac:dyDescent="0.25"/>
  <cols>
    <col min="4" max="4" width="45.85546875" customWidth="1"/>
    <col min="8" max="8" width="12.85546875" customWidth="1"/>
  </cols>
  <sheetData>
    <row r="1" spans="1:8" ht="38.25" x14ac:dyDescent="0.25">
      <c r="A1" s="25" t="s">
        <v>0</v>
      </c>
      <c r="B1" s="25" t="s">
        <v>24</v>
      </c>
      <c r="C1" s="25" t="s">
        <v>25</v>
      </c>
      <c r="D1" s="26" t="s">
        <v>1</v>
      </c>
      <c r="E1" s="27" t="s">
        <v>26</v>
      </c>
      <c r="F1" s="27" t="s">
        <v>27</v>
      </c>
      <c r="G1" s="27" t="s">
        <v>28</v>
      </c>
      <c r="H1" s="27" t="s">
        <v>2</v>
      </c>
    </row>
    <row r="2" spans="1:8" ht="92.25" customHeight="1" x14ac:dyDescent="0.25">
      <c r="A2" s="44" t="s">
        <v>21</v>
      </c>
      <c r="B2" s="88"/>
      <c r="C2" s="88"/>
      <c r="D2" s="30" t="s">
        <v>193</v>
      </c>
      <c r="E2" s="161" t="s">
        <v>30</v>
      </c>
      <c r="F2" s="162"/>
      <c r="G2" s="163"/>
      <c r="H2" s="89">
        <f>SUM(H3:H13)</f>
        <v>0</v>
      </c>
    </row>
    <row r="3" spans="1:8" ht="15.75" x14ac:dyDescent="0.25">
      <c r="A3" s="31"/>
      <c r="B3" s="95" t="s">
        <v>194</v>
      </c>
      <c r="C3" s="95"/>
      <c r="D3" s="101" t="s">
        <v>298</v>
      </c>
      <c r="E3" s="50">
        <v>75</v>
      </c>
      <c r="F3" s="93"/>
      <c r="G3" s="87">
        <v>2</v>
      </c>
      <c r="H3" s="64">
        <f>(E3*F3)*G3</f>
        <v>0</v>
      </c>
    </row>
    <row r="4" spans="1:8" ht="15.75" x14ac:dyDescent="0.25">
      <c r="A4" s="31"/>
      <c r="B4" s="95" t="s">
        <v>196</v>
      </c>
      <c r="C4" s="95"/>
      <c r="D4" s="101" t="s">
        <v>299</v>
      </c>
      <c r="E4" s="50">
        <v>0</v>
      </c>
      <c r="F4" s="93"/>
      <c r="G4" s="87">
        <v>2</v>
      </c>
      <c r="H4" s="64">
        <f t="shared" ref="H4:H12" si="0">(E4*F4)*G4</f>
        <v>0</v>
      </c>
    </row>
    <row r="5" spans="1:8" ht="15.75" x14ac:dyDescent="0.25">
      <c r="A5" s="31"/>
      <c r="B5" s="95" t="s">
        <v>198</v>
      </c>
      <c r="C5" s="95"/>
      <c r="D5" s="101" t="s">
        <v>300</v>
      </c>
      <c r="E5" s="2">
        <v>0</v>
      </c>
      <c r="F5" s="93"/>
      <c r="G5" s="87">
        <v>2</v>
      </c>
      <c r="H5" s="64">
        <f t="shared" si="0"/>
        <v>0</v>
      </c>
    </row>
    <row r="6" spans="1:8" ht="15.75" x14ac:dyDescent="0.25">
      <c r="A6" s="31"/>
      <c r="B6" s="95" t="s">
        <v>200</v>
      </c>
      <c r="C6" s="95"/>
      <c r="D6" s="101" t="s">
        <v>301</v>
      </c>
      <c r="E6" s="2">
        <v>0</v>
      </c>
      <c r="F6" s="93"/>
      <c r="G6" s="87">
        <v>2</v>
      </c>
      <c r="H6" s="64">
        <f t="shared" si="0"/>
        <v>0</v>
      </c>
    </row>
    <row r="7" spans="1:8" ht="15.75" x14ac:dyDescent="0.25">
      <c r="A7" s="31"/>
      <c r="B7" s="95" t="s">
        <v>202</v>
      </c>
      <c r="C7" s="95"/>
      <c r="D7" s="101" t="s">
        <v>302</v>
      </c>
      <c r="E7" s="2">
        <v>75</v>
      </c>
      <c r="F7" s="93"/>
      <c r="G7" s="87">
        <v>2</v>
      </c>
      <c r="H7" s="64">
        <f t="shared" si="0"/>
        <v>0</v>
      </c>
    </row>
    <row r="8" spans="1:8" ht="15.75" x14ac:dyDescent="0.25">
      <c r="A8" s="31"/>
      <c r="B8" s="95" t="s">
        <v>204</v>
      </c>
      <c r="C8" s="102"/>
      <c r="D8" s="103" t="s">
        <v>303</v>
      </c>
      <c r="E8" s="108">
        <v>0</v>
      </c>
      <c r="F8" s="93"/>
      <c r="G8" s="106">
        <v>2</v>
      </c>
      <c r="H8" s="64">
        <f t="shared" si="0"/>
        <v>0</v>
      </c>
    </row>
    <row r="9" spans="1:8" ht="15.75" x14ac:dyDescent="0.25">
      <c r="A9" s="13"/>
      <c r="B9" s="95" t="s">
        <v>206</v>
      </c>
      <c r="C9" s="95"/>
      <c r="D9" s="107" t="s">
        <v>304</v>
      </c>
      <c r="E9" s="109">
        <v>75</v>
      </c>
      <c r="F9" s="93"/>
      <c r="G9" s="106">
        <v>2</v>
      </c>
      <c r="H9" s="64">
        <f t="shared" si="0"/>
        <v>0</v>
      </c>
    </row>
    <row r="10" spans="1:8" ht="15.75" x14ac:dyDescent="0.25">
      <c r="A10" s="13"/>
      <c r="B10" s="95" t="s">
        <v>208</v>
      </c>
      <c r="C10" s="95"/>
      <c r="D10" s="107" t="s">
        <v>305</v>
      </c>
      <c r="E10" s="109">
        <v>75</v>
      </c>
      <c r="F10" s="93"/>
      <c r="G10" s="106">
        <v>2</v>
      </c>
      <c r="H10" s="64">
        <f t="shared" si="0"/>
        <v>0</v>
      </c>
    </row>
    <row r="11" spans="1:8" ht="15.75" x14ac:dyDescent="0.25">
      <c r="A11" s="13"/>
      <c r="B11" s="95" t="s">
        <v>210</v>
      </c>
      <c r="C11" s="95"/>
      <c r="D11" s="107" t="s">
        <v>306</v>
      </c>
      <c r="E11" s="109">
        <v>6</v>
      </c>
      <c r="F11" s="93"/>
      <c r="G11" s="106">
        <v>2</v>
      </c>
      <c r="H11" s="64">
        <f t="shared" si="0"/>
        <v>0</v>
      </c>
    </row>
    <row r="12" spans="1:8" ht="15.75" x14ac:dyDescent="0.25">
      <c r="A12" s="13"/>
      <c r="B12" s="95" t="s">
        <v>212</v>
      </c>
      <c r="C12" s="95"/>
      <c r="D12" s="107" t="s">
        <v>307</v>
      </c>
      <c r="E12" s="16">
        <v>75</v>
      </c>
      <c r="F12" s="93"/>
      <c r="G12" s="87">
        <v>2</v>
      </c>
      <c r="H12" s="64">
        <f t="shared" si="0"/>
        <v>0</v>
      </c>
    </row>
  </sheetData>
  <mergeCells count="1">
    <mergeCell ref="E2:G2"/>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B46D7-3C63-4D96-851C-DDED21B38529}">
  <sheetPr>
    <tabColor rgb="FF002060"/>
  </sheetPr>
  <dimension ref="A1:K51"/>
  <sheetViews>
    <sheetView topLeftCell="A21" workbookViewId="0">
      <selection activeCell="K31" sqref="K31"/>
    </sheetView>
  </sheetViews>
  <sheetFormatPr defaultColWidth="9.140625" defaultRowHeight="15" x14ac:dyDescent="0.25"/>
  <cols>
    <col min="1" max="1" width="7.5703125" customWidth="1"/>
    <col min="2" max="2" width="6.5703125" customWidth="1"/>
    <col min="3" max="3" width="61.5703125" customWidth="1"/>
    <col min="4" max="4" width="15.5703125" customWidth="1"/>
    <col min="5" max="5" width="7.5703125" customWidth="1"/>
    <col min="6" max="6" width="15.42578125" customWidth="1"/>
    <col min="7" max="7" width="9.5703125" customWidth="1"/>
    <col min="8" max="8" width="14.28515625" customWidth="1"/>
    <col min="10" max="10" width="11.5703125" bestFit="1" customWidth="1"/>
    <col min="11" max="11" width="13" customWidth="1"/>
  </cols>
  <sheetData>
    <row r="1" spans="1:8" ht="10.35" customHeight="1" x14ac:dyDescent="0.25">
      <c r="C1" s="157" t="s">
        <v>4</v>
      </c>
      <c r="D1" s="158"/>
      <c r="E1" s="158"/>
      <c r="F1" s="158"/>
      <c r="G1" s="158"/>
    </row>
    <row r="2" spans="1:8" ht="20.100000000000001" customHeight="1" x14ac:dyDescent="0.25">
      <c r="A2" s="159" t="s">
        <v>23</v>
      </c>
      <c r="B2" s="160"/>
      <c r="C2" s="160"/>
      <c r="D2" s="160"/>
      <c r="E2" s="160"/>
      <c r="F2" t="s">
        <v>4</v>
      </c>
    </row>
    <row r="3" spans="1:8" ht="20.100000000000001" customHeight="1" x14ac:dyDescent="0.25">
      <c r="A3" s="4" t="s">
        <v>6</v>
      </c>
      <c r="B3" s="4"/>
      <c r="C3" s="4"/>
    </row>
    <row r="4" spans="1:8" ht="20.100000000000001" customHeight="1" x14ac:dyDescent="0.25">
      <c r="A4" s="4" t="s">
        <v>354</v>
      </c>
      <c r="B4" s="4"/>
      <c r="C4" s="4"/>
      <c r="D4" t="s">
        <v>4</v>
      </c>
      <c r="E4" t="s">
        <v>4</v>
      </c>
      <c r="F4" t="s">
        <v>4</v>
      </c>
      <c r="G4" t="s">
        <v>4</v>
      </c>
    </row>
    <row r="5" spans="1:8" ht="20.100000000000001" customHeight="1" x14ac:dyDescent="0.25">
      <c r="A5" s="4"/>
    </row>
    <row r="6" spans="1:8" ht="16.350000000000001" customHeight="1" x14ac:dyDescent="0.25">
      <c r="A6" s="4"/>
      <c r="C6" s="5"/>
      <c r="D6" s="5"/>
    </row>
    <row r="7" spans="1:8" ht="25.5" x14ac:dyDescent="0.25">
      <c r="A7" s="6" t="s">
        <v>0</v>
      </c>
      <c r="B7" s="6" t="s">
        <v>4</v>
      </c>
      <c r="C7" s="7" t="s">
        <v>1</v>
      </c>
      <c r="D7" s="7" t="s">
        <v>7</v>
      </c>
      <c r="E7" s="6" t="s">
        <v>8</v>
      </c>
      <c r="F7" s="6" t="s">
        <v>9</v>
      </c>
      <c r="G7" s="6" t="s">
        <v>10</v>
      </c>
      <c r="H7" s="6" t="s">
        <v>2</v>
      </c>
    </row>
    <row r="8" spans="1:8" ht="24" x14ac:dyDescent="0.25">
      <c r="A8" s="127" t="s">
        <v>313</v>
      </c>
      <c r="B8" s="128"/>
      <c r="C8" s="129" t="s">
        <v>325</v>
      </c>
      <c r="D8" s="130" t="s">
        <v>13</v>
      </c>
      <c r="E8" s="131" t="s">
        <v>233</v>
      </c>
      <c r="F8" s="132">
        <f>SUBTOTAL(9,H9,H10,H11,H12,H13)</f>
        <v>0</v>
      </c>
      <c r="G8" s="133">
        <v>1</v>
      </c>
      <c r="H8" s="134">
        <f>G8*F8</f>
        <v>0</v>
      </c>
    </row>
    <row r="9" spans="1:8" ht="48" x14ac:dyDescent="0.25">
      <c r="B9" s="116" t="s">
        <v>322</v>
      </c>
      <c r="C9" s="20" t="s">
        <v>321</v>
      </c>
      <c r="D9" s="12" t="s">
        <v>13</v>
      </c>
      <c r="E9" s="8" t="s">
        <v>233</v>
      </c>
      <c r="F9" s="120"/>
      <c r="G9" s="18">
        <v>1</v>
      </c>
      <c r="H9" s="62">
        <f>G9*F9</f>
        <v>0</v>
      </c>
    </row>
    <row r="10" spans="1:8" ht="108" x14ac:dyDescent="0.25">
      <c r="B10" s="1" t="s">
        <v>323</v>
      </c>
      <c r="C10" s="19" t="s">
        <v>330</v>
      </c>
      <c r="D10" s="12" t="s">
        <v>13</v>
      </c>
      <c r="E10" s="10" t="s">
        <v>12</v>
      </c>
      <c r="F10" s="121"/>
      <c r="G10" s="122">
        <v>34</v>
      </c>
      <c r="H10" s="62">
        <f t="shared" ref="H10:H11" si="0">G10*F10</f>
        <v>0</v>
      </c>
    </row>
    <row r="11" spans="1:8" ht="108" x14ac:dyDescent="0.25">
      <c r="B11" s="1" t="s">
        <v>324</v>
      </c>
      <c r="C11" s="19" t="s">
        <v>331</v>
      </c>
      <c r="D11" s="8" t="s">
        <v>13</v>
      </c>
      <c r="E11" s="10" t="s">
        <v>12</v>
      </c>
      <c r="F11" s="121"/>
      <c r="G11" s="122">
        <v>10</v>
      </c>
      <c r="H11" s="62">
        <f t="shared" si="0"/>
        <v>0</v>
      </c>
    </row>
    <row r="12" spans="1:8" ht="36" x14ac:dyDescent="0.25">
      <c r="B12" s="16" t="s">
        <v>326</v>
      </c>
      <c r="C12" s="19" t="s">
        <v>332</v>
      </c>
      <c r="D12" s="16" t="s">
        <v>13</v>
      </c>
      <c r="E12" s="15" t="s">
        <v>233</v>
      </c>
      <c r="F12" s="123"/>
      <c r="G12" s="109">
        <v>1</v>
      </c>
      <c r="H12" s="62">
        <f>G12*F12</f>
        <v>0</v>
      </c>
    </row>
    <row r="13" spans="1:8" ht="36" x14ac:dyDescent="0.25">
      <c r="B13" s="24" t="s">
        <v>327</v>
      </c>
      <c r="C13" s="117" t="s">
        <v>333</v>
      </c>
      <c r="D13" s="24" t="s">
        <v>13</v>
      </c>
      <c r="E13" s="118" t="s">
        <v>12</v>
      </c>
      <c r="F13" s="124"/>
      <c r="G13" s="125">
        <v>50</v>
      </c>
      <c r="H13" s="119">
        <f>G13*F13</f>
        <v>0</v>
      </c>
    </row>
    <row r="14" spans="1:8" ht="15.75" x14ac:dyDescent="0.25">
      <c r="A14" s="148" t="s">
        <v>314</v>
      </c>
      <c r="B14" s="136"/>
      <c r="C14" s="137" t="s">
        <v>329</v>
      </c>
      <c r="D14" s="138" t="s">
        <v>13</v>
      </c>
      <c r="E14" s="139" t="s">
        <v>233</v>
      </c>
      <c r="F14" s="140">
        <f>SUBTOTAL(9,H15,H16)</f>
        <v>0</v>
      </c>
      <c r="G14" s="141">
        <v>1</v>
      </c>
      <c r="H14" s="142">
        <f>G14*F14</f>
        <v>0</v>
      </c>
    </row>
    <row r="15" spans="1:8" ht="60" x14ac:dyDescent="0.25">
      <c r="B15" s="2" t="s">
        <v>322</v>
      </c>
      <c r="C15" s="19" t="s">
        <v>334</v>
      </c>
      <c r="D15" s="8" t="s">
        <v>13</v>
      </c>
      <c r="E15" s="8" t="s">
        <v>12</v>
      </c>
      <c r="F15" s="126"/>
      <c r="G15" s="122">
        <v>178</v>
      </c>
      <c r="H15" s="62">
        <f>F15*G15</f>
        <v>0</v>
      </c>
    </row>
    <row r="16" spans="1:8" ht="24" x14ac:dyDescent="0.25">
      <c r="B16" s="16" t="s">
        <v>323</v>
      </c>
      <c r="C16" s="19" t="s">
        <v>335</v>
      </c>
      <c r="D16" s="22" t="s">
        <v>13</v>
      </c>
      <c r="E16" s="14" t="s">
        <v>233</v>
      </c>
      <c r="F16" s="123"/>
      <c r="G16" s="109">
        <v>1</v>
      </c>
      <c r="H16" s="62">
        <f>F16*G16</f>
        <v>0</v>
      </c>
    </row>
    <row r="17" spans="1:11" ht="24.75" customHeight="1" x14ac:dyDescent="0.25">
      <c r="A17" s="145" t="s">
        <v>355</v>
      </c>
      <c r="B17" s="136"/>
      <c r="C17" s="137" t="s">
        <v>349</v>
      </c>
      <c r="D17" s="141" t="s">
        <v>13</v>
      </c>
      <c r="E17" s="143" t="s">
        <v>233</v>
      </c>
      <c r="F17" s="144"/>
      <c r="G17" s="141">
        <v>1</v>
      </c>
      <c r="H17" s="134">
        <f t="shared" ref="H17:H26" si="1">G17*F17</f>
        <v>0</v>
      </c>
    </row>
    <row r="18" spans="1:11" ht="84" x14ac:dyDescent="0.25">
      <c r="A18" s="127" t="s">
        <v>315</v>
      </c>
      <c r="B18" s="128"/>
      <c r="C18" s="129" t="s">
        <v>344</v>
      </c>
      <c r="D18" s="130" t="s">
        <v>13</v>
      </c>
      <c r="E18" s="131" t="s">
        <v>233</v>
      </c>
      <c r="F18" s="132">
        <f>SUBTOTAL(9,H19,H20,H21,H22)</f>
        <v>0</v>
      </c>
      <c r="G18" s="133">
        <v>1</v>
      </c>
      <c r="H18" s="134">
        <f t="shared" si="1"/>
        <v>0</v>
      </c>
    </row>
    <row r="19" spans="1:11" ht="72" x14ac:dyDescent="0.25">
      <c r="B19" s="2" t="s">
        <v>322</v>
      </c>
      <c r="C19" s="20" t="s">
        <v>343</v>
      </c>
      <c r="D19" s="12" t="s">
        <v>14</v>
      </c>
      <c r="E19" s="8" t="s">
        <v>233</v>
      </c>
      <c r="F19" s="9"/>
      <c r="G19" s="18">
        <v>1</v>
      </c>
      <c r="H19" s="62">
        <f t="shared" si="1"/>
        <v>0</v>
      </c>
    </row>
    <row r="20" spans="1:11" ht="120" x14ac:dyDescent="0.25">
      <c r="B20" s="1" t="s">
        <v>323</v>
      </c>
      <c r="C20" s="19" t="s">
        <v>345</v>
      </c>
      <c r="D20" s="8" t="s">
        <v>14</v>
      </c>
      <c r="E20" s="10" t="s">
        <v>12</v>
      </c>
      <c r="F20" s="121"/>
      <c r="G20" s="11">
        <v>30</v>
      </c>
      <c r="H20" s="62">
        <f t="shared" si="1"/>
        <v>0</v>
      </c>
    </row>
    <row r="21" spans="1:11" ht="108" x14ac:dyDescent="0.25">
      <c r="B21" s="1" t="s">
        <v>324</v>
      </c>
      <c r="C21" s="19" t="s">
        <v>338</v>
      </c>
      <c r="D21" s="8" t="s">
        <v>14</v>
      </c>
      <c r="E21" s="10" t="s">
        <v>12</v>
      </c>
      <c r="F21" s="121"/>
      <c r="G21" s="11">
        <v>9</v>
      </c>
      <c r="H21" s="62">
        <f t="shared" si="1"/>
        <v>0</v>
      </c>
    </row>
    <row r="22" spans="1:11" ht="36" x14ac:dyDescent="0.25">
      <c r="A22" s="17"/>
      <c r="B22" s="146" t="s">
        <v>326</v>
      </c>
      <c r="C22" s="19" t="s">
        <v>346</v>
      </c>
      <c r="D22" s="16" t="s">
        <v>14</v>
      </c>
      <c r="E22" s="15" t="s">
        <v>12</v>
      </c>
      <c r="F22" s="147"/>
      <c r="G22" s="16">
        <v>10</v>
      </c>
      <c r="H22" s="62">
        <f t="shared" si="1"/>
        <v>0</v>
      </c>
      <c r="J22" s="90"/>
      <c r="K22" s="114"/>
    </row>
    <row r="23" spans="1:11" ht="15.75" x14ac:dyDescent="0.25">
      <c r="A23" s="135" t="s">
        <v>356</v>
      </c>
      <c r="B23" s="136"/>
      <c r="C23" s="137" t="s">
        <v>341</v>
      </c>
      <c r="D23" s="138" t="s">
        <v>14</v>
      </c>
      <c r="E23" s="139" t="s">
        <v>233</v>
      </c>
      <c r="F23" s="140">
        <f>SUBTOTAL(9,H24,H25)</f>
        <v>0</v>
      </c>
      <c r="G23" s="141">
        <v>1</v>
      </c>
      <c r="H23" s="142">
        <f t="shared" si="1"/>
        <v>0</v>
      </c>
    </row>
    <row r="24" spans="1:11" ht="60" x14ac:dyDescent="0.25">
      <c r="B24" s="2" t="s">
        <v>322</v>
      </c>
      <c r="C24" s="19" t="s">
        <v>347</v>
      </c>
      <c r="D24" s="12" t="s">
        <v>14</v>
      </c>
      <c r="E24" s="8" t="s">
        <v>12</v>
      </c>
      <c r="F24" s="126"/>
      <c r="G24" s="11">
        <v>155</v>
      </c>
      <c r="H24" s="62">
        <f t="shared" si="1"/>
        <v>0</v>
      </c>
    </row>
    <row r="25" spans="1:11" ht="24" x14ac:dyDescent="0.25">
      <c r="B25" s="16" t="s">
        <v>323</v>
      </c>
      <c r="C25" s="19" t="s">
        <v>348</v>
      </c>
      <c r="D25" s="16" t="s">
        <v>14</v>
      </c>
      <c r="E25" s="15" t="s">
        <v>233</v>
      </c>
      <c r="F25" s="147"/>
      <c r="G25" s="16">
        <v>1</v>
      </c>
      <c r="H25" s="62">
        <f t="shared" si="1"/>
        <v>0</v>
      </c>
    </row>
    <row r="26" spans="1:11" ht="24.75" customHeight="1" x14ac:dyDescent="0.25">
      <c r="A26" s="145" t="s">
        <v>357</v>
      </c>
      <c r="B26" s="136"/>
      <c r="C26" s="137" t="s">
        <v>339</v>
      </c>
      <c r="D26" s="141" t="s">
        <v>13</v>
      </c>
      <c r="E26" s="143" t="s">
        <v>233</v>
      </c>
      <c r="F26" s="144"/>
      <c r="G26" s="141">
        <v>1</v>
      </c>
      <c r="H26" s="134">
        <f t="shared" si="1"/>
        <v>0</v>
      </c>
    </row>
    <row r="29" spans="1:11" x14ac:dyDescent="0.25">
      <c r="F29" s="90"/>
    </row>
    <row r="51" ht="15.75" customHeight="1" x14ac:dyDescent="0.25"/>
  </sheetData>
  <autoFilter ref="A7:H26" xr:uid="{88EB46D7-3C63-4D96-851C-DDED21B38529}"/>
  <mergeCells count="2">
    <mergeCell ref="C1:G1"/>
    <mergeCell ref="A2:E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DD3A2-33D6-4260-9069-4CEFD5C9B242}">
  <sheetPr>
    <tabColor rgb="FF002060"/>
  </sheetPr>
  <dimension ref="A1:K52"/>
  <sheetViews>
    <sheetView workbookViewId="0">
      <selection activeCell="F3" sqref="F3:F52"/>
    </sheetView>
  </sheetViews>
  <sheetFormatPr defaultColWidth="9.140625" defaultRowHeight="15" x14ac:dyDescent="0.25"/>
  <cols>
    <col min="4" max="4" width="40.7109375" customWidth="1"/>
    <col min="5" max="5" width="10.5703125" customWidth="1"/>
    <col min="6" max="6" width="7.140625" style="43" customWidth="1"/>
    <col min="7" max="7" width="9" customWidth="1"/>
    <col min="8" max="8" width="11.7109375" style="43" customWidth="1"/>
    <col min="258" max="258" width="40.7109375" customWidth="1"/>
    <col min="262" max="262" width="11.5703125" customWidth="1"/>
    <col min="514" max="514" width="40.7109375" customWidth="1"/>
    <col min="518" max="518" width="11.5703125" customWidth="1"/>
    <col min="770" max="770" width="40.7109375" customWidth="1"/>
    <col min="774" max="774" width="11.5703125" customWidth="1"/>
    <col min="1026" max="1026" width="40.7109375" customWidth="1"/>
    <col min="1030" max="1030" width="11.5703125" customWidth="1"/>
    <col min="1282" max="1282" width="40.7109375" customWidth="1"/>
    <col min="1286" max="1286" width="11.5703125" customWidth="1"/>
    <col min="1538" max="1538" width="40.7109375" customWidth="1"/>
    <col min="1542" max="1542" width="11.5703125" customWidth="1"/>
    <col min="1794" max="1794" width="40.7109375" customWidth="1"/>
    <col min="1798" max="1798" width="11.5703125" customWidth="1"/>
    <col min="2050" max="2050" width="40.7109375" customWidth="1"/>
    <col min="2054" max="2054" width="11.5703125" customWidth="1"/>
    <col min="2306" max="2306" width="40.7109375" customWidth="1"/>
    <col min="2310" max="2310" width="11.5703125" customWidth="1"/>
    <col min="2562" max="2562" width="40.7109375" customWidth="1"/>
    <col min="2566" max="2566" width="11.5703125" customWidth="1"/>
    <col min="2818" max="2818" width="40.7109375" customWidth="1"/>
    <col min="2822" max="2822" width="11.5703125" customWidth="1"/>
    <col min="3074" max="3074" width="40.7109375" customWidth="1"/>
    <col min="3078" max="3078" width="11.5703125" customWidth="1"/>
    <col min="3330" max="3330" width="40.7109375" customWidth="1"/>
    <col min="3334" max="3334" width="11.5703125" customWidth="1"/>
    <col min="3586" max="3586" width="40.7109375" customWidth="1"/>
    <col min="3590" max="3590" width="11.5703125" customWidth="1"/>
    <col min="3842" max="3842" width="40.7109375" customWidth="1"/>
    <col min="3846" max="3846" width="11.5703125" customWidth="1"/>
    <col min="4098" max="4098" width="40.7109375" customWidth="1"/>
    <col min="4102" max="4102" width="11.5703125" customWidth="1"/>
    <col min="4354" max="4354" width="40.7109375" customWidth="1"/>
    <col min="4358" max="4358" width="11.5703125" customWidth="1"/>
    <col min="4610" max="4610" width="40.7109375" customWidth="1"/>
    <col min="4614" max="4614" width="11.5703125" customWidth="1"/>
    <col min="4866" max="4866" width="40.7109375" customWidth="1"/>
    <col min="4870" max="4870" width="11.5703125" customWidth="1"/>
    <col min="5122" max="5122" width="40.7109375" customWidth="1"/>
    <col min="5126" max="5126" width="11.5703125" customWidth="1"/>
    <col min="5378" max="5378" width="40.7109375" customWidth="1"/>
    <col min="5382" max="5382" width="11.5703125" customWidth="1"/>
    <col min="5634" max="5634" width="40.7109375" customWidth="1"/>
    <col min="5638" max="5638" width="11.5703125" customWidth="1"/>
    <col min="5890" max="5890" width="40.7109375" customWidth="1"/>
    <col min="5894" max="5894" width="11.5703125" customWidth="1"/>
    <col min="6146" max="6146" width="40.7109375" customWidth="1"/>
    <col min="6150" max="6150" width="11.5703125" customWidth="1"/>
    <col min="6402" max="6402" width="40.7109375" customWidth="1"/>
    <col min="6406" max="6406" width="11.5703125" customWidth="1"/>
    <col min="6658" max="6658" width="40.7109375" customWidth="1"/>
    <col min="6662" max="6662" width="11.5703125" customWidth="1"/>
    <col min="6914" max="6914" width="40.7109375" customWidth="1"/>
    <col min="6918" max="6918" width="11.5703125" customWidth="1"/>
    <col min="7170" max="7170" width="40.7109375" customWidth="1"/>
    <col min="7174" max="7174" width="11.5703125" customWidth="1"/>
    <col min="7426" max="7426" width="40.7109375" customWidth="1"/>
    <col min="7430" max="7430" width="11.5703125" customWidth="1"/>
    <col min="7682" max="7682" width="40.7109375" customWidth="1"/>
    <col min="7686" max="7686" width="11.5703125" customWidth="1"/>
    <col min="7938" max="7938" width="40.7109375" customWidth="1"/>
    <col min="7942" max="7942" width="11.5703125" customWidth="1"/>
    <col min="8194" max="8194" width="40.7109375" customWidth="1"/>
    <col min="8198" max="8198" width="11.5703125" customWidth="1"/>
    <col min="8450" max="8450" width="40.7109375" customWidth="1"/>
    <col min="8454" max="8454" width="11.5703125" customWidth="1"/>
    <col min="8706" max="8706" width="40.7109375" customWidth="1"/>
    <col min="8710" max="8710" width="11.5703125" customWidth="1"/>
    <col min="8962" max="8962" width="40.7109375" customWidth="1"/>
    <col min="8966" max="8966" width="11.5703125" customWidth="1"/>
    <col min="9218" max="9218" width="40.7109375" customWidth="1"/>
    <col min="9222" max="9222" width="11.5703125" customWidth="1"/>
    <col min="9474" max="9474" width="40.7109375" customWidth="1"/>
    <col min="9478" max="9478" width="11.5703125" customWidth="1"/>
    <col min="9730" max="9730" width="40.7109375" customWidth="1"/>
    <col min="9734" max="9734" width="11.5703125" customWidth="1"/>
    <col min="9986" max="9986" width="40.7109375" customWidth="1"/>
    <col min="9990" max="9990" width="11.5703125" customWidth="1"/>
    <col min="10242" max="10242" width="40.7109375" customWidth="1"/>
    <col min="10246" max="10246" width="11.5703125" customWidth="1"/>
    <col min="10498" max="10498" width="40.7109375" customWidth="1"/>
    <col min="10502" max="10502" width="11.5703125" customWidth="1"/>
    <col min="10754" max="10754" width="40.7109375" customWidth="1"/>
    <col min="10758" max="10758" width="11.5703125" customWidth="1"/>
    <col min="11010" max="11010" width="40.7109375" customWidth="1"/>
    <col min="11014" max="11014" width="11.5703125" customWidth="1"/>
    <col min="11266" max="11266" width="40.7109375" customWidth="1"/>
    <col min="11270" max="11270" width="11.5703125" customWidth="1"/>
    <col min="11522" max="11522" width="40.7109375" customWidth="1"/>
    <col min="11526" max="11526" width="11.5703125" customWidth="1"/>
    <col min="11778" max="11778" width="40.7109375" customWidth="1"/>
    <col min="11782" max="11782" width="11.5703125" customWidth="1"/>
    <col min="12034" max="12034" width="40.7109375" customWidth="1"/>
    <col min="12038" max="12038" width="11.5703125" customWidth="1"/>
    <col min="12290" max="12290" width="40.7109375" customWidth="1"/>
    <col min="12294" max="12294" width="11.5703125" customWidth="1"/>
    <col min="12546" max="12546" width="40.7109375" customWidth="1"/>
    <col min="12550" max="12550" width="11.5703125" customWidth="1"/>
    <col min="12802" max="12802" width="40.7109375" customWidth="1"/>
    <col min="12806" max="12806" width="11.5703125" customWidth="1"/>
    <col min="13058" max="13058" width="40.7109375" customWidth="1"/>
    <col min="13062" max="13062" width="11.5703125" customWidth="1"/>
    <col min="13314" max="13314" width="40.7109375" customWidth="1"/>
    <col min="13318" max="13318" width="11.5703125" customWidth="1"/>
    <col min="13570" max="13570" width="40.7109375" customWidth="1"/>
    <col min="13574" max="13574" width="11.5703125" customWidth="1"/>
    <col min="13826" max="13826" width="40.7109375" customWidth="1"/>
    <col min="13830" max="13830" width="11.5703125" customWidth="1"/>
    <col min="14082" max="14082" width="40.7109375" customWidth="1"/>
    <col min="14086" max="14086" width="11.5703125" customWidth="1"/>
    <col min="14338" max="14338" width="40.7109375" customWidth="1"/>
    <col min="14342" max="14342" width="11.5703125" customWidth="1"/>
    <col min="14594" max="14594" width="40.7109375" customWidth="1"/>
    <col min="14598" max="14598" width="11.5703125" customWidth="1"/>
    <col min="14850" max="14850" width="40.7109375" customWidth="1"/>
    <col min="14854" max="14854" width="11.5703125" customWidth="1"/>
    <col min="15106" max="15106" width="40.7109375" customWidth="1"/>
    <col min="15110" max="15110" width="11.5703125" customWidth="1"/>
    <col min="15362" max="15362" width="40.7109375" customWidth="1"/>
    <col min="15366" max="15366" width="11.5703125" customWidth="1"/>
    <col min="15618" max="15618" width="40.7109375" customWidth="1"/>
    <col min="15622" max="15622" width="11.5703125" customWidth="1"/>
    <col min="15874" max="15874" width="40.7109375" customWidth="1"/>
    <col min="15878" max="15878" width="11.5703125" customWidth="1"/>
    <col min="16130" max="16130" width="40.7109375" customWidth="1"/>
    <col min="16134" max="16134" width="11.5703125" customWidth="1"/>
  </cols>
  <sheetData>
    <row r="1" spans="1:11" ht="38.25" x14ac:dyDescent="0.25">
      <c r="A1" s="25" t="s">
        <v>0</v>
      </c>
      <c r="B1" s="25" t="s">
        <v>24</v>
      </c>
      <c r="C1" s="25" t="s">
        <v>25</v>
      </c>
      <c r="D1" s="26" t="s">
        <v>1</v>
      </c>
      <c r="E1" s="27" t="s">
        <v>26</v>
      </c>
      <c r="F1" s="28" t="s">
        <v>27</v>
      </c>
      <c r="G1" s="27" t="s">
        <v>28</v>
      </c>
      <c r="H1" s="28" t="s">
        <v>216</v>
      </c>
      <c r="I1" s="21"/>
      <c r="J1" s="21"/>
    </row>
    <row r="2" spans="1:11" ht="78.75" customHeight="1" x14ac:dyDescent="0.25">
      <c r="A2" s="29" t="s">
        <v>313</v>
      </c>
      <c r="B2" s="3"/>
      <c r="C2" s="3"/>
      <c r="D2" s="30" t="s">
        <v>29</v>
      </c>
      <c r="E2" s="161" t="s">
        <v>30</v>
      </c>
      <c r="F2" s="162"/>
      <c r="G2" s="163"/>
      <c r="H2" s="58">
        <f>SUM(H3:H52)</f>
        <v>0</v>
      </c>
      <c r="I2" s="21"/>
      <c r="J2" s="21"/>
    </row>
    <row r="3" spans="1:11" ht="15" customHeight="1" x14ac:dyDescent="0.25">
      <c r="A3" s="31"/>
      <c r="B3" s="32" t="s">
        <v>31</v>
      </c>
      <c r="C3" s="2" t="s">
        <v>4</v>
      </c>
      <c r="D3" s="33" t="s">
        <v>32</v>
      </c>
      <c r="E3" s="110">
        <v>152</v>
      </c>
      <c r="F3" s="91"/>
      <c r="G3" s="36">
        <v>2</v>
      </c>
      <c r="H3" s="35">
        <f t="shared" ref="H3:H52" si="0">E3*F3*G3</f>
        <v>0</v>
      </c>
      <c r="I3" s="69"/>
      <c r="J3" s="21"/>
      <c r="K3" s="37" t="s">
        <v>4</v>
      </c>
    </row>
    <row r="4" spans="1:11" ht="18" customHeight="1" x14ac:dyDescent="0.25">
      <c r="A4" s="31"/>
      <c r="B4" s="32" t="s">
        <v>33</v>
      </c>
      <c r="C4" s="1"/>
      <c r="D4" s="38" t="s">
        <v>34</v>
      </c>
      <c r="E4" s="111">
        <v>168</v>
      </c>
      <c r="F4" s="91"/>
      <c r="G4" s="36">
        <v>2</v>
      </c>
      <c r="H4" s="35">
        <f t="shared" si="0"/>
        <v>0</v>
      </c>
      <c r="I4" s="69"/>
      <c r="J4" s="21"/>
      <c r="K4" s="37" t="s">
        <v>4</v>
      </c>
    </row>
    <row r="5" spans="1:11" x14ac:dyDescent="0.25">
      <c r="A5" s="31"/>
      <c r="B5" s="32" t="s">
        <v>35</v>
      </c>
      <c r="C5" s="1"/>
      <c r="D5" s="33" t="s">
        <v>36</v>
      </c>
      <c r="E5" s="110">
        <v>64</v>
      </c>
      <c r="F5" s="91"/>
      <c r="G5" s="36">
        <v>2</v>
      </c>
      <c r="H5" s="35">
        <f t="shared" si="0"/>
        <v>0</v>
      </c>
      <c r="I5" s="69"/>
      <c r="J5" s="21"/>
      <c r="K5" s="37" t="s">
        <v>4</v>
      </c>
    </row>
    <row r="6" spans="1:11" x14ac:dyDescent="0.25">
      <c r="A6" s="31"/>
      <c r="B6" s="32" t="s">
        <v>37</v>
      </c>
      <c r="C6" s="1"/>
      <c r="D6" s="33" t="s">
        <v>231</v>
      </c>
      <c r="E6" s="110">
        <v>6610</v>
      </c>
      <c r="F6" s="91"/>
      <c r="G6" s="36">
        <v>2</v>
      </c>
      <c r="H6" s="35">
        <f t="shared" si="0"/>
        <v>0</v>
      </c>
      <c r="I6" s="69"/>
      <c r="J6" s="21"/>
      <c r="K6" s="37" t="s">
        <v>4</v>
      </c>
    </row>
    <row r="7" spans="1:11" x14ac:dyDescent="0.25">
      <c r="A7" s="31"/>
      <c r="B7" s="32" t="s">
        <v>38</v>
      </c>
      <c r="C7" s="1"/>
      <c r="D7" s="33" t="s">
        <v>39</v>
      </c>
      <c r="E7" s="110">
        <v>283</v>
      </c>
      <c r="F7" s="91"/>
      <c r="G7" s="36">
        <v>2</v>
      </c>
      <c r="H7" s="35">
        <f t="shared" si="0"/>
        <v>0</v>
      </c>
      <c r="I7" s="69"/>
      <c r="J7" s="21"/>
    </row>
    <row r="8" spans="1:11" x14ac:dyDescent="0.25">
      <c r="A8" s="31"/>
      <c r="B8" s="32" t="s">
        <v>40</v>
      </c>
      <c r="C8" s="1"/>
      <c r="D8" s="33" t="s">
        <v>41</v>
      </c>
      <c r="E8" s="110">
        <v>514</v>
      </c>
      <c r="F8" s="91"/>
      <c r="G8" s="36">
        <v>2</v>
      </c>
      <c r="H8" s="35">
        <f t="shared" si="0"/>
        <v>0</v>
      </c>
      <c r="I8" s="69"/>
      <c r="J8" s="21"/>
    </row>
    <row r="9" spans="1:11" x14ac:dyDescent="0.25">
      <c r="A9" s="31"/>
      <c r="B9" s="32" t="s">
        <v>42</v>
      </c>
      <c r="C9" s="2"/>
      <c r="D9" s="40" t="s">
        <v>43</v>
      </c>
      <c r="E9" s="112">
        <v>32</v>
      </c>
      <c r="F9" s="91"/>
      <c r="G9" s="36">
        <v>2</v>
      </c>
      <c r="H9" s="35">
        <f t="shared" si="0"/>
        <v>0</v>
      </c>
      <c r="I9" s="69"/>
      <c r="J9" s="21"/>
    </row>
    <row r="10" spans="1:11" x14ac:dyDescent="0.25">
      <c r="A10" s="31"/>
      <c r="B10" s="32" t="s">
        <v>44</v>
      </c>
      <c r="C10" s="2"/>
      <c r="D10" s="40" t="s">
        <v>45</v>
      </c>
      <c r="E10" s="112">
        <v>6810</v>
      </c>
      <c r="F10" s="91"/>
      <c r="G10" s="36">
        <v>2</v>
      </c>
      <c r="H10" s="35">
        <f t="shared" si="0"/>
        <v>0</v>
      </c>
      <c r="I10" s="69"/>
      <c r="J10" s="21"/>
    </row>
    <row r="11" spans="1:11" x14ac:dyDescent="0.25">
      <c r="A11" s="31"/>
      <c r="B11" s="32" t="s">
        <v>46</v>
      </c>
      <c r="C11" s="2"/>
      <c r="D11" s="40" t="s">
        <v>47</v>
      </c>
      <c r="E11" s="110">
        <v>1485</v>
      </c>
      <c r="F11" s="91"/>
      <c r="G11" s="36">
        <v>2</v>
      </c>
      <c r="H11" s="35">
        <f t="shared" si="0"/>
        <v>0</v>
      </c>
      <c r="I11" s="69"/>
      <c r="J11" s="21"/>
    </row>
    <row r="12" spans="1:11" x14ac:dyDescent="0.25">
      <c r="A12" s="31"/>
      <c r="B12" s="32" t="s">
        <v>48</v>
      </c>
      <c r="C12" s="2"/>
      <c r="D12" s="40" t="s">
        <v>49</v>
      </c>
      <c r="E12" s="110">
        <v>591</v>
      </c>
      <c r="F12" s="91"/>
      <c r="G12" s="36">
        <v>2</v>
      </c>
      <c r="H12" s="35">
        <f t="shared" si="0"/>
        <v>0</v>
      </c>
      <c r="I12" s="69"/>
      <c r="J12" s="21"/>
    </row>
    <row r="13" spans="1:11" x14ac:dyDescent="0.25">
      <c r="A13" s="31"/>
      <c r="B13" s="32" t="s">
        <v>50</v>
      </c>
      <c r="C13" s="2"/>
      <c r="D13" s="33" t="s">
        <v>51</v>
      </c>
      <c r="E13" s="110">
        <v>44</v>
      </c>
      <c r="F13" s="91"/>
      <c r="G13" s="36">
        <v>2</v>
      </c>
      <c r="H13" s="35">
        <f t="shared" si="0"/>
        <v>0</v>
      </c>
      <c r="I13" s="69"/>
      <c r="J13" s="21"/>
    </row>
    <row r="14" spans="1:11" x14ac:dyDescent="0.25">
      <c r="A14" s="31"/>
      <c r="B14" s="32" t="s">
        <v>52</v>
      </c>
      <c r="C14" s="2"/>
      <c r="D14" s="33" t="s">
        <v>53</v>
      </c>
      <c r="E14" s="110">
        <v>1903</v>
      </c>
      <c r="F14" s="91"/>
      <c r="G14" s="36">
        <v>2</v>
      </c>
      <c r="H14" s="35">
        <f t="shared" si="0"/>
        <v>0</v>
      </c>
      <c r="I14" s="69"/>
      <c r="J14" s="21"/>
    </row>
    <row r="15" spans="1:11" x14ac:dyDescent="0.25">
      <c r="A15" s="31"/>
      <c r="B15" s="32" t="s">
        <v>54</v>
      </c>
      <c r="C15" s="2"/>
      <c r="D15" s="40" t="s">
        <v>55</v>
      </c>
      <c r="E15" s="110">
        <v>66</v>
      </c>
      <c r="F15" s="91"/>
      <c r="G15" s="36">
        <v>2</v>
      </c>
      <c r="H15" s="35">
        <f t="shared" si="0"/>
        <v>0</v>
      </c>
      <c r="I15" s="69"/>
      <c r="J15" s="21"/>
    </row>
    <row r="16" spans="1:11" x14ac:dyDescent="0.25">
      <c r="A16" s="31"/>
      <c r="B16" s="32" t="s">
        <v>56</v>
      </c>
      <c r="C16" s="2"/>
      <c r="D16" s="40" t="s">
        <v>57</v>
      </c>
      <c r="E16" s="110">
        <v>33</v>
      </c>
      <c r="F16" s="91"/>
      <c r="G16" s="36">
        <v>2</v>
      </c>
      <c r="H16" s="35">
        <f t="shared" si="0"/>
        <v>0</v>
      </c>
      <c r="I16" s="69"/>
      <c r="J16" s="21"/>
    </row>
    <row r="17" spans="1:10" x14ac:dyDescent="0.25">
      <c r="A17" s="31"/>
      <c r="B17" s="32" t="s">
        <v>58</v>
      </c>
      <c r="C17" s="2"/>
      <c r="D17" s="33" t="s">
        <v>59</v>
      </c>
      <c r="E17" s="110">
        <v>802</v>
      </c>
      <c r="F17" s="91"/>
      <c r="G17" s="36">
        <v>2</v>
      </c>
      <c r="H17" s="35">
        <f t="shared" si="0"/>
        <v>0</v>
      </c>
      <c r="I17" s="69"/>
      <c r="J17" s="21"/>
    </row>
    <row r="18" spans="1:10" x14ac:dyDescent="0.25">
      <c r="A18" s="31"/>
      <c r="B18" s="32" t="s">
        <v>60</v>
      </c>
      <c r="C18" s="2"/>
      <c r="D18" s="33" t="s">
        <v>61</v>
      </c>
      <c r="E18" s="110">
        <v>1150</v>
      </c>
      <c r="F18" s="91"/>
      <c r="G18" s="36">
        <v>2</v>
      </c>
      <c r="H18" s="35">
        <f t="shared" si="0"/>
        <v>0</v>
      </c>
      <c r="I18" s="69"/>
      <c r="J18" s="21"/>
    </row>
    <row r="19" spans="1:10" x14ac:dyDescent="0.25">
      <c r="A19" s="31"/>
      <c r="B19" s="32" t="s">
        <v>62</v>
      </c>
      <c r="C19" s="2"/>
      <c r="D19" s="33" t="s">
        <v>63</v>
      </c>
      <c r="E19" s="110">
        <v>4867</v>
      </c>
      <c r="F19" s="91"/>
      <c r="G19" s="36">
        <v>2</v>
      </c>
      <c r="H19" s="35">
        <f t="shared" si="0"/>
        <v>0</v>
      </c>
      <c r="I19" s="69"/>
      <c r="J19" s="21"/>
    </row>
    <row r="20" spans="1:10" x14ac:dyDescent="0.25">
      <c r="A20" s="31"/>
      <c r="B20" s="32" t="s">
        <v>64</v>
      </c>
      <c r="C20" s="2"/>
      <c r="D20" s="33" t="s">
        <v>65</v>
      </c>
      <c r="E20" s="110">
        <v>163</v>
      </c>
      <c r="F20" s="91"/>
      <c r="G20" s="36">
        <v>2</v>
      </c>
      <c r="H20" s="35">
        <f t="shared" si="0"/>
        <v>0</v>
      </c>
      <c r="I20" s="69"/>
      <c r="J20" s="21"/>
    </row>
    <row r="21" spans="1:10" x14ac:dyDescent="0.25">
      <c r="A21" s="31"/>
      <c r="B21" s="32" t="s">
        <v>66</v>
      </c>
      <c r="C21" s="2"/>
      <c r="D21" s="33" t="s">
        <v>67</v>
      </c>
      <c r="E21" s="110">
        <v>2714</v>
      </c>
      <c r="F21" s="91"/>
      <c r="G21" s="36">
        <v>2</v>
      </c>
      <c r="H21" s="35">
        <f t="shared" si="0"/>
        <v>0</v>
      </c>
      <c r="I21" s="69"/>
      <c r="J21" s="21"/>
    </row>
    <row r="22" spans="1:10" x14ac:dyDescent="0.25">
      <c r="A22" s="31"/>
      <c r="B22" s="32" t="s">
        <v>68</v>
      </c>
      <c r="C22" s="2"/>
      <c r="D22" s="33" t="s">
        <v>69</v>
      </c>
      <c r="E22" s="110">
        <v>2731</v>
      </c>
      <c r="F22" s="91"/>
      <c r="G22" s="36">
        <v>2</v>
      </c>
      <c r="H22" s="35">
        <f t="shared" si="0"/>
        <v>0</v>
      </c>
      <c r="I22" s="69"/>
      <c r="J22" s="21"/>
    </row>
    <row r="23" spans="1:10" x14ac:dyDescent="0.25">
      <c r="A23" s="31"/>
      <c r="B23" s="32" t="s">
        <v>70</v>
      </c>
      <c r="C23" s="2"/>
      <c r="D23" s="33" t="s">
        <v>71</v>
      </c>
      <c r="E23" s="110">
        <v>259</v>
      </c>
      <c r="F23" s="91"/>
      <c r="G23" s="36">
        <v>2</v>
      </c>
      <c r="H23" s="35">
        <f t="shared" si="0"/>
        <v>0</v>
      </c>
      <c r="I23" s="69"/>
      <c r="J23" s="21"/>
    </row>
    <row r="24" spans="1:10" x14ac:dyDescent="0.25">
      <c r="A24" s="31"/>
      <c r="B24" s="32" t="s">
        <v>72</v>
      </c>
      <c r="C24" s="2"/>
      <c r="D24" s="33" t="s">
        <v>73</v>
      </c>
      <c r="E24" s="110">
        <v>1642</v>
      </c>
      <c r="F24" s="91"/>
      <c r="G24" s="36">
        <v>2</v>
      </c>
      <c r="H24" s="35">
        <f t="shared" si="0"/>
        <v>0</v>
      </c>
      <c r="I24" s="69"/>
      <c r="J24" s="21"/>
    </row>
    <row r="25" spans="1:10" x14ac:dyDescent="0.25">
      <c r="A25" s="31"/>
      <c r="B25" s="32" t="s">
        <v>74</v>
      </c>
      <c r="C25" s="2"/>
      <c r="D25" s="33" t="s">
        <v>75</v>
      </c>
      <c r="E25" s="110">
        <v>856</v>
      </c>
      <c r="F25" s="91"/>
      <c r="G25" s="36">
        <v>2</v>
      </c>
      <c r="H25" s="35">
        <f t="shared" si="0"/>
        <v>0</v>
      </c>
      <c r="I25" s="69"/>
      <c r="J25" s="21"/>
    </row>
    <row r="26" spans="1:10" x14ac:dyDescent="0.25">
      <c r="A26" s="31"/>
      <c r="B26" s="32" t="s">
        <v>76</v>
      </c>
      <c r="C26" s="2"/>
      <c r="D26" s="33" t="s">
        <v>77</v>
      </c>
      <c r="E26" s="110">
        <v>1301</v>
      </c>
      <c r="F26" s="91"/>
      <c r="G26" s="36">
        <v>2</v>
      </c>
      <c r="H26" s="35">
        <f t="shared" si="0"/>
        <v>0</v>
      </c>
      <c r="I26" s="69"/>
      <c r="J26" s="21"/>
    </row>
    <row r="27" spans="1:10" x14ac:dyDescent="0.25">
      <c r="A27" s="31"/>
      <c r="B27" s="32" t="s">
        <v>78</v>
      </c>
      <c r="C27" s="2"/>
      <c r="D27" s="33" t="s">
        <v>79</v>
      </c>
      <c r="E27" s="110">
        <v>499</v>
      </c>
      <c r="F27" s="91"/>
      <c r="G27" s="36">
        <v>2</v>
      </c>
      <c r="H27" s="35">
        <f t="shared" si="0"/>
        <v>0</v>
      </c>
      <c r="I27" s="69"/>
      <c r="J27" s="21"/>
    </row>
    <row r="28" spans="1:10" x14ac:dyDescent="0.25">
      <c r="A28" s="31"/>
      <c r="B28" s="32" t="s">
        <v>80</v>
      </c>
      <c r="C28" s="2"/>
      <c r="D28" s="33" t="s">
        <v>81</v>
      </c>
      <c r="E28" s="110">
        <v>82</v>
      </c>
      <c r="F28" s="91"/>
      <c r="G28" s="36">
        <v>2</v>
      </c>
      <c r="H28" s="35">
        <f t="shared" si="0"/>
        <v>0</v>
      </c>
      <c r="I28" s="69"/>
      <c r="J28" s="21"/>
    </row>
    <row r="29" spans="1:10" x14ac:dyDescent="0.25">
      <c r="A29" s="31"/>
      <c r="B29" s="32" t="s">
        <v>82</v>
      </c>
      <c r="C29" s="2"/>
      <c r="D29" s="41" t="s">
        <v>83</v>
      </c>
      <c r="E29" s="110">
        <v>72</v>
      </c>
      <c r="F29" s="91"/>
      <c r="G29" s="36">
        <v>2</v>
      </c>
      <c r="H29" s="35">
        <f t="shared" si="0"/>
        <v>0</v>
      </c>
      <c r="I29" s="69"/>
      <c r="J29" s="21"/>
    </row>
    <row r="30" spans="1:10" x14ac:dyDescent="0.25">
      <c r="A30" s="31"/>
      <c r="B30" s="32" t="s">
        <v>84</v>
      </c>
      <c r="C30" s="2"/>
      <c r="D30" s="41" t="s">
        <v>85</v>
      </c>
      <c r="E30" s="110">
        <v>853</v>
      </c>
      <c r="F30" s="91"/>
      <c r="G30" s="36">
        <v>2</v>
      </c>
      <c r="H30" s="35">
        <f t="shared" si="0"/>
        <v>0</v>
      </c>
      <c r="I30" s="69"/>
      <c r="J30" s="21"/>
    </row>
    <row r="31" spans="1:10" x14ac:dyDescent="0.25">
      <c r="A31" s="31"/>
      <c r="B31" s="32" t="s">
        <v>86</v>
      </c>
      <c r="C31" s="2"/>
      <c r="D31" s="41" t="s">
        <v>87</v>
      </c>
      <c r="E31" s="110">
        <v>10</v>
      </c>
      <c r="F31" s="91"/>
      <c r="G31" s="36">
        <v>2</v>
      </c>
      <c r="H31" s="35">
        <f t="shared" si="0"/>
        <v>0</v>
      </c>
      <c r="I31" s="69"/>
      <c r="J31" s="21"/>
    </row>
    <row r="32" spans="1:10" x14ac:dyDescent="0.25">
      <c r="A32" s="31"/>
      <c r="B32" s="32" t="s">
        <v>88</v>
      </c>
      <c r="C32" s="2"/>
      <c r="D32" s="41" t="s">
        <v>89</v>
      </c>
      <c r="E32" s="110">
        <v>8</v>
      </c>
      <c r="F32" s="91"/>
      <c r="G32" s="36">
        <v>2</v>
      </c>
      <c r="H32" s="35">
        <f t="shared" si="0"/>
        <v>0</v>
      </c>
      <c r="I32" s="69"/>
      <c r="J32" s="21"/>
    </row>
    <row r="33" spans="1:10" x14ac:dyDescent="0.25">
      <c r="A33" s="31"/>
      <c r="B33" s="32" t="s">
        <v>90</v>
      </c>
      <c r="C33" s="2"/>
      <c r="D33" s="41" t="s">
        <v>91</v>
      </c>
      <c r="E33" s="110">
        <v>168</v>
      </c>
      <c r="F33" s="91"/>
      <c r="G33" s="36">
        <v>2</v>
      </c>
      <c r="H33" s="35">
        <f t="shared" si="0"/>
        <v>0</v>
      </c>
      <c r="I33" s="69"/>
      <c r="J33" s="21"/>
    </row>
    <row r="34" spans="1:10" x14ac:dyDescent="0.25">
      <c r="A34" s="31"/>
      <c r="B34" s="32" t="s">
        <v>92</v>
      </c>
      <c r="C34" s="2"/>
      <c r="D34" s="41" t="s">
        <v>93</v>
      </c>
      <c r="E34" s="110">
        <v>164</v>
      </c>
      <c r="F34" s="91"/>
      <c r="G34" s="36">
        <v>2</v>
      </c>
      <c r="H34" s="35">
        <f t="shared" si="0"/>
        <v>0</v>
      </c>
      <c r="I34" s="69"/>
      <c r="J34" s="21"/>
    </row>
    <row r="35" spans="1:10" x14ac:dyDescent="0.25">
      <c r="A35" s="31"/>
      <c r="B35" s="32" t="s">
        <v>94</v>
      </c>
      <c r="C35" s="2"/>
      <c r="D35" s="41" t="s">
        <v>95</v>
      </c>
      <c r="E35" s="110">
        <v>187</v>
      </c>
      <c r="F35" s="91"/>
      <c r="G35" s="36">
        <v>2</v>
      </c>
      <c r="H35" s="35">
        <f t="shared" si="0"/>
        <v>0</v>
      </c>
      <c r="I35" s="69"/>
      <c r="J35" s="21"/>
    </row>
    <row r="36" spans="1:10" x14ac:dyDescent="0.25">
      <c r="A36" s="31"/>
      <c r="B36" s="32" t="s">
        <v>96</v>
      </c>
      <c r="C36" s="2"/>
      <c r="D36" s="41" t="s">
        <v>97</v>
      </c>
      <c r="E36" s="110">
        <v>164</v>
      </c>
      <c r="F36" s="91"/>
      <c r="G36" s="36">
        <v>2</v>
      </c>
      <c r="H36" s="35">
        <f t="shared" si="0"/>
        <v>0</v>
      </c>
      <c r="I36" s="69"/>
      <c r="J36" s="21"/>
    </row>
    <row r="37" spans="1:10" x14ac:dyDescent="0.25">
      <c r="A37" s="31"/>
      <c r="B37" s="32" t="s">
        <v>98</v>
      </c>
      <c r="C37" s="2"/>
      <c r="D37" s="41" t="s">
        <v>99</v>
      </c>
      <c r="E37" s="110">
        <v>30</v>
      </c>
      <c r="F37" s="91"/>
      <c r="G37" s="36">
        <v>2</v>
      </c>
      <c r="H37" s="35">
        <f t="shared" si="0"/>
        <v>0</v>
      </c>
      <c r="I37" s="69"/>
      <c r="J37" s="21"/>
    </row>
    <row r="38" spans="1:10" x14ac:dyDescent="0.25">
      <c r="A38" s="31"/>
      <c r="B38" s="32" t="s">
        <v>100</v>
      </c>
      <c r="C38" s="2"/>
      <c r="D38" s="41" t="s">
        <v>101</v>
      </c>
      <c r="E38" s="110">
        <v>70</v>
      </c>
      <c r="F38" s="91"/>
      <c r="G38" s="36">
        <v>2</v>
      </c>
      <c r="H38" s="35">
        <f t="shared" si="0"/>
        <v>0</v>
      </c>
      <c r="I38" s="69"/>
      <c r="J38" s="21"/>
    </row>
    <row r="39" spans="1:10" x14ac:dyDescent="0.25">
      <c r="A39" s="31"/>
      <c r="B39" s="32" t="s">
        <v>102</v>
      </c>
      <c r="C39" s="2"/>
      <c r="D39" s="41" t="s">
        <v>103</v>
      </c>
      <c r="E39" s="110">
        <v>902</v>
      </c>
      <c r="F39" s="91"/>
      <c r="G39" s="36">
        <v>2</v>
      </c>
      <c r="H39" s="35">
        <f t="shared" si="0"/>
        <v>0</v>
      </c>
      <c r="I39" s="69"/>
      <c r="J39" s="21"/>
    </row>
    <row r="40" spans="1:10" x14ac:dyDescent="0.25">
      <c r="A40" s="31"/>
      <c r="B40" s="32" t="s">
        <v>104</v>
      </c>
      <c r="C40" s="2"/>
      <c r="D40" s="41" t="s">
        <v>105</v>
      </c>
      <c r="E40" s="110">
        <v>12</v>
      </c>
      <c r="F40" s="91"/>
      <c r="G40" s="36">
        <v>2</v>
      </c>
      <c r="H40" s="35">
        <f t="shared" si="0"/>
        <v>0</v>
      </c>
      <c r="I40" s="69"/>
      <c r="J40" s="21"/>
    </row>
    <row r="41" spans="1:10" x14ac:dyDescent="0.25">
      <c r="A41" s="31"/>
      <c r="B41" s="32" t="s">
        <v>106</v>
      </c>
      <c r="C41" s="2"/>
      <c r="D41" s="41" t="s">
        <v>107</v>
      </c>
      <c r="E41" s="110">
        <v>56</v>
      </c>
      <c r="F41" s="91"/>
      <c r="G41" s="36">
        <v>2</v>
      </c>
      <c r="H41" s="35">
        <f t="shared" si="0"/>
        <v>0</v>
      </c>
      <c r="I41" s="69"/>
      <c r="J41" s="21"/>
    </row>
    <row r="42" spans="1:10" x14ac:dyDescent="0.25">
      <c r="A42" s="31"/>
      <c r="B42" s="32" t="s">
        <v>108</v>
      </c>
      <c r="C42" s="2"/>
      <c r="D42" s="41" t="s">
        <v>109</v>
      </c>
      <c r="E42" s="110">
        <v>60</v>
      </c>
      <c r="F42" s="91"/>
      <c r="G42" s="36">
        <v>2</v>
      </c>
      <c r="H42" s="35">
        <f t="shared" si="0"/>
        <v>0</v>
      </c>
      <c r="I42" s="69"/>
      <c r="J42" s="21"/>
    </row>
    <row r="43" spans="1:10" x14ac:dyDescent="0.25">
      <c r="A43" s="31"/>
      <c r="B43" s="32" t="s">
        <v>110</v>
      </c>
      <c r="C43" s="2"/>
      <c r="D43" s="41" t="s">
        <v>111</v>
      </c>
      <c r="E43" s="110">
        <v>12</v>
      </c>
      <c r="F43" s="91"/>
      <c r="G43" s="36">
        <v>2</v>
      </c>
      <c r="H43" s="35">
        <f t="shared" si="0"/>
        <v>0</v>
      </c>
      <c r="I43" s="69"/>
      <c r="J43" s="21"/>
    </row>
    <row r="44" spans="1:10" x14ac:dyDescent="0.25">
      <c r="A44" s="31"/>
      <c r="B44" s="32" t="s">
        <v>112</v>
      </c>
      <c r="C44" s="2"/>
      <c r="D44" s="41" t="s">
        <v>228</v>
      </c>
      <c r="E44" s="110">
        <v>14</v>
      </c>
      <c r="F44" s="91"/>
      <c r="G44" s="36">
        <v>1</v>
      </c>
      <c r="H44" s="35">
        <f t="shared" si="0"/>
        <v>0</v>
      </c>
      <c r="I44" s="69"/>
      <c r="J44" s="21"/>
    </row>
    <row r="45" spans="1:10" x14ac:dyDescent="0.25">
      <c r="A45" s="31"/>
      <c r="B45" s="32" t="s">
        <v>113</v>
      </c>
      <c r="C45" s="2"/>
      <c r="D45" s="41" t="s">
        <v>229</v>
      </c>
      <c r="E45" s="110">
        <v>1</v>
      </c>
      <c r="F45" s="91"/>
      <c r="G45" s="36">
        <v>1</v>
      </c>
      <c r="H45" s="35">
        <f t="shared" si="0"/>
        <v>0</v>
      </c>
      <c r="I45" s="69"/>
      <c r="J45" s="21"/>
    </row>
    <row r="46" spans="1:10" x14ac:dyDescent="0.25">
      <c r="A46" s="31"/>
      <c r="B46" s="32" t="s">
        <v>114</v>
      </c>
      <c r="C46" s="2"/>
      <c r="D46" s="41" t="s">
        <v>230</v>
      </c>
      <c r="E46" s="110">
        <v>18</v>
      </c>
      <c r="F46" s="91"/>
      <c r="G46" s="36">
        <v>1</v>
      </c>
      <c r="H46" s="35">
        <f t="shared" si="0"/>
        <v>0</v>
      </c>
      <c r="I46" s="69"/>
      <c r="J46" s="21"/>
    </row>
    <row r="47" spans="1:10" x14ac:dyDescent="0.25">
      <c r="A47" s="31"/>
      <c r="B47" s="32" t="s">
        <v>115</v>
      </c>
      <c r="C47" s="2"/>
      <c r="D47" s="41" t="s">
        <v>116</v>
      </c>
      <c r="E47" s="110">
        <v>68</v>
      </c>
      <c r="F47" s="91"/>
      <c r="G47" s="36">
        <v>2</v>
      </c>
      <c r="H47" s="35">
        <f t="shared" si="0"/>
        <v>0</v>
      </c>
      <c r="I47" s="69"/>
      <c r="J47" s="21"/>
    </row>
    <row r="48" spans="1:10" x14ac:dyDescent="0.25">
      <c r="A48" s="31"/>
      <c r="B48" s="32" t="s">
        <v>117</v>
      </c>
      <c r="C48" s="2"/>
      <c r="D48" s="41" t="s">
        <v>118</v>
      </c>
      <c r="E48" s="110">
        <v>8</v>
      </c>
      <c r="F48" s="91"/>
      <c r="G48" s="36">
        <v>2</v>
      </c>
      <c r="H48" s="35">
        <f t="shared" si="0"/>
        <v>0</v>
      </c>
      <c r="I48" s="69"/>
      <c r="J48" s="21"/>
    </row>
    <row r="49" spans="1:10" x14ac:dyDescent="0.25">
      <c r="A49" s="31"/>
      <c r="B49" s="32" t="s">
        <v>119</v>
      </c>
      <c r="C49" s="2"/>
      <c r="D49" s="41" t="s">
        <v>120</v>
      </c>
      <c r="E49" s="110">
        <v>6</v>
      </c>
      <c r="F49" s="91"/>
      <c r="G49" s="36">
        <v>2</v>
      </c>
      <c r="H49" s="35">
        <f t="shared" si="0"/>
        <v>0</v>
      </c>
      <c r="I49" s="69"/>
      <c r="J49" s="21"/>
    </row>
    <row r="50" spans="1:10" x14ac:dyDescent="0.25">
      <c r="A50" s="31"/>
      <c r="B50" s="32" t="s">
        <v>121</v>
      </c>
      <c r="C50" s="2"/>
      <c r="D50" s="41" t="s">
        <v>218</v>
      </c>
      <c r="E50" s="110">
        <v>92</v>
      </c>
      <c r="F50" s="91"/>
      <c r="G50" s="36">
        <v>2</v>
      </c>
      <c r="H50" s="35">
        <f t="shared" si="0"/>
        <v>0</v>
      </c>
      <c r="I50" s="69"/>
      <c r="J50" s="21"/>
    </row>
    <row r="51" spans="1:10" x14ac:dyDescent="0.25">
      <c r="A51" s="31"/>
      <c r="B51" s="32" t="s">
        <v>122</v>
      </c>
      <c r="C51" s="2"/>
      <c r="D51" s="41" t="s">
        <v>219</v>
      </c>
      <c r="E51" s="110">
        <v>17</v>
      </c>
      <c r="F51" s="91"/>
      <c r="G51" s="36">
        <v>2</v>
      </c>
      <c r="H51" s="35">
        <f t="shared" si="0"/>
        <v>0</v>
      </c>
      <c r="I51" s="69"/>
      <c r="J51" s="21"/>
    </row>
    <row r="52" spans="1:10" x14ac:dyDescent="0.25">
      <c r="A52" s="31"/>
      <c r="B52" s="60" t="s">
        <v>220</v>
      </c>
      <c r="C52" s="31"/>
      <c r="D52" s="41" t="s">
        <v>217</v>
      </c>
      <c r="E52" s="110">
        <v>12</v>
      </c>
      <c r="F52" s="91"/>
      <c r="G52" s="36">
        <v>2</v>
      </c>
      <c r="H52" s="64">
        <f t="shared" si="0"/>
        <v>0</v>
      </c>
      <c r="I52" s="63"/>
    </row>
  </sheetData>
  <mergeCells count="1">
    <mergeCell ref="E2:G2"/>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6F71C-2C6A-4B42-807C-2B427108D59C}">
  <sheetPr>
    <tabColor rgb="FF002060"/>
  </sheetPr>
  <dimension ref="A1:I41"/>
  <sheetViews>
    <sheetView workbookViewId="0">
      <selection activeCell="F3" sqref="F3:F41"/>
    </sheetView>
  </sheetViews>
  <sheetFormatPr defaultColWidth="9.140625" defaultRowHeight="15" x14ac:dyDescent="0.25"/>
  <cols>
    <col min="4" max="4" width="40.7109375" customWidth="1"/>
    <col min="5" max="5" width="10.7109375" customWidth="1"/>
    <col min="6" max="6" width="7.140625" bestFit="1" customWidth="1"/>
    <col min="8" max="8" width="14.42578125" bestFit="1" customWidth="1"/>
    <col min="9" max="9" width="9.140625" style="21"/>
    <col min="258" max="258" width="40.7109375" customWidth="1"/>
    <col min="262" max="262" width="10.42578125" customWidth="1"/>
    <col min="514" max="514" width="40.7109375" customWidth="1"/>
    <col min="518" max="518" width="10.42578125" customWidth="1"/>
    <col min="770" max="770" width="40.7109375" customWidth="1"/>
    <col min="774" max="774" width="10.42578125" customWidth="1"/>
    <col min="1026" max="1026" width="40.7109375" customWidth="1"/>
    <col min="1030" max="1030" width="10.42578125" customWidth="1"/>
    <col min="1282" max="1282" width="40.7109375" customWidth="1"/>
    <col min="1286" max="1286" width="10.42578125" customWidth="1"/>
    <col min="1538" max="1538" width="40.7109375" customWidth="1"/>
    <col min="1542" max="1542" width="10.42578125" customWidth="1"/>
    <col min="1794" max="1794" width="40.7109375" customWidth="1"/>
    <col min="1798" max="1798" width="10.42578125" customWidth="1"/>
    <col min="2050" max="2050" width="40.7109375" customWidth="1"/>
    <col min="2054" max="2054" width="10.42578125" customWidth="1"/>
    <col min="2306" max="2306" width="40.7109375" customWidth="1"/>
    <col min="2310" max="2310" width="10.42578125" customWidth="1"/>
    <col min="2562" max="2562" width="40.7109375" customWidth="1"/>
    <col min="2566" max="2566" width="10.42578125" customWidth="1"/>
    <col min="2818" max="2818" width="40.7109375" customWidth="1"/>
    <col min="2822" max="2822" width="10.42578125" customWidth="1"/>
    <col min="3074" max="3074" width="40.7109375" customWidth="1"/>
    <col min="3078" max="3078" width="10.42578125" customWidth="1"/>
    <col min="3330" max="3330" width="40.7109375" customWidth="1"/>
    <col min="3334" max="3334" width="10.42578125" customWidth="1"/>
    <col min="3586" max="3586" width="40.7109375" customWidth="1"/>
    <col min="3590" max="3590" width="10.42578125" customWidth="1"/>
    <col min="3842" max="3842" width="40.7109375" customWidth="1"/>
    <col min="3846" max="3846" width="10.42578125" customWidth="1"/>
    <col min="4098" max="4098" width="40.7109375" customWidth="1"/>
    <col min="4102" max="4102" width="10.42578125" customWidth="1"/>
    <col min="4354" max="4354" width="40.7109375" customWidth="1"/>
    <col min="4358" max="4358" width="10.42578125" customWidth="1"/>
    <col min="4610" max="4610" width="40.7109375" customWidth="1"/>
    <col min="4614" max="4614" width="10.42578125" customWidth="1"/>
    <col min="4866" max="4866" width="40.7109375" customWidth="1"/>
    <col min="4870" max="4870" width="10.42578125" customWidth="1"/>
    <col min="5122" max="5122" width="40.7109375" customWidth="1"/>
    <col min="5126" max="5126" width="10.42578125" customWidth="1"/>
    <col min="5378" max="5378" width="40.7109375" customWidth="1"/>
    <col min="5382" max="5382" width="10.42578125" customWidth="1"/>
    <col min="5634" max="5634" width="40.7109375" customWidth="1"/>
    <col min="5638" max="5638" width="10.42578125" customWidth="1"/>
    <col min="5890" max="5890" width="40.7109375" customWidth="1"/>
    <col min="5894" max="5894" width="10.42578125" customWidth="1"/>
    <col min="6146" max="6146" width="40.7109375" customWidth="1"/>
    <col min="6150" max="6150" width="10.42578125" customWidth="1"/>
    <col min="6402" max="6402" width="40.7109375" customWidth="1"/>
    <col min="6406" max="6406" width="10.42578125" customWidth="1"/>
    <col min="6658" max="6658" width="40.7109375" customWidth="1"/>
    <col min="6662" max="6662" width="10.42578125" customWidth="1"/>
    <col min="6914" max="6914" width="40.7109375" customWidth="1"/>
    <col min="6918" max="6918" width="10.42578125" customWidth="1"/>
    <col min="7170" max="7170" width="40.7109375" customWidth="1"/>
    <col min="7174" max="7174" width="10.42578125" customWidth="1"/>
    <col min="7426" max="7426" width="40.7109375" customWidth="1"/>
    <col min="7430" max="7430" width="10.42578125" customWidth="1"/>
    <col min="7682" max="7682" width="40.7109375" customWidth="1"/>
    <col min="7686" max="7686" width="10.42578125" customWidth="1"/>
    <col min="7938" max="7938" width="40.7109375" customWidth="1"/>
    <col min="7942" max="7942" width="10.42578125" customWidth="1"/>
    <col min="8194" max="8194" width="40.7109375" customWidth="1"/>
    <col min="8198" max="8198" width="10.42578125" customWidth="1"/>
    <col min="8450" max="8450" width="40.7109375" customWidth="1"/>
    <col min="8454" max="8454" width="10.42578125" customWidth="1"/>
    <col min="8706" max="8706" width="40.7109375" customWidth="1"/>
    <col min="8710" max="8710" width="10.42578125" customWidth="1"/>
    <col min="8962" max="8962" width="40.7109375" customWidth="1"/>
    <col min="8966" max="8966" width="10.42578125" customWidth="1"/>
    <col min="9218" max="9218" width="40.7109375" customWidth="1"/>
    <col min="9222" max="9222" width="10.42578125" customWidth="1"/>
    <col min="9474" max="9474" width="40.7109375" customWidth="1"/>
    <col min="9478" max="9478" width="10.42578125" customWidth="1"/>
    <col min="9730" max="9730" width="40.7109375" customWidth="1"/>
    <col min="9734" max="9734" width="10.42578125" customWidth="1"/>
    <col min="9986" max="9986" width="40.7109375" customWidth="1"/>
    <col min="9990" max="9990" width="10.42578125" customWidth="1"/>
    <col min="10242" max="10242" width="40.7109375" customWidth="1"/>
    <col min="10246" max="10246" width="10.42578125" customWidth="1"/>
    <col min="10498" max="10498" width="40.7109375" customWidth="1"/>
    <col min="10502" max="10502" width="10.42578125" customWidth="1"/>
    <col min="10754" max="10754" width="40.7109375" customWidth="1"/>
    <col min="10758" max="10758" width="10.42578125" customWidth="1"/>
    <col min="11010" max="11010" width="40.7109375" customWidth="1"/>
    <col min="11014" max="11014" width="10.42578125" customWidth="1"/>
    <col min="11266" max="11266" width="40.7109375" customWidth="1"/>
    <col min="11270" max="11270" width="10.42578125" customWidth="1"/>
    <col min="11522" max="11522" width="40.7109375" customWidth="1"/>
    <col min="11526" max="11526" width="10.42578125" customWidth="1"/>
    <col min="11778" max="11778" width="40.7109375" customWidth="1"/>
    <col min="11782" max="11782" width="10.42578125" customWidth="1"/>
    <col min="12034" max="12034" width="40.7109375" customWidth="1"/>
    <col min="12038" max="12038" width="10.42578125" customWidth="1"/>
    <col min="12290" max="12290" width="40.7109375" customWidth="1"/>
    <col min="12294" max="12294" width="10.42578125" customWidth="1"/>
    <col min="12546" max="12546" width="40.7109375" customWidth="1"/>
    <col min="12550" max="12550" width="10.42578125" customWidth="1"/>
    <col min="12802" max="12802" width="40.7109375" customWidth="1"/>
    <col min="12806" max="12806" width="10.42578125" customWidth="1"/>
    <col min="13058" max="13058" width="40.7109375" customWidth="1"/>
    <col min="13062" max="13062" width="10.42578125" customWidth="1"/>
    <col min="13314" max="13314" width="40.7109375" customWidth="1"/>
    <col min="13318" max="13318" width="10.42578125" customWidth="1"/>
    <col min="13570" max="13570" width="40.7109375" customWidth="1"/>
    <col min="13574" max="13574" width="10.42578125" customWidth="1"/>
    <col min="13826" max="13826" width="40.7109375" customWidth="1"/>
    <col min="13830" max="13830" width="10.42578125" customWidth="1"/>
    <col min="14082" max="14082" width="40.7109375" customWidth="1"/>
    <col min="14086" max="14086" width="10.42578125" customWidth="1"/>
    <col min="14338" max="14338" width="40.7109375" customWidth="1"/>
    <col min="14342" max="14342" width="10.42578125" customWidth="1"/>
    <col min="14594" max="14594" width="40.7109375" customWidth="1"/>
    <col min="14598" max="14598" width="10.42578125" customWidth="1"/>
    <col min="14850" max="14850" width="40.7109375" customWidth="1"/>
    <col min="14854" max="14854" width="10.42578125" customWidth="1"/>
    <col min="15106" max="15106" width="40.7109375" customWidth="1"/>
    <col min="15110" max="15110" width="10.42578125" customWidth="1"/>
    <col min="15362" max="15362" width="40.7109375" customWidth="1"/>
    <col min="15366" max="15366" width="10.42578125" customWidth="1"/>
    <col min="15618" max="15618" width="40.7109375" customWidth="1"/>
    <col min="15622" max="15622" width="10.42578125" customWidth="1"/>
    <col min="15874" max="15874" width="40.7109375" customWidth="1"/>
    <col min="15878" max="15878" width="10.42578125" customWidth="1"/>
    <col min="16130" max="16130" width="40.7109375" customWidth="1"/>
    <col min="16134" max="16134" width="10.42578125" customWidth="1"/>
  </cols>
  <sheetData>
    <row r="1" spans="1:9" ht="38.25" x14ac:dyDescent="0.25">
      <c r="A1" s="25" t="s">
        <v>0</v>
      </c>
      <c r="B1" s="25" t="s">
        <v>24</v>
      </c>
      <c r="C1" s="25" t="s">
        <v>25</v>
      </c>
      <c r="D1" s="26" t="s">
        <v>1</v>
      </c>
      <c r="E1" s="27" t="s">
        <v>26</v>
      </c>
      <c r="F1" s="27" t="s">
        <v>27</v>
      </c>
      <c r="G1" s="27" t="s">
        <v>28</v>
      </c>
      <c r="H1" s="27" t="s">
        <v>2</v>
      </c>
    </row>
    <row r="2" spans="1:9" ht="91.5" customHeight="1" x14ac:dyDescent="0.25">
      <c r="A2" s="44" t="s">
        <v>313</v>
      </c>
      <c r="B2" s="3"/>
      <c r="C2" s="3"/>
      <c r="D2" s="30" t="s">
        <v>123</v>
      </c>
      <c r="E2" s="161" t="s">
        <v>30</v>
      </c>
      <c r="F2" s="162"/>
      <c r="G2" s="163"/>
      <c r="H2" s="58">
        <f>SUM(H3:H41)</f>
        <v>0</v>
      </c>
    </row>
    <row r="3" spans="1:9" ht="18" customHeight="1" x14ac:dyDescent="0.25">
      <c r="A3" s="31"/>
      <c r="B3" s="32" t="s">
        <v>124</v>
      </c>
      <c r="C3" s="1"/>
      <c r="D3" s="45" t="s">
        <v>125</v>
      </c>
      <c r="E3" s="111">
        <v>50</v>
      </c>
      <c r="F3" s="94"/>
      <c r="G3" s="36">
        <v>1</v>
      </c>
      <c r="H3" s="35">
        <f>(E3*F3)*G3</f>
        <v>0</v>
      </c>
      <c r="I3" s="69"/>
    </row>
    <row r="4" spans="1:9" x14ac:dyDescent="0.25">
      <c r="A4" s="31"/>
      <c r="B4" s="32" t="s">
        <v>126</v>
      </c>
      <c r="C4" s="1"/>
      <c r="D4" s="41" t="s">
        <v>127</v>
      </c>
      <c r="E4" s="110">
        <v>40</v>
      </c>
      <c r="F4" s="94"/>
      <c r="G4" s="36">
        <v>1</v>
      </c>
      <c r="H4" s="35">
        <f t="shared" ref="H4:H41" si="0">(E4*F4)*G4</f>
        <v>0</v>
      </c>
      <c r="I4" s="69"/>
    </row>
    <row r="5" spans="1:9" x14ac:dyDescent="0.25">
      <c r="A5" s="31"/>
      <c r="B5" s="32" t="s">
        <v>128</v>
      </c>
      <c r="C5" s="1"/>
      <c r="D5" s="41" t="s">
        <v>129</v>
      </c>
      <c r="E5" s="110">
        <v>6</v>
      </c>
      <c r="F5" s="94"/>
      <c r="G5" s="36">
        <v>1</v>
      </c>
      <c r="H5" s="35">
        <f t="shared" si="0"/>
        <v>0</v>
      </c>
      <c r="I5" s="69"/>
    </row>
    <row r="6" spans="1:9" x14ac:dyDescent="0.25">
      <c r="A6" s="31"/>
      <c r="B6" s="32" t="s">
        <v>130</v>
      </c>
      <c r="C6" s="1"/>
      <c r="D6" s="41" t="s">
        <v>131</v>
      </c>
      <c r="E6" s="110">
        <v>7</v>
      </c>
      <c r="F6" s="94"/>
      <c r="G6" s="36">
        <v>1</v>
      </c>
      <c r="H6" s="35">
        <f t="shared" si="0"/>
        <v>0</v>
      </c>
      <c r="I6" s="69"/>
    </row>
    <row r="7" spans="1:9" x14ac:dyDescent="0.25">
      <c r="A7" s="31"/>
      <c r="B7" s="32" t="s">
        <v>132</v>
      </c>
      <c r="C7" s="1"/>
      <c r="D7" s="41" t="s">
        <v>234</v>
      </c>
      <c r="E7" s="110">
        <v>4</v>
      </c>
      <c r="F7" s="94"/>
      <c r="G7" s="36">
        <v>1</v>
      </c>
      <c r="H7" s="35">
        <f t="shared" si="0"/>
        <v>0</v>
      </c>
      <c r="I7" s="69"/>
    </row>
    <row r="8" spans="1:9" x14ac:dyDescent="0.25">
      <c r="A8" s="31"/>
      <c r="B8" s="32" t="s">
        <v>134</v>
      </c>
      <c r="C8" s="2"/>
      <c r="D8" s="46" t="s">
        <v>133</v>
      </c>
      <c r="E8" s="112">
        <v>65</v>
      </c>
      <c r="F8" s="94"/>
      <c r="G8" s="36">
        <v>1</v>
      </c>
      <c r="H8" s="35">
        <f t="shared" si="0"/>
        <v>0</v>
      </c>
      <c r="I8" s="69"/>
    </row>
    <row r="9" spans="1:9" x14ac:dyDescent="0.25">
      <c r="A9" s="31"/>
      <c r="B9" s="32" t="s">
        <v>136</v>
      </c>
      <c r="C9" s="2"/>
      <c r="D9" s="46" t="s">
        <v>135</v>
      </c>
      <c r="E9" s="112">
        <v>20</v>
      </c>
      <c r="F9" s="94"/>
      <c r="G9" s="36">
        <v>1</v>
      </c>
      <c r="H9" s="35">
        <f t="shared" si="0"/>
        <v>0</v>
      </c>
      <c r="I9" s="69"/>
    </row>
    <row r="10" spans="1:9" x14ac:dyDescent="0.25">
      <c r="A10" s="31"/>
      <c r="B10" s="32" t="s">
        <v>138</v>
      </c>
      <c r="C10" s="2"/>
      <c r="D10" s="41" t="s">
        <v>137</v>
      </c>
      <c r="E10" s="110">
        <v>8</v>
      </c>
      <c r="F10" s="94"/>
      <c r="G10" s="36">
        <v>1</v>
      </c>
      <c r="H10" s="35">
        <f t="shared" si="0"/>
        <v>0</v>
      </c>
      <c r="I10" s="69"/>
    </row>
    <row r="11" spans="1:9" x14ac:dyDescent="0.25">
      <c r="A11" s="31"/>
      <c r="B11" s="32" t="s">
        <v>140</v>
      </c>
      <c r="C11" s="2"/>
      <c r="D11" s="41" t="s">
        <v>139</v>
      </c>
      <c r="E11" s="110">
        <v>22</v>
      </c>
      <c r="F11" s="94"/>
      <c r="G11" s="36">
        <v>1</v>
      </c>
      <c r="H11" s="35">
        <f t="shared" si="0"/>
        <v>0</v>
      </c>
      <c r="I11" s="69"/>
    </row>
    <row r="12" spans="1:9" x14ac:dyDescent="0.25">
      <c r="A12" s="31"/>
      <c r="B12" s="32" t="s">
        <v>142</v>
      </c>
      <c r="C12" s="2"/>
      <c r="D12" s="41" t="s">
        <v>141</v>
      </c>
      <c r="E12" s="110">
        <v>22</v>
      </c>
      <c r="F12" s="94"/>
      <c r="G12" s="36">
        <v>1</v>
      </c>
      <c r="H12" s="35">
        <f t="shared" si="0"/>
        <v>0</v>
      </c>
      <c r="I12" s="69"/>
    </row>
    <row r="13" spans="1:9" x14ac:dyDescent="0.25">
      <c r="A13" s="31"/>
      <c r="B13" s="32" t="s">
        <v>144</v>
      </c>
      <c r="C13" s="2"/>
      <c r="D13" s="41" t="s">
        <v>143</v>
      </c>
      <c r="E13" s="110">
        <v>26</v>
      </c>
      <c r="F13" s="94"/>
      <c r="G13" s="36">
        <v>1</v>
      </c>
      <c r="H13" s="35">
        <f t="shared" si="0"/>
        <v>0</v>
      </c>
      <c r="I13" s="69"/>
    </row>
    <row r="14" spans="1:9" x14ac:dyDescent="0.25">
      <c r="A14" s="31"/>
      <c r="B14" s="32" t="s">
        <v>146</v>
      </c>
      <c r="C14" s="2"/>
      <c r="D14" s="41" t="s">
        <v>145</v>
      </c>
      <c r="E14" s="110">
        <v>20</v>
      </c>
      <c r="F14" s="94"/>
      <c r="G14" s="36">
        <v>1</v>
      </c>
      <c r="H14" s="35">
        <f t="shared" si="0"/>
        <v>0</v>
      </c>
      <c r="I14" s="69"/>
    </row>
    <row r="15" spans="1:9" x14ac:dyDescent="0.25">
      <c r="A15" s="31"/>
      <c r="B15" s="32" t="s">
        <v>148</v>
      </c>
      <c r="C15" s="2"/>
      <c r="D15" s="41" t="s">
        <v>147</v>
      </c>
      <c r="E15" s="110">
        <v>44</v>
      </c>
      <c r="F15" s="94"/>
      <c r="G15" s="36">
        <v>1</v>
      </c>
      <c r="H15" s="35">
        <f t="shared" si="0"/>
        <v>0</v>
      </c>
      <c r="I15" s="69"/>
    </row>
    <row r="16" spans="1:9" x14ac:dyDescent="0.25">
      <c r="A16" s="31"/>
      <c r="B16" s="32" t="s">
        <v>150</v>
      </c>
      <c r="C16" s="2"/>
      <c r="D16" s="41" t="s">
        <v>149</v>
      </c>
      <c r="E16" s="110">
        <v>71</v>
      </c>
      <c r="F16" s="94"/>
      <c r="G16" s="36">
        <v>1</v>
      </c>
      <c r="H16" s="35">
        <f t="shared" si="0"/>
        <v>0</v>
      </c>
      <c r="I16" s="69"/>
    </row>
    <row r="17" spans="1:9" x14ac:dyDescent="0.25">
      <c r="A17" s="31"/>
      <c r="B17" s="32" t="s">
        <v>152</v>
      </c>
      <c r="C17" s="2"/>
      <c r="D17" s="41" t="s">
        <v>151</v>
      </c>
      <c r="E17" s="110">
        <v>75</v>
      </c>
      <c r="F17" s="94"/>
      <c r="G17" s="36">
        <v>1</v>
      </c>
      <c r="H17" s="35">
        <f t="shared" si="0"/>
        <v>0</v>
      </c>
      <c r="I17" s="69"/>
    </row>
    <row r="18" spans="1:9" x14ac:dyDescent="0.25">
      <c r="A18" s="31"/>
      <c r="B18" s="32" t="s">
        <v>154</v>
      </c>
      <c r="C18" s="2"/>
      <c r="D18" s="41" t="s">
        <v>153</v>
      </c>
      <c r="E18" s="110">
        <v>71</v>
      </c>
      <c r="F18" s="94"/>
      <c r="G18" s="36">
        <v>1</v>
      </c>
      <c r="H18" s="35">
        <f t="shared" si="0"/>
        <v>0</v>
      </c>
      <c r="I18" s="69"/>
    </row>
    <row r="19" spans="1:9" x14ac:dyDescent="0.25">
      <c r="A19" s="31"/>
      <c r="B19" s="32" t="s">
        <v>156</v>
      </c>
      <c r="C19" s="2"/>
      <c r="D19" s="41" t="s">
        <v>155</v>
      </c>
      <c r="E19" s="110">
        <v>8</v>
      </c>
      <c r="F19" s="94"/>
      <c r="G19" s="36">
        <v>1</v>
      </c>
      <c r="H19" s="35">
        <f t="shared" si="0"/>
        <v>0</v>
      </c>
      <c r="I19" s="69"/>
    </row>
    <row r="20" spans="1:9" x14ac:dyDescent="0.25">
      <c r="A20" s="31"/>
      <c r="B20" s="32" t="s">
        <v>158</v>
      </c>
      <c r="C20" s="2"/>
      <c r="D20" s="41" t="s">
        <v>157</v>
      </c>
      <c r="E20" s="110">
        <v>68</v>
      </c>
      <c r="F20" s="94"/>
      <c r="G20" s="36">
        <v>1</v>
      </c>
      <c r="H20" s="35">
        <f t="shared" si="0"/>
        <v>0</v>
      </c>
      <c r="I20" s="69"/>
    </row>
    <row r="21" spans="1:9" x14ac:dyDescent="0.25">
      <c r="A21" s="31"/>
      <c r="B21" s="32" t="s">
        <v>160</v>
      </c>
      <c r="C21" s="2"/>
      <c r="D21" s="41" t="s">
        <v>159</v>
      </c>
      <c r="E21" s="110">
        <v>6</v>
      </c>
      <c r="F21" s="94"/>
      <c r="G21" s="36">
        <v>1</v>
      </c>
      <c r="H21" s="35">
        <f t="shared" si="0"/>
        <v>0</v>
      </c>
      <c r="I21" s="69"/>
    </row>
    <row r="22" spans="1:9" x14ac:dyDescent="0.25">
      <c r="A22" s="31"/>
      <c r="B22" s="32" t="s">
        <v>162</v>
      </c>
      <c r="C22" s="2"/>
      <c r="D22" s="41" t="s">
        <v>161</v>
      </c>
      <c r="E22" s="110">
        <v>68</v>
      </c>
      <c r="F22" s="94"/>
      <c r="G22" s="36">
        <v>1</v>
      </c>
      <c r="H22" s="35">
        <f t="shared" si="0"/>
        <v>0</v>
      </c>
      <c r="I22" s="69"/>
    </row>
    <row r="23" spans="1:9" x14ac:dyDescent="0.25">
      <c r="A23" s="31"/>
      <c r="B23" s="32" t="s">
        <v>221</v>
      </c>
      <c r="C23" s="2"/>
      <c r="D23" s="41" t="s">
        <v>163</v>
      </c>
      <c r="E23" s="110">
        <v>79</v>
      </c>
      <c r="F23" s="94"/>
      <c r="G23" s="36">
        <v>1</v>
      </c>
      <c r="H23" s="35">
        <f t="shared" si="0"/>
        <v>0</v>
      </c>
      <c r="I23" s="69"/>
    </row>
    <row r="24" spans="1:9" x14ac:dyDescent="0.25">
      <c r="A24" s="31"/>
      <c r="B24" s="32" t="s">
        <v>164</v>
      </c>
      <c r="C24" s="2"/>
      <c r="D24" s="41" t="s">
        <v>222</v>
      </c>
      <c r="E24" s="110">
        <v>7</v>
      </c>
      <c r="F24" s="94"/>
      <c r="G24" s="36">
        <v>1</v>
      </c>
      <c r="H24" s="35">
        <f t="shared" si="0"/>
        <v>0</v>
      </c>
      <c r="I24" s="69"/>
    </row>
    <row r="25" spans="1:9" x14ac:dyDescent="0.25">
      <c r="A25" s="31"/>
      <c r="B25" s="32" t="s">
        <v>166</v>
      </c>
      <c r="C25" s="2"/>
      <c r="D25" s="41" t="s">
        <v>165</v>
      </c>
      <c r="E25" s="110">
        <v>143</v>
      </c>
      <c r="F25" s="94"/>
      <c r="G25" s="36">
        <v>1</v>
      </c>
      <c r="H25" s="35">
        <f t="shared" si="0"/>
        <v>0</v>
      </c>
      <c r="I25" s="69"/>
    </row>
    <row r="26" spans="1:9" x14ac:dyDescent="0.25">
      <c r="A26" s="31"/>
      <c r="B26" s="32" t="s">
        <v>168</v>
      </c>
      <c r="C26" s="2"/>
      <c r="D26" s="41" t="s">
        <v>167</v>
      </c>
      <c r="E26" s="110">
        <v>10</v>
      </c>
      <c r="F26" s="94"/>
      <c r="G26" s="36">
        <v>1</v>
      </c>
      <c r="H26" s="35">
        <f t="shared" si="0"/>
        <v>0</v>
      </c>
      <c r="I26" s="69"/>
    </row>
    <row r="27" spans="1:9" x14ac:dyDescent="0.25">
      <c r="A27" s="31"/>
      <c r="B27" s="32" t="s">
        <v>170</v>
      </c>
      <c r="C27" s="2"/>
      <c r="D27" s="41" t="s">
        <v>169</v>
      </c>
      <c r="E27" s="110">
        <v>72</v>
      </c>
      <c r="F27" s="94"/>
      <c r="G27" s="36">
        <v>1</v>
      </c>
      <c r="H27" s="35">
        <f t="shared" si="0"/>
        <v>0</v>
      </c>
      <c r="I27" s="69"/>
    </row>
    <row r="28" spans="1:9" x14ac:dyDescent="0.25">
      <c r="A28" s="31"/>
      <c r="B28" s="32" t="s">
        <v>172</v>
      </c>
      <c r="C28" s="2"/>
      <c r="D28" s="41" t="s">
        <v>171</v>
      </c>
      <c r="E28" s="110">
        <v>52</v>
      </c>
      <c r="F28" s="94"/>
      <c r="G28" s="36">
        <v>1</v>
      </c>
      <c r="H28" s="35">
        <f t="shared" si="0"/>
        <v>0</v>
      </c>
      <c r="I28" s="69"/>
    </row>
    <row r="29" spans="1:9" x14ac:dyDescent="0.25">
      <c r="A29" s="31"/>
      <c r="B29" s="32" t="s">
        <v>174</v>
      </c>
      <c r="C29" s="2"/>
      <c r="D29" s="41" t="s">
        <v>173</v>
      </c>
      <c r="E29" s="110">
        <v>52</v>
      </c>
      <c r="F29" s="94"/>
      <c r="G29" s="36">
        <v>1</v>
      </c>
      <c r="H29" s="35">
        <f t="shared" si="0"/>
        <v>0</v>
      </c>
      <c r="I29" s="69"/>
    </row>
    <row r="30" spans="1:9" x14ac:dyDescent="0.25">
      <c r="A30" s="31"/>
      <c r="B30" s="32" t="s">
        <v>176</v>
      </c>
      <c r="C30" s="2"/>
      <c r="D30" s="41" t="s">
        <v>175</v>
      </c>
      <c r="E30" s="110">
        <v>4</v>
      </c>
      <c r="F30" s="94"/>
      <c r="G30" s="36">
        <v>1</v>
      </c>
      <c r="H30" s="35">
        <f t="shared" si="0"/>
        <v>0</v>
      </c>
      <c r="I30" s="69"/>
    </row>
    <row r="31" spans="1:9" x14ac:dyDescent="0.25">
      <c r="A31" s="31"/>
      <c r="B31" s="32" t="s">
        <v>177</v>
      </c>
      <c r="C31" s="2"/>
      <c r="D31" s="41" t="s">
        <v>223</v>
      </c>
      <c r="E31" s="110">
        <v>4</v>
      </c>
      <c r="F31" s="94"/>
      <c r="G31" s="36">
        <v>1</v>
      </c>
      <c r="H31" s="35">
        <f t="shared" si="0"/>
        <v>0</v>
      </c>
      <c r="I31" s="69"/>
    </row>
    <row r="32" spans="1:9" x14ac:dyDescent="0.25">
      <c r="A32" s="31"/>
      <c r="B32" s="32" t="s">
        <v>179</v>
      </c>
      <c r="C32" s="2"/>
      <c r="D32" s="41" t="s">
        <v>178</v>
      </c>
      <c r="E32" s="110">
        <v>25</v>
      </c>
      <c r="F32" s="94"/>
      <c r="G32" s="36">
        <v>1</v>
      </c>
      <c r="H32" s="35">
        <f t="shared" si="0"/>
        <v>0</v>
      </c>
      <c r="I32" s="69"/>
    </row>
    <row r="33" spans="1:9" x14ac:dyDescent="0.25">
      <c r="A33" s="31"/>
      <c r="B33" s="32" t="s">
        <v>181</v>
      </c>
      <c r="C33" s="2"/>
      <c r="D33" s="41" t="s">
        <v>180</v>
      </c>
      <c r="E33" s="110">
        <v>72</v>
      </c>
      <c r="F33" s="94"/>
      <c r="G33" s="36">
        <v>1</v>
      </c>
      <c r="H33" s="35">
        <f t="shared" si="0"/>
        <v>0</v>
      </c>
      <c r="I33" s="69"/>
    </row>
    <row r="34" spans="1:9" x14ac:dyDescent="0.25">
      <c r="A34" s="31"/>
      <c r="B34" s="32" t="s">
        <v>183</v>
      </c>
      <c r="C34" s="2"/>
      <c r="D34" s="41" t="s">
        <v>182</v>
      </c>
      <c r="E34" s="110">
        <v>66</v>
      </c>
      <c r="F34" s="94"/>
      <c r="G34" s="36">
        <v>1</v>
      </c>
      <c r="H34" s="35">
        <f t="shared" si="0"/>
        <v>0</v>
      </c>
      <c r="I34" s="69"/>
    </row>
    <row r="35" spans="1:9" x14ac:dyDescent="0.25">
      <c r="A35" s="31"/>
      <c r="B35" s="32" t="s">
        <v>185</v>
      </c>
      <c r="C35" s="2"/>
      <c r="D35" s="41" t="s">
        <v>184</v>
      </c>
      <c r="E35" s="110">
        <v>6</v>
      </c>
      <c r="F35" s="94"/>
      <c r="G35" s="36">
        <v>1</v>
      </c>
      <c r="H35" s="35">
        <f t="shared" si="0"/>
        <v>0</v>
      </c>
      <c r="I35" s="69"/>
    </row>
    <row r="36" spans="1:9" x14ac:dyDescent="0.25">
      <c r="A36" s="31"/>
      <c r="B36" s="32" t="s">
        <v>187</v>
      </c>
      <c r="C36" s="2"/>
      <c r="D36" s="41" t="s">
        <v>186</v>
      </c>
      <c r="E36" s="110">
        <v>31</v>
      </c>
      <c r="F36" s="94"/>
      <c r="G36" s="36">
        <v>1</v>
      </c>
      <c r="H36" s="35">
        <f t="shared" si="0"/>
        <v>0</v>
      </c>
      <c r="I36" s="69"/>
    </row>
    <row r="37" spans="1:9" x14ac:dyDescent="0.25">
      <c r="A37" s="31"/>
      <c r="B37" s="32" t="s">
        <v>189</v>
      </c>
      <c r="C37" s="2"/>
      <c r="D37" s="41" t="s">
        <v>188</v>
      </c>
      <c r="E37" s="110">
        <v>39</v>
      </c>
      <c r="F37" s="94"/>
      <c r="G37" s="36">
        <v>1</v>
      </c>
      <c r="H37" s="35">
        <f t="shared" si="0"/>
        <v>0</v>
      </c>
      <c r="I37" s="69"/>
    </row>
    <row r="38" spans="1:9" x14ac:dyDescent="0.25">
      <c r="A38" s="31"/>
      <c r="B38" s="32" t="s">
        <v>224</v>
      </c>
      <c r="C38" s="2"/>
      <c r="D38" s="41" t="s">
        <v>190</v>
      </c>
      <c r="E38" s="110">
        <v>15302</v>
      </c>
      <c r="F38" s="94"/>
      <c r="G38" s="36">
        <v>1</v>
      </c>
      <c r="H38" s="35">
        <f t="shared" si="0"/>
        <v>0</v>
      </c>
      <c r="I38" s="69"/>
    </row>
    <row r="39" spans="1:9" x14ac:dyDescent="0.25">
      <c r="A39" s="31"/>
      <c r="B39" s="32" t="s">
        <v>226</v>
      </c>
      <c r="C39" s="2"/>
      <c r="D39" s="41" t="s">
        <v>225</v>
      </c>
      <c r="E39" s="110">
        <v>0</v>
      </c>
      <c r="F39" s="94"/>
      <c r="G39" s="36">
        <v>1</v>
      </c>
      <c r="H39" s="35">
        <f t="shared" si="0"/>
        <v>0</v>
      </c>
      <c r="I39" s="69"/>
    </row>
    <row r="40" spans="1:9" x14ac:dyDescent="0.25">
      <c r="A40" s="31"/>
      <c r="B40" s="32" t="s">
        <v>191</v>
      </c>
      <c r="C40" s="2"/>
      <c r="D40" s="41" t="s">
        <v>227</v>
      </c>
      <c r="E40" s="110">
        <v>0</v>
      </c>
      <c r="F40" s="94"/>
      <c r="G40" s="36">
        <v>1</v>
      </c>
      <c r="H40" s="35">
        <f t="shared" si="0"/>
        <v>0</v>
      </c>
      <c r="I40" s="69"/>
    </row>
    <row r="41" spans="1:9" x14ac:dyDescent="0.25">
      <c r="A41" s="13"/>
      <c r="B41" s="32" t="s">
        <v>215</v>
      </c>
      <c r="C41" s="2"/>
      <c r="D41" s="41" t="s">
        <v>192</v>
      </c>
      <c r="E41" s="110">
        <v>66</v>
      </c>
      <c r="F41" s="94"/>
      <c r="G41" s="36">
        <v>1</v>
      </c>
      <c r="H41" s="35">
        <f t="shared" si="0"/>
        <v>0</v>
      </c>
    </row>
  </sheetData>
  <mergeCells count="1">
    <mergeCell ref="E2:G2"/>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B640B-5C27-44B8-9844-C48CE02B139C}">
  <sheetPr>
    <tabColor rgb="FF002060"/>
  </sheetPr>
  <dimension ref="A1:K16"/>
  <sheetViews>
    <sheetView workbookViewId="0">
      <selection activeCell="F3" sqref="F3:F12"/>
    </sheetView>
  </sheetViews>
  <sheetFormatPr defaultColWidth="9.140625" defaultRowHeight="15" x14ac:dyDescent="0.25"/>
  <cols>
    <col min="4" max="4" width="40.7109375" customWidth="1"/>
    <col min="6" max="6" width="10.28515625" customWidth="1"/>
    <col min="8" max="8" width="10.85546875" customWidth="1"/>
    <col min="9" max="9" width="14.42578125" style="66" customWidth="1"/>
    <col min="10" max="10" width="9.140625" style="66"/>
    <col min="260" max="260" width="40.7109375" customWidth="1"/>
    <col min="264" max="264" width="10.85546875" customWidth="1"/>
    <col min="516" max="516" width="40.7109375" customWidth="1"/>
    <col min="520" max="520" width="10.85546875" customWidth="1"/>
    <col min="772" max="772" width="40.7109375" customWidth="1"/>
    <col min="776" max="776" width="10.85546875" customWidth="1"/>
    <col min="1028" max="1028" width="40.7109375" customWidth="1"/>
    <col min="1032" max="1032" width="10.85546875" customWidth="1"/>
    <col min="1284" max="1284" width="40.7109375" customWidth="1"/>
    <col min="1288" max="1288" width="10.85546875" customWidth="1"/>
    <col min="1540" max="1540" width="40.7109375" customWidth="1"/>
    <col min="1544" max="1544" width="10.85546875" customWidth="1"/>
    <col min="1796" max="1796" width="40.7109375" customWidth="1"/>
    <col min="1800" max="1800" width="10.85546875" customWidth="1"/>
    <col min="2052" max="2052" width="40.7109375" customWidth="1"/>
    <col min="2056" max="2056" width="10.85546875" customWidth="1"/>
    <col min="2308" max="2308" width="40.7109375" customWidth="1"/>
    <col min="2312" max="2312" width="10.85546875" customWidth="1"/>
    <col min="2564" max="2564" width="40.7109375" customWidth="1"/>
    <col min="2568" max="2568" width="10.85546875" customWidth="1"/>
    <col min="2820" max="2820" width="40.7109375" customWidth="1"/>
    <col min="2824" max="2824" width="10.85546875" customWidth="1"/>
    <col min="3076" max="3076" width="40.7109375" customWidth="1"/>
    <col min="3080" max="3080" width="10.85546875" customWidth="1"/>
    <col min="3332" max="3332" width="40.7109375" customWidth="1"/>
    <col min="3336" max="3336" width="10.85546875" customWidth="1"/>
    <col min="3588" max="3588" width="40.7109375" customWidth="1"/>
    <col min="3592" max="3592" width="10.85546875" customWidth="1"/>
    <col min="3844" max="3844" width="40.7109375" customWidth="1"/>
    <col min="3848" max="3848" width="10.85546875" customWidth="1"/>
    <col min="4100" max="4100" width="40.7109375" customWidth="1"/>
    <col min="4104" max="4104" width="10.85546875" customWidth="1"/>
    <col min="4356" max="4356" width="40.7109375" customWidth="1"/>
    <col min="4360" max="4360" width="10.85546875" customWidth="1"/>
    <col min="4612" max="4612" width="40.7109375" customWidth="1"/>
    <col min="4616" max="4616" width="10.85546875" customWidth="1"/>
    <col min="4868" max="4868" width="40.7109375" customWidth="1"/>
    <col min="4872" max="4872" width="10.85546875" customWidth="1"/>
    <col min="5124" max="5124" width="40.7109375" customWidth="1"/>
    <col min="5128" max="5128" width="10.85546875" customWidth="1"/>
    <col min="5380" max="5380" width="40.7109375" customWidth="1"/>
    <col min="5384" max="5384" width="10.85546875" customWidth="1"/>
    <col min="5636" max="5636" width="40.7109375" customWidth="1"/>
    <col min="5640" max="5640" width="10.85546875" customWidth="1"/>
    <col min="5892" max="5892" width="40.7109375" customWidth="1"/>
    <col min="5896" max="5896" width="10.85546875" customWidth="1"/>
    <col min="6148" max="6148" width="40.7109375" customWidth="1"/>
    <col min="6152" max="6152" width="10.85546875" customWidth="1"/>
    <col min="6404" max="6404" width="40.7109375" customWidth="1"/>
    <col min="6408" max="6408" width="10.85546875" customWidth="1"/>
    <col min="6660" max="6660" width="40.7109375" customWidth="1"/>
    <col min="6664" max="6664" width="10.85546875" customWidth="1"/>
    <col min="6916" max="6916" width="40.7109375" customWidth="1"/>
    <col min="6920" max="6920" width="10.85546875" customWidth="1"/>
    <col min="7172" max="7172" width="40.7109375" customWidth="1"/>
    <col min="7176" max="7176" width="10.85546875" customWidth="1"/>
    <col min="7428" max="7428" width="40.7109375" customWidth="1"/>
    <col min="7432" max="7432" width="10.85546875" customWidth="1"/>
    <col min="7684" max="7684" width="40.7109375" customWidth="1"/>
    <col min="7688" max="7688" width="10.85546875" customWidth="1"/>
    <col min="7940" max="7940" width="40.7109375" customWidth="1"/>
    <col min="7944" max="7944" width="10.85546875" customWidth="1"/>
    <col min="8196" max="8196" width="40.7109375" customWidth="1"/>
    <col min="8200" max="8200" width="10.85546875" customWidth="1"/>
    <col min="8452" max="8452" width="40.7109375" customWidth="1"/>
    <col min="8456" max="8456" width="10.85546875" customWidth="1"/>
    <col min="8708" max="8708" width="40.7109375" customWidth="1"/>
    <col min="8712" max="8712" width="10.85546875" customWidth="1"/>
    <col min="8964" max="8964" width="40.7109375" customWidth="1"/>
    <col min="8968" max="8968" width="10.85546875" customWidth="1"/>
    <col min="9220" max="9220" width="40.7109375" customWidth="1"/>
    <col min="9224" max="9224" width="10.85546875" customWidth="1"/>
    <col min="9476" max="9476" width="40.7109375" customWidth="1"/>
    <col min="9480" max="9480" width="10.85546875" customWidth="1"/>
    <col min="9732" max="9732" width="40.7109375" customWidth="1"/>
    <col min="9736" max="9736" width="10.85546875" customWidth="1"/>
    <col min="9988" max="9988" width="40.7109375" customWidth="1"/>
    <col min="9992" max="9992" width="10.85546875" customWidth="1"/>
    <col min="10244" max="10244" width="40.7109375" customWidth="1"/>
    <col min="10248" max="10248" width="10.85546875" customWidth="1"/>
    <col min="10500" max="10500" width="40.7109375" customWidth="1"/>
    <col min="10504" max="10504" width="10.85546875" customWidth="1"/>
    <col min="10756" max="10756" width="40.7109375" customWidth="1"/>
    <col min="10760" max="10760" width="10.85546875" customWidth="1"/>
    <col min="11012" max="11012" width="40.7109375" customWidth="1"/>
    <col min="11016" max="11016" width="10.85546875" customWidth="1"/>
    <col min="11268" max="11268" width="40.7109375" customWidth="1"/>
    <col min="11272" max="11272" width="10.85546875" customWidth="1"/>
    <col min="11524" max="11524" width="40.7109375" customWidth="1"/>
    <col min="11528" max="11528" width="10.85546875" customWidth="1"/>
    <col min="11780" max="11780" width="40.7109375" customWidth="1"/>
    <col min="11784" max="11784" width="10.85546875" customWidth="1"/>
    <col min="12036" max="12036" width="40.7109375" customWidth="1"/>
    <col min="12040" max="12040" width="10.85546875" customWidth="1"/>
    <col min="12292" max="12292" width="40.7109375" customWidth="1"/>
    <col min="12296" max="12296" width="10.85546875" customWidth="1"/>
    <col min="12548" max="12548" width="40.7109375" customWidth="1"/>
    <col min="12552" max="12552" width="10.85546875" customWidth="1"/>
    <col min="12804" max="12804" width="40.7109375" customWidth="1"/>
    <col min="12808" max="12808" width="10.85546875" customWidth="1"/>
    <col min="13060" max="13060" width="40.7109375" customWidth="1"/>
    <col min="13064" max="13064" width="10.85546875" customWidth="1"/>
    <col min="13316" max="13316" width="40.7109375" customWidth="1"/>
    <col min="13320" max="13320" width="10.85546875" customWidth="1"/>
    <col min="13572" max="13572" width="40.7109375" customWidth="1"/>
    <col min="13576" max="13576" width="10.85546875" customWidth="1"/>
    <col min="13828" max="13828" width="40.7109375" customWidth="1"/>
    <col min="13832" max="13832" width="10.85546875" customWidth="1"/>
    <col min="14084" max="14084" width="40.7109375" customWidth="1"/>
    <col min="14088" max="14088" width="10.85546875" customWidth="1"/>
    <col min="14340" max="14340" width="40.7109375" customWidth="1"/>
    <col min="14344" max="14344" width="10.85546875" customWidth="1"/>
    <col min="14596" max="14596" width="40.7109375" customWidth="1"/>
    <col min="14600" max="14600" width="10.85546875" customWidth="1"/>
    <col min="14852" max="14852" width="40.7109375" customWidth="1"/>
    <col min="14856" max="14856" width="10.85546875" customWidth="1"/>
    <col min="15108" max="15108" width="40.7109375" customWidth="1"/>
    <col min="15112" max="15112" width="10.85546875" customWidth="1"/>
    <col min="15364" max="15364" width="40.7109375" customWidth="1"/>
    <col min="15368" max="15368" width="10.85546875" customWidth="1"/>
    <col min="15620" max="15620" width="40.7109375" customWidth="1"/>
    <col min="15624" max="15624" width="10.85546875" customWidth="1"/>
    <col min="15876" max="15876" width="40.7109375" customWidth="1"/>
    <col min="15880" max="15880" width="10.85546875" customWidth="1"/>
    <col min="16132" max="16132" width="40.7109375" customWidth="1"/>
    <col min="16136" max="16136" width="10.85546875" customWidth="1"/>
  </cols>
  <sheetData>
    <row r="1" spans="1:11" ht="38.25" x14ac:dyDescent="0.25">
      <c r="A1" s="25" t="s">
        <v>0</v>
      </c>
      <c r="B1" s="25" t="s">
        <v>24</v>
      </c>
      <c r="C1" s="25" t="s">
        <v>25</v>
      </c>
      <c r="D1" s="26" t="s">
        <v>1</v>
      </c>
      <c r="E1" s="27" t="s">
        <v>26</v>
      </c>
      <c r="F1" s="27" t="s">
        <v>27</v>
      </c>
      <c r="G1" s="27" t="s">
        <v>28</v>
      </c>
      <c r="H1" s="27" t="s">
        <v>2</v>
      </c>
      <c r="I1" s="73"/>
      <c r="J1" s="73"/>
    </row>
    <row r="2" spans="1:11" ht="76.5" x14ac:dyDescent="0.25">
      <c r="A2" s="44" t="s">
        <v>313</v>
      </c>
      <c r="B2" s="3"/>
      <c r="C2" s="3"/>
      <c r="D2" s="30" t="s">
        <v>193</v>
      </c>
      <c r="E2" s="161" t="s">
        <v>30</v>
      </c>
      <c r="F2" s="162"/>
      <c r="G2" s="163"/>
      <c r="H2" s="58">
        <f>SUM(H3:H12)</f>
        <v>0</v>
      </c>
      <c r="I2" s="68"/>
    </row>
    <row r="3" spans="1:11" x14ac:dyDescent="0.25">
      <c r="A3" s="31"/>
      <c r="B3" s="32" t="s">
        <v>194</v>
      </c>
      <c r="C3" s="2" t="s">
        <v>4</v>
      </c>
      <c r="D3" s="41" t="s">
        <v>195</v>
      </c>
      <c r="E3" s="48">
        <v>103</v>
      </c>
      <c r="F3" s="93"/>
      <c r="G3" s="36">
        <v>1</v>
      </c>
      <c r="H3" s="35">
        <f>(E3*F3)*G3</f>
        <v>0</v>
      </c>
      <c r="I3" s="74"/>
      <c r="J3" s="75"/>
      <c r="K3" s="77"/>
    </row>
    <row r="4" spans="1:11" x14ac:dyDescent="0.25">
      <c r="A4" s="31"/>
      <c r="B4" s="32" t="s">
        <v>196</v>
      </c>
      <c r="C4" s="1"/>
      <c r="D4" s="45" t="s">
        <v>197</v>
      </c>
      <c r="E4" s="49">
        <v>59</v>
      </c>
      <c r="F4" s="93"/>
      <c r="G4" s="36">
        <v>1</v>
      </c>
      <c r="H4" s="35">
        <f>(E4*F4)*G4</f>
        <v>0</v>
      </c>
      <c r="I4" s="74"/>
      <c r="J4" s="75"/>
      <c r="K4" s="77"/>
    </row>
    <row r="5" spans="1:11" x14ac:dyDescent="0.25">
      <c r="A5" s="31"/>
      <c r="B5" s="32" t="s">
        <v>198</v>
      </c>
      <c r="C5" s="1"/>
      <c r="D5" s="41" t="s">
        <v>199</v>
      </c>
      <c r="E5" s="48">
        <v>58</v>
      </c>
      <c r="F5" s="93"/>
      <c r="G5" s="36">
        <v>1</v>
      </c>
      <c r="H5" s="35">
        <f t="shared" ref="H5:H12" si="0">(E5*F5)*G5</f>
        <v>0</v>
      </c>
      <c r="I5" s="74"/>
      <c r="J5" s="75"/>
      <c r="K5" s="77"/>
    </row>
    <row r="6" spans="1:11" x14ac:dyDescent="0.25">
      <c r="A6" s="31"/>
      <c r="B6" s="32" t="s">
        <v>200</v>
      </c>
      <c r="C6" s="1"/>
      <c r="D6" s="41" t="s">
        <v>201</v>
      </c>
      <c r="E6" s="48">
        <v>170</v>
      </c>
      <c r="F6" s="93"/>
      <c r="G6" s="36">
        <v>1</v>
      </c>
      <c r="H6" s="35">
        <f t="shared" si="0"/>
        <v>0</v>
      </c>
      <c r="I6" s="74"/>
      <c r="J6" s="75"/>
      <c r="K6" s="77"/>
    </row>
    <row r="7" spans="1:11" x14ac:dyDescent="0.25">
      <c r="A7" s="31"/>
      <c r="B7" s="32" t="s">
        <v>202</v>
      </c>
      <c r="C7" s="1"/>
      <c r="D7" s="41" t="s">
        <v>203</v>
      </c>
      <c r="E7" s="48">
        <v>216</v>
      </c>
      <c r="F7" s="93"/>
      <c r="G7" s="36">
        <v>1</v>
      </c>
      <c r="H7" s="35">
        <f t="shared" si="0"/>
        <v>0</v>
      </c>
      <c r="I7" s="74"/>
      <c r="J7" s="75"/>
      <c r="K7" s="77"/>
    </row>
    <row r="8" spans="1:11" x14ac:dyDescent="0.25">
      <c r="A8" s="31"/>
      <c r="B8" s="32" t="s">
        <v>204</v>
      </c>
      <c r="C8" s="2"/>
      <c r="D8" s="41" t="s">
        <v>205</v>
      </c>
      <c r="E8" s="50">
        <v>64</v>
      </c>
      <c r="F8" s="93"/>
      <c r="G8" s="36">
        <v>1</v>
      </c>
      <c r="H8" s="35">
        <f t="shared" si="0"/>
        <v>0</v>
      </c>
      <c r="I8" s="74"/>
      <c r="J8" s="75"/>
      <c r="K8" s="77"/>
    </row>
    <row r="9" spans="1:11" x14ac:dyDescent="0.25">
      <c r="A9" s="31"/>
      <c r="B9" s="32" t="s">
        <v>206</v>
      </c>
      <c r="C9" s="2"/>
      <c r="D9" s="46" t="s">
        <v>207</v>
      </c>
      <c r="E9" s="2">
        <v>227</v>
      </c>
      <c r="F9" s="93"/>
      <c r="G9" s="36">
        <v>1</v>
      </c>
      <c r="H9" s="35">
        <f t="shared" si="0"/>
        <v>0</v>
      </c>
      <c r="I9" s="74"/>
      <c r="J9" s="75"/>
      <c r="K9" s="77"/>
    </row>
    <row r="10" spans="1:11" x14ac:dyDescent="0.25">
      <c r="A10" s="31"/>
      <c r="B10" s="32" t="s">
        <v>208</v>
      </c>
      <c r="C10" s="2"/>
      <c r="D10" s="41" t="s">
        <v>209</v>
      </c>
      <c r="E10" s="34">
        <v>88</v>
      </c>
      <c r="F10" s="93"/>
      <c r="G10" s="36">
        <v>1</v>
      </c>
      <c r="H10" s="35">
        <f t="shared" si="0"/>
        <v>0</v>
      </c>
      <c r="I10" s="74"/>
      <c r="J10" s="75"/>
      <c r="K10" s="77"/>
    </row>
    <row r="11" spans="1:11" x14ac:dyDescent="0.25">
      <c r="A11" s="31"/>
      <c r="B11" s="32" t="s">
        <v>210</v>
      </c>
      <c r="C11" s="2"/>
      <c r="D11" s="41" t="s">
        <v>211</v>
      </c>
      <c r="E11" s="34">
        <v>24</v>
      </c>
      <c r="F11" s="93"/>
      <c r="G11" s="36">
        <v>1</v>
      </c>
      <c r="H11" s="35">
        <f t="shared" si="0"/>
        <v>0</v>
      </c>
      <c r="I11" s="74"/>
      <c r="J11" s="75"/>
      <c r="K11" s="77"/>
    </row>
    <row r="12" spans="1:11" x14ac:dyDescent="0.25">
      <c r="A12" s="31"/>
      <c r="B12" s="32" t="s">
        <v>212</v>
      </c>
      <c r="C12" s="2"/>
      <c r="D12" s="41" t="s">
        <v>213</v>
      </c>
      <c r="E12" s="34">
        <v>57</v>
      </c>
      <c r="F12" s="93"/>
      <c r="G12" s="36">
        <v>1</v>
      </c>
      <c r="H12" s="35">
        <f t="shared" si="0"/>
        <v>0</v>
      </c>
      <c r="I12" s="74"/>
      <c r="J12" s="75"/>
      <c r="K12" s="77"/>
    </row>
    <row r="13" spans="1:11" x14ac:dyDescent="0.25">
      <c r="A13" s="42"/>
      <c r="B13" s="42"/>
      <c r="C13" s="42"/>
      <c r="D13" s="42"/>
      <c r="E13" s="42"/>
      <c r="F13" s="42"/>
      <c r="G13" s="42"/>
      <c r="H13" s="42"/>
    </row>
    <row r="16" spans="1:11" x14ac:dyDescent="0.25">
      <c r="A16" s="47" t="s">
        <v>4</v>
      </c>
    </row>
  </sheetData>
  <mergeCells count="1">
    <mergeCell ref="E2:G2"/>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4807A-96BA-4E69-BFA2-F7422281F983}">
  <sheetPr>
    <tabColor rgb="FF002060"/>
  </sheetPr>
  <dimension ref="A1:N47"/>
  <sheetViews>
    <sheetView workbookViewId="0">
      <selection activeCell="F3" sqref="F3:F47"/>
    </sheetView>
  </sheetViews>
  <sheetFormatPr defaultColWidth="9.140625" defaultRowHeight="15" x14ac:dyDescent="0.25"/>
  <cols>
    <col min="4" max="4" width="40.7109375" customWidth="1"/>
    <col min="6" max="6" width="9.28515625" customWidth="1"/>
    <col min="8" max="8" width="13.7109375" customWidth="1"/>
    <col min="9" max="9" width="14.42578125" style="66" customWidth="1"/>
    <col min="10" max="10" width="9.140625" style="66"/>
    <col min="260" max="260" width="40.7109375" customWidth="1"/>
    <col min="264" max="264" width="10.7109375" bestFit="1" customWidth="1"/>
    <col min="516" max="516" width="40.7109375" customWidth="1"/>
    <col min="520" max="520" width="10.7109375" bestFit="1" customWidth="1"/>
    <col min="772" max="772" width="40.7109375" customWidth="1"/>
    <col min="776" max="776" width="10.7109375" bestFit="1" customWidth="1"/>
    <col min="1028" max="1028" width="40.7109375" customWidth="1"/>
    <col min="1032" max="1032" width="10.7109375" bestFit="1" customWidth="1"/>
    <col min="1284" max="1284" width="40.7109375" customWidth="1"/>
    <col min="1288" max="1288" width="10.7109375" bestFit="1" customWidth="1"/>
    <col min="1540" max="1540" width="40.7109375" customWidth="1"/>
    <col min="1544" max="1544" width="10.7109375" bestFit="1" customWidth="1"/>
    <col min="1796" max="1796" width="40.7109375" customWidth="1"/>
    <col min="1800" max="1800" width="10.7109375" bestFit="1" customWidth="1"/>
    <col min="2052" max="2052" width="40.7109375" customWidth="1"/>
    <col min="2056" max="2056" width="10.7109375" bestFit="1" customWidth="1"/>
    <col min="2308" max="2308" width="40.7109375" customWidth="1"/>
    <col min="2312" max="2312" width="10.7109375" bestFit="1" customWidth="1"/>
    <col min="2564" max="2564" width="40.7109375" customWidth="1"/>
    <col min="2568" max="2568" width="10.7109375" bestFit="1" customWidth="1"/>
    <col min="2820" max="2820" width="40.7109375" customWidth="1"/>
    <col min="2824" max="2824" width="10.7109375" bestFit="1" customWidth="1"/>
    <col min="3076" max="3076" width="40.7109375" customWidth="1"/>
    <col min="3080" max="3080" width="10.7109375" bestFit="1" customWidth="1"/>
    <col min="3332" max="3332" width="40.7109375" customWidth="1"/>
    <col min="3336" max="3336" width="10.7109375" bestFit="1" customWidth="1"/>
    <col min="3588" max="3588" width="40.7109375" customWidth="1"/>
    <col min="3592" max="3592" width="10.7109375" bestFit="1" customWidth="1"/>
    <col min="3844" max="3844" width="40.7109375" customWidth="1"/>
    <col min="3848" max="3848" width="10.7109375" bestFit="1" customWidth="1"/>
    <col min="4100" max="4100" width="40.7109375" customWidth="1"/>
    <col min="4104" max="4104" width="10.7109375" bestFit="1" customWidth="1"/>
    <col min="4356" max="4356" width="40.7109375" customWidth="1"/>
    <col min="4360" max="4360" width="10.7109375" bestFit="1" customWidth="1"/>
    <col min="4612" max="4612" width="40.7109375" customWidth="1"/>
    <col min="4616" max="4616" width="10.7109375" bestFit="1" customWidth="1"/>
    <col min="4868" max="4868" width="40.7109375" customWidth="1"/>
    <col min="4872" max="4872" width="10.7109375" bestFit="1" customWidth="1"/>
    <col min="5124" max="5124" width="40.7109375" customWidth="1"/>
    <col min="5128" max="5128" width="10.7109375" bestFit="1" customWidth="1"/>
    <col min="5380" max="5380" width="40.7109375" customWidth="1"/>
    <col min="5384" max="5384" width="10.7109375" bestFit="1" customWidth="1"/>
    <col min="5636" max="5636" width="40.7109375" customWidth="1"/>
    <col min="5640" max="5640" width="10.7109375" bestFit="1" customWidth="1"/>
    <col min="5892" max="5892" width="40.7109375" customWidth="1"/>
    <col min="5896" max="5896" width="10.7109375" bestFit="1" customWidth="1"/>
    <col min="6148" max="6148" width="40.7109375" customWidth="1"/>
    <col min="6152" max="6152" width="10.7109375" bestFit="1" customWidth="1"/>
    <col min="6404" max="6404" width="40.7109375" customWidth="1"/>
    <col min="6408" max="6408" width="10.7109375" bestFit="1" customWidth="1"/>
    <col min="6660" max="6660" width="40.7109375" customWidth="1"/>
    <col min="6664" max="6664" width="10.7109375" bestFit="1" customWidth="1"/>
    <col min="6916" max="6916" width="40.7109375" customWidth="1"/>
    <col min="6920" max="6920" width="10.7109375" bestFit="1" customWidth="1"/>
    <col min="7172" max="7172" width="40.7109375" customWidth="1"/>
    <col min="7176" max="7176" width="10.7109375" bestFit="1" customWidth="1"/>
    <col min="7428" max="7428" width="40.7109375" customWidth="1"/>
    <col min="7432" max="7432" width="10.7109375" bestFit="1" customWidth="1"/>
    <col min="7684" max="7684" width="40.7109375" customWidth="1"/>
    <col min="7688" max="7688" width="10.7109375" bestFit="1" customWidth="1"/>
    <col min="7940" max="7940" width="40.7109375" customWidth="1"/>
    <col min="7944" max="7944" width="10.7109375" bestFit="1" customWidth="1"/>
    <col min="8196" max="8196" width="40.7109375" customWidth="1"/>
    <col min="8200" max="8200" width="10.7109375" bestFit="1" customWidth="1"/>
    <col min="8452" max="8452" width="40.7109375" customWidth="1"/>
    <col min="8456" max="8456" width="10.7109375" bestFit="1" customWidth="1"/>
    <col min="8708" max="8708" width="40.7109375" customWidth="1"/>
    <col min="8712" max="8712" width="10.7109375" bestFit="1" customWidth="1"/>
    <col min="8964" max="8964" width="40.7109375" customWidth="1"/>
    <col min="8968" max="8968" width="10.7109375" bestFit="1" customWidth="1"/>
    <col min="9220" max="9220" width="40.7109375" customWidth="1"/>
    <col min="9224" max="9224" width="10.7109375" bestFit="1" customWidth="1"/>
    <col min="9476" max="9476" width="40.7109375" customWidth="1"/>
    <col min="9480" max="9480" width="10.7109375" bestFit="1" customWidth="1"/>
    <col min="9732" max="9732" width="40.7109375" customWidth="1"/>
    <col min="9736" max="9736" width="10.7109375" bestFit="1" customWidth="1"/>
    <col min="9988" max="9988" width="40.7109375" customWidth="1"/>
    <col min="9992" max="9992" width="10.7109375" bestFit="1" customWidth="1"/>
    <col min="10244" max="10244" width="40.7109375" customWidth="1"/>
    <col min="10248" max="10248" width="10.7109375" bestFit="1" customWidth="1"/>
    <col min="10500" max="10500" width="40.7109375" customWidth="1"/>
    <col min="10504" max="10504" width="10.7109375" bestFit="1" customWidth="1"/>
    <col min="10756" max="10756" width="40.7109375" customWidth="1"/>
    <col min="10760" max="10760" width="10.7109375" bestFit="1" customWidth="1"/>
    <col min="11012" max="11012" width="40.7109375" customWidth="1"/>
    <col min="11016" max="11016" width="10.7109375" bestFit="1" customWidth="1"/>
    <col min="11268" max="11268" width="40.7109375" customWidth="1"/>
    <col min="11272" max="11272" width="10.7109375" bestFit="1" customWidth="1"/>
    <col min="11524" max="11524" width="40.7109375" customWidth="1"/>
    <col min="11528" max="11528" width="10.7109375" bestFit="1" customWidth="1"/>
    <col min="11780" max="11780" width="40.7109375" customWidth="1"/>
    <col min="11784" max="11784" width="10.7109375" bestFit="1" customWidth="1"/>
    <col min="12036" max="12036" width="40.7109375" customWidth="1"/>
    <col min="12040" max="12040" width="10.7109375" bestFit="1" customWidth="1"/>
    <col min="12292" max="12292" width="40.7109375" customWidth="1"/>
    <col min="12296" max="12296" width="10.7109375" bestFit="1" customWidth="1"/>
    <col min="12548" max="12548" width="40.7109375" customWidth="1"/>
    <col min="12552" max="12552" width="10.7109375" bestFit="1" customWidth="1"/>
    <col min="12804" max="12804" width="40.7109375" customWidth="1"/>
    <col min="12808" max="12808" width="10.7109375" bestFit="1" customWidth="1"/>
    <col min="13060" max="13060" width="40.7109375" customWidth="1"/>
    <col min="13064" max="13064" width="10.7109375" bestFit="1" customWidth="1"/>
    <col min="13316" max="13316" width="40.7109375" customWidth="1"/>
    <col min="13320" max="13320" width="10.7109375" bestFit="1" customWidth="1"/>
    <col min="13572" max="13572" width="40.7109375" customWidth="1"/>
    <col min="13576" max="13576" width="10.7109375" bestFit="1" customWidth="1"/>
    <col min="13828" max="13828" width="40.7109375" customWidth="1"/>
    <col min="13832" max="13832" width="10.7109375" bestFit="1" customWidth="1"/>
    <col min="14084" max="14084" width="40.7109375" customWidth="1"/>
    <col min="14088" max="14088" width="10.7109375" bestFit="1" customWidth="1"/>
    <col min="14340" max="14340" width="40.7109375" customWidth="1"/>
    <col min="14344" max="14344" width="10.7109375" bestFit="1" customWidth="1"/>
    <col min="14596" max="14596" width="40.7109375" customWidth="1"/>
    <col min="14600" max="14600" width="10.7109375" bestFit="1" customWidth="1"/>
    <col min="14852" max="14852" width="40.7109375" customWidth="1"/>
    <col min="14856" max="14856" width="10.7109375" bestFit="1" customWidth="1"/>
    <col min="15108" max="15108" width="40.7109375" customWidth="1"/>
    <col min="15112" max="15112" width="10.7109375" bestFit="1" customWidth="1"/>
    <col min="15364" max="15364" width="40.7109375" customWidth="1"/>
    <col min="15368" max="15368" width="10.7109375" bestFit="1" customWidth="1"/>
    <col min="15620" max="15620" width="40.7109375" customWidth="1"/>
    <col min="15624" max="15624" width="10.7109375" bestFit="1" customWidth="1"/>
    <col min="15876" max="15876" width="40.7109375" customWidth="1"/>
    <col min="15880" max="15880" width="10.7109375" bestFit="1" customWidth="1"/>
    <col min="16132" max="16132" width="40.7109375" customWidth="1"/>
    <col min="16136" max="16136" width="10.7109375" bestFit="1" customWidth="1"/>
  </cols>
  <sheetData>
    <row r="1" spans="1:14" ht="42.75" customHeight="1" x14ac:dyDescent="0.25">
      <c r="A1" s="25" t="s">
        <v>0</v>
      </c>
      <c r="B1" s="25" t="s">
        <v>24</v>
      </c>
      <c r="C1" s="25" t="s">
        <v>25</v>
      </c>
      <c r="D1" s="26" t="s">
        <v>1</v>
      </c>
      <c r="E1" s="27" t="s">
        <v>26</v>
      </c>
      <c r="F1" s="27" t="s">
        <v>27</v>
      </c>
      <c r="G1" s="27" t="s">
        <v>28</v>
      </c>
      <c r="H1" s="27" t="s">
        <v>2</v>
      </c>
      <c r="I1" s="73"/>
      <c r="J1" s="73"/>
    </row>
    <row r="2" spans="1:14" ht="63.75" x14ac:dyDescent="0.25">
      <c r="A2" s="44" t="s">
        <v>314</v>
      </c>
      <c r="B2" s="3"/>
      <c r="C2" s="3"/>
      <c r="D2" s="30" t="s">
        <v>29</v>
      </c>
      <c r="E2" s="161" t="s">
        <v>30</v>
      </c>
      <c r="F2" s="162"/>
      <c r="G2" s="163"/>
      <c r="H2" s="58">
        <f>SUM(H3:H47)</f>
        <v>0</v>
      </c>
      <c r="I2" s="68"/>
    </row>
    <row r="3" spans="1:14" ht="15.75" x14ac:dyDescent="0.25">
      <c r="A3" s="31"/>
      <c r="B3" s="95" t="s">
        <v>31</v>
      </c>
      <c r="C3" s="95"/>
      <c r="D3" s="96" t="s">
        <v>235</v>
      </c>
      <c r="E3" s="97">
        <v>125</v>
      </c>
      <c r="F3" s="94"/>
      <c r="G3" s="98">
        <v>2</v>
      </c>
      <c r="H3" s="35">
        <f>(E3*F3)*G3</f>
        <v>0</v>
      </c>
      <c r="I3" s="74"/>
      <c r="J3" s="75"/>
      <c r="K3" s="77"/>
      <c r="N3" t="s">
        <v>4</v>
      </c>
    </row>
    <row r="4" spans="1:14" ht="15.75" x14ac:dyDescent="0.25">
      <c r="A4" s="31"/>
      <c r="B4" s="95" t="s">
        <v>33</v>
      </c>
      <c r="C4" s="95"/>
      <c r="D4" s="96" t="s">
        <v>34</v>
      </c>
      <c r="E4" s="97">
        <v>125</v>
      </c>
      <c r="F4" s="94"/>
      <c r="G4" s="98">
        <v>2</v>
      </c>
      <c r="H4" s="35">
        <f>(E4*F4)*G4</f>
        <v>0</v>
      </c>
      <c r="I4" s="74"/>
      <c r="J4" s="75"/>
      <c r="K4" s="77"/>
      <c r="N4" t="s">
        <v>4</v>
      </c>
    </row>
    <row r="5" spans="1:14" ht="15.75" x14ac:dyDescent="0.25">
      <c r="A5" s="31"/>
      <c r="B5" s="95" t="s">
        <v>35</v>
      </c>
      <c r="C5" s="95"/>
      <c r="D5" s="96" t="s">
        <v>236</v>
      </c>
      <c r="E5" s="97">
        <v>68</v>
      </c>
      <c r="F5" s="94"/>
      <c r="G5" s="98">
        <v>2</v>
      </c>
      <c r="H5" s="35">
        <f>(E5*F5)*G5</f>
        <v>0</v>
      </c>
      <c r="I5" s="74"/>
      <c r="J5" s="75"/>
      <c r="K5" s="77"/>
      <c r="N5" t="s">
        <v>4</v>
      </c>
    </row>
    <row r="6" spans="1:14" ht="15.75" x14ac:dyDescent="0.25">
      <c r="A6" s="31"/>
      <c r="B6" s="95" t="s">
        <v>37</v>
      </c>
      <c r="C6" s="95"/>
      <c r="D6" s="96" t="s">
        <v>231</v>
      </c>
      <c r="E6" s="97">
        <v>338</v>
      </c>
      <c r="F6" s="94"/>
      <c r="G6" s="98">
        <v>2</v>
      </c>
      <c r="H6" s="35">
        <f>(E6*F6)*G6</f>
        <v>0</v>
      </c>
      <c r="I6" s="74"/>
      <c r="J6" s="75"/>
      <c r="K6" s="77"/>
      <c r="N6" t="s">
        <v>4</v>
      </c>
    </row>
    <row r="7" spans="1:14" ht="15.75" x14ac:dyDescent="0.25">
      <c r="A7" s="31"/>
      <c r="B7" s="95" t="s">
        <v>38</v>
      </c>
      <c r="C7" s="95"/>
      <c r="D7" s="96" t="s">
        <v>39</v>
      </c>
      <c r="E7" s="98">
        <v>113</v>
      </c>
      <c r="F7" s="94"/>
      <c r="G7" s="98">
        <v>2</v>
      </c>
      <c r="H7" s="35">
        <f t="shared" ref="H7:H47" si="0">(E7*F7)*G7</f>
        <v>0</v>
      </c>
      <c r="I7" s="74"/>
      <c r="J7" s="75"/>
      <c r="K7" s="77"/>
    </row>
    <row r="8" spans="1:14" ht="15.75" x14ac:dyDescent="0.25">
      <c r="A8" s="31"/>
      <c r="B8" s="95" t="s">
        <v>40</v>
      </c>
      <c r="C8" s="95"/>
      <c r="D8" s="96" t="s">
        <v>237</v>
      </c>
      <c r="E8" s="98">
        <v>434</v>
      </c>
      <c r="F8" s="94"/>
      <c r="G8" s="98">
        <v>2</v>
      </c>
      <c r="H8" s="35">
        <f t="shared" si="0"/>
        <v>0</v>
      </c>
      <c r="I8" s="74"/>
      <c r="J8" s="75"/>
      <c r="K8" s="77"/>
    </row>
    <row r="9" spans="1:14" ht="15.75" x14ac:dyDescent="0.25">
      <c r="A9" s="31"/>
      <c r="B9" s="95" t="s">
        <v>42</v>
      </c>
      <c r="C9" s="95"/>
      <c r="D9" s="96" t="s">
        <v>43</v>
      </c>
      <c r="E9" s="98">
        <v>0</v>
      </c>
      <c r="F9" s="94"/>
      <c r="G9" s="98">
        <v>2</v>
      </c>
      <c r="H9" s="35">
        <f t="shared" si="0"/>
        <v>0</v>
      </c>
      <c r="I9" s="74"/>
      <c r="J9" s="75"/>
      <c r="K9" s="77"/>
    </row>
    <row r="10" spans="1:14" ht="15.75" x14ac:dyDescent="0.25">
      <c r="A10" s="31"/>
      <c r="B10" s="95" t="s">
        <v>44</v>
      </c>
      <c r="C10" s="95"/>
      <c r="D10" s="96" t="s">
        <v>238</v>
      </c>
      <c r="E10" s="98">
        <v>4733</v>
      </c>
      <c r="F10" s="94"/>
      <c r="G10" s="98">
        <v>2</v>
      </c>
      <c r="H10" s="35">
        <f t="shared" si="0"/>
        <v>0</v>
      </c>
      <c r="I10" s="74"/>
      <c r="J10" s="75"/>
      <c r="K10" s="77"/>
    </row>
    <row r="11" spans="1:14" ht="15.75" x14ac:dyDescent="0.25">
      <c r="A11" s="31"/>
      <c r="B11" s="95" t="s">
        <v>46</v>
      </c>
      <c r="C11" s="95"/>
      <c r="D11" s="96" t="s">
        <v>239</v>
      </c>
      <c r="E11" s="98">
        <v>0</v>
      </c>
      <c r="F11" s="94"/>
      <c r="G11" s="98">
        <v>2</v>
      </c>
      <c r="H11" s="35">
        <f t="shared" si="0"/>
        <v>0</v>
      </c>
      <c r="I11" s="74"/>
      <c r="J11" s="75"/>
      <c r="K11" s="77"/>
    </row>
    <row r="12" spans="1:14" ht="15.75" x14ac:dyDescent="0.25">
      <c r="A12" s="31"/>
      <c r="B12" s="95" t="s">
        <v>48</v>
      </c>
      <c r="C12" s="95"/>
      <c r="D12" s="96" t="s">
        <v>240</v>
      </c>
      <c r="E12" s="98">
        <v>0</v>
      </c>
      <c r="F12" s="94"/>
      <c r="G12" s="98">
        <v>2</v>
      </c>
      <c r="H12" s="35">
        <f t="shared" si="0"/>
        <v>0</v>
      </c>
      <c r="I12" s="74"/>
      <c r="J12" s="75"/>
      <c r="K12" s="77"/>
    </row>
    <row r="13" spans="1:14" ht="15.75" x14ac:dyDescent="0.25">
      <c r="A13" s="31"/>
      <c r="B13" s="95" t="s">
        <v>50</v>
      </c>
      <c r="C13" s="95"/>
      <c r="D13" s="96" t="s">
        <v>241</v>
      </c>
      <c r="E13" s="98">
        <v>0</v>
      </c>
      <c r="F13" s="94"/>
      <c r="G13" s="98">
        <v>2</v>
      </c>
      <c r="H13" s="35">
        <f t="shared" si="0"/>
        <v>0</v>
      </c>
      <c r="I13" s="74"/>
      <c r="J13" s="75"/>
      <c r="K13" s="77"/>
    </row>
    <row r="14" spans="1:14" ht="15.75" x14ac:dyDescent="0.25">
      <c r="A14" s="31"/>
      <c r="B14" s="95" t="s">
        <v>52</v>
      </c>
      <c r="C14" s="95"/>
      <c r="D14" s="96" t="s">
        <v>242</v>
      </c>
      <c r="E14" s="98">
        <v>1078</v>
      </c>
      <c r="F14" s="94"/>
      <c r="G14" s="98">
        <v>2</v>
      </c>
      <c r="H14" s="35">
        <f t="shared" si="0"/>
        <v>0</v>
      </c>
      <c r="I14" s="74"/>
      <c r="J14" s="75"/>
      <c r="K14" s="77"/>
    </row>
    <row r="15" spans="1:14" ht="15.75" x14ac:dyDescent="0.25">
      <c r="A15" s="31"/>
      <c r="B15" s="95" t="s">
        <v>54</v>
      </c>
      <c r="C15" s="95"/>
      <c r="D15" s="96" t="s">
        <v>55</v>
      </c>
      <c r="E15" s="98">
        <v>0</v>
      </c>
      <c r="F15" s="94"/>
      <c r="G15" s="98">
        <v>2</v>
      </c>
      <c r="H15" s="35">
        <f t="shared" si="0"/>
        <v>0</v>
      </c>
      <c r="I15" s="74"/>
      <c r="J15" s="75"/>
      <c r="K15" s="77"/>
    </row>
    <row r="16" spans="1:14" ht="15.75" x14ac:dyDescent="0.25">
      <c r="A16" s="31"/>
      <c r="B16" s="95" t="s">
        <v>56</v>
      </c>
      <c r="C16" s="95"/>
      <c r="D16" s="96" t="s">
        <v>57</v>
      </c>
      <c r="E16" s="98">
        <v>0</v>
      </c>
      <c r="F16" s="94"/>
      <c r="G16" s="98">
        <v>2</v>
      </c>
      <c r="H16" s="35">
        <f t="shared" si="0"/>
        <v>0</v>
      </c>
      <c r="I16" s="74"/>
      <c r="J16" s="75"/>
      <c r="K16" s="77"/>
    </row>
    <row r="17" spans="1:11" ht="15.75" x14ac:dyDescent="0.25">
      <c r="A17" s="31"/>
      <c r="B17" s="95" t="s">
        <v>58</v>
      </c>
      <c r="C17" s="95"/>
      <c r="D17" s="96" t="s">
        <v>59</v>
      </c>
      <c r="E17" s="98">
        <v>644</v>
      </c>
      <c r="F17" s="94"/>
      <c r="G17" s="98">
        <v>2</v>
      </c>
      <c r="H17" s="35">
        <f t="shared" si="0"/>
        <v>0</v>
      </c>
      <c r="I17" s="74"/>
      <c r="J17" s="75"/>
      <c r="K17" s="77"/>
    </row>
    <row r="18" spans="1:11" ht="15.75" x14ac:dyDescent="0.25">
      <c r="A18" s="31"/>
      <c r="B18" s="95" t="s">
        <v>60</v>
      </c>
      <c r="C18" s="95"/>
      <c r="D18" s="96" t="s">
        <v>243</v>
      </c>
      <c r="E18" s="98">
        <v>31</v>
      </c>
      <c r="F18" s="94"/>
      <c r="G18" s="98">
        <v>2</v>
      </c>
      <c r="H18" s="35">
        <f t="shared" si="0"/>
        <v>0</v>
      </c>
      <c r="I18" s="74"/>
      <c r="J18" s="75"/>
      <c r="K18" s="77"/>
    </row>
    <row r="19" spans="1:11" ht="15.75" x14ac:dyDescent="0.25">
      <c r="A19" s="31"/>
      <c r="B19" s="95" t="s">
        <v>62</v>
      </c>
      <c r="C19" s="95"/>
      <c r="D19" s="96" t="s">
        <v>244</v>
      </c>
      <c r="E19" s="98">
        <v>240</v>
      </c>
      <c r="F19" s="94"/>
      <c r="G19" s="98">
        <v>2</v>
      </c>
      <c r="H19" s="35">
        <f t="shared" si="0"/>
        <v>0</v>
      </c>
      <c r="I19" s="74"/>
      <c r="J19" s="75"/>
      <c r="K19" s="77"/>
    </row>
    <row r="20" spans="1:11" ht="15.75" x14ac:dyDescent="0.25">
      <c r="A20" s="31"/>
      <c r="B20" s="95" t="s">
        <v>64</v>
      </c>
      <c r="C20" s="95"/>
      <c r="D20" s="96" t="s">
        <v>245</v>
      </c>
      <c r="E20" s="98">
        <v>7</v>
      </c>
      <c r="F20" s="94"/>
      <c r="G20" s="98">
        <v>2</v>
      </c>
      <c r="H20" s="35">
        <f t="shared" si="0"/>
        <v>0</v>
      </c>
      <c r="I20" s="74"/>
      <c r="J20" s="75"/>
      <c r="K20" s="77"/>
    </row>
    <row r="21" spans="1:11" ht="15.75" x14ac:dyDescent="0.25">
      <c r="A21" s="31"/>
      <c r="B21" s="95" t="s">
        <v>66</v>
      </c>
      <c r="C21" s="95"/>
      <c r="D21" s="96" t="s">
        <v>246</v>
      </c>
      <c r="E21" s="98">
        <v>869</v>
      </c>
      <c r="F21" s="94"/>
      <c r="G21" s="98">
        <v>2</v>
      </c>
      <c r="H21" s="35">
        <f t="shared" si="0"/>
        <v>0</v>
      </c>
      <c r="I21" s="74"/>
      <c r="J21" s="75"/>
      <c r="K21" s="77"/>
    </row>
    <row r="22" spans="1:11" ht="15.75" x14ac:dyDescent="0.25">
      <c r="A22" s="31"/>
      <c r="B22" s="95" t="s">
        <v>68</v>
      </c>
      <c r="C22" s="95"/>
      <c r="D22" s="96" t="s">
        <v>247</v>
      </c>
      <c r="E22" s="98">
        <v>1569</v>
      </c>
      <c r="F22" s="94"/>
      <c r="G22" s="98">
        <v>2</v>
      </c>
      <c r="H22" s="35">
        <f t="shared" si="0"/>
        <v>0</v>
      </c>
      <c r="I22" s="74"/>
      <c r="J22" s="75"/>
      <c r="K22" s="77"/>
    </row>
    <row r="23" spans="1:11" ht="15.75" x14ac:dyDescent="0.25">
      <c r="A23" s="31"/>
      <c r="B23" s="95" t="s">
        <v>70</v>
      </c>
      <c r="C23" s="95"/>
      <c r="D23" s="96" t="s">
        <v>248</v>
      </c>
      <c r="E23" s="98">
        <v>0</v>
      </c>
      <c r="F23" s="94"/>
      <c r="G23" s="98">
        <v>2</v>
      </c>
      <c r="H23" s="35">
        <f t="shared" si="0"/>
        <v>0</v>
      </c>
      <c r="I23" s="74"/>
      <c r="J23" s="75"/>
      <c r="K23" s="77"/>
    </row>
    <row r="24" spans="1:11" ht="15.75" x14ac:dyDescent="0.25">
      <c r="A24" s="31"/>
      <c r="B24" s="95" t="s">
        <v>72</v>
      </c>
      <c r="C24" s="95"/>
      <c r="D24" s="96" t="s">
        <v>249</v>
      </c>
      <c r="E24" s="97">
        <v>591</v>
      </c>
      <c r="F24" s="94"/>
      <c r="G24" s="98">
        <v>2</v>
      </c>
      <c r="H24" s="35">
        <f t="shared" si="0"/>
        <v>0</v>
      </c>
      <c r="I24" s="74"/>
      <c r="J24" s="75"/>
      <c r="K24" s="77"/>
    </row>
    <row r="25" spans="1:11" ht="15.75" x14ac:dyDescent="0.25">
      <c r="A25" s="13"/>
      <c r="B25" s="95" t="s">
        <v>74</v>
      </c>
      <c r="C25" s="95"/>
      <c r="D25" s="96" t="s">
        <v>75</v>
      </c>
      <c r="E25" s="97">
        <v>186</v>
      </c>
      <c r="F25" s="94"/>
      <c r="G25" s="98">
        <v>2</v>
      </c>
      <c r="H25" s="35">
        <f t="shared" si="0"/>
        <v>0</v>
      </c>
    </row>
    <row r="26" spans="1:11" ht="15.75" x14ac:dyDescent="0.25">
      <c r="A26" s="13"/>
      <c r="B26" s="95" t="s">
        <v>76</v>
      </c>
      <c r="C26" s="95"/>
      <c r="D26" s="96" t="s">
        <v>77</v>
      </c>
      <c r="E26" s="98">
        <v>0</v>
      </c>
      <c r="F26" s="94"/>
      <c r="G26" s="98">
        <v>2</v>
      </c>
      <c r="H26" s="35">
        <f t="shared" si="0"/>
        <v>0</v>
      </c>
    </row>
    <row r="27" spans="1:11" ht="15.75" x14ac:dyDescent="0.25">
      <c r="A27" s="13"/>
      <c r="B27" s="95" t="s">
        <v>78</v>
      </c>
      <c r="C27" s="95"/>
      <c r="D27" s="96" t="s">
        <v>79</v>
      </c>
      <c r="E27" s="98">
        <v>291</v>
      </c>
      <c r="F27" s="94"/>
      <c r="G27" s="98">
        <v>1</v>
      </c>
      <c r="H27" s="35">
        <f t="shared" si="0"/>
        <v>0</v>
      </c>
    </row>
    <row r="28" spans="1:11" ht="15.75" x14ac:dyDescent="0.25">
      <c r="A28" s="13"/>
      <c r="B28" s="95" t="s">
        <v>80</v>
      </c>
      <c r="C28" s="95"/>
      <c r="D28" s="96" t="s">
        <v>81</v>
      </c>
      <c r="E28" s="98">
        <v>12</v>
      </c>
      <c r="F28" s="94"/>
      <c r="G28" s="98">
        <v>1</v>
      </c>
      <c r="H28" s="35">
        <f t="shared" si="0"/>
        <v>0</v>
      </c>
    </row>
    <row r="29" spans="1:11" ht="15.75" x14ac:dyDescent="0.25">
      <c r="A29" s="13"/>
      <c r="B29" s="95" t="s">
        <v>82</v>
      </c>
      <c r="C29" s="95"/>
      <c r="D29" s="96" t="s">
        <v>250</v>
      </c>
      <c r="E29" s="98">
        <v>0</v>
      </c>
      <c r="F29" s="94"/>
      <c r="G29" s="98">
        <v>1</v>
      </c>
      <c r="H29" s="35">
        <f t="shared" si="0"/>
        <v>0</v>
      </c>
    </row>
    <row r="30" spans="1:11" ht="15.75" x14ac:dyDescent="0.25">
      <c r="A30" s="13"/>
      <c r="B30" s="95" t="s">
        <v>84</v>
      </c>
      <c r="C30" s="95"/>
      <c r="D30" s="96" t="s">
        <v>251</v>
      </c>
      <c r="E30" s="98">
        <v>5</v>
      </c>
      <c r="F30" s="94"/>
      <c r="G30" s="98">
        <v>1</v>
      </c>
      <c r="H30" s="35">
        <f t="shared" si="0"/>
        <v>0</v>
      </c>
    </row>
    <row r="31" spans="1:11" ht="15.75" x14ac:dyDescent="0.25">
      <c r="A31" s="13"/>
      <c r="B31" s="95" t="s">
        <v>86</v>
      </c>
      <c r="C31" s="95"/>
      <c r="D31" s="96" t="s">
        <v>87</v>
      </c>
      <c r="E31" s="98">
        <v>0</v>
      </c>
      <c r="F31" s="94"/>
      <c r="G31" s="98">
        <v>1</v>
      </c>
      <c r="H31" s="35">
        <f t="shared" si="0"/>
        <v>0</v>
      </c>
    </row>
    <row r="32" spans="1:11" ht="15.75" x14ac:dyDescent="0.25">
      <c r="A32" s="13"/>
      <c r="B32" s="95" t="s">
        <v>88</v>
      </c>
      <c r="C32" s="95"/>
      <c r="D32" s="96" t="s">
        <v>252</v>
      </c>
      <c r="E32" s="98">
        <v>0</v>
      </c>
      <c r="F32" s="94"/>
      <c r="G32" s="98">
        <v>1</v>
      </c>
      <c r="H32" s="35">
        <f t="shared" si="0"/>
        <v>0</v>
      </c>
    </row>
    <row r="33" spans="1:8" ht="15.75" x14ac:dyDescent="0.25">
      <c r="A33" s="13"/>
      <c r="B33" s="95" t="s">
        <v>90</v>
      </c>
      <c r="C33" s="95"/>
      <c r="D33" s="96" t="s">
        <v>91</v>
      </c>
      <c r="E33" s="98">
        <v>116</v>
      </c>
      <c r="F33" s="94"/>
      <c r="G33" s="98">
        <v>2</v>
      </c>
      <c r="H33" s="35">
        <f t="shared" si="0"/>
        <v>0</v>
      </c>
    </row>
    <row r="34" spans="1:8" ht="15.75" x14ac:dyDescent="0.25">
      <c r="A34" s="13"/>
      <c r="B34" s="95" t="s">
        <v>92</v>
      </c>
      <c r="C34" s="95"/>
      <c r="D34" s="96" t="s">
        <v>253</v>
      </c>
      <c r="E34" s="98">
        <v>97</v>
      </c>
      <c r="F34" s="94"/>
      <c r="G34" s="98">
        <v>2</v>
      </c>
      <c r="H34" s="35">
        <f t="shared" si="0"/>
        <v>0</v>
      </c>
    </row>
    <row r="35" spans="1:8" ht="15.75" x14ac:dyDescent="0.25">
      <c r="A35" s="13"/>
      <c r="B35" s="95" t="s">
        <v>94</v>
      </c>
      <c r="C35" s="95"/>
      <c r="D35" s="96" t="s">
        <v>254</v>
      </c>
      <c r="E35" s="98">
        <v>108</v>
      </c>
      <c r="F35" s="94"/>
      <c r="G35" s="98">
        <v>2</v>
      </c>
      <c r="H35" s="35">
        <f t="shared" si="0"/>
        <v>0</v>
      </c>
    </row>
    <row r="36" spans="1:8" ht="15.75" x14ac:dyDescent="0.25">
      <c r="A36" s="13"/>
      <c r="B36" s="95" t="s">
        <v>96</v>
      </c>
      <c r="C36" s="95"/>
      <c r="D36" s="96" t="s">
        <v>97</v>
      </c>
      <c r="E36" s="98">
        <v>9</v>
      </c>
      <c r="F36" s="94"/>
      <c r="G36" s="98">
        <v>2</v>
      </c>
      <c r="H36" s="35">
        <f t="shared" si="0"/>
        <v>0</v>
      </c>
    </row>
    <row r="37" spans="1:8" ht="15.75" x14ac:dyDescent="0.25">
      <c r="A37" s="13"/>
      <c r="B37" s="95" t="s">
        <v>98</v>
      </c>
      <c r="C37" s="95"/>
      <c r="D37" s="96" t="s">
        <v>255</v>
      </c>
      <c r="E37" s="98">
        <v>0</v>
      </c>
      <c r="F37" s="94"/>
      <c r="G37" s="98">
        <v>2</v>
      </c>
      <c r="H37" s="35">
        <f t="shared" si="0"/>
        <v>0</v>
      </c>
    </row>
    <row r="38" spans="1:8" ht="15.75" x14ac:dyDescent="0.25">
      <c r="A38" s="13"/>
      <c r="B38" s="95" t="s">
        <v>100</v>
      </c>
      <c r="C38" s="95"/>
      <c r="D38" s="96" t="s">
        <v>101</v>
      </c>
      <c r="E38" s="98">
        <v>0</v>
      </c>
      <c r="F38" s="94"/>
      <c r="G38" s="98">
        <v>2</v>
      </c>
      <c r="H38" s="35">
        <f t="shared" si="0"/>
        <v>0</v>
      </c>
    </row>
    <row r="39" spans="1:8" ht="15.75" x14ac:dyDescent="0.25">
      <c r="A39" s="13"/>
      <c r="B39" s="95" t="s">
        <v>102</v>
      </c>
      <c r="C39" s="95"/>
      <c r="D39" s="96" t="s">
        <v>256</v>
      </c>
      <c r="E39" s="98">
        <v>0</v>
      </c>
      <c r="F39" s="94"/>
      <c r="G39" s="98">
        <v>2</v>
      </c>
      <c r="H39" s="35">
        <f t="shared" si="0"/>
        <v>0</v>
      </c>
    </row>
    <row r="40" spans="1:8" ht="15.75" x14ac:dyDescent="0.25">
      <c r="A40" s="13"/>
      <c r="B40" s="95" t="s">
        <v>104</v>
      </c>
      <c r="C40" s="95"/>
      <c r="D40" s="96" t="s">
        <v>257</v>
      </c>
      <c r="E40" s="98">
        <v>0</v>
      </c>
      <c r="F40" s="94"/>
      <c r="G40" s="98">
        <v>2</v>
      </c>
      <c r="H40" s="35">
        <f t="shared" si="0"/>
        <v>0</v>
      </c>
    </row>
    <row r="41" spans="1:8" ht="15.75" x14ac:dyDescent="0.25">
      <c r="A41" s="13"/>
      <c r="B41" s="95" t="s">
        <v>106</v>
      </c>
      <c r="C41" s="95"/>
      <c r="D41" s="96" t="s">
        <v>258</v>
      </c>
      <c r="E41" s="98">
        <v>157</v>
      </c>
      <c r="F41" s="94"/>
      <c r="G41" s="98">
        <v>2</v>
      </c>
      <c r="H41" s="35">
        <f t="shared" si="0"/>
        <v>0</v>
      </c>
    </row>
    <row r="42" spans="1:8" ht="15.75" x14ac:dyDescent="0.25">
      <c r="A42" s="13"/>
      <c r="B42" s="95" t="s">
        <v>108</v>
      </c>
      <c r="C42" s="95"/>
      <c r="D42" s="96" t="s">
        <v>109</v>
      </c>
      <c r="E42" s="98">
        <v>66</v>
      </c>
      <c r="F42" s="94"/>
      <c r="G42" s="98">
        <v>2</v>
      </c>
      <c r="H42" s="35">
        <f t="shared" si="0"/>
        <v>0</v>
      </c>
    </row>
    <row r="43" spans="1:8" ht="15.75" x14ac:dyDescent="0.25">
      <c r="A43" s="13"/>
      <c r="B43" s="95" t="s">
        <v>110</v>
      </c>
      <c r="C43" s="95"/>
      <c r="D43" s="96" t="s">
        <v>111</v>
      </c>
      <c r="E43" s="98">
        <v>0</v>
      </c>
      <c r="F43" s="94"/>
      <c r="G43" s="98">
        <v>2</v>
      </c>
      <c r="H43" s="35">
        <f t="shared" si="0"/>
        <v>0</v>
      </c>
    </row>
    <row r="44" spans="1:8" ht="15.75" x14ac:dyDescent="0.25">
      <c r="A44" s="13"/>
      <c r="B44" s="95" t="s">
        <v>112</v>
      </c>
      <c r="C44" s="95"/>
      <c r="D44" s="96" t="s">
        <v>228</v>
      </c>
      <c r="E44" s="98">
        <v>0</v>
      </c>
      <c r="F44" s="94"/>
      <c r="G44" s="98">
        <v>1</v>
      </c>
      <c r="H44" s="35">
        <f t="shared" si="0"/>
        <v>0</v>
      </c>
    </row>
    <row r="45" spans="1:8" ht="15.75" x14ac:dyDescent="0.25">
      <c r="A45" s="13"/>
      <c r="B45" s="95" t="s">
        <v>113</v>
      </c>
      <c r="C45" s="95"/>
      <c r="D45" s="96" t="s">
        <v>229</v>
      </c>
      <c r="E45" s="98">
        <v>0</v>
      </c>
      <c r="F45" s="94"/>
      <c r="G45" s="98">
        <v>1</v>
      </c>
      <c r="H45" s="35">
        <f t="shared" si="0"/>
        <v>0</v>
      </c>
    </row>
    <row r="46" spans="1:8" ht="15.75" x14ac:dyDescent="0.25">
      <c r="A46" s="13"/>
      <c r="B46" s="95" t="s">
        <v>114</v>
      </c>
      <c r="C46" s="95"/>
      <c r="D46" s="96" t="s">
        <v>230</v>
      </c>
      <c r="E46" s="98">
        <v>0</v>
      </c>
      <c r="F46" s="94"/>
      <c r="G46" s="98">
        <v>1</v>
      </c>
      <c r="H46" s="35">
        <f t="shared" si="0"/>
        <v>0</v>
      </c>
    </row>
    <row r="47" spans="1:8" ht="15.75" x14ac:dyDescent="0.25">
      <c r="A47" s="13"/>
      <c r="B47" s="95" t="s">
        <v>115</v>
      </c>
      <c r="C47" s="95"/>
      <c r="D47" s="96" t="s">
        <v>116</v>
      </c>
      <c r="E47" s="98">
        <v>697</v>
      </c>
      <c r="F47" s="94"/>
      <c r="G47" s="98">
        <v>2</v>
      </c>
      <c r="H47" s="35">
        <f t="shared" si="0"/>
        <v>0</v>
      </c>
    </row>
  </sheetData>
  <mergeCells count="1">
    <mergeCell ref="E2:G2"/>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8D181-0F46-4565-908B-DBFAF01C833C}">
  <sheetPr>
    <tabColor rgb="FF002060"/>
  </sheetPr>
  <dimension ref="A1:O42"/>
  <sheetViews>
    <sheetView workbookViewId="0">
      <selection activeCell="F3" sqref="F3:F42"/>
    </sheetView>
  </sheetViews>
  <sheetFormatPr defaultColWidth="9.140625" defaultRowHeight="15" x14ac:dyDescent="0.25"/>
  <cols>
    <col min="4" max="4" width="40.7109375" customWidth="1"/>
    <col min="6" max="6" width="8.140625" customWidth="1"/>
    <col min="8" max="8" width="12.7109375" customWidth="1"/>
    <col min="9" max="9" width="10.85546875" customWidth="1"/>
    <col min="10" max="10" width="8.42578125" customWidth="1"/>
    <col min="13" max="13" width="39.85546875" bestFit="1" customWidth="1"/>
    <col min="260" max="260" width="40.7109375" customWidth="1"/>
    <col min="264" max="264" width="10.7109375" bestFit="1" customWidth="1"/>
    <col min="269" max="269" width="39.85546875" bestFit="1" customWidth="1"/>
    <col min="516" max="516" width="40.7109375" customWidth="1"/>
    <col min="520" max="520" width="10.7109375" bestFit="1" customWidth="1"/>
    <col min="525" max="525" width="39.85546875" bestFit="1" customWidth="1"/>
    <col min="772" max="772" width="40.7109375" customWidth="1"/>
    <col min="776" max="776" width="10.7109375" bestFit="1" customWidth="1"/>
    <col min="781" max="781" width="39.85546875" bestFit="1" customWidth="1"/>
    <col min="1028" max="1028" width="40.7109375" customWidth="1"/>
    <col min="1032" max="1032" width="10.7109375" bestFit="1" customWidth="1"/>
    <col min="1037" max="1037" width="39.85546875" bestFit="1" customWidth="1"/>
    <col min="1284" max="1284" width="40.7109375" customWidth="1"/>
    <col min="1288" max="1288" width="10.7109375" bestFit="1" customWidth="1"/>
    <col min="1293" max="1293" width="39.85546875" bestFit="1" customWidth="1"/>
    <col min="1540" max="1540" width="40.7109375" customWidth="1"/>
    <col min="1544" max="1544" width="10.7109375" bestFit="1" customWidth="1"/>
    <col min="1549" max="1549" width="39.85546875" bestFit="1" customWidth="1"/>
    <col min="1796" max="1796" width="40.7109375" customWidth="1"/>
    <col min="1800" max="1800" width="10.7109375" bestFit="1" customWidth="1"/>
    <col min="1805" max="1805" width="39.85546875" bestFit="1" customWidth="1"/>
    <col min="2052" max="2052" width="40.7109375" customWidth="1"/>
    <col min="2056" max="2056" width="10.7109375" bestFit="1" customWidth="1"/>
    <col min="2061" max="2061" width="39.85546875" bestFit="1" customWidth="1"/>
    <col min="2308" max="2308" width="40.7109375" customWidth="1"/>
    <col min="2312" max="2312" width="10.7109375" bestFit="1" customWidth="1"/>
    <col min="2317" max="2317" width="39.85546875" bestFit="1" customWidth="1"/>
    <col min="2564" max="2564" width="40.7109375" customWidth="1"/>
    <col min="2568" max="2568" width="10.7109375" bestFit="1" customWidth="1"/>
    <col min="2573" max="2573" width="39.85546875" bestFit="1" customWidth="1"/>
    <col min="2820" max="2820" width="40.7109375" customWidth="1"/>
    <col min="2824" max="2824" width="10.7109375" bestFit="1" customWidth="1"/>
    <col min="2829" max="2829" width="39.85546875" bestFit="1" customWidth="1"/>
    <col min="3076" max="3076" width="40.7109375" customWidth="1"/>
    <col min="3080" max="3080" width="10.7109375" bestFit="1" customWidth="1"/>
    <col min="3085" max="3085" width="39.85546875" bestFit="1" customWidth="1"/>
    <col min="3332" max="3332" width="40.7109375" customWidth="1"/>
    <col min="3336" max="3336" width="10.7109375" bestFit="1" customWidth="1"/>
    <col min="3341" max="3341" width="39.85546875" bestFit="1" customWidth="1"/>
    <col min="3588" max="3588" width="40.7109375" customWidth="1"/>
    <col min="3592" max="3592" width="10.7109375" bestFit="1" customWidth="1"/>
    <col min="3597" max="3597" width="39.85546875" bestFit="1" customWidth="1"/>
    <col min="3844" max="3844" width="40.7109375" customWidth="1"/>
    <col min="3848" max="3848" width="10.7109375" bestFit="1" customWidth="1"/>
    <col min="3853" max="3853" width="39.85546875" bestFit="1" customWidth="1"/>
    <col min="4100" max="4100" width="40.7109375" customWidth="1"/>
    <col min="4104" max="4104" width="10.7109375" bestFit="1" customWidth="1"/>
    <col min="4109" max="4109" width="39.85546875" bestFit="1" customWidth="1"/>
    <col min="4356" max="4356" width="40.7109375" customWidth="1"/>
    <col min="4360" max="4360" width="10.7109375" bestFit="1" customWidth="1"/>
    <col min="4365" max="4365" width="39.85546875" bestFit="1" customWidth="1"/>
    <col min="4612" max="4612" width="40.7109375" customWidth="1"/>
    <col min="4616" max="4616" width="10.7109375" bestFit="1" customWidth="1"/>
    <col min="4621" max="4621" width="39.85546875" bestFit="1" customWidth="1"/>
    <col min="4868" max="4868" width="40.7109375" customWidth="1"/>
    <col min="4872" max="4872" width="10.7109375" bestFit="1" customWidth="1"/>
    <col min="4877" max="4877" width="39.85546875" bestFit="1" customWidth="1"/>
    <col min="5124" max="5124" width="40.7109375" customWidth="1"/>
    <col min="5128" max="5128" width="10.7109375" bestFit="1" customWidth="1"/>
    <col min="5133" max="5133" width="39.85546875" bestFit="1" customWidth="1"/>
    <col min="5380" max="5380" width="40.7109375" customWidth="1"/>
    <col min="5384" max="5384" width="10.7109375" bestFit="1" customWidth="1"/>
    <col min="5389" max="5389" width="39.85546875" bestFit="1" customWidth="1"/>
    <col min="5636" max="5636" width="40.7109375" customWidth="1"/>
    <col min="5640" max="5640" width="10.7109375" bestFit="1" customWidth="1"/>
    <col min="5645" max="5645" width="39.85546875" bestFit="1" customWidth="1"/>
    <col min="5892" max="5892" width="40.7109375" customWidth="1"/>
    <col min="5896" max="5896" width="10.7109375" bestFit="1" customWidth="1"/>
    <col min="5901" max="5901" width="39.85546875" bestFit="1" customWidth="1"/>
    <col min="6148" max="6148" width="40.7109375" customWidth="1"/>
    <col min="6152" max="6152" width="10.7109375" bestFit="1" customWidth="1"/>
    <col min="6157" max="6157" width="39.85546875" bestFit="1" customWidth="1"/>
    <col min="6404" max="6404" width="40.7109375" customWidth="1"/>
    <col min="6408" max="6408" width="10.7109375" bestFit="1" customWidth="1"/>
    <col min="6413" max="6413" width="39.85546875" bestFit="1" customWidth="1"/>
    <col min="6660" max="6660" width="40.7109375" customWidth="1"/>
    <col min="6664" max="6664" width="10.7109375" bestFit="1" customWidth="1"/>
    <col min="6669" max="6669" width="39.85546875" bestFit="1" customWidth="1"/>
    <col min="6916" max="6916" width="40.7109375" customWidth="1"/>
    <col min="6920" max="6920" width="10.7109375" bestFit="1" customWidth="1"/>
    <col min="6925" max="6925" width="39.85546875" bestFit="1" customWidth="1"/>
    <col min="7172" max="7172" width="40.7109375" customWidth="1"/>
    <col min="7176" max="7176" width="10.7109375" bestFit="1" customWidth="1"/>
    <col min="7181" max="7181" width="39.85546875" bestFit="1" customWidth="1"/>
    <col min="7428" max="7428" width="40.7109375" customWidth="1"/>
    <col min="7432" max="7432" width="10.7109375" bestFit="1" customWidth="1"/>
    <col min="7437" max="7437" width="39.85546875" bestFit="1" customWidth="1"/>
    <col min="7684" max="7684" width="40.7109375" customWidth="1"/>
    <col min="7688" max="7688" width="10.7109375" bestFit="1" customWidth="1"/>
    <col min="7693" max="7693" width="39.85546875" bestFit="1" customWidth="1"/>
    <col min="7940" max="7940" width="40.7109375" customWidth="1"/>
    <col min="7944" max="7944" width="10.7109375" bestFit="1" customWidth="1"/>
    <col min="7949" max="7949" width="39.85546875" bestFit="1" customWidth="1"/>
    <col min="8196" max="8196" width="40.7109375" customWidth="1"/>
    <col min="8200" max="8200" width="10.7109375" bestFit="1" customWidth="1"/>
    <col min="8205" max="8205" width="39.85546875" bestFit="1" customWidth="1"/>
    <col min="8452" max="8452" width="40.7109375" customWidth="1"/>
    <col min="8456" max="8456" width="10.7109375" bestFit="1" customWidth="1"/>
    <col min="8461" max="8461" width="39.85546875" bestFit="1" customWidth="1"/>
    <col min="8708" max="8708" width="40.7109375" customWidth="1"/>
    <col min="8712" max="8712" width="10.7109375" bestFit="1" customWidth="1"/>
    <col min="8717" max="8717" width="39.85546875" bestFit="1" customWidth="1"/>
    <col min="8964" max="8964" width="40.7109375" customWidth="1"/>
    <col min="8968" max="8968" width="10.7109375" bestFit="1" customWidth="1"/>
    <col min="8973" max="8973" width="39.85546875" bestFit="1" customWidth="1"/>
    <col min="9220" max="9220" width="40.7109375" customWidth="1"/>
    <col min="9224" max="9224" width="10.7109375" bestFit="1" customWidth="1"/>
    <col min="9229" max="9229" width="39.85546875" bestFit="1" customWidth="1"/>
    <col min="9476" max="9476" width="40.7109375" customWidth="1"/>
    <col min="9480" max="9480" width="10.7109375" bestFit="1" customWidth="1"/>
    <col min="9485" max="9485" width="39.85546875" bestFit="1" customWidth="1"/>
    <col min="9732" max="9732" width="40.7109375" customWidth="1"/>
    <col min="9736" max="9736" width="10.7109375" bestFit="1" customWidth="1"/>
    <col min="9741" max="9741" width="39.85546875" bestFit="1" customWidth="1"/>
    <col min="9988" max="9988" width="40.7109375" customWidth="1"/>
    <col min="9992" max="9992" width="10.7109375" bestFit="1" customWidth="1"/>
    <col min="9997" max="9997" width="39.85546875" bestFit="1" customWidth="1"/>
    <col min="10244" max="10244" width="40.7109375" customWidth="1"/>
    <col min="10248" max="10248" width="10.7109375" bestFit="1" customWidth="1"/>
    <col min="10253" max="10253" width="39.85546875" bestFit="1" customWidth="1"/>
    <col min="10500" max="10500" width="40.7109375" customWidth="1"/>
    <col min="10504" max="10504" width="10.7109375" bestFit="1" customWidth="1"/>
    <col min="10509" max="10509" width="39.85546875" bestFit="1" customWidth="1"/>
    <col min="10756" max="10756" width="40.7109375" customWidth="1"/>
    <col min="10760" max="10760" width="10.7109375" bestFit="1" customWidth="1"/>
    <col min="10765" max="10765" width="39.85546875" bestFit="1" customWidth="1"/>
    <col min="11012" max="11012" width="40.7109375" customWidth="1"/>
    <col min="11016" max="11016" width="10.7109375" bestFit="1" customWidth="1"/>
    <col min="11021" max="11021" width="39.85546875" bestFit="1" customWidth="1"/>
    <col min="11268" max="11268" width="40.7109375" customWidth="1"/>
    <col min="11272" max="11272" width="10.7109375" bestFit="1" customWidth="1"/>
    <col min="11277" max="11277" width="39.85546875" bestFit="1" customWidth="1"/>
    <col min="11524" max="11524" width="40.7109375" customWidth="1"/>
    <col min="11528" max="11528" width="10.7109375" bestFit="1" customWidth="1"/>
    <col min="11533" max="11533" width="39.85546875" bestFit="1" customWidth="1"/>
    <col min="11780" max="11780" width="40.7109375" customWidth="1"/>
    <col min="11784" max="11784" width="10.7109375" bestFit="1" customWidth="1"/>
    <col min="11789" max="11789" width="39.85546875" bestFit="1" customWidth="1"/>
    <col min="12036" max="12036" width="40.7109375" customWidth="1"/>
    <col min="12040" max="12040" width="10.7109375" bestFit="1" customWidth="1"/>
    <col min="12045" max="12045" width="39.85546875" bestFit="1" customWidth="1"/>
    <col min="12292" max="12292" width="40.7109375" customWidth="1"/>
    <col min="12296" max="12296" width="10.7109375" bestFit="1" customWidth="1"/>
    <col min="12301" max="12301" width="39.85546875" bestFit="1" customWidth="1"/>
    <col min="12548" max="12548" width="40.7109375" customWidth="1"/>
    <col min="12552" max="12552" width="10.7109375" bestFit="1" customWidth="1"/>
    <col min="12557" max="12557" width="39.85546875" bestFit="1" customWidth="1"/>
    <col min="12804" max="12804" width="40.7109375" customWidth="1"/>
    <col min="12808" max="12808" width="10.7109375" bestFit="1" customWidth="1"/>
    <col min="12813" max="12813" width="39.85546875" bestFit="1" customWidth="1"/>
    <col min="13060" max="13060" width="40.7109375" customWidth="1"/>
    <col min="13064" max="13064" width="10.7109375" bestFit="1" customWidth="1"/>
    <col min="13069" max="13069" width="39.85546875" bestFit="1" customWidth="1"/>
    <col min="13316" max="13316" width="40.7109375" customWidth="1"/>
    <col min="13320" max="13320" width="10.7109375" bestFit="1" customWidth="1"/>
    <col min="13325" max="13325" width="39.85546875" bestFit="1" customWidth="1"/>
    <col min="13572" max="13572" width="40.7109375" customWidth="1"/>
    <col min="13576" max="13576" width="10.7109375" bestFit="1" customWidth="1"/>
    <col min="13581" max="13581" width="39.85546875" bestFit="1" customWidth="1"/>
    <col min="13828" max="13828" width="40.7109375" customWidth="1"/>
    <col min="13832" max="13832" width="10.7109375" bestFit="1" customWidth="1"/>
    <col min="13837" max="13837" width="39.85546875" bestFit="1" customWidth="1"/>
    <col min="14084" max="14084" width="40.7109375" customWidth="1"/>
    <col min="14088" max="14088" width="10.7109375" bestFit="1" customWidth="1"/>
    <col min="14093" max="14093" width="39.85546875" bestFit="1" customWidth="1"/>
    <col min="14340" max="14340" width="40.7109375" customWidth="1"/>
    <col min="14344" max="14344" width="10.7109375" bestFit="1" customWidth="1"/>
    <col min="14349" max="14349" width="39.85546875" bestFit="1" customWidth="1"/>
    <col min="14596" max="14596" width="40.7109375" customWidth="1"/>
    <col min="14600" max="14600" width="10.7109375" bestFit="1" customWidth="1"/>
    <col min="14605" max="14605" width="39.85546875" bestFit="1" customWidth="1"/>
    <col min="14852" max="14852" width="40.7109375" customWidth="1"/>
    <col min="14856" max="14856" width="10.7109375" bestFit="1" customWidth="1"/>
    <col min="14861" max="14861" width="39.85546875" bestFit="1" customWidth="1"/>
    <col min="15108" max="15108" width="40.7109375" customWidth="1"/>
    <col min="15112" max="15112" width="10.7109375" bestFit="1" customWidth="1"/>
    <col min="15117" max="15117" width="39.85546875" bestFit="1" customWidth="1"/>
    <col min="15364" max="15364" width="40.7109375" customWidth="1"/>
    <col min="15368" max="15368" width="10.7109375" bestFit="1" customWidth="1"/>
    <col min="15373" max="15373" width="39.85546875" bestFit="1" customWidth="1"/>
    <col min="15620" max="15620" width="40.7109375" customWidth="1"/>
    <col min="15624" max="15624" width="10.7109375" bestFit="1" customWidth="1"/>
    <col min="15629" max="15629" width="39.85546875" bestFit="1" customWidth="1"/>
    <col min="15876" max="15876" width="40.7109375" customWidth="1"/>
    <col min="15880" max="15880" width="10.7109375" bestFit="1" customWidth="1"/>
    <col min="15885" max="15885" width="39.85546875" bestFit="1" customWidth="1"/>
    <col min="16132" max="16132" width="40.7109375" customWidth="1"/>
    <col min="16136" max="16136" width="10.7109375" bestFit="1" customWidth="1"/>
    <col min="16141" max="16141" width="39.85546875" bestFit="1" customWidth="1"/>
  </cols>
  <sheetData>
    <row r="1" spans="1:15" ht="38.25" x14ac:dyDescent="0.25">
      <c r="A1" s="25" t="s">
        <v>0</v>
      </c>
      <c r="B1" s="25" t="s">
        <v>24</v>
      </c>
      <c r="C1" s="25" t="s">
        <v>25</v>
      </c>
      <c r="D1" s="26" t="s">
        <v>1</v>
      </c>
      <c r="E1" s="27" t="s">
        <v>26</v>
      </c>
      <c r="F1" s="27" t="s">
        <v>27</v>
      </c>
      <c r="G1" s="27" t="s">
        <v>28</v>
      </c>
      <c r="H1" s="27" t="s">
        <v>2</v>
      </c>
      <c r="I1" s="73"/>
      <c r="J1" s="73"/>
    </row>
    <row r="2" spans="1:15" ht="79.900000000000006" customHeight="1" x14ac:dyDescent="0.25">
      <c r="A2" s="29">
        <v>3002</v>
      </c>
      <c r="B2" s="3"/>
      <c r="C2" s="3"/>
      <c r="D2" s="30" t="s">
        <v>123</v>
      </c>
      <c r="E2" s="161" t="s">
        <v>30</v>
      </c>
      <c r="F2" s="162"/>
      <c r="G2" s="163"/>
      <c r="H2" s="58">
        <f>SUM(H3:H42)</f>
        <v>0</v>
      </c>
      <c r="I2" s="68"/>
      <c r="J2" s="86"/>
      <c r="K2" s="59"/>
    </row>
    <row r="3" spans="1:15" ht="15.75" x14ac:dyDescent="0.25">
      <c r="A3" s="31"/>
      <c r="B3" s="99" t="s">
        <v>214</v>
      </c>
      <c r="C3" s="99"/>
      <c r="D3" s="100" t="s">
        <v>259</v>
      </c>
      <c r="E3" s="34">
        <v>114</v>
      </c>
      <c r="F3" s="94"/>
      <c r="G3" s="36">
        <v>1</v>
      </c>
      <c r="H3" s="35">
        <f>(E3*F3)*G3</f>
        <v>0</v>
      </c>
      <c r="I3" s="74"/>
      <c r="J3" s="81"/>
      <c r="K3" s="78"/>
      <c r="L3" s="65"/>
      <c r="M3" s="79"/>
      <c r="N3" s="76"/>
    </row>
    <row r="4" spans="1:15" ht="15" customHeight="1" x14ac:dyDescent="0.25">
      <c r="A4" s="31"/>
      <c r="B4" s="95" t="s">
        <v>124</v>
      </c>
      <c r="C4" s="95"/>
      <c r="D4" s="101" t="s">
        <v>260</v>
      </c>
      <c r="E4" s="39">
        <v>103</v>
      </c>
      <c r="F4" s="94"/>
      <c r="G4" s="36">
        <v>1</v>
      </c>
      <c r="H4" s="35">
        <f>(E4*F4)*G4</f>
        <v>0</v>
      </c>
      <c r="I4" s="74"/>
      <c r="J4" s="82"/>
      <c r="K4" s="85"/>
      <c r="L4" s="65"/>
      <c r="M4" s="79"/>
      <c r="N4" s="76"/>
      <c r="O4" s="51"/>
    </row>
    <row r="5" spans="1:15" ht="15.75" x14ac:dyDescent="0.25">
      <c r="A5" s="31"/>
      <c r="B5" s="95" t="s">
        <v>126</v>
      </c>
      <c r="C5" s="95"/>
      <c r="D5" s="101" t="s">
        <v>261</v>
      </c>
      <c r="E5" s="34">
        <v>19</v>
      </c>
      <c r="F5" s="94"/>
      <c r="G5" s="36">
        <v>1</v>
      </c>
      <c r="H5" s="35">
        <f>(E5*F5)*G5</f>
        <v>0</v>
      </c>
      <c r="I5" s="74"/>
      <c r="J5" s="81"/>
      <c r="K5" s="85"/>
      <c r="L5" s="65"/>
      <c r="M5" s="79"/>
      <c r="N5" s="76"/>
      <c r="O5" s="51"/>
    </row>
    <row r="6" spans="1:15" ht="15.75" x14ac:dyDescent="0.25">
      <c r="A6" s="31"/>
      <c r="B6" s="95" t="s">
        <v>128</v>
      </c>
      <c r="C6" s="95"/>
      <c r="D6" s="101" t="s">
        <v>262</v>
      </c>
      <c r="E6" s="2">
        <v>0</v>
      </c>
      <c r="F6" s="94"/>
      <c r="G6" s="36">
        <v>1</v>
      </c>
      <c r="H6" s="53">
        <f t="shared" ref="H6:H20" si="0">(E6*F6)*G6</f>
        <v>0</v>
      </c>
      <c r="I6" s="74"/>
      <c r="J6" s="81"/>
      <c r="K6" s="85"/>
      <c r="L6" s="65"/>
      <c r="M6" s="79"/>
      <c r="N6" s="76"/>
      <c r="O6" s="51"/>
    </row>
    <row r="7" spans="1:15" ht="15.75" x14ac:dyDescent="0.25">
      <c r="A7" s="31"/>
      <c r="B7" s="95" t="s">
        <v>130</v>
      </c>
      <c r="C7" s="95"/>
      <c r="D7" s="101" t="s">
        <v>263</v>
      </c>
      <c r="E7" s="34">
        <v>1</v>
      </c>
      <c r="F7" s="94"/>
      <c r="G7" s="36">
        <v>1</v>
      </c>
      <c r="H7" s="35">
        <f t="shared" si="0"/>
        <v>0</v>
      </c>
      <c r="I7" s="74"/>
      <c r="J7" s="81"/>
      <c r="K7" s="85"/>
      <c r="L7" s="65"/>
      <c r="M7" s="79"/>
      <c r="N7" s="76"/>
      <c r="O7" s="51"/>
    </row>
    <row r="8" spans="1:15" ht="15.75" x14ac:dyDescent="0.25">
      <c r="A8" s="31"/>
      <c r="B8" s="95" t="s">
        <v>132</v>
      </c>
      <c r="C8" s="95"/>
      <c r="D8" s="101" t="s">
        <v>234</v>
      </c>
      <c r="E8" s="34">
        <v>6</v>
      </c>
      <c r="F8" s="94"/>
      <c r="G8" s="36">
        <v>1</v>
      </c>
      <c r="H8" s="35">
        <f>(E8*F8)*G8</f>
        <v>0</v>
      </c>
      <c r="I8" s="74"/>
      <c r="J8" s="81"/>
      <c r="K8" s="85"/>
      <c r="L8" s="65"/>
      <c r="M8" s="79"/>
      <c r="N8" s="76"/>
      <c r="O8" s="51"/>
    </row>
    <row r="9" spans="1:15" ht="15.75" x14ac:dyDescent="0.25">
      <c r="A9" s="31"/>
      <c r="B9" s="95" t="s">
        <v>134</v>
      </c>
      <c r="C9" s="95"/>
      <c r="D9" s="101" t="s">
        <v>264</v>
      </c>
      <c r="E9" s="34">
        <v>103</v>
      </c>
      <c r="F9" s="94"/>
      <c r="G9" s="36">
        <v>1</v>
      </c>
      <c r="H9" s="35">
        <f t="shared" si="0"/>
        <v>0</v>
      </c>
      <c r="I9" s="74"/>
      <c r="J9" s="83"/>
      <c r="K9" s="85"/>
      <c r="L9" s="65"/>
      <c r="M9" s="79"/>
      <c r="N9" s="76"/>
      <c r="O9" s="51"/>
    </row>
    <row r="10" spans="1:15" ht="15.75" x14ac:dyDescent="0.25">
      <c r="A10" s="31"/>
      <c r="B10" s="95" t="s">
        <v>136</v>
      </c>
      <c r="C10" s="95"/>
      <c r="D10" s="101" t="s">
        <v>265</v>
      </c>
      <c r="E10" s="34">
        <v>0</v>
      </c>
      <c r="F10" s="94"/>
      <c r="G10" s="36">
        <v>1</v>
      </c>
      <c r="H10" s="35">
        <f t="shared" si="0"/>
        <v>0</v>
      </c>
      <c r="I10" s="74"/>
      <c r="J10" s="81"/>
      <c r="K10" s="85"/>
      <c r="L10" s="65"/>
      <c r="M10" s="79"/>
      <c r="N10" s="76"/>
      <c r="O10" s="51"/>
    </row>
    <row r="11" spans="1:15" ht="15.75" x14ac:dyDescent="0.25">
      <c r="A11" s="31"/>
      <c r="B11" s="95" t="s">
        <v>138</v>
      </c>
      <c r="C11" s="95"/>
      <c r="D11" s="101" t="s">
        <v>266</v>
      </c>
      <c r="E11" s="34">
        <v>0</v>
      </c>
      <c r="F11" s="94"/>
      <c r="G11" s="36">
        <v>1</v>
      </c>
      <c r="H11" s="35">
        <f t="shared" si="0"/>
        <v>0</v>
      </c>
      <c r="I11" s="74"/>
      <c r="J11" s="81"/>
      <c r="K11" s="85"/>
      <c r="L11" s="65"/>
      <c r="M11" s="79"/>
      <c r="N11" s="76"/>
      <c r="O11" s="51"/>
    </row>
    <row r="12" spans="1:15" ht="15.75" x14ac:dyDescent="0.25">
      <c r="A12" s="31"/>
      <c r="B12" s="95" t="s">
        <v>140</v>
      </c>
      <c r="C12" s="95"/>
      <c r="D12" s="101" t="s">
        <v>267</v>
      </c>
      <c r="E12" s="34">
        <v>0</v>
      </c>
      <c r="F12" s="94"/>
      <c r="G12" s="36">
        <v>1</v>
      </c>
      <c r="H12" s="35">
        <f t="shared" si="0"/>
        <v>0</v>
      </c>
      <c r="I12" s="74"/>
      <c r="J12" s="81"/>
      <c r="K12" s="85"/>
      <c r="L12" s="65"/>
      <c r="M12" s="79"/>
      <c r="N12" s="76"/>
      <c r="O12" s="51"/>
    </row>
    <row r="13" spans="1:15" ht="15.75" x14ac:dyDescent="0.25">
      <c r="A13" s="31"/>
      <c r="B13" s="95" t="s">
        <v>142</v>
      </c>
      <c r="C13" s="95"/>
      <c r="D13" s="101" t="s">
        <v>268</v>
      </c>
      <c r="E13" s="34">
        <v>0</v>
      </c>
      <c r="F13" s="94"/>
      <c r="G13" s="36">
        <v>1</v>
      </c>
      <c r="H13" s="35">
        <f t="shared" si="0"/>
        <v>0</v>
      </c>
      <c r="I13" s="74"/>
      <c r="J13" s="81"/>
      <c r="K13" s="85"/>
      <c r="L13" s="65"/>
      <c r="M13" s="79"/>
      <c r="N13" s="76"/>
      <c r="O13" s="51"/>
    </row>
    <row r="14" spans="1:15" ht="15.75" x14ac:dyDescent="0.25">
      <c r="A14" s="31"/>
      <c r="B14" s="95" t="s">
        <v>144</v>
      </c>
      <c r="C14" s="95"/>
      <c r="D14" s="101" t="s">
        <v>269</v>
      </c>
      <c r="E14" s="34">
        <v>1</v>
      </c>
      <c r="F14" s="94"/>
      <c r="G14" s="36">
        <v>1</v>
      </c>
      <c r="H14" s="35">
        <f>(E14*F14)*G14</f>
        <v>0</v>
      </c>
      <c r="I14" s="74"/>
      <c r="J14" s="81"/>
      <c r="K14" s="85"/>
      <c r="L14" s="65"/>
      <c r="M14" s="79"/>
      <c r="N14" s="76"/>
      <c r="O14" s="51"/>
    </row>
    <row r="15" spans="1:15" ht="15.75" x14ac:dyDescent="0.25">
      <c r="A15" s="31"/>
      <c r="B15" s="95" t="s">
        <v>146</v>
      </c>
      <c r="C15" s="95"/>
      <c r="D15" s="101" t="s">
        <v>270</v>
      </c>
      <c r="E15" s="34">
        <v>1</v>
      </c>
      <c r="F15" s="94"/>
      <c r="G15" s="36">
        <v>1</v>
      </c>
      <c r="H15" s="35">
        <f t="shared" si="0"/>
        <v>0</v>
      </c>
      <c r="I15" s="74"/>
      <c r="J15" s="81"/>
      <c r="K15" s="85"/>
      <c r="L15" s="65"/>
      <c r="M15" s="79"/>
      <c r="N15" s="76"/>
      <c r="O15" s="51"/>
    </row>
    <row r="16" spans="1:15" ht="15.75" x14ac:dyDescent="0.25">
      <c r="A16" s="31"/>
      <c r="B16" s="95" t="s">
        <v>148</v>
      </c>
      <c r="C16" s="95"/>
      <c r="D16" s="101" t="s">
        <v>271</v>
      </c>
      <c r="E16" s="34">
        <v>0</v>
      </c>
      <c r="F16" s="94"/>
      <c r="G16" s="36">
        <v>1</v>
      </c>
      <c r="H16" s="35">
        <f>(E16*F16)*G16</f>
        <v>0</v>
      </c>
      <c r="I16" s="74"/>
      <c r="J16" s="81"/>
      <c r="K16" s="85"/>
      <c r="L16" s="65"/>
      <c r="M16" s="79"/>
      <c r="N16" s="76"/>
      <c r="O16" s="51"/>
    </row>
    <row r="17" spans="1:15" ht="15.75" x14ac:dyDescent="0.25">
      <c r="A17" s="31"/>
      <c r="B17" s="95" t="s">
        <v>150</v>
      </c>
      <c r="C17" s="95"/>
      <c r="D17" s="101" t="s">
        <v>272</v>
      </c>
      <c r="E17" s="34">
        <v>1</v>
      </c>
      <c r="F17" s="94"/>
      <c r="G17" s="36">
        <v>1</v>
      </c>
      <c r="H17" s="35">
        <f>(E17*F17)*G17</f>
        <v>0</v>
      </c>
      <c r="I17" s="74"/>
      <c r="J17" s="81"/>
      <c r="K17" s="85"/>
      <c r="L17" s="65"/>
      <c r="M17" s="79"/>
      <c r="N17" s="76"/>
      <c r="O17" s="51"/>
    </row>
    <row r="18" spans="1:15" ht="15.75" x14ac:dyDescent="0.25">
      <c r="A18" s="31"/>
      <c r="B18" s="95" t="s">
        <v>152</v>
      </c>
      <c r="C18" s="95"/>
      <c r="D18" s="101" t="s">
        <v>273</v>
      </c>
      <c r="E18" s="34">
        <v>134</v>
      </c>
      <c r="F18" s="94"/>
      <c r="G18" s="36">
        <v>1</v>
      </c>
      <c r="H18" s="35">
        <f t="shared" si="0"/>
        <v>0</v>
      </c>
      <c r="I18" s="74"/>
      <c r="J18" s="84"/>
      <c r="K18" s="85"/>
      <c r="L18" s="65"/>
      <c r="M18" s="79"/>
      <c r="N18" s="76"/>
      <c r="O18" s="51"/>
    </row>
    <row r="19" spans="1:15" ht="15.75" x14ac:dyDescent="0.25">
      <c r="A19" s="31"/>
      <c r="B19" s="95" t="s">
        <v>154</v>
      </c>
      <c r="C19" s="95"/>
      <c r="D19" s="101" t="s">
        <v>274</v>
      </c>
      <c r="E19" s="34">
        <v>103</v>
      </c>
      <c r="F19" s="94"/>
      <c r="G19" s="36">
        <v>1</v>
      </c>
      <c r="H19" s="35">
        <f t="shared" si="0"/>
        <v>0</v>
      </c>
      <c r="I19" s="74"/>
      <c r="J19" s="84"/>
      <c r="K19" s="85"/>
      <c r="L19" s="65"/>
      <c r="M19" s="79"/>
      <c r="N19" s="76"/>
      <c r="O19" s="51"/>
    </row>
    <row r="20" spans="1:15" ht="15.75" x14ac:dyDescent="0.25">
      <c r="A20" s="31"/>
      <c r="B20" s="95" t="s">
        <v>156</v>
      </c>
      <c r="C20" s="95"/>
      <c r="D20" s="101" t="s">
        <v>275</v>
      </c>
      <c r="E20" s="34">
        <v>1</v>
      </c>
      <c r="F20" s="94"/>
      <c r="G20" s="36">
        <v>1</v>
      </c>
      <c r="H20" s="35">
        <f t="shared" si="0"/>
        <v>0</v>
      </c>
      <c r="I20" s="74"/>
      <c r="J20" s="84"/>
      <c r="K20" s="85"/>
      <c r="L20" s="65"/>
      <c r="M20" s="79"/>
      <c r="N20" s="76"/>
      <c r="O20" s="51"/>
    </row>
    <row r="21" spans="1:15" ht="15.75" x14ac:dyDescent="0.25">
      <c r="A21" s="13"/>
      <c r="B21" s="95" t="s">
        <v>158</v>
      </c>
      <c r="C21" s="95"/>
      <c r="D21" s="101" t="s">
        <v>276</v>
      </c>
      <c r="E21" s="34">
        <v>103</v>
      </c>
      <c r="F21" s="94"/>
      <c r="G21" s="36">
        <v>1</v>
      </c>
      <c r="H21" s="35">
        <f>(E21*F21)*G21</f>
        <v>0</v>
      </c>
      <c r="I21" s="74"/>
      <c r="J21" s="84"/>
      <c r="K21" s="85"/>
      <c r="L21" s="65"/>
      <c r="M21" s="79"/>
      <c r="N21" s="76"/>
      <c r="O21" s="51"/>
    </row>
    <row r="22" spans="1:15" ht="15.75" x14ac:dyDescent="0.25">
      <c r="A22" s="23"/>
      <c r="B22" s="102" t="s">
        <v>160</v>
      </c>
      <c r="C22" s="102"/>
      <c r="D22" s="103" t="s">
        <v>277</v>
      </c>
      <c r="E22" s="104">
        <v>13</v>
      </c>
      <c r="F22" s="94"/>
      <c r="G22" s="36">
        <v>1</v>
      </c>
      <c r="H22" s="35">
        <f>(E22*F22)*G22</f>
        <v>0</v>
      </c>
      <c r="I22" s="74"/>
      <c r="J22" s="84"/>
      <c r="K22" s="85"/>
      <c r="L22" s="65"/>
      <c r="M22" s="79"/>
      <c r="N22" s="76"/>
      <c r="O22" s="51"/>
    </row>
    <row r="23" spans="1:15" ht="15.75" x14ac:dyDescent="0.25">
      <c r="A23" s="54" t="s">
        <v>4</v>
      </c>
      <c r="B23" s="95" t="s">
        <v>162</v>
      </c>
      <c r="C23" s="95"/>
      <c r="D23" s="107" t="s">
        <v>278</v>
      </c>
      <c r="E23" s="55">
        <v>104</v>
      </c>
      <c r="F23" s="94"/>
      <c r="G23" s="36">
        <v>1</v>
      </c>
      <c r="H23" s="57">
        <f>(E23*F23)*G23</f>
        <v>0</v>
      </c>
      <c r="I23" s="74"/>
      <c r="J23" s="84"/>
      <c r="K23" s="85"/>
      <c r="L23" s="65"/>
      <c r="M23" s="79"/>
      <c r="N23" s="76"/>
      <c r="O23" s="51"/>
    </row>
    <row r="24" spans="1:15" ht="15.75" x14ac:dyDescent="0.25">
      <c r="A24" s="13"/>
      <c r="B24" s="95" t="s">
        <v>221</v>
      </c>
      <c r="C24" s="95"/>
      <c r="D24" s="107" t="s">
        <v>279</v>
      </c>
      <c r="E24" s="34">
        <v>103</v>
      </c>
      <c r="F24" s="94"/>
      <c r="G24" s="36">
        <v>1</v>
      </c>
      <c r="H24" s="57">
        <f t="shared" ref="H24:H42" si="1">(E24*F24)*G24</f>
        <v>0</v>
      </c>
      <c r="J24" s="80"/>
      <c r="K24" s="78"/>
      <c r="L24" s="76"/>
      <c r="M24" s="79"/>
      <c r="N24" s="76"/>
      <c r="O24" s="51"/>
    </row>
    <row r="25" spans="1:15" ht="15.75" x14ac:dyDescent="0.25">
      <c r="A25" s="13"/>
      <c r="B25" s="95" t="s">
        <v>164</v>
      </c>
      <c r="C25" s="95"/>
      <c r="D25" s="107" t="s">
        <v>280</v>
      </c>
      <c r="E25" s="34">
        <v>70</v>
      </c>
      <c r="F25" s="94"/>
      <c r="G25" s="36">
        <v>1</v>
      </c>
      <c r="H25" s="57">
        <f t="shared" si="1"/>
        <v>0</v>
      </c>
      <c r="K25" s="51"/>
      <c r="L25" s="51"/>
      <c r="M25" s="51"/>
      <c r="N25" s="51"/>
      <c r="O25" s="51"/>
    </row>
    <row r="26" spans="1:15" ht="15.75" x14ac:dyDescent="0.25">
      <c r="A26" s="13"/>
      <c r="B26" s="95" t="s">
        <v>166</v>
      </c>
      <c r="C26" s="95"/>
      <c r="D26" s="107" t="s">
        <v>281</v>
      </c>
      <c r="E26" s="34">
        <v>117</v>
      </c>
      <c r="F26" s="94"/>
      <c r="G26" s="36">
        <v>1</v>
      </c>
      <c r="H26" s="57">
        <f t="shared" si="1"/>
        <v>0</v>
      </c>
      <c r="K26" s="51"/>
      <c r="L26" s="51"/>
      <c r="M26" s="51"/>
      <c r="N26" s="51"/>
      <c r="O26" s="51"/>
    </row>
    <row r="27" spans="1:15" ht="15.75" x14ac:dyDescent="0.25">
      <c r="A27" s="13"/>
      <c r="B27" s="95" t="s">
        <v>168</v>
      </c>
      <c r="C27" s="95"/>
      <c r="D27" s="107" t="s">
        <v>282</v>
      </c>
      <c r="E27" s="34">
        <v>1</v>
      </c>
      <c r="F27" s="94"/>
      <c r="G27" s="36">
        <v>1</v>
      </c>
      <c r="H27" s="57">
        <f t="shared" si="1"/>
        <v>0</v>
      </c>
      <c r="K27" s="51"/>
      <c r="L27" s="51"/>
      <c r="M27" s="51"/>
      <c r="N27" s="51"/>
      <c r="O27" s="51"/>
    </row>
    <row r="28" spans="1:15" ht="15.75" x14ac:dyDescent="0.25">
      <c r="A28" s="13"/>
      <c r="B28" s="95" t="s">
        <v>170</v>
      </c>
      <c r="C28" s="95"/>
      <c r="D28" s="107" t="s">
        <v>283</v>
      </c>
      <c r="E28" s="34">
        <v>81</v>
      </c>
      <c r="F28" s="94"/>
      <c r="G28" s="36">
        <v>1</v>
      </c>
      <c r="H28" s="57">
        <f t="shared" si="1"/>
        <v>0</v>
      </c>
      <c r="K28" s="51"/>
      <c r="L28" s="51"/>
      <c r="M28" s="51"/>
      <c r="N28" s="51"/>
      <c r="O28" s="51"/>
    </row>
    <row r="29" spans="1:15" ht="15.75" x14ac:dyDescent="0.25">
      <c r="A29" s="13"/>
      <c r="B29" s="95" t="s">
        <v>172</v>
      </c>
      <c r="C29" s="95"/>
      <c r="D29" s="107" t="s">
        <v>284</v>
      </c>
      <c r="E29" s="34">
        <v>70</v>
      </c>
      <c r="F29" s="94"/>
      <c r="G29" s="36">
        <v>1</v>
      </c>
      <c r="H29" s="57">
        <f t="shared" si="1"/>
        <v>0</v>
      </c>
      <c r="K29" s="51"/>
      <c r="L29" s="51"/>
      <c r="M29" s="51"/>
      <c r="N29" s="51"/>
      <c r="O29" s="51"/>
    </row>
    <row r="30" spans="1:15" ht="15.75" x14ac:dyDescent="0.25">
      <c r="A30" s="13"/>
      <c r="B30" s="95" t="s">
        <v>174</v>
      </c>
      <c r="C30" s="95"/>
      <c r="D30" s="107" t="s">
        <v>285</v>
      </c>
      <c r="E30" s="34">
        <v>1</v>
      </c>
      <c r="F30" s="94"/>
      <c r="G30" s="36">
        <v>1</v>
      </c>
      <c r="H30" s="57">
        <f t="shared" si="1"/>
        <v>0</v>
      </c>
      <c r="K30" s="51"/>
      <c r="L30" s="51"/>
      <c r="M30" s="51"/>
      <c r="N30" s="51"/>
      <c r="O30" s="51"/>
    </row>
    <row r="31" spans="1:15" ht="15.75" x14ac:dyDescent="0.25">
      <c r="A31" s="13"/>
      <c r="B31" s="95" t="s">
        <v>176</v>
      </c>
      <c r="C31" s="95"/>
      <c r="D31" s="107" t="s">
        <v>286</v>
      </c>
      <c r="E31" s="34">
        <v>1</v>
      </c>
      <c r="F31" s="94"/>
      <c r="G31" s="36">
        <v>1</v>
      </c>
      <c r="H31" s="57">
        <f t="shared" si="1"/>
        <v>0</v>
      </c>
      <c r="K31" s="51"/>
      <c r="L31" s="51"/>
      <c r="M31" s="51"/>
      <c r="N31" s="51"/>
      <c r="O31" s="51"/>
    </row>
    <row r="32" spans="1:15" ht="15.75" x14ac:dyDescent="0.25">
      <c r="A32" s="13"/>
      <c r="B32" s="95" t="s">
        <v>177</v>
      </c>
      <c r="C32" s="95"/>
      <c r="D32" s="107" t="s">
        <v>287</v>
      </c>
      <c r="E32" s="34">
        <v>0</v>
      </c>
      <c r="F32" s="94"/>
      <c r="G32" s="36">
        <v>1</v>
      </c>
      <c r="H32" s="57">
        <f t="shared" si="1"/>
        <v>0</v>
      </c>
      <c r="K32" s="51"/>
      <c r="L32" s="51"/>
      <c r="M32" s="51"/>
      <c r="N32" s="51"/>
      <c r="O32" s="51"/>
    </row>
    <row r="33" spans="1:15" ht="15.75" x14ac:dyDescent="0.25">
      <c r="A33" s="13"/>
      <c r="B33" s="95" t="s">
        <v>179</v>
      </c>
      <c r="C33" s="95"/>
      <c r="D33" s="107" t="s">
        <v>288</v>
      </c>
      <c r="E33" s="34">
        <v>91</v>
      </c>
      <c r="F33" s="94"/>
      <c r="G33" s="36">
        <v>1</v>
      </c>
      <c r="H33" s="57">
        <f t="shared" si="1"/>
        <v>0</v>
      </c>
      <c r="K33" s="51"/>
      <c r="L33" s="51"/>
      <c r="M33" s="51"/>
      <c r="N33" s="51"/>
      <c r="O33" s="51"/>
    </row>
    <row r="34" spans="1:15" ht="15.75" x14ac:dyDescent="0.25">
      <c r="A34" s="13"/>
      <c r="B34" s="95" t="s">
        <v>181</v>
      </c>
      <c r="C34" s="95"/>
      <c r="D34" s="107" t="s">
        <v>289</v>
      </c>
      <c r="E34" s="34">
        <v>103</v>
      </c>
      <c r="F34" s="94"/>
      <c r="G34" s="36">
        <v>1</v>
      </c>
      <c r="H34" s="57">
        <f t="shared" si="1"/>
        <v>0</v>
      </c>
      <c r="K34" s="51"/>
      <c r="L34" s="51"/>
      <c r="M34" s="51"/>
      <c r="N34" s="51"/>
      <c r="O34" s="51"/>
    </row>
    <row r="35" spans="1:15" ht="15.75" x14ac:dyDescent="0.25">
      <c r="A35" s="13"/>
      <c r="B35" s="95" t="s">
        <v>183</v>
      </c>
      <c r="C35" s="95"/>
      <c r="D35" s="107" t="s">
        <v>290</v>
      </c>
      <c r="E35" s="34">
        <v>129</v>
      </c>
      <c r="F35" s="94"/>
      <c r="G35" s="36">
        <v>1</v>
      </c>
      <c r="H35" s="57">
        <f t="shared" si="1"/>
        <v>0</v>
      </c>
      <c r="K35" s="51"/>
      <c r="L35" s="51"/>
      <c r="M35" s="51"/>
      <c r="N35" s="51"/>
      <c r="O35" s="51"/>
    </row>
    <row r="36" spans="1:15" ht="15.75" x14ac:dyDescent="0.25">
      <c r="A36" s="13"/>
      <c r="B36" s="95" t="s">
        <v>185</v>
      </c>
      <c r="C36" s="95"/>
      <c r="D36" s="107" t="s">
        <v>291</v>
      </c>
      <c r="E36" s="34">
        <v>1</v>
      </c>
      <c r="F36" s="94"/>
      <c r="G36" s="36">
        <v>1</v>
      </c>
      <c r="H36" s="57">
        <f t="shared" si="1"/>
        <v>0</v>
      </c>
    </row>
    <row r="37" spans="1:15" ht="15.75" x14ac:dyDescent="0.25">
      <c r="A37" s="13"/>
      <c r="B37" s="95" t="s">
        <v>187</v>
      </c>
      <c r="C37" s="95"/>
      <c r="D37" s="107" t="s">
        <v>292</v>
      </c>
      <c r="E37" s="34">
        <v>105</v>
      </c>
      <c r="F37" s="94"/>
      <c r="G37" s="36">
        <v>1</v>
      </c>
      <c r="H37" s="57">
        <f t="shared" si="1"/>
        <v>0</v>
      </c>
    </row>
    <row r="38" spans="1:15" ht="15.75" x14ac:dyDescent="0.25">
      <c r="A38" s="13"/>
      <c r="B38" s="95" t="s">
        <v>189</v>
      </c>
      <c r="C38" s="95"/>
      <c r="D38" s="107" t="s">
        <v>293</v>
      </c>
      <c r="E38" s="34">
        <v>1</v>
      </c>
      <c r="F38" s="94"/>
      <c r="G38" s="36">
        <v>1</v>
      </c>
      <c r="H38" s="57">
        <f t="shared" si="1"/>
        <v>0</v>
      </c>
    </row>
    <row r="39" spans="1:15" ht="15.75" x14ac:dyDescent="0.25">
      <c r="A39" s="13"/>
      <c r="B39" s="95" t="s">
        <v>224</v>
      </c>
      <c r="C39" s="95"/>
      <c r="D39" s="107" t="s">
        <v>294</v>
      </c>
      <c r="E39" s="34">
        <v>11530</v>
      </c>
      <c r="F39" s="94"/>
      <c r="G39" s="36">
        <v>1</v>
      </c>
      <c r="H39" s="57">
        <f t="shared" si="1"/>
        <v>0</v>
      </c>
    </row>
    <row r="40" spans="1:15" ht="15.75" x14ac:dyDescent="0.25">
      <c r="A40" s="13"/>
      <c r="B40" s="95" t="s">
        <v>226</v>
      </c>
      <c r="C40" s="95"/>
      <c r="D40" s="107" t="s">
        <v>295</v>
      </c>
      <c r="E40" s="34">
        <v>53</v>
      </c>
      <c r="F40" s="94"/>
      <c r="G40" s="36">
        <v>1</v>
      </c>
      <c r="H40" s="57">
        <f t="shared" si="1"/>
        <v>0</v>
      </c>
    </row>
    <row r="41" spans="1:15" ht="15.75" x14ac:dyDescent="0.25">
      <c r="A41" s="13"/>
      <c r="B41" s="95" t="s">
        <v>191</v>
      </c>
      <c r="C41" s="95"/>
      <c r="D41" s="107" t="s">
        <v>296</v>
      </c>
      <c r="E41" s="34">
        <v>32</v>
      </c>
      <c r="F41" s="94"/>
      <c r="G41" s="36">
        <v>1</v>
      </c>
      <c r="H41" s="57">
        <f t="shared" si="1"/>
        <v>0</v>
      </c>
    </row>
    <row r="42" spans="1:15" ht="15.75" x14ac:dyDescent="0.25">
      <c r="A42" s="13"/>
      <c r="B42" s="95" t="s">
        <v>215</v>
      </c>
      <c r="C42" s="95"/>
      <c r="D42" s="107" t="s">
        <v>297</v>
      </c>
      <c r="E42" s="34">
        <v>79</v>
      </c>
      <c r="F42" s="94"/>
      <c r="G42" s="36">
        <v>1</v>
      </c>
      <c r="H42" s="57">
        <f t="shared" si="1"/>
        <v>0</v>
      </c>
    </row>
  </sheetData>
  <mergeCells count="1">
    <mergeCell ref="E2:G2"/>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90B79D-3959-4B62-B376-2265AD69C35B}">
  <sheetPr>
    <tabColor rgb="FF002060"/>
  </sheetPr>
  <dimension ref="A1:H12"/>
  <sheetViews>
    <sheetView topLeftCell="A2" workbookViewId="0">
      <selection activeCell="F3" sqref="F3:F12"/>
    </sheetView>
  </sheetViews>
  <sheetFormatPr defaultColWidth="9.140625" defaultRowHeight="15" x14ac:dyDescent="0.25"/>
  <cols>
    <col min="4" max="4" width="45.85546875" customWidth="1"/>
    <col min="8" max="8" width="12.85546875" customWidth="1"/>
  </cols>
  <sheetData>
    <row r="1" spans="1:8" ht="38.25" x14ac:dyDescent="0.25">
      <c r="A1" s="25" t="s">
        <v>0</v>
      </c>
      <c r="B1" s="25" t="s">
        <v>24</v>
      </c>
      <c r="C1" s="25" t="s">
        <v>25</v>
      </c>
      <c r="D1" s="26" t="s">
        <v>1</v>
      </c>
      <c r="E1" s="27" t="s">
        <v>26</v>
      </c>
      <c r="F1" s="27" t="s">
        <v>27</v>
      </c>
      <c r="G1" s="27" t="s">
        <v>28</v>
      </c>
      <c r="H1" s="27" t="s">
        <v>2</v>
      </c>
    </row>
    <row r="2" spans="1:8" ht="92.25" customHeight="1" x14ac:dyDescent="0.25">
      <c r="A2" s="44" t="s">
        <v>314</v>
      </c>
      <c r="B2" s="88"/>
      <c r="C2" s="88"/>
      <c r="D2" s="30" t="s">
        <v>193</v>
      </c>
      <c r="E2" s="161" t="s">
        <v>30</v>
      </c>
      <c r="F2" s="162"/>
      <c r="G2" s="163"/>
      <c r="H2" s="89">
        <f>SUM(H3:H13)</f>
        <v>0</v>
      </c>
    </row>
    <row r="3" spans="1:8" ht="15.75" x14ac:dyDescent="0.25">
      <c r="A3" s="31"/>
      <c r="B3" s="95" t="s">
        <v>194</v>
      </c>
      <c r="C3" s="95"/>
      <c r="D3" s="101" t="s">
        <v>298</v>
      </c>
      <c r="E3" s="50">
        <v>75</v>
      </c>
      <c r="F3" s="93"/>
      <c r="G3" s="87">
        <v>1</v>
      </c>
      <c r="H3" s="64">
        <f>(E3*F3)*G3</f>
        <v>0</v>
      </c>
    </row>
    <row r="4" spans="1:8" ht="15.75" x14ac:dyDescent="0.25">
      <c r="A4" s="31"/>
      <c r="B4" s="95" t="s">
        <v>196</v>
      </c>
      <c r="C4" s="95"/>
      <c r="D4" s="101" t="s">
        <v>299</v>
      </c>
      <c r="E4" s="50">
        <v>0</v>
      </c>
      <c r="F4" s="93"/>
      <c r="G4" s="87">
        <v>1</v>
      </c>
      <c r="H4" s="64">
        <f t="shared" ref="H4:H12" si="0">(E4*F4)*G4</f>
        <v>0</v>
      </c>
    </row>
    <row r="5" spans="1:8" ht="15.75" x14ac:dyDescent="0.25">
      <c r="A5" s="31"/>
      <c r="B5" s="95" t="s">
        <v>198</v>
      </c>
      <c r="C5" s="95"/>
      <c r="D5" s="101" t="s">
        <v>300</v>
      </c>
      <c r="E5" s="2">
        <v>0</v>
      </c>
      <c r="F5" s="93"/>
      <c r="G5" s="87">
        <v>1</v>
      </c>
      <c r="H5" s="64">
        <f t="shared" si="0"/>
        <v>0</v>
      </c>
    </row>
    <row r="6" spans="1:8" ht="15.75" x14ac:dyDescent="0.25">
      <c r="A6" s="31"/>
      <c r="B6" s="95" t="s">
        <v>200</v>
      </c>
      <c r="C6" s="95"/>
      <c r="D6" s="101" t="s">
        <v>301</v>
      </c>
      <c r="E6" s="2">
        <v>0</v>
      </c>
      <c r="F6" s="93"/>
      <c r="G6" s="87">
        <v>1</v>
      </c>
      <c r="H6" s="64">
        <f t="shared" si="0"/>
        <v>0</v>
      </c>
    </row>
    <row r="7" spans="1:8" ht="15.75" x14ac:dyDescent="0.25">
      <c r="A7" s="31"/>
      <c r="B7" s="95" t="s">
        <v>202</v>
      </c>
      <c r="C7" s="95"/>
      <c r="D7" s="101" t="s">
        <v>302</v>
      </c>
      <c r="E7" s="2">
        <v>75</v>
      </c>
      <c r="F7" s="93"/>
      <c r="G7" s="87">
        <v>1</v>
      </c>
      <c r="H7" s="64">
        <f t="shared" si="0"/>
        <v>0</v>
      </c>
    </row>
    <row r="8" spans="1:8" ht="15.75" x14ac:dyDescent="0.25">
      <c r="A8" s="31"/>
      <c r="B8" s="95" t="s">
        <v>204</v>
      </c>
      <c r="C8" s="102"/>
      <c r="D8" s="103" t="s">
        <v>303</v>
      </c>
      <c r="E8" s="108">
        <v>0</v>
      </c>
      <c r="F8" s="93"/>
      <c r="G8" s="87">
        <v>1</v>
      </c>
      <c r="H8" s="64">
        <f t="shared" si="0"/>
        <v>0</v>
      </c>
    </row>
    <row r="9" spans="1:8" ht="15.75" x14ac:dyDescent="0.25">
      <c r="A9" s="13"/>
      <c r="B9" s="95" t="s">
        <v>206</v>
      </c>
      <c r="C9" s="95"/>
      <c r="D9" s="107" t="s">
        <v>304</v>
      </c>
      <c r="E9" s="109">
        <v>75</v>
      </c>
      <c r="F9" s="93"/>
      <c r="G9" s="87">
        <v>1</v>
      </c>
      <c r="H9" s="64">
        <f t="shared" si="0"/>
        <v>0</v>
      </c>
    </row>
    <row r="10" spans="1:8" ht="15.75" x14ac:dyDescent="0.25">
      <c r="A10" s="13"/>
      <c r="B10" s="95" t="s">
        <v>208</v>
      </c>
      <c r="C10" s="95"/>
      <c r="D10" s="107" t="s">
        <v>305</v>
      </c>
      <c r="E10" s="109">
        <v>75</v>
      </c>
      <c r="F10" s="93"/>
      <c r="G10" s="87">
        <v>1</v>
      </c>
      <c r="H10" s="64">
        <f t="shared" si="0"/>
        <v>0</v>
      </c>
    </row>
    <row r="11" spans="1:8" ht="15.75" x14ac:dyDescent="0.25">
      <c r="A11" s="13"/>
      <c r="B11" s="95" t="s">
        <v>210</v>
      </c>
      <c r="C11" s="95"/>
      <c r="D11" s="107" t="s">
        <v>306</v>
      </c>
      <c r="E11" s="109">
        <v>6</v>
      </c>
      <c r="F11" s="93"/>
      <c r="G11" s="87">
        <v>1</v>
      </c>
      <c r="H11" s="64">
        <f t="shared" si="0"/>
        <v>0</v>
      </c>
    </row>
    <row r="12" spans="1:8" ht="15.75" x14ac:dyDescent="0.25">
      <c r="A12" s="13"/>
      <c r="B12" s="95" t="s">
        <v>212</v>
      </c>
      <c r="C12" s="95"/>
      <c r="D12" s="107" t="s">
        <v>307</v>
      </c>
      <c r="E12" s="16">
        <v>75</v>
      </c>
      <c r="F12" s="93"/>
      <c r="G12" s="87">
        <v>1</v>
      </c>
      <c r="H12" s="64">
        <f t="shared" si="0"/>
        <v>0</v>
      </c>
    </row>
  </sheetData>
  <mergeCells count="1">
    <mergeCell ref="E2:G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02993ccd-aee6-4d55-b2a2-f8cccb7f2190">
      <Terms xmlns="http://schemas.microsoft.com/office/infopath/2007/PartnerControls"/>
    </lcf76f155ced4ddcb4097134ff3c332f>
    <Notes xmlns="02993ccd-aee6-4d55-b2a2-f8cccb7f2190"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CB8F0CC9D2F14FA57443DE8DDA6811" ma:contentTypeVersion="17" ma:contentTypeDescription="Create a new document." ma:contentTypeScope="" ma:versionID="087a27bb5f4ccb8f1f9faac57b1a98d1">
  <xsd:schema xmlns:xsd="http://www.w3.org/2001/XMLSchema" xmlns:xs="http://www.w3.org/2001/XMLSchema" xmlns:p="http://schemas.microsoft.com/office/2006/metadata/properties" xmlns:ns1="http://schemas.microsoft.com/sharepoint/v3" xmlns:ns2="02993ccd-aee6-4d55-b2a2-f8cccb7f2190" xmlns:ns3="15cf5089-f08c-4319-b7b1-80b27826459e" targetNamespace="http://schemas.microsoft.com/office/2006/metadata/properties" ma:root="true" ma:fieldsID="e8329cfe40925f0408a01dfd0b3c850d" ns1:_="" ns2:_="" ns3:_="">
    <xsd:import namespace="http://schemas.microsoft.com/sharepoint/v3"/>
    <xsd:import namespace="02993ccd-aee6-4d55-b2a2-f8cccb7f2190"/>
    <xsd:import namespace="15cf5089-f08c-4319-b7b1-80b2782645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2:MediaServiceDateTaken" minOccurs="0"/>
                <xsd:element ref="ns2:MediaServiceGenerationTime" minOccurs="0"/>
                <xsd:element ref="ns2:MediaServiceEventHashCode" minOccurs="0"/>
                <xsd:element ref="ns2:MediaServiceOCR" minOccurs="0"/>
                <xsd:element ref="ns2:MediaServiceLocation" minOccurs="0"/>
                <xsd:element ref="ns2:MediaLengthInSeconds" minOccurs="0"/>
                <xsd:element ref="ns1:_ip_UnifiedCompliancePolicyProperties" minOccurs="0"/>
                <xsd:element ref="ns1:_ip_UnifiedCompliancePolicyUIAction" minOccurs="0"/>
                <xsd:element ref="ns2:Note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993ccd-aee6-4d55-b2a2-f8cccb7f21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c874fec-6985-468d-9a86-0194f6fd86dc"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Notes" ma:index="22" nillable="true" ma:displayName="Notes" ma:format="Dropdown" ma:internalName="Notes">
      <xsd:simpleType>
        <xsd:restriction base="dms:Note">
          <xsd:maxLength value="255"/>
        </xsd:restriction>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cf5089-f08c-4319-b7b1-80b2782645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6197E57-6D3E-41D1-86CE-20E767832FB9}">
  <ds:schemaRefs>
    <ds:schemaRef ds:uri="http://schemas.microsoft.com/sharepoint/v3/contenttype/forms"/>
  </ds:schemaRefs>
</ds:datastoreItem>
</file>

<file path=customXml/itemProps2.xml><?xml version="1.0" encoding="utf-8"?>
<ds:datastoreItem xmlns:ds="http://schemas.openxmlformats.org/officeDocument/2006/customXml" ds:itemID="{47948C6B-830A-4CA5-B7E0-A145F87D09D7}">
  <ds:schemaRefs>
    <ds:schemaRef ds:uri="http://schemas.microsoft.com/office/2006/metadata/properties"/>
    <ds:schemaRef ds:uri="http://schemas.microsoft.com/office/infopath/2007/PartnerControls"/>
    <ds:schemaRef ds:uri="http://schemas.microsoft.com/sharepoint/v3"/>
    <ds:schemaRef ds:uri="02993ccd-aee6-4d55-b2a2-f8cccb7f2190"/>
  </ds:schemaRefs>
</ds:datastoreItem>
</file>

<file path=customXml/itemProps3.xml><?xml version="1.0" encoding="utf-8"?>
<ds:datastoreItem xmlns:ds="http://schemas.openxmlformats.org/officeDocument/2006/customXml" ds:itemID="{DBC32594-B306-4864-92BB-AD9591826B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2993ccd-aee6-4d55-b2a2-f8cccb7f2190"/>
    <ds:schemaRef ds:uri="15cf5089-f08c-4319-b7b1-80b2782645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29</vt:i4>
      </vt:variant>
      <vt:variant>
        <vt:lpstr>Named Ranges</vt:lpstr>
      </vt:variant>
      <vt:variant>
        <vt:i4>4</vt:i4>
      </vt:variant>
    </vt:vector>
  </HeadingPairs>
  <TitlesOfParts>
    <vt:vector size="33" baseType="lpstr">
      <vt:lpstr>Summary</vt:lpstr>
      <vt:lpstr>Base Year 2026</vt:lpstr>
      <vt:lpstr>CLIN0001 Base PB-OMA Fire A  </vt:lpstr>
      <vt:lpstr>CLIN0001 Base PM-OMA Sprinkler</vt:lpstr>
      <vt:lpstr>CLIN0001 Base PB-OMA Supp</vt:lpstr>
      <vt:lpstr>CLIN0002 Base PB-AFH Fire A</vt:lpstr>
      <vt:lpstr>CLIN0002 Base PB-AFH Sprinkler</vt:lpstr>
      <vt:lpstr>CLIN0002 Base PB-AFH Supp</vt:lpstr>
      <vt:lpstr>First Option </vt:lpstr>
      <vt:lpstr>CLIN1001 1st PB-OMA Fire A </vt:lpstr>
      <vt:lpstr>CLIN1001 1st PB-OMA Sprinkler</vt:lpstr>
      <vt:lpstr>CLIN1001 1st PB-OMA Supp</vt:lpstr>
      <vt:lpstr>CLIN1002 1st PB-AFH Fire A</vt:lpstr>
      <vt:lpstr>CLIN1002 1st PB-AFH Sprinkler</vt:lpstr>
      <vt:lpstr>CLIN1002 1st PB-AFH Supp</vt:lpstr>
      <vt:lpstr>Second Option </vt:lpstr>
      <vt:lpstr>CLIN2001 2nd PB-OMA Sprinkl </vt:lpstr>
      <vt:lpstr>CLIN2001 2nd PB-OMA Sprinkler </vt:lpstr>
      <vt:lpstr>CLIN2001 2nd PB-OMA Supp </vt:lpstr>
      <vt:lpstr>CLIN2002 2nd PB-AFH Fire A </vt:lpstr>
      <vt:lpstr>CLIN2002 2nd PB-AFH Sprinkl </vt:lpstr>
      <vt:lpstr>CLIN2002 2nd PB-AFH Supp </vt:lpstr>
      <vt:lpstr>-8 Extension </vt:lpstr>
      <vt:lpstr>CLIN5001 -8 PB-OMA Fire A  </vt:lpstr>
      <vt:lpstr>CLIN5001 -8 PB-OMA Sprinkl </vt:lpstr>
      <vt:lpstr>CLIN5001 -8 PB-OMA Supp </vt:lpstr>
      <vt:lpstr>CLIN5001 -8 PB-AFH Fire A </vt:lpstr>
      <vt:lpstr>CLIN5001 -8 PB-AFH Sprinkl </vt:lpstr>
      <vt:lpstr>CLIN5001 -8 PB-AFH Supp  </vt:lpstr>
      <vt:lpstr>'Base Year 2026'!Print_Area</vt:lpstr>
      <vt:lpstr>'CLIN0002 Base PB-AFH Fire A'!Print_Area</vt:lpstr>
      <vt:lpstr>'CLIN1001 1st PB-OMA Fire A '!Print_Area</vt:lpstr>
      <vt:lpstr>'CLIN1002 1st PB-AFH Fire A'!Print_Area</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Army</dc:creator>
  <cp:lastModifiedBy>Klumb, Mark LN USARMY IMCOM EUROPE (DEU)</cp:lastModifiedBy>
  <cp:lastPrinted>2026-01-29T07:49:55Z</cp:lastPrinted>
  <dcterms:created xsi:type="dcterms:W3CDTF">2014-03-06T12:19:48Z</dcterms:created>
  <dcterms:modified xsi:type="dcterms:W3CDTF">2026-02-26T12:48:01Z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0x01010087CB8F0CC9D2F14FA57443DE8DDA6811</vt:lpwstr>
  </property>
  <property fmtid="{D5CDD505-2E9C-101B-9397-08002B2CF9AE}" pid="3" name="MediaServiceImageTags">
    <vt:lpwstr/>
  </property>
</Properties>
</file>