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5. PRP23 PHIL\2. Follow On Contracts\2. Good to Go\26-D-XXXX GKKM69 IDIQ Roofing Contract at PWD PA\GKKM69 Roof Follow On\FINAL SPECS\ATTACHMENTS\"/>
    </mc:Choice>
  </mc:AlternateContent>
  <xr:revisionPtr revIDLastSave="0" documentId="13_ncr:1_{382C6784-C0BC-44DC-87E3-B4C44AD3CCDC}" xr6:coauthVersionLast="47" xr6:coauthVersionMax="47" xr10:uidLastSave="{00000000-0000-0000-0000-000000000000}"/>
  <bookViews>
    <workbookView xWindow="25080" yWindow="-420" windowWidth="29040" windowHeight="15630" xr2:uid="{00000000-000D-0000-FFFF-FFFF00000000}"/>
  </bookViews>
  <sheets>
    <sheet name="Base Option" sheetId="1" r:id="rId1"/>
    <sheet name="Option 1" sheetId="16" r:id="rId2"/>
    <sheet name="Option 2" sheetId="17" r:id="rId3"/>
    <sheet name="Option 3" sheetId="18" r:id="rId4"/>
    <sheet name="Option 4" sheetId="19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" i="17" l="1"/>
  <c r="G156" i="17"/>
  <c r="G166" i="17"/>
  <c r="G168" i="17"/>
  <c r="G11" i="16"/>
  <c r="G19" i="16"/>
  <c r="G25" i="16"/>
  <c r="G27" i="16"/>
  <c r="G29" i="16"/>
  <c r="G31" i="16"/>
  <c r="G33" i="16"/>
  <c r="G46" i="16"/>
  <c r="G47" i="16"/>
  <c r="G49" i="16"/>
  <c r="G62" i="16"/>
  <c r="G64" i="16"/>
  <c r="G65" i="16"/>
  <c r="G71" i="16"/>
  <c r="G76" i="16"/>
  <c r="G79" i="16"/>
  <c r="G91" i="16"/>
  <c r="G92" i="16"/>
  <c r="G95" i="16"/>
  <c r="G99" i="16"/>
  <c r="G101" i="16"/>
  <c r="G103" i="16"/>
  <c r="G107" i="16"/>
  <c r="G113" i="16"/>
  <c r="G115" i="16"/>
  <c r="G120" i="16"/>
  <c r="G125" i="16"/>
  <c r="G127" i="16"/>
  <c r="G134" i="16"/>
  <c r="G136" i="16"/>
  <c r="G137" i="16"/>
  <c r="G139" i="16"/>
  <c r="G142" i="16"/>
  <c r="G144" i="16"/>
  <c r="G151" i="16"/>
  <c r="G156" i="16"/>
  <c r="G158" i="16"/>
  <c r="G160" i="16"/>
  <c r="G161" i="16"/>
  <c r="G162" i="16"/>
  <c r="G164" i="16"/>
  <c r="G167" i="16"/>
  <c r="G168" i="16"/>
  <c r="G170" i="16"/>
  <c r="G173" i="16"/>
  <c r="G174" i="16"/>
  <c r="G175" i="16"/>
  <c r="G179" i="16"/>
  <c r="G181" i="16"/>
  <c r="G7" i="16"/>
  <c r="G180" i="16"/>
  <c r="G178" i="16"/>
  <c r="G177" i="16"/>
  <c r="G166" i="16"/>
  <c r="G163" i="16"/>
  <c r="G157" i="16"/>
  <c r="G154" i="16"/>
  <c r="G153" i="16"/>
  <c r="G150" i="16"/>
  <c r="G148" i="16"/>
  <c r="G147" i="16"/>
  <c r="G143" i="16"/>
  <c r="G140" i="16"/>
  <c r="G132" i="16"/>
  <c r="G131" i="16"/>
  <c r="G130" i="16"/>
  <c r="G126" i="16"/>
  <c r="G124" i="16"/>
  <c r="G122" i="16"/>
  <c r="G121" i="16"/>
  <c r="G119" i="16"/>
  <c r="G117" i="16"/>
  <c r="G114" i="16"/>
  <c r="G112" i="16"/>
  <c r="G109" i="16"/>
  <c r="G108" i="16"/>
  <c r="G106" i="16"/>
  <c r="G104" i="16"/>
  <c r="G102" i="16"/>
  <c r="G98" i="16"/>
  <c r="G96" i="16"/>
  <c r="G94" i="16"/>
  <c r="G93" i="16"/>
  <c r="G90" i="16"/>
  <c r="G89" i="16"/>
  <c r="G86" i="16"/>
  <c r="G85" i="16"/>
  <c r="G84" i="16"/>
  <c r="G81" i="16"/>
  <c r="G80" i="16"/>
  <c r="G78" i="16"/>
  <c r="G75" i="16"/>
  <c r="G74" i="16"/>
  <c r="G70" i="16"/>
  <c r="G68" i="16"/>
  <c r="G66" i="16"/>
  <c r="G63" i="16"/>
  <c r="G61" i="16"/>
  <c r="G60" i="16"/>
  <c r="G58" i="16"/>
  <c r="G57" i="16"/>
  <c r="G54" i="16"/>
  <c r="G51" i="16"/>
  <c r="G50" i="16"/>
  <c r="G48" i="16"/>
  <c r="G44" i="16"/>
  <c r="G42" i="16"/>
  <c r="G39" i="16"/>
  <c r="G38" i="16"/>
  <c r="G34" i="16"/>
  <c r="G30" i="16"/>
  <c r="G28" i="16"/>
  <c r="G26" i="16"/>
  <c r="G24" i="16"/>
  <c r="G21" i="16"/>
  <c r="G20" i="16"/>
  <c r="G18" i="16"/>
  <c r="G17" i="16"/>
  <c r="G15" i="16"/>
  <c r="G10" i="16"/>
  <c r="G9" i="16"/>
  <c r="G94" i="17" l="1"/>
  <c r="G30" i="17"/>
  <c r="G16" i="17"/>
  <c r="G121" i="17"/>
  <c r="G106" i="17"/>
  <c r="G93" i="17"/>
  <c r="G78" i="17"/>
  <c r="G63" i="17"/>
  <c r="G48" i="17"/>
  <c r="G15" i="17"/>
  <c r="G61" i="17"/>
  <c r="G165" i="17"/>
  <c r="G105" i="17"/>
  <c r="G119" i="17"/>
  <c r="G163" i="17"/>
  <c r="G150" i="17"/>
  <c r="G132" i="17"/>
  <c r="G117" i="17"/>
  <c r="G90" i="17"/>
  <c r="G74" i="17"/>
  <c r="G60" i="17"/>
  <c r="G44" i="17"/>
  <c r="G26" i="17"/>
  <c r="G10" i="17"/>
  <c r="G75" i="17"/>
  <c r="G177" i="17"/>
  <c r="G148" i="17"/>
  <c r="G131" i="17"/>
  <c r="G116" i="17"/>
  <c r="G102" i="17"/>
  <c r="G89" i="17"/>
  <c r="G73" i="17"/>
  <c r="G58" i="17"/>
  <c r="G42" i="17"/>
  <c r="G9" i="17"/>
  <c r="G12" i="17"/>
  <c r="G24" i="17"/>
  <c r="G7" i="18"/>
  <c r="G7" i="19"/>
  <c r="G130" i="17"/>
  <c r="G85" i="17"/>
  <c r="G38" i="17"/>
  <c r="G21" i="17"/>
  <c r="G180" i="19"/>
  <c r="G180" i="18"/>
  <c r="G122" i="17"/>
  <c r="G57" i="17"/>
  <c r="G114" i="17"/>
  <c r="G70" i="17"/>
  <c r="G171" i="17"/>
  <c r="G159" i="17"/>
  <c r="G98" i="17"/>
  <c r="G84" i="17"/>
  <c r="G69" i="17"/>
  <c r="G54" i="17"/>
  <c r="G36" i="17"/>
  <c r="G20" i="17"/>
  <c r="G28" i="17"/>
  <c r="G104" i="17"/>
  <c r="G39" i="17"/>
  <c r="G143" i="17"/>
  <c r="G112" i="17"/>
  <c r="G97" i="17"/>
  <c r="G68" i="17"/>
  <c r="G52" i="17"/>
  <c r="G34" i="17"/>
  <c r="G145" i="17"/>
  <c r="G154" i="17"/>
  <c r="G178" i="17"/>
  <c r="G147" i="17"/>
  <c r="G86" i="17"/>
  <c r="G128" i="17"/>
  <c r="G56" i="17"/>
  <c r="G126" i="17"/>
  <c r="G83" i="17"/>
  <c r="G169" i="17"/>
  <c r="G157" i="17"/>
  <c r="G109" i="17"/>
  <c r="G96" i="17"/>
  <c r="G81" i="17"/>
  <c r="G66" i="17"/>
  <c r="G51" i="17"/>
  <c r="G18" i="17"/>
  <c r="G140" i="17"/>
  <c r="G124" i="17"/>
  <c r="G108" i="17"/>
  <c r="G80" i="17"/>
  <c r="G50" i="17"/>
  <c r="G17" i="17"/>
  <c r="G12" i="16"/>
  <c r="G182" i="16" s="1"/>
  <c r="D4" i="6" s="1"/>
  <c r="G145" i="16"/>
  <c r="G52" i="16"/>
  <c r="G69" i="16"/>
  <c r="G105" i="16"/>
  <c r="G169" i="16"/>
  <c r="G180" i="17"/>
  <c r="G16" i="16"/>
  <c r="G36" i="16"/>
  <c r="G56" i="16"/>
  <c r="G73" i="16"/>
  <c r="G128" i="16"/>
  <c r="G171" i="16"/>
  <c r="G7" i="17"/>
  <c r="G165" i="16"/>
  <c r="G116" i="16"/>
  <c r="G97" i="16"/>
  <c r="G159" i="16"/>
  <c r="G83" i="16"/>
  <c r="G143" i="19" l="1"/>
  <c r="G143" i="18"/>
  <c r="G145" i="19"/>
  <c r="G145" i="18"/>
  <c r="G70" i="19"/>
  <c r="G70" i="18"/>
  <c r="G99" i="17"/>
  <c r="G103" i="17"/>
  <c r="G62" i="17"/>
  <c r="G31" i="17"/>
  <c r="G142" i="17"/>
  <c r="G56" i="19"/>
  <c r="G56" i="18"/>
  <c r="G54" i="18"/>
  <c r="G54" i="19"/>
  <c r="G38" i="19"/>
  <c r="G38" i="18"/>
  <c r="G9" i="18"/>
  <c r="G9" i="19"/>
  <c r="G116" i="19"/>
  <c r="G116" i="18"/>
  <c r="G26" i="18"/>
  <c r="G26" i="19"/>
  <c r="G132" i="19"/>
  <c r="G132" i="18"/>
  <c r="G61" i="18"/>
  <c r="G61" i="19"/>
  <c r="G106" i="18"/>
  <c r="G106" i="19"/>
  <c r="G112" i="19"/>
  <c r="G112" i="18"/>
  <c r="G139" i="17"/>
  <c r="G10" i="18"/>
  <c r="G10" i="19"/>
  <c r="G65" i="17"/>
  <c r="G39" i="19"/>
  <c r="G39" i="18"/>
  <c r="G114" i="18"/>
  <c r="G114" i="19"/>
  <c r="G85" i="19"/>
  <c r="G85" i="18"/>
  <c r="G42" i="19"/>
  <c r="G42" i="18"/>
  <c r="G44" i="19"/>
  <c r="G44" i="18"/>
  <c r="G150" i="18"/>
  <c r="G150" i="19"/>
  <c r="G15" i="19"/>
  <c r="G15" i="18"/>
  <c r="G121" i="18"/>
  <c r="G121" i="19"/>
  <c r="G154" i="18"/>
  <c r="G154" i="19"/>
  <c r="G173" i="17"/>
  <c r="G108" i="19"/>
  <c r="G108" i="18"/>
  <c r="G96" i="18"/>
  <c r="G96" i="19"/>
  <c r="G161" i="17"/>
  <c r="G76" i="17"/>
  <c r="G158" i="17"/>
  <c r="G140" i="18"/>
  <c r="G140" i="19"/>
  <c r="G109" i="18"/>
  <c r="G109" i="19"/>
  <c r="G128" i="19"/>
  <c r="G128" i="18"/>
  <c r="G34" i="19"/>
  <c r="G34" i="18"/>
  <c r="G174" i="17"/>
  <c r="G153" i="18"/>
  <c r="G153" i="19"/>
  <c r="G92" i="17"/>
  <c r="G95" i="17"/>
  <c r="G170" i="17"/>
  <c r="G69" i="18"/>
  <c r="G69" i="19"/>
  <c r="G131" i="18"/>
  <c r="G131" i="19"/>
  <c r="G151" i="17"/>
  <c r="G126" i="18"/>
  <c r="G126" i="19"/>
  <c r="G125" i="17"/>
  <c r="G120" i="17"/>
  <c r="G130" i="18"/>
  <c r="G130" i="19"/>
  <c r="G58" i="19"/>
  <c r="G58" i="18"/>
  <c r="G60" i="19"/>
  <c r="G60" i="18"/>
  <c r="G16" i="19"/>
  <c r="G16" i="18"/>
  <c r="G160" i="17"/>
  <c r="G107" i="17"/>
  <c r="G93" i="19"/>
  <c r="G93" i="18"/>
  <c r="G124" i="18"/>
  <c r="G124" i="19"/>
  <c r="G18" i="18"/>
  <c r="G18" i="19"/>
  <c r="G101" i="17"/>
  <c r="G11" i="17"/>
  <c r="G136" i="17"/>
  <c r="G157" i="19"/>
  <c r="G157" i="18"/>
  <c r="G84" i="19"/>
  <c r="G84" i="18"/>
  <c r="G57" i="19"/>
  <c r="G57" i="18"/>
  <c r="G148" i="18"/>
  <c r="G148" i="19"/>
  <c r="G163" i="19"/>
  <c r="G163" i="18"/>
  <c r="G48" i="18"/>
  <c r="G48" i="19"/>
  <c r="G171" i="19"/>
  <c r="G171" i="18"/>
  <c r="G25" i="17"/>
  <c r="G179" i="17"/>
  <c r="G33" i="17"/>
  <c r="G181" i="17"/>
  <c r="G71" i="17"/>
  <c r="G17" i="18"/>
  <c r="G17" i="19"/>
  <c r="G86" i="18"/>
  <c r="G86" i="19"/>
  <c r="G52" i="19"/>
  <c r="G52" i="18"/>
  <c r="G104" i="18"/>
  <c r="G104" i="19"/>
  <c r="G19" i="17"/>
  <c r="G115" i="17"/>
  <c r="G27" i="17"/>
  <c r="G50" i="18"/>
  <c r="G50" i="19"/>
  <c r="G51" i="19"/>
  <c r="G51" i="18"/>
  <c r="G169" i="18"/>
  <c r="G169" i="19"/>
  <c r="G147" i="18"/>
  <c r="G147" i="19"/>
  <c r="G68" i="19"/>
  <c r="G68" i="18"/>
  <c r="G122" i="18"/>
  <c r="G122" i="19"/>
  <c r="G177" i="18"/>
  <c r="G177" i="19"/>
  <c r="G30" i="18"/>
  <c r="G30" i="19"/>
  <c r="G137" i="17"/>
  <c r="G81" i="18"/>
  <c r="G81" i="19"/>
  <c r="G167" i="17"/>
  <c r="G117" i="19"/>
  <c r="G117" i="18"/>
  <c r="G164" i="17"/>
  <c r="G166" i="18"/>
  <c r="G166" i="19"/>
  <c r="G49" i="17"/>
  <c r="G98" i="19"/>
  <c r="G98" i="18"/>
  <c r="G73" i="19"/>
  <c r="G73" i="18"/>
  <c r="G74" i="19"/>
  <c r="G74" i="18"/>
  <c r="G119" i="19"/>
  <c r="G119" i="18"/>
  <c r="G63" i="18"/>
  <c r="G63" i="19"/>
  <c r="G12" i="19"/>
  <c r="G12" i="18"/>
  <c r="G36" i="19"/>
  <c r="G36" i="18"/>
  <c r="G47" i="17"/>
  <c r="G113" i="17"/>
  <c r="G162" i="17"/>
  <c r="G175" i="17"/>
  <c r="G168" i="18"/>
  <c r="G168" i="19"/>
  <c r="G64" i="17"/>
  <c r="G80" i="18"/>
  <c r="G80" i="19"/>
  <c r="G66" i="18"/>
  <c r="G66" i="19"/>
  <c r="G178" i="18"/>
  <c r="G178" i="19"/>
  <c r="G97" i="19"/>
  <c r="G97" i="18"/>
  <c r="G159" i="19"/>
  <c r="G159" i="18"/>
  <c r="G75" i="19"/>
  <c r="G75" i="18"/>
  <c r="G105" i="18"/>
  <c r="G105" i="19"/>
  <c r="G78" i="18"/>
  <c r="G78" i="19"/>
  <c r="G94" i="18"/>
  <c r="G94" i="19"/>
  <c r="G102" i="18"/>
  <c r="G102" i="19"/>
  <c r="G21" i="19"/>
  <c r="G21" i="18"/>
  <c r="G165" i="19"/>
  <c r="G165" i="18"/>
  <c r="G46" i="17"/>
  <c r="G156" i="19"/>
  <c r="G156" i="18"/>
  <c r="G28" i="18"/>
  <c r="G28" i="19"/>
  <c r="G127" i="17"/>
  <c r="G91" i="17"/>
  <c r="G144" i="17"/>
  <c r="G134" i="17"/>
  <c r="G29" i="17"/>
  <c r="G79" i="17"/>
  <c r="G83" i="19"/>
  <c r="G83" i="18"/>
  <c r="G20" i="19"/>
  <c r="G20" i="18"/>
  <c r="G24" i="19"/>
  <c r="G24" i="18"/>
  <c r="G89" i="18"/>
  <c r="G89" i="19"/>
  <c r="G90" i="19"/>
  <c r="G90" i="18"/>
  <c r="G33" i="1"/>
  <c r="G181" i="1"/>
  <c r="G180" i="1"/>
  <c r="G140" i="1"/>
  <c r="G7" i="1"/>
  <c r="G179" i="1"/>
  <c r="G178" i="1"/>
  <c r="G177" i="1"/>
  <c r="G175" i="1"/>
  <c r="G174" i="1"/>
  <c r="G173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4" i="1"/>
  <c r="G153" i="1"/>
  <c r="G151" i="1"/>
  <c r="G150" i="1"/>
  <c r="G148" i="1"/>
  <c r="G147" i="1"/>
  <c r="G145" i="1"/>
  <c r="G144" i="1"/>
  <c r="G143" i="1"/>
  <c r="G142" i="1"/>
  <c r="G139" i="1"/>
  <c r="G137" i="1"/>
  <c r="G136" i="1"/>
  <c r="G134" i="1"/>
  <c r="G132" i="1"/>
  <c r="G131" i="1"/>
  <c r="G130" i="1"/>
  <c r="G128" i="1"/>
  <c r="G127" i="1"/>
  <c r="G126" i="1"/>
  <c r="G125" i="1"/>
  <c r="G124" i="1"/>
  <c r="G122" i="1"/>
  <c r="G121" i="1"/>
  <c r="G120" i="1"/>
  <c r="G119" i="1"/>
  <c r="G117" i="1"/>
  <c r="G116" i="1"/>
  <c r="G115" i="1"/>
  <c r="G114" i="1"/>
  <c r="G113" i="1"/>
  <c r="G112" i="1"/>
  <c r="G109" i="1"/>
  <c r="G108" i="1"/>
  <c r="G107" i="1"/>
  <c r="G106" i="1"/>
  <c r="G105" i="1"/>
  <c r="G104" i="1"/>
  <c r="G103" i="1"/>
  <c r="G102" i="1"/>
  <c r="G101" i="1"/>
  <c r="G99" i="1"/>
  <c r="G98" i="1"/>
  <c r="G97" i="1"/>
  <c r="G96" i="1"/>
  <c r="G95" i="1"/>
  <c r="G94" i="1"/>
  <c r="G93" i="1"/>
  <c r="G92" i="1"/>
  <c r="G91" i="1"/>
  <c r="G90" i="1"/>
  <c r="G89" i="1"/>
  <c r="G86" i="1"/>
  <c r="G85" i="1"/>
  <c r="G84" i="1"/>
  <c r="G83" i="1"/>
  <c r="G81" i="1"/>
  <c r="G80" i="1"/>
  <c r="G79" i="1"/>
  <c r="G78" i="1"/>
  <c r="G76" i="1"/>
  <c r="G75" i="1"/>
  <c r="G74" i="1"/>
  <c r="G73" i="1"/>
  <c r="G71" i="1"/>
  <c r="G70" i="1"/>
  <c r="G69" i="1"/>
  <c r="G68" i="1"/>
  <c r="G66" i="1"/>
  <c r="G65" i="1"/>
  <c r="G64" i="1"/>
  <c r="G63" i="1"/>
  <c r="G62" i="1"/>
  <c r="G61" i="1"/>
  <c r="G60" i="1"/>
  <c r="G58" i="1"/>
  <c r="G57" i="1"/>
  <c r="G56" i="1"/>
  <c r="G54" i="1"/>
  <c r="G52" i="1"/>
  <c r="G51" i="1"/>
  <c r="G50" i="1"/>
  <c r="G49" i="1"/>
  <c r="G48" i="1"/>
  <c r="G47" i="1"/>
  <c r="G46" i="1"/>
  <c r="G44" i="1"/>
  <c r="G42" i="1"/>
  <c r="G39" i="1"/>
  <c r="G38" i="1"/>
  <c r="G36" i="1"/>
  <c r="G34" i="1"/>
  <c r="G31" i="1"/>
  <c r="G30" i="1"/>
  <c r="G29" i="1"/>
  <c r="G28" i="1"/>
  <c r="G27" i="1"/>
  <c r="G26" i="1"/>
  <c r="G25" i="1"/>
  <c r="G24" i="1"/>
  <c r="G21" i="1"/>
  <c r="G20" i="1"/>
  <c r="G19" i="1"/>
  <c r="G18" i="1"/>
  <c r="G17" i="1"/>
  <c r="G16" i="1"/>
  <c r="G15" i="1"/>
  <c r="G12" i="1"/>
  <c r="G11" i="1"/>
  <c r="G10" i="1"/>
  <c r="G9" i="1"/>
  <c r="G182" i="17" l="1"/>
  <c r="D5" i="6" s="1"/>
  <c r="G29" i="18"/>
  <c r="G29" i="19"/>
  <c r="G113" i="18"/>
  <c r="G113" i="19"/>
  <c r="G161" i="18"/>
  <c r="G161" i="19"/>
  <c r="G99" i="19"/>
  <c r="G99" i="18"/>
  <c r="G174" i="18"/>
  <c r="G174" i="19"/>
  <c r="G25" i="19"/>
  <c r="G25" i="18"/>
  <c r="G27" i="18"/>
  <c r="G27" i="19"/>
  <c r="G179" i="19"/>
  <c r="G179" i="18"/>
  <c r="G76" i="19"/>
  <c r="G76" i="18"/>
  <c r="G167" i="18"/>
  <c r="G167" i="19"/>
  <c r="G115" i="18"/>
  <c r="G115" i="19"/>
  <c r="G71" i="18"/>
  <c r="G71" i="19"/>
  <c r="G107" i="18"/>
  <c r="G107" i="19"/>
  <c r="G120" i="18"/>
  <c r="G120" i="19"/>
  <c r="G170" i="18"/>
  <c r="G170" i="19"/>
  <c r="G65" i="18"/>
  <c r="G65" i="19"/>
  <c r="G62" i="18"/>
  <c r="G62" i="19"/>
  <c r="G162" i="18"/>
  <c r="G162" i="19"/>
  <c r="G164" i="19"/>
  <c r="G164" i="18"/>
  <c r="G134" i="19"/>
  <c r="G134" i="18"/>
  <c r="G46" i="18"/>
  <c r="G46" i="19"/>
  <c r="G47" i="18"/>
  <c r="G47" i="19"/>
  <c r="G136" i="19"/>
  <c r="G136" i="18"/>
  <c r="G64" i="18"/>
  <c r="G64" i="19"/>
  <c r="G19" i="18"/>
  <c r="G19" i="19"/>
  <c r="G181" i="19"/>
  <c r="G181" i="18"/>
  <c r="G160" i="18"/>
  <c r="G160" i="19"/>
  <c r="G125" i="18"/>
  <c r="G125" i="19"/>
  <c r="G95" i="18"/>
  <c r="G95" i="19"/>
  <c r="G142" i="18"/>
  <c r="G142" i="19"/>
  <c r="G79" i="18"/>
  <c r="G79" i="19"/>
  <c r="G144" i="19"/>
  <c r="G144" i="18"/>
  <c r="G11" i="18"/>
  <c r="G11" i="19"/>
  <c r="G103" i="18"/>
  <c r="G103" i="19"/>
  <c r="G91" i="18"/>
  <c r="G91" i="19"/>
  <c r="G137" i="18"/>
  <c r="G137" i="19"/>
  <c r="G33" i="19"/>
  <c r="G33" i="18"/>
  <c r="G101" i="18"/>
  <c r="G101" i="19"/>
  <c r="G173" i="18"/>
  <c r="G173" i="19"/>
  <c r="G139" i="18"/>
  <c r="G139" i="19"/>
  <c r="G31" i="18"/>
  <c r="G31" i="19"/>
  <c r="G158" i="18"/>
  <c r="G158" i="19"/>
  <c r="G49" i="18"/>
  <c r="G49" i="19"/>
  <c r="G92" i="19"/>
  <c r="G92" i="18"/>
  <c r="G127" i="18"/>
  <c r="G127" i="19"/>
  <c r="G175" i="18"/>
  <c r="G175" i="19"/>
  <c r="G151" i="18"/>
  <c r="G151" i="19"/>
  <c r="G182" i="1"/>
  <c r="D3" i="6" s="1"/>
  <c r="G182" i="18" l="1"/>
  <c r="D6" i="6" s="1"/>
  <c r="G182" i="19"/>
  <c r="D7" i="6" s="1"/>
  <c r="D8" i="6" s="1"/>
</calcChain>
</file>

<file path=xl/sharedStrings.xml><?xml version="1.0" encoding="utf-8"?>
<sst xmlns="http://schemas.openxmlformats.org/spreadsheetml/2006/main" count="2997" uniqueCount="309">
  <si>
    <t>ELIN Number</t>
  </si>
  <si>
    <t>Supplies/Services</t>
  </si>
  <si>
    <t>Est. Quantity</t>
  </si>
  <si>
    <t>Unit</t>
  </si>
  <si>
    <t>Unit Price</t>
  </si>
  <si>
    <t>Total</t>
  </si>
  <si>
    <t>A0001</t>
  </si>
  <si>
    <t>A0004</t>
  </si>
  <si>
    <t>A0005</t>
  </si>
  <si>
    <t>A0008</t>
  </si>
  <si>
    <t>A0009</t>
  </si>
  <si>
    <t>A0010</t>
  </si>
  <si>
    <t>A0012</t>
  </si>
  <si>
    <t>A0013</t>
  </si>
  <si>
    <t>A0015</t>
  </si>
  <si>
    <t>A0017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</si>
  <si>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</si>
  <si>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</si>
  <si>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</si>
  <si>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</si>
  <si>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</si>
  <si>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</si>
  <si>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</si>
  <si>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</si>
  <si>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</si>
  <si>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</si>
  <si>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</si>
  <si>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</si>
  <si>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</si>
  <si>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</si>
  <si>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</si>
  <si>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</si>
  <si>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</si>
  <si>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</si>
  <si>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</si>
  <si>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</si>
  <si>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</si>
  <si>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</si>
  <si>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</si>
  <si>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</si>
  <si>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</si>
  <si>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</si>
  <si>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</si>
  <si>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</si>
  <si>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</si>
  <si>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</si>
  <si>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</si>
  <si>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</si>
  <si>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</si>
  <si>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</si>
  <si>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</si>
  <si>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</si>
  <si>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</si>
  <si>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</si>
  <si>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</si>
  <si>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</si>
  <si>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</si>
  <si>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</si>
  <si>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</si>
  <si>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</si>
  <si>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</si>
  <si>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</si>
  <si>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</si>
  <si>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</si>
  <si>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</si>
  <si>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</si>
  <si>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</si>
  <si>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</si>
  <si>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</si>
  <si>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</si>
  <si>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</si>
  <si>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</si>
  <si>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</si>
  <si>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</si>
  <si>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</si>
  <si>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</si>
  <si>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</si>
  <si>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</si>
  <si>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</si>
  <si>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</si>
  <si>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</si>
  <si>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</si>
  <si>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</si>
  <si>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</si>
  <si>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</si>
  <si>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</si>
  <si>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</si>
  <si>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</si>
  <si>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</si>
  <si>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</si>
  <si>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</si>
  <si>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</si>
  <si>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</si>
  <si>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</si>
  <si>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</si>
  <si>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</si>
  <si>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</si>
  <si>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</si>
  <si>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</si>
  <si>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</si>
  <si>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</si>
  <si>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</si>
  <si>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</si>
  <si>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</si>
  <si>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</si>
  <si>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</si>
  <si>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</si>
  <si>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</si>
  <si>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</si>
  <si>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</si>
  <si>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</si>
  <si>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</si>
  <si>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</si>
  <si>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</si>
  <si>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</si>
  <si>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</si>
  <si>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</si>
  <si>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</si>
  <si>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</si>
  <si>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</si>
  <si>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1" nominal T &amp; G (treated)</t>
  </si>
  <si>
    <t>2" nominal T &amp; G (treated)</t>
  </si>
  <si>
    <t>3/4" plywood</t>
  </si>
  <si>
    <t>1/2" plywood</t>
  </si>
  <si>
    <t xml:space="preserve">Remove and replace rigid roof insulation in conjunction with roofing systems specified herein.  </t>
  </si>
  <si>
    <t>Remove and replace polyisocyanurate tapered insulation panels</t>
  </si>
  <si>
    <t>Remove and replace tapered roof insulation</t>
  </si>
  <si>
    <t>Remove and replace resin sized building paper (5 lb)</t>
  </si>
  <si>
    <t>Twenty Five Year   (3 tab )</t>
  </si>
  <si>
    <t>Remove and dispose of existing slate shingles.</t>
  </si>
  <si>
    <t>Install new slate shingles (Buckingham)(All or Partial)</t>
  </si>
  <si>
    <t>Coated steel</t>
  </si>
  <si>
    <t>Coated aluminum</t>
  </si>
  <si>
    <t>Field paint roof mounted equipment</t>
  </si>
  <si>
    <t>Up to 25 SF  X in surface area  X</t>
  </si>
  <si>
    <t>Over 25 SF  X in surface area  X</t>
  </si>
  <si>
    <t>System GAA (Gravel)</t>
  </si>
  <si>
    <t>System Gas</t>
  </si>
  <si>
    <t>Torch Applied</t>
  </si>
  <si>
    <t>Mop Applied</t>
  </si>
  <si>
    <t xml:space="preserve">Remove and Dispose of Second layer </t>
  </si>
  <si>
    <t>(1) Walkway/Asphalt Planks</t>
  </si>
  <si>
    <t>ROOF AND PARAPET WALL DAMPROOFING</t>
  </si>
  <si>
    <t>Coat Existing BU Roof or Parapet Wall</t>
  </si>
  <si>
    <t>Ballasted System</t>
  </si>
  <si>
    <t>Mechanically Fastened System</t>
  </si>
  <si>
    <t>Full Adhered System</t>
  </si>
  <si>
    <t>Remove existing roof system and replace with new E.P.D.M. roof system</t>
  </si>
  <si>
    <t>Install new E.P.D.M. Wall/Curb Flashings</t>
  </si>
  <si>
    <t>Install Rubber Pipe Vents</t>
  </si>
  <si>
    <t xml:space="preserve">Install Termination Bars.  Shall include caulking </t>
  </si>
  <si>
    <t>Install E.P.D.M Walk Pads</t>
  </si>
  <si>
    <t>Mechanically Fastened</t>
  </si>
  <si>
    <t>Ballasted</t>
  </si>
  <si>
    <t>Install new TPA wall/curb flashing</t>
  </si>
  <si>
    <t>Install new TPA pipe vent flashing</t>
  </si>
  <si>
    <t>Copper</t>
  </si>
  <si>
    <t>Aluminum</t>
  </si>
  <si>
    <t>Aluminum/various colors</t>
  </si>
  <si>
    <t>Stainless Steel</t>
  </si>
  <si>
    <t>METAL GUTTERS AND DOWNSPOUTS</t>
  </si>
  <si>
    <t>Install Metal Gutters</t>
  </si>
  <si>
    <t>Copper/5" ogee</t>
  </si>
  <si>
    <t>Copper/6" ogee</t>
  </si>
  <si>
    <t>Copper/6" half round</t>
  </si>
  <si>
    <t>Copper/6" box</t>
  </si>
  <si>
    <t>Copper/8" box</t>
  </si>
  <si>
    <t>Stainless steel/6" box</t>
  </si>
  <si>
    <t>Stainless steel/8" box</t>
  </si>
  <si>
    <t xml:space="preserve">Install Metal Downspouts </t>
  </si>
  <si>
    <t>Copper 2" x 3"</t>
  </si>
  <si>
    <t>Copper 3" x 4"</t>
  </si>
  <si>
    <t>Copper/3" round</t>
  </si>
  <si>
    <t>Copper/4" round</t>
  </si>
  <si>
    <t>Copper/6" round</t>
  </si>
  <si>
    <t>Stainless Steel 3" x 4"</t>
  </si>
  <si>
    <t xml:space="preserve">Provide and place new concrete splash block </t>
  </si>
  <si>
    <t>(standard commercial size)</t>
  </si>
  <si>
    <t>Resolder broken gutter joints</t>
  </si>
  <si>
    <t>Reseal, broken gutter joints</t>
  </si>
  <si>
    <t>Remove existing metal flashing/miscellaneous</t>
  </si>
  <si>
    <t>Compatible w/EPDM &amp; CPE</t>
  </si>
  <si>
    <t>Remove existing pitch pocket and 'replace with new</t>
  </si>
  <si>
    <t>Stainless steel</t>
  </si>
  <si>
    <t xml:space="preserve">Clean and clear roof drains </t>
  </si>
  <si>
    <t>TPA EPDM roof drain sumps (removal only)</t>
  </si>
  <si>
    <t xml:space="preserve">Provide and install TPA EPDM roof 'drain sumps </t>
  </si>
  <si>
    <t>Metal Strainers</t>
  </si>
  <si>
    <t>PVC Strainers</t>
  </si>
  <si>
    <t>Install new metal splash pans</t>
  </si>
  <si>
    <t xml:space="preserve">Install caulking </t>
  </si>
  <si>
    <t>Prime and paint fascia board</t>
  </si>
  <si>
    <t xml:space="preserve">NON-PREPRICED LABOR, MATERIAL  and COMMAND INTEREST WORK </t>
  </si>
  <si>
    <t>Provide labor to perform all Unit Priced Labor work per the scope and delivery schedule specified in the order. MUST BE NEGOTIATED BY KO.</t>
  </si>
  <si>
    <t>Perform Roof Survey / Assessment up to 50,000 SF in accordance with Attachment B</t>
  </si>
  <si>
    <t>Perform Roof Survey / Assessment over 50,000 SF and up to 100,000 SF in accordance with Attachment B.</t>
  </si>
  <si>
    <t>Perform Roof Survey / Assessment over 100,000 SF in accordance with Attachment B.</t>
  </si>
  <si>
    <t>SQ</t>
  </si>
  <si>
    <t>BF</t>
  </si>
  <si>
    <t>SF</t>
  </si>
  <si>
    <t>LF</t>
  </si>
  <si>
    <t>EA</t>
  </si>
  <si>
    <t>LS</t>
  </si>
  <si>
    <t>HRS</t>
  </si>
  <si>
    <t>X</t>
  </si>
  <si>
    <t xml:space="preserve">Base Option </t>
  </si>
  <si>
    <t>Option Year 1</t>
  </si>
  <si>
    <t>Option Year 2</t>
  </si>
  <si>
    <t>Option year 3</t>
  </si>
  <si>
    <t>Option Year 4</t>
  </si>
  <si>
    <t>Roofing Summary</t>
  </si>
  <si>
    <t>Gutters, Downspouts and Drains</t>
  </si>
  <si>
    <t>Remove/Replace existing roof drain sumps</t>
  </si>
  <si>
    <t xml:space="preserve">Remove existing roof system and replace with new Thermoplastic alloy roof system (TPA) </t>
  </si>
  <si>
    <t>Remove existing roof system and replace with new smooth surfaced BU roofing system.</t>
  </si>
  <si>
    <t xml:space="preserve">Remove existing roof system and replace with new aggregate surfaced BU roofing system </t>
  </si>
  <si>
    <t>Remove existing preformed metal (All or Partial) roofing and replace with new preformed metal roofing</t>
  </si>
  <si>
    <t>Exhibit Line Item Numbers</t>
  </si>
  <si>
    <t>A0006</t>
  </si>
  <si>
    <t>A0007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</si>
  <si>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</si>
  <si>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</si>
  <si>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</si>
  <si>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</si>
  <si>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</si>
  <si>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</si>
  <si>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</si>
  <si>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</si>
  <si>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</si>
  <si>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</si>
  <si>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</si>
  <si>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</si>
  <si>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</si>
  <si>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</si>
  <si>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</si>
  <si>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</si>
  <si>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 xml:space="preserve">Remove existing metal vent collars and replace with new vent collars and accessories </t>
  </si>
  <si>
    <t>Perform Service call.</t>
  </si>
  <si>
    <t xml:space="preserve">The Contractor shall respond to service calls within 24 hours of service call request. The contractor shall make necessary repairs to roof or roof system. Service calls are limited to a combined labor and material cost not to exceed $2,500.00. </t>
  </si>
  <si>
    <t>Provide all materials and equipment to perform Unit Priced Labor work per the scope and delivery schedule specified in the order. Material costs shall BE NEGOTIATED BY KO.</t>
  </si>
  <si>
    <t>Remove existing metal scupper lining and replace with new metal scupper lining</t>
  </si>
  <si>
    <t>Prefinished Alum/5" ogee</t>
  </si>
  <si>
    <t>Prefinished Alum/6" ogee</t>
  </si>
  <si>
    <t>Prefinished Alum/6" Box</t>
  </si>
  <si>
    <t>Prefinished Alum/8" Box</t>
  </si>
  <si>
    <t>Prefinished alum 2" x 3"</t>
  </si>
  <si>
    <t>Prefinished alum 3" x 4"</t>
  </si>
  <si>
    <t>Clean and clear gutters and dispose of all debris from site</t>
  </si>
  <si>
    <t>Provide down spout and roof drain cleaning.</t>
  </si>
  <si>
    <t>Cut new Reglet In masonry</t>
  </si>
  <si>
    <t>Cut new Reglet In concrete</t>
  </si>
  <si>
    <t>Remove existing wood roof deck and replace with new wood decking</t>
  </si>
  <si>
    <t xml:space="preserve">Thirty Year      (architectural) </t>
  </si>
  <si>
    <t>Forty Year       (architectural)</t>
  </si>
  <si>
    <t xml:space="preserve">Provide power washing The Contractor shall Power Wash roof surfaces and clear drain baskets. (Does not include gutter or down spout cleaning.) </t>
  </si>
  <si>
    <t>EV</t>
  </si>
  <si>
    <t>ROOF INSULATION</t>
  </si>
  <si>
    <t>Remove existing metal roof decks (ALL OR PARTIAL) and replace with new steel roof decking, shall include all closures and accessories.</t>
  </si>
  <si>
    <t>Remove and replace vapor barrier in conjunction with built up roofing system</t>
  </si>
  <si>
    <t>Remove existing cants and replace with new fiberboard cants 4 x 4</t>
  </si>
  <si>
    <t>Remove existing cants and replace with new treated wood cants 4 x 4</t>
  </si>
  <si>
    <t>Remove existing Nailers and replace with new treated 2" x 6" wood</t>
  </si>
  <si>
    <t>Remove and dispose of existing composition shingles (all types)(where new shingles are not going to be installed)</t>
  </si>
  <si>
    <t>Install new slate shingles (Weathering green, Vermont)(All or Partial)</t>
  </si>
  <si>
    <t>Remove and re-install existing slate shingles (All or Partial)</t>
  </si>
  <si>
    <t>Remove existing base flashing and replace with new 2 ply glass felt base flashing</t>
  </si>
  <si>
    <t xml:space="preserve">Remove existing base flashing and replace with new 3-ply bituminous base flashing </t>
  </si>
  <si>
    <t>Remove existing base flashing and replace with new single ply reinforced modified, bitumen sheet roofing flashing modified.</t>
  </si>
  <si>
    <t xml:space="preserve">Remove existing metal base flashing and replace with new metal base flashing  </t>
  </si>
  <si>
    <t xml:space="preserve">Remove existing and install new metal coping. Shall include caulking. </t>
  </si>
  <si>
    <t xml:space="preserve">Remove existing expansion joints and replacebituminous base flashing, metal counterflashing and metal joint cover </t>
  </si>
  <si>
    <t>Remove existing caulking and replace with new sealant/caulking</t>
  </si>
  <si>
    <t xml:space="preserve">Remove existing fascia and replace with new fascia board </t>
  </si>
  <si>
    <t>Cover existing fascia board with aluminum coil stock (various colors) ASBESTOS ABATEMENT/REMOVAL</t>
  </si>
  <si>
    <t>Min. costs incurred for asbestos abatement, for trailer (provide, set-up,&amp; removal)</t>
  </si>
  <si>
    <t>Additional cost incurred for the removal and disposal of asbestos containing substances.  Regular roofing only.</t>
  </si>
  <si>
    <t xml:space="preserve">Additional cost incurred for the removal and disposal of asbestos containing substance. (Flashings, Pitch pockets, etc.) </t>
  </si>
  <si>
    <t>Coat roofing with aluminum pigmented slate shingles (All or Partial) slate shingles (All or Partial) fibered bitumen roof coating</t>
  </si>
  <si>
    <t>E.P.D.M. (RUBBER ROOF SYSTEM) (Install new  E.P.D.M. Roof System over Existing Built-up Roof)</t>
  </si>
  <si>
    <t>Remove metal drip edge and replace with new metal drip edge</t>
  </si>
  <si>
    <t>6-Pound Lead TPA EPDM roof drain Sumps</t>
  </si>
  <si>
    <t xml:space="preserve">Remove existing metal open valley flashing and replace with new metal valley flashing  </t>
  </si>
  <si>
    <t>A0002</t>
  </si>
  <si>
    <t>A0003</t>
  </si>
  <si>
    <t>A0011</t>
  </si>
  <si>
    <t>A0014</t>
  </si>
  <si>
    <t>A0016</t>
  </si>
  <si>
    <t>A0018</t>
  </si>
  <si>
    <t xml:space="preserve">Total Price for BASE OPTION YEAR (IQ) Price Work Items - CLIN 0001 (Sum of Exhibit Line Items A0001- A0138) </t>
  </si>
  <si>
    <t>Remove existing pipe vent flashing and replace with new lead pipe vent flashing</t>
  </si>
  <si>
    <t>ROOF DECKS</t>
  </si>
  <si>
    <t xml:space="preserve">ROOF COATING (ALUMINUM PIGMENTED FIBERED BITUMINOUS ROOF COATING) </t>
  </si>
  <si>
    <t>Remove existing roof system and replace with new single ply reinforced modified bitumen sheet roofing system</t>
  </si>
  <si>
    <t xml:space="preserve">SHINGLED ROOF SYSTEMS </t>
  </si>
  <si>
    <t xml:space="preserve">Remove existing composition shingles and replace with new composition shingles, shall include starter </t>
  </si>
  <si>
    <t>BUILT UP ROOF</t>
  </si>
  <si>
    <t>Remove and dispose of existing gutters and/or downspouts</t>
  </si>
  <si>
    <t>Remove and reinstall existing gutters and/or downspouts. Reseal all joints</t>
  </si>
  <si>
    <t>Realign and resecure existing gutters and/or downspouts (Replace hangers, fasteners and straps) as needed. Reseal all joints.</t>
  </si>
  <si>
    <t>DRAINS, STRAINERS, SCUPPERS, CONDUCTOR HEADS &amp; SPLASH HEADS</t>
  </si>
  <si>
    <t xml:space="preserve">Strainers </t>
  </si>
  <si>
    <t>Remove existing metal conductor heads and replace with new metal conductor heads</t>
  </si>
  <si>
    <t>Bldg. 1 NSAP Spring power washing, minor deficiency repairs, drain cleaning, and analysis report. 100,000 sq ft epoxy coated roofing system.</t>
  </si>
  <si>
    <t>Bldg. 1 NSAP Fall drain cleaning, Roof analysis and minor repairs. 100,000 sq ft epoxy coated roofing system.</t>
  </si>
  <si>
    <t>Removal of lead based paint. 'Contractor removes loose paint from surface. The contractor furnishes container and the Government disposes.</t>
  </si>
  <si>
    <t>Attachment J-0200000-05</t>
  </si>
  <si>
    <t>Roofing Contract</t>
  </si>
  <si>
    <r>
      <t>Solicitation/Contract No.: N40085-26-D-</t>
    </r>
    <r>
      <rPr>
        <sz val="12"/>
        <color rgb="FFFF0000"/>
        <rFont val="Calibri"/>
        <family val="2"/>
        <scheme val="minor"/>
      </rPr>
      <t>XXXX</t>
    </r>
  </si>
  <si>
    <t xml:space="preserve">Remove existing expansion joints and replace bituminous base flashing, metal counterflashing and metal joint cover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</si>
</sst>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4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3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44" fontId="4" fillId="0" borderId="0" xfId="0" applyNumberFormat="1" applyFont="1" applyBorder="1" applyAlignment="1">
      <alignment horizontal="center"/>
    </xf>
    <xf numFmtId="44" fontId="3" fillId="0" borderId="15" xfId="0" applyNumberFormat="1" applyFont="1" applyBorder="1" applyAlignment="1">
      <alignment horizontal="center" vertical="top"/>
    </xf>
    <xf numFmtId="44" fontId="4" fillId="0" borderId="16" xfId="0" applyNumberFormat="1" applyFont="1" applyBorder="1" applyAlignment="1">
      <alignment horizontal="center"/>
    </xf>
    <xf numFmtId="44" fontId="4" fillId="0" borderId="16" xfId="0" applyNumberFormat="1" applyFont="1" applyFill="1" applyBorder="1" applyAlignment="1">
      <alignment horizontal="center"/>
    </xf>
    <xf numFmtId="44" fontId="3" fillId="0" borderId="9" xfId="0" applyNumberFormat="1" applyFont="1" applyBorder="1" applyAlignment="1">
      <alignment horizontal="center"/>
    </xf>
    <xf numFmtId="44" fontId="3" fillId="0" borderId="14" xfId="0" applyNumberFormat="1" applyFont="1" applyBorder="1" applyAlignment="1">
      <alignment horizontal="center" vertical="top"/>
    </xf>
    <xf numFmtId="44" fontId="4" fillId="0" borderId="17" xfId="0" applyNumberFormat="1" applyFont="1" applyBorder="1" applyAlignment="1">
      <alignment horizontal="center"/>
    </xf>
    <xf numFmtId="44" fontId="4" fillId="0" borderId="17" xfId="0" applyNumberFormat="1" applyFont="1" applyFill="1" applyBorder="1" applyAlignment="1">
      <alignment horizontal="center"/>
    </xf>
    <xf numFmtId="44" fontId="4" fillId="0" borderId="18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/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2"/>
  <sheetViews>
    <sheetView tabSelected="1" zoomScaleNormal="100" zoomScaleSheetLayoutView="100" workbookViewId="0">
      <selection activeCell="F7" sqref="F7:F181"/>
    </sheetView>
  </sheetViews>
  <sheetFormatPr defaultColWidth="28.5703125" defaultRowHeight="15.75" x14ac:dyDescent="0.25"/>
  <cols>
    <col min="1" max="1" width="14.5703125" style="20" customWidth="1"/>
    <col min="2" max="2" width="53.28515625" style="17" customWidth="1"/>
    <col min="3" max="3" width="14.85546875" style="5" customWidth="1"/>
    <col min="4" max="4" width="10.42578125" style="5" customWidth="1"/>
    <col min="5" max="5" width="14.7109375" style="5" customWidth="1"/>
    <col min="6" max="6" width="15.7109375" style="24" bestFit="1" customWidth="1"/>
    <col min="7" max="7" width="20.28515625" style="24" customWidth="1"/>
    <col min="8" max="16384" width="28.5703125" style="16"/>
  </cols>
  <sheetData>
    <row r="1" spans="1:7" s="15" customFormat="1" ht="15" customHeight="1" x14ac:dyDescent="0.25">
      <c r="A1" s="36" t="s">
        <v>306</v>
      </c>
      <c r="B1" s="37"/>
      <c r="C1" s="37"/>
      <c r="D1" s="37"/>
      <c r="E1" s="37"/>
      <c r="F1" s="37"/>
      <c r="G1" s="38"/>
    </row>
    <row r="2" spans="1:7" x14ac:dyDescent="0.25">
      <c r="A2" s="39" t="s">
        <v>305</v>
      </c>
      <c r="B2" s="40"/>
      <c r="C2" s="40"/>
      <c r="D2" s="40"/>
      <c r="E2" s="40"/>
      <c r="F2" s="40"/>
      <c r="G2" s="41"/>
    </row>
    <row r="3" spans="1:7" x14ac:dyDescent="0.25">
      <c r="A3" s="39" t="s">
        <v>217</v>
      </c>
      <c r="B3" s="40"/>
      <c r="C3" s="40"/>
      <c r="D3" s="40"/>
      <c r="E3" s="40"/>
      <c r="F3" s="40"/>
      <c r="G3" s="41"/>
    </row>
    <row r="4" spans="1:7" ht="16.5" thickBot="1" x14ac:dyDescent="0.3">
      <c r="A4" s="42" t="s">
        <v>307</v>
      </c>
      <c r="B4" s="43"/>
      <c r="C4" s="43"/>
      <c r="D4" s="43"/>
      <c r="E4" s="43"/>
      <c r="F4" s="43"/>
      <c r="G4" s="44"/>
    </row>
    <row r="5" spans="1:7" ht="16.5" thickBot="1" x14ac:dyDescent="0.3">
      <c r="A5" s="18" t="s">
        <v>0</v>
      </c>
      <c r="B5" s="6" t="s">
        <v>1</v>
      </c>
      <c r="C5" s="7" t="s">
        <v>2</v>
      </c>
      <c r="D5" s="7" t="s">
        <v>3</v>
      </c>
      <c r="E5" s="7"/>
      <c r="F5" s="25" t="s">
        <v>4</v>
      </c>
      <c r="G5" s="29" t="s">
        <v>5</v>
      </c>
    </row>
    <row r="6" spans="1:7" x14ac:dyDescent="0.25">
      <c r="A6" s="19"/>
      <c r="B6" s="9" t="s">
        <v>290</v>
      </c>
      <c r="C6" s="21"/>
      <c r="D6" s="21"/>
      <c r="E6" s="21"/>
      <c r="F6" s="26"/>
      <c r="G6" s="30"/>
    </row>
    <row r="7" spans="1:7" ht="47.25" x14ac:dyDescent="0.25">
      <c r="A7" s="19" t="s">
        <v>6</v>
      </c>
      <c r="B7" s="8" t="s">
        <v>257</v>
      </c>
      <c r="C7" s="21">
        <v>200</v>
      </c>
      <c r="D7" s="21" t="s">
        <v>197</v>
      </c>
      <c r="E7" s="21" t="s">
        <v>204</v>
      </c>
      <c r="F7" s="26"/>
      <c r="G7" s="30">
        <f t="shared" ref="G7:G31" si="0">F7*C7</f>
        <v>0</v>
      </c>
    </row>
    <row r="8" spans="1:7" ht="31.5" x14ac:dyDescent="0.25">
      <c r="A8" s="19"/>
      <c r="B8" s="10" t="s">
        <v>251</v>
      </c>
      <c r="C8" s="21"/>
      <c r="D8" s="21"/>
      <c r="E8" s="21"/>
      <c r="F8" s="26"/>
      <c r="G8" s="31"/>
    </row>
    <row r="9" spans="1:7" x14ac:dyDescent="0.25">
      <c r="A9" s="19" t="s">
        <v>282</v>
      </c>
      <c r="B9" s="8" t="s">
        <v>120</v>
      </c>
      <c r="C9" s="21">
        <v>1200</v>
      </c>
      <c r="D9" s="21" t="s">
        <v>198</v>
      </c>
      <c r="E9" s="21" t="s">
        <v>204</v>
      </c>
      <c r="F9" s="26"/>
      <c r="G9" s="30">
        <f t="shared" si="0"/>
        <v>0</v>
      </c>
    </row>
    <row r="10" spans="1:7" x14ac:dyDescent="0.25">
      <c r="A10" s="19" t="s">
        <v>283</v>
      </c>
      <c r="B10" s="8" t="s">
        <v>121</v>
      </c>
      <c r="C10" s="21">
        <v>1200</v>
      </c>
      <c r="D10" s="21" t="s">
        <v>198</v>
      </c>
      <c r="E10" s="21" t="s">
        <v>204</v>
      </c>
      <c r="F10" s="26"/>
      <c r="G10" s="30">
        <f t="shared" si="0"/>
        <v>0</v>
      </c>
    </row>
    <row r="11" spans="1:7" x14ac:dyDescent="0.25">
      <c r="A11" s="19" t="s">
        <v>7</v>
      </c>
      <c r="B11" s="8" t="s">
        <v>122</v>
      </c>
      <c r="C11" s="21">
        <v>1200</v>
      </c>
      <c r="D11" s="21" t="s">
        <v>199</v>
      </c>
      <c r="E11" s="21" t="s">
        <v>204</v>
      </c>
      <c r="F11" s="26"/>
      <c r="G11" s="30">
        <f t="shared" si="0"/>
        <v>0</v>
      </c>
    </row>
    <row r="12" spans="1:7" x14ac:dyDescent="0.25">
      <c r="A12" s="19" t="s">
        <v>8</v>
      </c>
      <c r="B12" s="8" t="s">
        <v>123</v>
      </c>
      <c r="C12" s="21">
        <v>1200</v>
      </c>
      <c r="D12" s="21" t="s">
        <v>199</v>
      </c>
      <c r="E12" s="21" t="s">
        <v>204</v>
      </c>
      <c r="F12" s="26"/>
      <c r="G12" s="30">
        <f t="shared" si="0"/>
        <v>0</v>
      </c>
    </row>
    <row r="13" spans="1:7" x14ac:dyDescent="0.25">
      <c r="A13" s="19"/>
      <c r="B13" s="9" t="s">
        <v>256</v>
      </c>
      <c r="C13" s="21"/>
      <c r="D13" s="21"/>
      <c r="E13" s="21"/>
      <c r="F13" s="26"/>
      <c r="G13" s="30"/>
    </row>
    <row r="14" spans="1:7" ht="31.5" x14ac:dyDescent="0.25">
      <c r="A14" s="19"/>
      <c r="B14" s="9" t="s">
        <v>124</v>
      </c>
      <c r="C14" s="21"/>
      <c r="D14" s="21"/>
      <c r="E14" s="21"/>
      <c r="F14" s="26"/>
      <c r="G14" s="30"/>
    </row>
    <row r="15" spans="1:7" ht="31.5" x14ac:dyDescent="0.25">
      <c r="A15" s="19" t="s">
        <v>218</v>
      </c>
      <c r="B15" s="8" t="s">
        <v>125</v>
      </c>
      <c r="C15" s="21">
        <v>120</v>
      </c>
      <c r="D15" s="21" t="s">
        <v>197</v>
      </c>
      <c r="E15" s="21" t="s">
        <v>204</v>
      </c>
      <c r="F15" s="26"/>
      <c r="G15" s="30">
        <f t="shared" si="0"/>
        <v>0</v>
      </c>
    </row>
    <row r="16" spans="1:7" x14ac:dyDescent="0.25">
      <c r="A16" s="19" t="s">
        <v>219</v>
      </c>
      <c r="B16" s="8" t="s">
        <v>126</v>
      </c>
      <c r="C16" s="21">
        <v>120</v>
      </c>
      <c r="D16" s="21" t="s">
        <v>197</v>
      </c>
      <c r="E16" s="21" t="s">
        <v>204</v>
      </c>
      <c r="F16" s="26"/>
      <c r="G16" s="30">
        <f t="shared" si="0"/>
        <v>0</v>
      </c>
    </row>
    <row r="17" spans="1:7" ht="31.5" x14ac:dyDescent="0.25">
      <c r="A17" s="19" t="s">
        <v>9</v>
      </c>
      <c r="B17" s="8" t="s">
        <v>258</v>
      </c>
      <c r="C17" s="21">
        <v>120</v>
      </c>
      <c r="D17" s="21" t="s">
        <v>197</v>
      </c>
      <c r="E17" s="21" t="s">
        <v>204</v>
      </c>
      <c r="F17" s="26"/>
      <c r="G17" s="30">
        <f t="shared" si="0"/>
        <v>0</v>
      </c>
    </row>
    <row r="18" spans="1:7" x14ac:dyDescent="0.25">
      <c r="A18" s="19" t="s">
        <v>10</v>
      </c>
      <c r="B18" s="8" t="s">
        <v>127</v>
      </c>
      <c r="C18" s="21">
        <v>15</v>
      </c>
      <c r="D18" s="21" t="s">
        <v>197</v>
      </c>
      <c r="E18" s="21" t="s">
        <v>204</v>
      </c>
      <c r="F18" s="26"/>
      <c r="G18" s="30">
        <f t="shared" si="0"/>
        <v>0</v>
      </c>
    </row>
    <row r="19" spans="1:7" ht="31.5" x14ac:dyDescent="0.25">
      <c r="A19" s="19" t="s">
        <v>11</v>
      </c>
      <c r="B19" s="8" t="s">
        <v>259</v>
      </c>
      <c r="C19" s="21">
        <v>30</v>
      </c>
      <c r="D19" s="21" t="s">
        <v>200</v>
      </c>
      <c r="E19" s="21" t="s">
        <v>204</v>
      </c>
      <c r="F19" s="26"/>
      <c r="G19" s="30">
        <f t="shared" si="0"/>
        <v>0</v>
      </c>
    </row>
    <row r="20" spans="1:7" ht="31.5" x14ac:dyDescent="0.25">
      <c r="A20" s="19" t="s">
        <v>284</v>
      </c>
      <c r="B20" s="8" t="s">
        <v>260</v>
      </c>
      <c r="C20" s="21">
        <v>90</v>
      </c>
      <c r="D20" s="21" t="s">
        <v>200</v>
      </c>
      <c r="E20" s="21" t="s">
        <v>204</v>
      </c>
      <c r="F20" s="26"/>
      <c r="G20" s="30">
        <f t="shared" si="0"/>
        <v>0</v>
      </c>
    </row>
    <row r="21" spans="1:7" ht="31.5" x14ac:dyDescent="0.25">
      <c r="A21" s="19" t="s">
        <v>12</v>
      </c>
      <c r="B21" s="8" t="s">
        <v>261</v>
      </c>
      <c r="C21" s="21">
        <v>300</v>
      </c>
      <c r="D21" s="21" t="s">
        <v>198</v>
      </c>
      <c r="E21" s="21" t="s">
        <v>204</v>
      </c>
      <c r="F21" s="26"/>
      <c r="G21" s="30">
        <f t="shared" si="0"/>
        <v>0</v>
      </c>
    </row>
    <row r="22" spans="1:7" x14ac:dyDescent="0.25">
      <c r="A22" s="19"/>
      <c r="B22" s="10" t="s">
        <v>293</v>
      </c>
      <c r="C22" s="21"/>
      <c r="D22" s="21"/>
      <c r="E22" s="21"/>
      <c r="F22" s="26"/>
      <c r="G22" s="30"/>
    </row>
    <row r="23" spans="1:7" ht="31.5" x14ac:dyDescent="0.25">
      <c r="A23" s="19"/>
      <c r="B23" s="10" t="s">
        <v>294</v>
      </c>
      <c r="C23" s="21"/>
      <c r="D23" s="21"/>
      <c r="E23" s="21"/>
      <c r="F23" s="26"/>
      <c r="G23" s="30"/>
    </row>
    <row r="24" spans="1:7" x14ac:dyDescent="0.25">
      <c r="A24" s="19" t="s">
        <v>13</v>
      </c>
      <c r="B24" s="8" t="s">
        <v>128</v>
      </c>
      <c r="C24" s="21">
        <v>100</v>
      </c>
      <c r="D24" s="21" t="s">
        <v>197</v>
      </c>
      <c r="E24" s="21" t="s">
        <v>204</v>
      </c>
      <c r="F24" s="26"/>
      <c r="G24" s="30">
        <f t="shared" si="0"/>
        <v>0</v>
      </c>
    </row>
    <row r="25" spans="1:7" x14ac:dyDescent="0.25">
      <c r="A25" s="19" t="s">
        <v>285</v>
      </c>
      <c r="B25" s="8" t="s">
        <v>252</v>
      </c>
      <c r="C25" s="21">
        <v>100</v>
      </c>
      <c r="D25" s="21" t="s">
        <v>197</v>
      </c>
      <c r="E25" s="21" t="s">
        <v>204</v>
      </c>
      <c r="F25" s="26"/>
      <c r="G25" s="30">
        <f t="shared" si="0"/>
        <v>0</v>
      </c>
    </row>
    <row r="26" spans="1:7" x14ac:dyDescent="0.25">
      <c r="A26" s="19" t="s">
        <v>14</v>
      </c>
      <c r="B26" s="8" t="s">
        <v>253</v>
      </c>
      <c r="C26" s="21">
        <v>100</v>
      </c>
      <c r="D26" s="21" t="s">
        <v>197</v>
      </c>
      <c r="E26" s="21" t="s">
        <v>204</v>
      </c>
      <c r="F26" s="26"/>
      <c r="G26" s="30">
        <f t="shared" si="0"/>
        <v>0</v>
      </c>
    </row>
    <row r="27" spans="1:7" ht="47.25" x14ac:dyDescent="0.25">
      <c r="A27" s="19" t="s">
        <v>286</v>
      </c>
      <c r="B27" s="8" t="s">
        <v>262</v>
      </c>
      <c r="C27" s="22">
        <v>18</v>
      </c>
      <c r="D27" s="22" t="s">
        <v>197</v>
      </c>
      <c r="E27" s="22" t="s">
        <v>204</v>
      </c>
      <c r="F27" s="27"/>
      <c r="G27" s="31">
        <f>F27*C27</f>
        <v>0</v>
      </c>
    </row>
    <row r="28" spans="1:7" x14ac:dyDescent="0.25">
      <c r="A28" s="19" t="s">
        <v>15</v>
      </c>
      <c r="B28" s="8" t="s">
        <v>129</v>
      </c>
      <c r="C28" s="21">
        <v>18</v>
      </c>
      <c r="D28" s="21" t="s">
        <v>197</v>
      </c>
      <c r="E28" s="21" t="s">
        <v>204</v>
      </c>
      <c r="F28" s="26"/>
      <c r="G28" s="30">
        <f t="shared" si="0"/>
        <v>0</v>
      </c>
    </row>
    <row r="29" spans="1:7" ht="31.5" x14ac:dyDescent="0.25">
      <c r="A29" s="19" t="s">
        <v>287</v>
      </c>
      <c r="B29" s="8" t="s">
        <v>264</v>
      </c>
      <c r="C29" s="21">
        <v>6</v>
      </c>
      <c r="D29" s="21" t="s">
        <v>197</v>
      </c>
      <c r="E29" s="21" t="s">
        <v>204</v>
      </c>
      <c r="F29" s="26"/>
      <c r="G29" s="30">
        <f t="shared" si="0"/>
        <v>0</v>
      </c>
    </row>
    <row r="30" spans="1:7" ht="31.5" x14ac:dyDescent="0.25">
      <c r="A30" s="19" t="s">
        <v>16</v>
      </c>
      <c r="B30" s="8" t="s">
        <v>263</v>
      </c>
      <c r="C30" s="21">
        <v>9</v>
      </c>
      <c r="D30" s="21" t="s">
        <v>197</v>
      </c>
      <c r="E30" s="21" t="s">
        <v>204</v>
      </c>
      <c r="F30" s="26"/>
      <c r="G30" s="30">
        <f t="shared" si="0"/>
        <v>0</v>
      </c>
    </row>
    <row r="31" spans="1:7" x14ac:dyDescent="0.25">
      <c r="A31" s="19" t="s">
        <v>17</v>
      </c>
      <c r="B31" s="8" t="s">
        <v>130</v>
      </c>
      <c r="C31" s="21">
        <v>9</v>
      </c>
      <c r="D31" s="21" t="s">
        <v>197</v>
      </c>
      <c r="E31" s="21" t="s">
        <v>204</v>
      </c>
      <c r="F31" s="26"/>
      <c r="G31" s="30">
        <f t="shared" si="0"/>
        <v>0</v>
      </c>
    </row>
    <row r="32" spans="1:7" ht="47.25" x14ac:dyDescent="0.25">
      <c r="A32" s="19"/>
      <c r="B32" s="9" t="s">
        <v>216</v>
      </c>
      <c r="C32" s="21"/>
      <c r="D32" s="21"/>
      <c r="E32" s="21"/>
      <c r="F32" s="26"/>
      <c r="G32" s="30"/>
    </row>
    <row r="33" spans="1:7" x14ac:dyDescent="0.25">
      <c r="A33" s="19" t="s">
        <v>18</v>
      </c>
      <c r="B33" s="8" t="s">
        <v>131</v>
      </c>
      <c r="C33" s="21">
        <v>20</v>
      </c>
      <c r="D33" s="21" t="s">
        <v>197</v>
      </c>
      <c r="E33" s="21" t="s">
        <v>204</v>
      </c>
      <c r="F33" s="26"/>
      <c r="G33" s="30">
        <f t="shared" ref="G33:G58" si="1">F33*C33</f>
        <v>0</v>
      </c>
    </row>
    <row r="34" spans="1:7" x14ac:dyDescent="0.25">
      <c r="A34" s="19" t="s">
        <v>19</v>
      </c>
      <c r="B34" s="8" t="s">
        <v>132</v>
      </c>
      <c r="C34" s="21">
        <v>20</v>
      </c>
      <c r="D34" s="21" t="s">
        <v>197</v>
      </c>
      <c r="E34" s="21" t="s">
        <v>204</v>
      </c>
      <c r="F34" s="26"/>
      <c r="G34" s="30">
        <f t="shared" si="1"/>
        <v>0</v>
      </c>
    </row>
    <row r="35" spans="1:7" ht="31.5" x14ac:dyDescent="0.25">
      <c r="A35" s="19"/>
      <c r="B35" s="9" t="s">
        <v>291</v>
      </c>
      <c r="C35" s="21"/>
      <c r="D35" s="21"/>
      <c r="E35" s="21"/>
      <c r="F35" s="26"/>
      <c r="G35" s="30"/>
    </row>
    <row r="36" spans="1:7" ht="47.25" x14ac:dyDescent="0.25">
      <c r="A36" s="19" t="s">
        <v>20</v>
      </c>
      <c r="B36" s="8" t="s">
        <v>277</v>
      </c>
      <c r="C36" s="21">
        <v>100</v>
      </c>
      <c r="D36" s="21" t="s">
        <v>197</v>
      </c>
      <c r="E36" s="21" t="s">
        <v>204</v>
      </c>
      <c r="F36" s="26"/>
      <c r="G36" s="30">
        <f t="shared" si="1"/>
        <v>0</v>
      </c>
    </row>
    <row r="37" spans="1:7" x14ac:dyDescent="0.25">
      <c r="A37" s="19"/>
      <c r="B37" s="9" t="s">
        <v>133</v>
      </c>
      <c r="C37" s="21"/>
      <c r="D37" s="21"/>
      <c r="E37" s="21"/>
      <c r="F37" s="26"/>
      <c r="G37" s="30"/>
    </row>
    <row r="38" spans="1:7" x14ac:dyDescent="0.25">
      <c r="A38" s="19" t="s">
        <v>21</v>
      </c>
      <c r="B38" s="8" t="s">
        <v>134</v>
      </c>
      <c r="C38" s="21">
        <v>100</v>
      </c>
      <c r="D38" s="21" t="s">
        <v>199</v>
      </c>
      <c r="E38" s="21" t="s">
        <v>204</v>
      </c>
      <c r="F38" s="26"/>
      <c r="G38" s="30">
        <f t="shared" si="1"/>
        <v>0</v>
      </c>
    </row>
    <row r="39" spans="1:7" x14ac:dyDescent="0.25">
      <c r="A39" s="19" t="s">
        <v>22</v>
      </c>
      <c r="B39" s="8" t="s">
        <v>135</v>
      </c>
      <c r="C39" s="21">
        <v>100</v>
      </c>
      <c r="D39" s="21" t="s">
        <v>199</v>
      </c>
      <c r="E39" s="21" t="s">
        <v>204</v>
      </c>
      <c r="F39" s="26"/>
      <c r="G39" s="30">
        <f t="shared" si="1"/>
        <v>0</v>
      </c>
    </row>
    <row r="40" spans="1:7" x14ac:dyDescent="0.25">
      <c r="A40" s="19"/>
      <c r="B40" s="9" t="s">
        <v>295</v>
      </c>
      <c r="C40" s="21"/>
      <c r="D40" s="21"/>
      <c r="E40" s="21"/>
      <c r="F40" s="26"/>
      <c r="G40" s="30"/>
    </row>
    <row r="41" spans="1:7" ht="31.5" x14ac:dyDescent="0.25">
      <c r="A41" s="19"/>
      <c r="B41" s="9" t="s">
        <v>215</v>
      </c>
      <c r="C41" s="21"/>
      <c r="D41" s="21"/>
      <c r="E41" s="21"/>
      <c r="F41" s="26"/>
      <c r="G41" s="30"/>
    </row>
    <row r="42" spans="1:7" x14ac:dyDescent="0.25">
      <c r="A42" s="19" t="s">
        <v>23</v>
      </c>
      <c r="B42" s="8" t="s">
        <v>136</v>
      </c>
      <c r="C42" s="21">
        <v>100</v>
      </c>
      <c r="D42" s="21" t="s">
        <v>197</v>
      </c>
      <c r="E42" s="21" t="s">
        <v>204</v>
      </c>
      <c r="F42" s="26"/>
      <c r="G42" s="30">
        <f t="shared" si="1"/>
        <v>0</v>
      </c>
    </row>
    <row r="43" spans="1:7" ht="31.5" x14ac:dyDescent="0.25">
      <c r="A43" s="19"/>
      <c r="B43" s="9" t="s">
        <v>214</v>
      </c>
      <c r="C43" s="21"/>
      <c r="D43" s="21"/>
      <c r="E43" s="21"/>
      <c r="F43" s="26"/>
      <c r="G43" s="30"/>
    </row>
    <row r="44" spans="1:7" x14ac:dyDescent="0.25">
      <c r="A44" s="19" t="s">
        <v>24</v>
      </c>
      <c r="B44" s="8" t="s">
        <v>137</v>
      </c>
      <c r="C44" s="21">
        <v>100</v>
      </c>
      <c r="D44" s="21" t="s">
        <v>197</v>
      </c>
      <c r="E44" s="21" t="s">
        <v>204</v>
      </c>
      <c r="F44" s="26"/>
      <c r="G44" s="30">
        <f t="shared" si="1"/>
        <v>0</v>
      </c>
    </row>
    <row r="45" spans="1:7" ht="47.25" x14ac:dyDescent="0.25">
      <c r="A45" s="19"/>
      <c r="B45" s="9" t="s">
        <v>292</v>
      </c>
      <c r="C45" s="21"/>
      <c r="D45" s="21"/>
      <c r="E45" s="21"/>
      <c r="F45" s="26"/>
      <c r="G45" s="30"/>
    </row>
    <row r="46" spans="1:7" x14ac:dyDescent="0.25">
      <c r="A46" s="19" t="s">
        <v>25</v>
      </c>
      <c r="B46" s="8" t="s">
        <v>138</v>
      </c>
      <c r="C46" s="21">
        <v>100</v>
      </c>
      <c r="D46" s="21" t="s">
        <v>197</v>
      </c>
      <c r="E46" s="21" t="s">
        <v>204</v>
      </c>
      <c r="F46" s="26"/>
      <c r="G46" s="30">
        <f t="shared" si="1"/>
        <v>0</v>
      </c>
    </row>
    <row r="47" spans="1:7" x14ac:dyDescent="0.25">
      <c r="A47" s="19" t="s">
        <v>26</v>
      </c>
      <c r="B47" s="8" t="s">
        <v>139</v>
      </c>
      <c r="C47" s="21">
        <v>100</v>
      </c>
      <c r="D47" s="21" t="s">
        <v>197</v>
      </c>
      <c r="E47" s="21" t="s">
        <v>204</v>
      </c>
      <c r="F47" s="26"/>
      <c r="G47" s="30">
        <f t="shared" si="1"/>
        <v>0</v>
      </c>
    </row>
    <row r="48" spans="1:7" ht="31.5" x14ac:dyDescent="0.25">
      <c r="A48" s="19" t="s">
        <v>27</v>
      </c>
      <c r="B48" s="8" t="s">
        <v>265</v>
      </c>
      <c r="C48" s="21">
        <v>150</v>
      </c>
      <c r="D48" s="21" t="s">
        <v>199</v>
      </c>
      <c r="E48" s="21" t="s">
        <v>204</v>
      </c>
      <c r="F48" s="26"/>
      <c r="G48" s="30">
        <f t="shared" si="1"/>
        <v>0</v>
      </c>
    </row>
    <row r="49" spans="1:7" ht="31.5" x14ac:dyDescent="0.25">
      <c r="A49" s="19" t="s">
        <v>28</v>
      </c>
      <c r="B49" s="8" t="s">
        <v>266</v>
      </c>
      <c r="C49" s="21">
        <v>36</v>
      </c>
      <c r="D49" s="21" t="s">
        <v>199</v>
      </c>
      <c r="E49" s="21" t="s">
        <v>204</v>
      </c>
      <c r="F49" s="26"/>
      <c r="G49" s="30">
        <f t="shared" si="1"/>
        <v>0</v>
      </c>
    </row>
    <row r="50" spans="1:7" ht="47.25" x14ac:dyDescent="0.25">
      <c r="A50" s="19" t="s">
        <v>29</v>
      </c>
      <c r="B50" s="8" t="s">
        <v>267</v>
      </c>
      <c r="C50" s="21">
        <v>100</v>
      </c>
      <c r="D50" s="21" t="s">
        <v>199</v>
      </c>
      <c r="E50" s="21" t="s">
        <v>204</v>
      </c>
      <c r="F50" s="26"/>
      <c r="G50" s="30">
        <f t="shared" si="1"/>
        <v>0</v>
      </c>
    </row>
    <row r="51" spans="1:7" x14ac:dyDescent="0.25">
      <c r="A51" s="19" t="s">
        <v>30</v>
      </c>
      <c r="B51" s="8" t="s">
        <v>140</v>
      </c>
      <c r="C51" s="21">
        <v>100</v>
      </c>
      <c r="D51" s="21" t="s">
        <v>197</v>
      </c>
      <c r="E51" s="21" t="s">
        <v>204</v>
      </c>
      <c r="F51" s="26"/>
      <c r="G51" s="30">
        <f t="shared" si="1"/>
        <v>0</v>
      </c>
    </row>
    <row r="52" spans="1:7" x14ac:dyDescent="0.25">
      <c r="A52" s="19" t="s">
        <v>31</v>
      </c>
      <c r="B52" s="8" t="s">
        <v>141</v>
      </c>
      <c r="C52" s="21">
        <v>300</v>
      </c>
      <c r="D52" s="21" t="s">
        <v>199</v>
      </c>
      <c r="E52" s="21" t="s">
        <v>204</v>
      </c>
      <c r="F52" s="26"/>
      <c r="G52" s="30">
        <f t="shared" si="1"/>
        <v>0</v>
      </c>
    </row>
    <row r="53" spans="1:7" x14ac:dyDescent="0.25">
      <c r="A53" s="19"/>
      <c r="B53" s="9" t="s">
        <v>142</v>
      </c>
      <c r="C53" s="21"/>
      <c r="D53" s="21"/>
      <c r="E53" s="21"/>
      <c r="F53" s="26"/>
      <c r="G53" s="30"/>
    </row>
    <row r="54" spans="1:7" x14ac:dyDescent="0.25">
      <c r="A54" s="19" t="s">
        <v>32</v>
      </c>
      <c r="B54" s="8" t="s">
        <v>143</v>
      </c>
      <c r="C54" s="21">
        <v>150</v>
      </c>
      <c r="D54" s="21" t="s">
        <v>199</v>
      </c>
      <c r="E54" s="21" t="s">
        <v>204</v>
      </c>
      <c r="F54" s="26"/>
      <c r="G54" s="30">
        <f t="shared" si="1"/>
        <v>0</v>
      </c>
    </row>
    <row r="55" spans="1:7" ht="31.5" x14ac:dyDescent="0.25">
      <c r="A55" s="19"/>
      <c r="B55" s="9" t="s">
        <v>278</v>
      </c>
      <c r="C55" s="21"/>
      <c r="D55" s="21"/>
      <c r="E55" s="21"/>
      <c r="F55" s="26"/>
      <c r="G55" s="30"/>
    </row>
    <row r="56" spans="1:7" x14ac:dyDescent="0.25">
      <c r="A56" s="19" t="s">
        <v>33</v>
      </c>
      <c r="B56" s="8" t="s">
        <v>144</v>
      </c>
      <c r="C56" s="21">
        <v>100</v>
      </c>
      <c r="D56" s="21" t="s">
        <v>197</v>
      </c>
      <c r="E56" s="21" t="s">
        <v>204</v>
      </c>
      <c r="F56" s="26"/>
      <c r="G56" s="30">
        <f t="shared" si="1"/>
        <v>0</v>
      </c>
    </row>
    <row r="57" spans="1:7" x14ac:dyDescent="0.25">
      <c r="A57" s="19" t="s">
        <v>34</v>
      </c>
      <c r="B57" s="8" t="s">
        <v>145</v>
      </c>
      <c r="C57" s="21">
        <v>100</v>
      </c>
      <c r="D57" s="21" t="s">
        <v>197</v>
      </c>
      <c r="E57" s="21" t="s">
        <v>204</v>
      </c>
      <c r="F57" s="26"/>
      <c r="G57" s="30">
        <f t="shared" si="1"/>
        <v>0</v>
      </c>
    </row>
    <row r="58" spans="1:7" x14ac:dyDescent="0.25">
      <c r="A58" s="19" t="s">
        <v>35</v>
      </c>
      <c r="B58" s="8" t="s">
        <v>146</v>
      </c>
      <c r="C58" s="21">
        <v>100</v>
      </c>
      <c r="D58" s="21" t="s">
        <v>197</v>
      </c>
      <c r="E58" s="21" t="s">
        <v>204</v>
      </c>
      <c r="F58" s="26"/>
      <c r="G58" s="30">
        <f t="shared" si="1"/>
        <v>0</v>
      </c>
    </row>
    <row r="59" spans="1:7" ht="31.5" x14ac:dyDescent="0.25">
      <c r="A59" s="19"/>
      <c r="B59" s="9" t="s">
        <v>147</v>
      </c>
      <c r="C59" s="21"/>
      <c r="D59" s="21"/>
      <c r="E59" s="21"/>
      <c r="F59" s="26"/>
      <c r="G59" s="30"/>
    </row>
    <row r="60" spans="1:7" x14ac:dyDescent="0.25">
      <c r="A60" s="19" t="s">
        <v>36</v>
      </c>
      <c r="B60" s="8" t="s">
        <v>144</v>
      </c>
      <c r="C60" s="21">
        <v>100</v>
      </c>
      <c r="D60" s="21" t="s">
        <v>197</v>
      </c>
      <c r="E60" s="21" t="s">
        <v>204</v>
      </c>
      <c r="F60" s="26"/>
      <c r="G60" s="30">
        <f t="shared" ref="G60:G78" si="2">F60*C60</f>
        <v>0</v>
      </c>
    </row>
    <row r="61" spans="1:7" x14ac:dyDescent="0.25">
      <c r="A61" s="19" t="s">
        <v>37</v>
      </c>
      <c r="B61" s="8" t="s">
        <v>145</v>
      </c>
      <c r="C61" s="21">
        <v>100</v>
      </c>
      <c r="D61" s="21" t="s">
        <v>197</v>
      </c>
      <c r="E61" s="21" t="s">
        <v>204</v>
      </c>
      <c r="F61" s="26"/>
      <c r="G61" s="30">
        <f t="shared" si="2"/>
        <v>0</v>
      </c>
    </row>
    <row r="62" spans="1:7" x14ac:dyDescent="0.25">
      <c r="A62" s="19" t="s">
        <v>38</v>
      </c>
      <c r="B62" s="8" t="s">
        <v>146</v>
      </c>
      <c r="C62" s="21">
        <v>100</v>
      </c>
      <c r="D62" s="21" t="s">
        <v>197</v>
      </c>
      <c r="E62" s="21" t="s">
        <v>204</v>
      </c>
      <c r="F62" s="26"/>
      <c r="G62" s="30">
        <f t="shared" si="2"/>
        <v>0</v>
      </c>
    </row>
    <row r="63" spans="1:7" x14ac:dyDescent="0.25">
      <c r="A63" s="19" t="s">
        <v>39</v>
      </c>
      <c r="B63" s="8" t="s">
        <v>148</v>
      </c>
      <c r="C63" s="21">
        <v>100</v>
      </c>
      <c r="D63" s="21" t="s">
        <v>199</v>
      </c>
      <c r="E63" s="21" t="s">
        <v>204</v>
      </c>
      <c r="F63" s="26"/>
      <c r="G63" s="30">
        <f t="shared" si="2"/>
        <v>0</v>
      </c>
    </row>
    <row r="64" spans="1:7" x14ac:dyDescent="0.25">
      <c r="A64" s="19" t="s">
        <v>40</v>
      </c>
      <c r="B64" s="8" t="s">
        <v>149</v>
      </c>
      <c r="C64" s="21">
        <v>100</v>
      </c>
      <c r="D64" s="21" t="s">
        <v>201</v>
      </c>
      <c r="E64" s="21" t="s">
        <v>204</v>
      </c>
      <c r="F64" s="26"/>
      <c r="G64" s="30">
        <f t="shared" si="2"/>
        <v>0</v>
      </c>
    </row>
    <row r="65" spans="1:7" ht="18.75" customHeight="1" x14ac:dyDescent="0.25">
      <c r="A65" s="19" t="s">
        <v>41</v>
      </c>
      <c r="B65" s="8" t="s">
        <v>150</v>
      </c>
      <c r="C65" s="21">
        <v>100</v>
      </c>
      <c r="D65" s="21" t="s">
        <v>200</v>
      </c>
      <c r="E65" s="21" t="s">
        <v>204</v>
      </c>
      <c r="F65" s="26"/>
      <c r="G65" s="30">
        <f t="shared" si="2"/>
        <v>0</v>
      </c>
    </row>
    <row r="66" spans="1:7" x14ac:dyDescent="0.25">
      <c r="A66" s="19" t="s">
        <v>42</v>
      </c>
      <c r="B66" s="8" t="s">
        <v>151</v>
      </c>
      <c r="C66" s="21">
        <v>100</v>
      </c>
      <c r="D66" s="21" t="s">
        <v>201</v>
      </c>
      <c r="E66" s="21" t="s">
        <v>204</v>
      </c>
      <c r="F66" s="26"/>
      <c r="G66" s="30">
        <f t="shared" si="2"/>
        <v>0</v>
      </c>
    </row>
    <row r="67" spans="1:7" ht="31.5" x14ac:dyDescent="0.25">
      <c r="A67" s="19"/>
      <c r="B67" s="9" t="s">
        <v>213</v>
      </c>
      <c r="C67" s="21"/>
      <c r="D67" s="21"/>
      <c r="E67" s="21"/>
      <c r="F67" s="26"/>
      <c r="G67" s="30"/>
    </row>
    <row r="68" spans="1:7" x14ac:dyDescent="0.25">
      <c r="A68" s="19" t="s">
        <v>43</v>
      </c>
      <c r="B68" s="8" t="s">
        <v>152</v>
      </c>
      <c r="C68" s="21">
        <v>100</v>
      </c>
      <c r="D68" s="21" t="s">
        <v>197</v>
      </c>
      <c r="E68" s="21" t="s">
        <v>204</v>
      </c>
      <c r="F68" s="26"/>
      <c r="G68" s="30">
        <f t="shared" si="2"/>
        <v>0</v>
      </c>
    </row>
    <row r="69" spans="1:7" x14ac:dyDescent="0.25">
      <c r="A69" s="19" t="s">
        <v>44</v>
      </c>
      <c r="B69" s="8" t="s">
        <v>153</v>
      </c>
      <c r="C69" s="21">
        <v>100</v>
      </c>
      <c r="D69" s="21" t="s">
        <v>197</v>
      </c>
      <c r="E69" s="21" t="s">
        <v>204</v>
      </c>
      <c r="F69" s="26"/>
      <c r="G69" s="30">
        <f t="shared" si="2"/>
        <v>0</v>
      </c>
    </row>
    <row r="70" spans="1:7" x14ac:dyDescent="0.25">
      <c r="A70" s="19" t="s">
        <v>45</v>
      </c>
      <c r="B70" s="8" t="s">
        <v>154</v>
      </c>
      <c r="C70" s="21">
        <v>100</v>
      </c>
      <c r="D70" s="21" t="s">
        <v>199</v>
      </c>
      <c r="E70" s="21" t="s">
        <v>204</v>
      </c>
      <c r="F70" s="26"/>
      <c r="G70" s="30">
        <f t="shared" si="2"/>
        <v>0</v>
      </c>
    </row>
    <row r="71" spans="1:7" x14ac:dyDescent="0.25">
      <c r="A71" s="19" t="s">
        <v>46</v>
      </c>
      <c r="B71" s="8" t="s">
        <v>155</v>
      </c>
      <c r="C71" s="21">
        <v>100</v>
      </c>
      <c r="D71" s="21" t="s">
        <v>201</v>
      </c>
      <c r="E71" s="21" t="s">
        <v>204</v>
      </c>
      <c r="F71" s="26"/>
      <c r="G71" s="30">
        <f t="shared" si="2"/>
        <v>0</v>
      </c>
    </row>
    <row r="72" spans="1:7" ht="31.5" x14ac:dyDescent="0.25">
      <c r="A72" s="19"/>
      <c r="B72" s="9" t="s">
        <v>268</v>
      </c>
      <c r="C72" s="21"/>
      <c r="D72" s="21"/>
      <c r="E72" s="21"/>
      <c r="F72" s="26"/>
      <c r="G72" s="30"/>
    </row>
    <row r="73" spans="1:7" x14ac:dyDescent="0.25">
      <c r="A73" s="19" t="s">
        <v>47</v>
      </c>
      <c r="B73" s="8" t="s">
        <v>156</v>
      </c>
      <c r="C73" s="21">
        <v>100</v>
      </c>
      <c r="D73" s="21" t="s">
        <v>199</v>
      </c>
      <c r="E73" s="21" t="s">
        <v>204</v>
      </c>
      <c r="F73" s="26"/>
      <c r="G73" s="30">
        <f t="shared" si="2"/>
        <v>0</v>
      </c>
    </row>
    <row r="74" spans="1:7" x14ac:dyDescent="0.25">
      <c r="A74" s="19" t="s">
        <v>48</v>
      </c>
      <c r="B74" s="8" t="s">
        <v>157</v>
      </c>
      <c r="C74" s="21">
        <v>100</v>
      </c>
      <c r="D74" s="21" t="s">
        <v>199</v>
      </c>
      <c r="E74" s="21" t="s">
        <v>204</v>
      </c>
      <c r="F74" s="26"/>
      <c r="G74" s="30">
        <f t="shared" si="2"/>
        <v>0</v>
      </c>
    </row>
    <row r="75" spans="1:7" x14ac:dyDescent="0.25">
      <c r="A75" s="19" t="s">
        <v>49</v>
      </c>
      <c r="B75" s="8" t="s">
        <v>158</v>
      </c>
      <c r="C75" s="21">
        <v>100</v>
      </c>
      <c r="D75" s="21" t="s">
        <v>199</v>
      </c>
      <c r="E75" s="21" t="s">
        <v>204</v>
      </c>
      <c r="F75" s="26"/>
      <c r="G75" s="30">
        <f t="shared" si="2"/>
        <v>0</v>
      </c>
    </row>
    <row r="76" spans="1:7" x14ac:dyDescent="0.25">
      <c r="A76" s="19" t="s">
        <v>50</v>
      </c>
      <c r="B76" s="8" t="s">
        <v>159</v>
      </c>
      <c r="C76" s="21">
        <v>100</v>
      </c>
      <c r="D76" s="21" t="s">
        <v>199</v>
      </c>
      <c r="E76" s="21" t="s">
        <v>204</v>
      </c>
      <c r="F76" s="26"/>
      <c r="G76" s="30">
        <f t="shared" si="2"/>
        <v>0</v>
      </c>
    </row>
    <row r="77" spans="1:7" ht="31.5" x14ac:dyDescent="0.25">
      <c r="A77" s="19"/>
      <c r="B77" s="9" t="s">
        <v>269</v>
      </c>
      <c r="C77" s="21"/>
      <c r="D77" s="21"/>
      <c r="E77" s="21"/>
      <c r="F77" s="26"/>
      <c r="G77" s="30"/>
    </row>
    <row r="78" spans="1:7" x14ac:dyDescent="0.25">
      <c r="A78" s="19" t="s">
        <v>51</v>
      </c>
      <c r="B78" s="8" t="s">
        <v>156</v>
      </c>
      <c r="C78" s="21">
        <v>100</v>
      </c>
      <c r="D78" s="21" t="s">
        <v>199</v>
      </c>
      <c r="E78" s="21" t="s">
        <v>204</v>
      </c>
      <c r="F78" s="26"/>
      <c r="G78" s="30">
        <f t="shared" si="2"/>
        <v>0</v>
      </c>
    </row>
    <row r="79" spans="1:7" x14ac:dyDescent="0.25">
      <c r="A79" s="19" t="s">
        <v>52</v>
      </c>
      <c r="B79" s="8" t="s">
        <v>157</v>
      </c>
      <c r="C79" s="21">
        <v>100</v>
      </c>
      <c r="D79" s="21" t="s">
        <v>199</v>
      </c>
      <c r="E79" s="21" t="s">
        <v>204</v>
      </c>
      <c r="F79" s="26"/>
      <c r="G79" s="30">
        <f t="shared" ref="G79:G115" si="3">F79*C79</f>
        <v>0</v>
      </c>
    </row>
    <row r="80" spans="1:7" x14ac:dyDescent="0.25">
      <c r="A80" s="19" t="s">
        <v>53</v>
      </c>
      <c r="B80" s="8" t="s">
        <v>158</v>
      </c>
      <c r="C80" s="21">
        <v>100</v>
      </c>
      <c r="D80" s="21" t="s">
        <v>199</v>
      </c>
      <c r="E80" s="21" t="s">
        <v>204</v>
      </c>
      <c r="F80" s="26"/>
      <c r="G80" s="30">
        <f t="shared" si="3"/>
        <v>0</v>
      </c>
    </row>
    <row r="81" spans="1:7" x14ac:dyDescent="0.25">
      <c r="A81" s="19" t="s">
        <v>220</v>
      </c>
      <c r="B81" s="8" t="s">
        <v>159</v>
      </c>
      <c r="C81" s="21">
        <v>100</v>
      </c>
      <c r="D81" s="21" t="s">
        <v>199</v>
      </c>
      <c r="E81" s="21" t="s">
        <v>204</v>
      </c>
      <c r="F81" s="26"/>
      <c r="G81" s="30">
        <f t="shared" si="3"/>
        <v>0</v>
      </c>
    </row>
    <row r="82" spans="1:7" ht="31.5" x14ac:dyDescent="0.25">
      <c r="A82" s="19"/>
      <c r="B82" s="12" t="s">
        <v>279</v>
      </c>
      <c r="C82" s="21"/>
      <c r="D82" s="21"/>
      <c r="E82" s="21"/>
      <c r="F82" s="26"/>
      <c r="G82" s="30"/>
    </row>
    <row r="83" spans="1:7" x14ac:dyDescent="0.25">
      <c r="A83" s="19" t="s">
        <v>221</v>
      </c>
      <c r="B83" s="8" t="s">
        <v>156</v>
      </c>
      <c r="C83" s="21">
        <v>100</v>
      </c>
      <c r="D83" s="21" t="s">
        <v>200</v>
      </c>
      <c r="E83" s="21" t="s">
        <v>204</v>
      </c>
      <c r="F83" s="26"/>
      <c r="G83" s="30">
        <f t="shared" si="3"/>
        <v>0</v>
      </c>
    </row>
    <row r="84" spans="1:7" x14ac:dyDescent="0.25">
      <c r="A84" s="19" t="s">
        <v>222</v>
      </c>
      <c r="B84" s="8" t="s">
        <v>157</v>
      </c>
      <c r="C84" s="21">
        <v>100</v>
      </c>
      <c r="D84" s="21" t="s">
        <v>200</v>
      </c>
      <c r="E84" s="21" t="s">
        <v>204</v>
      </c>
      <c r="F84" s="26"/>
      <c r="G84" s="30">
        <f t="shared" si="3"/>
        <v>0</v>
      </c>
    </row>
    <row r="85" spans="1:7" x14ac:dyDescent="0.25">
      <c r="A85" s="19" t="s">
        <v>223</v>
      </c>
      <c r="B85" s="8" t="s">
        <v>158</v>
      </c>
      <c r="C85" s="21">
        <v>100</v>
      </c>
      <c r="D85" s="21" t="s">
        <v>200</v>
      </c>
      <c r="E85" s="21" t="s">
        <v>204</v>
      </c>
      <c r="F85" s="26"/>
      <c r="G85" s="30">
        <f t="shared" si="3"/>
        <v>0</v>
      </c>
    </row>
    <row r="86" spans="1:7" x14ac:dyDescent="0.25">
      <c r="A86" s="19" t="s">
        <v>224</v>
      </c>
      <c r="B86" s="8" t="s">
        <v>159</v>
      </c>
      <c r="C86" s="21">
        <v>100</v>
      </c>
      <c r="D86" s="21" t="s">
        <v>200</v>
      </c>
      <c r="E86" s="21" t="s">
        <v>204</v>
      </c>
      <c r="F86" s="26"/>
      <c r="G86" s="30">
        <f t="shared" si="3"/>
        <v>0</v>
      </c>
    </row>
    <row r="87" spans="1:7" x14ac:dyDescent="0.25">
      <c r="A87" s="19"/>
      <c r="B87" s="9" t="s">
        <v>160</v>
      </c>
      <c r="C87" s="21"/>
      <c r="D87" s="21"/>
      <c r="E87" s="21"/>
      <c r="F87" s="26"/>
      <c r="G87" s="30"/>
    </row>
    <row r="88" spans="1:7" x14ac:dyDescent="0.25">
      <c r="A88" s="19"/>
      <c r="B88" s="9" t="s">
        <v>161</v>
      </c>
      <c r="C88" s="21"/>
      <c r="D88" s="21"/>
      <c r="E88" s="21"/>
      <c r="F88" s="26"/>
      <c r="G88" s="30"/>
    </row>
    <row r="89" spans="1:7" x14ac:dyDescent="0.25">
      <c r="A89" s="19" t="s">
        <v>225</v>
      </c>
      <c r="B89" s="8" t="s">
        <v>162</v>
      </c>
      <c r="C89" s="21">
        <v>100</v>
      </c>
      <c r="D89" s="21" t="s">
        <v>200</v>
      </c>
      <c r="E89" s="21" t="s">
        <v>204</v>
      </c>
      <c r="F89" s="26"/>
      <c r="G89" s="30">
        <f t="shared" si="3"/>
        <v>0</v>
      </c>
    </row>
    <row r="90" spans="1:7" x14ac:dyDescent="0.25">
      <c r="A90" s="19" t="s">
        <v>226</v>
      </c>
      <c r="B90" s="8" t="s">
        <v>163</v>
      </c>
      <c r="C90" s="21">
        <v>100</v>
      </c>
      <c r="D90" s="21" t="s">
        <v>200</v>
      </c>
      <c r="E90" s="21" t="s">
        <v>204</v>
      </c>
      <c r="F90" s="26"/>
      <c r="G90" s="30">
        <f t="shared" si="3"/>
        <v>0</v>
      </c>
    </row>
    <row r="91" spans="1:7" x14ac:dyDescent="0.25">
      <c r="A91" s="19" t="s">
        <v>227</v>
      </c>
      <c r="B91" s="8" t="s">
        <v>164</v>
      </c>
      <c r="C91" s="21">
        <v>100</v>
      </c>
      <c r="D91" s="21" t="s">
        <v>200</v>
      </c>
      <c r="E91" s="21" t="s">
        <v>204</v>
      </c>
      <c r="F91" s="26"/>
      <c r="G91" s="30">
        <f t="shared" si="3"/>
        <v>0</v>
      </c>
    </row>
    <row r="92" spans="1:7" x14ac:dyDescent="0.25">
      <c r="A92" s="19" t="s">
        <v>228</v>
      </c>
      <c r="B92" s="8" t="s">
        <v>165</v>
      </c>
      <c r="C92" s="21">
        <v>100</v>
      </c>
      <c r="D92" s="21" t="s">
        <v>200</v>
      </c>
      <c r="E92" s="21" t="s">
        <v>204</v>
      </c>
      <c r="F92" s="26"/>
      <c r="G92" s="30">
        <f t="shared" si="3"/>
        <v>0</v>
      </c>
    </row>
    <row r="93" spans="1:7" x14ac:dyDescent="0.25">
      <c r="A93" s="19" t="s">
        <v>229</v>
      </c>
      <c r="B93" s="8" t="s">
        <v>166</v>
      </c>
      <c r="C93" s="21">
        <v>100</v>
      </c>
      <c r="D93" s="21" t="s">
        <v>200</v>
      </c>
      <c r="E93" s="21" t="s">
        <v>204</v>
      </c>
      <c r="F93" s="26"/>
      <c r="G93" s="30">
        <f t="shared" si="3"/>
        <v>0</v>
      </c>
    </row>
    <row r="94" spans="1:7" x14ac:dyDescent="0.25">
      <c r="A94" s="19" t="s">
        <v>230</v>
      </c>
      <c r="B94" s="8" t="s">
        <v>241</v>
      </c>
      <c r="C94" s="21">
        <v>100</v>
      </c>
      <c r="D94" s="21" t="s">
        <v>200</v>
      </c>
      <c r="E94" s="21" t="s">
        <v>204</v>
      </c>
      <c r="F94" s="26"/>
      <c r="G94" s="30">
        <f t="shared" si="3"/>
        <v>0</v>
      </c>
    </row>
    <row r="95" spans="1:7" x14ac:dyDescent="0.25">
      <c r="A95" s="19" t="s">
        <v>231</v>
      </c>
      <c r="B95" s="8" t="s">
        <v>242</v>
      </c>
      <c r="C95" s="21">
        <v>100</v>
      </c>
      <c r="D95" s="21" t="s">
        <v>200</v>
      </c>
      <c r="E95" s="21" t="s">
        <v>204</v>
      </c>
      <c r="F95" s="26"/>
      <c r="G95" s="30">
        <f t="shared" si="3"/>
        <v>0</v>
      </c>
    </row>
    <row r="96" spans="1:7" x14ac:dyDescent="0.25">
      <c r="A96" s="19" t="s">
        <v>232</v>
      </c>
      <c r="B96" s="8" t="s">
        <v>243</v>
      </c>
      <c r="C96" s="21">
        <v>100</v>
      </c>
      <c r="D96" s="21" t="s">
        <v>200</v>
      </c>
      <c r="E96" s="21" t="s">
        <v>204</v>
      </c>
      <c r="F96" s="26"/>
      <c r="G96" s="30">
        <f t="shared" si="3"/>
        <v>0</v>
      </c>
    </row>
    <row r="97" spans="1:7" x14ac:dyDescent="0.25">
      <c r="A97" s="19" t="s">
        <v>233</v>
      </c>
      <c r="B97" s="8" t="s">
        <v>244</v>
      </c>
      <c r="C97" s="21">
        <v>100</v>
      </c>
      <c r="D97" s="21" t="s">
        <v>200</v>
      </c>
      <c r="E97" s="21" t="s">
        <v>204</v>
      </c>
      <c r="F97" s="26"/>
      <c r="G97" s="30">
        <f t="shared" si="3"/>
        <v>0</v>
      </c>
    </row>
    <row r="98" spans="1:7" x14ac:dyDescent="0.25">
      <c r="A98" s="19" t="s">
        <v>234</v>
      </c>
      <c r="B98" s="8" t="s">
        <v>167</v>
      </c>
      <c r="C98" s="21">
        <v>100</v>
      </c>
      <c r="D98" s="21" t="s">
        <v>200</v>
      </c>
      <c r="E98" s="21" t="s">
        <v>204</v>
      </c>
      <c r="F98" s="26"/>
      <c r="G98" s="30">
        <f t="shared" si="3"/>
        <v>0</v>
      </c>
    </row>
    <row r="99" spans="1:7" x14ac:dyDescent="0.25">
      <c r="A99" s="19" t="s">
        <v>235</v>
      </c>
      <c r="B99" s="8" t="s">
        <v>168</v>
      </c>
      <c r="C99" s="21">
        <v>100</v>
      </c>
      <c r="D99" s="21" t="s">
        <v>200</v>
      </c>
      <c r="E99" s="21" t="s">
        <v>204</v>
      </c>
      <c r="F99" s="26"/>
      <c r="G99" s="30">
        <f t="shared" si="3"/>
        <v>0</v>
      </c>
    </row>
    <row r="100" spans="1:7" x14ac:dyDescent="0.25">
      <c r="A100" s="19"/>
      <c r="B100" s="9" t="s">
        <v>169</v>
      </c>
      <c r="C100" s="21"/>
      <c r="D100" s="21"/>
      <c r="E100" s="21"/>
      <c r="F100" s="26"/>
      <c r="G100" s="30"/>
    </row>
    <row r="101" spans="1:7" x14ac:dyDescent="0.25">
      <c r="A101" s="19" t="s">
        <v>54</v>
      </c>
      <c r="B101" s="8" t="s">
        <v>170</v>
      </c>
      <c r="C101" s="21">
        <v>100</v>
      </c>
      <c r="D101" s="21" t="s">
        <v>200</v>
      </c>
      <c r="E101" s="21" t="s">
        <v>204</v>
      </c>
      <c r="F101" s="26"/>
      <c r="G101" s="30">
        <f t="shared" si="3"/>
        <v>0</v>
      </c>
    </row>
    <row r="102" spans="1:7" x14ac:dyDescent="0.25">
      <c r="A102" s="19" t="s">
        <v>55</v>
      </c>
      <c r="B102" s="8" t="s">
        <v>171</v>
      </c>
      <c r="C102" s="21">
        <v>100</v>
      </c>
      <c r="D102" s="21" t="s">
        <v>200</v>
      </c>
      <c r="E102" s="21" t="s">
        <v>204</v>
      </c>
      <c r="F102" s="26"/>
      <c r="G102" s="30">
        <f t="shared" si="3"/>
        <v>0</v>
      </c>
    </row>
    <row r="103" spans="1:7" x14ac:dyDescent="0.25">
      <c r="A103" s="19" t="s">
        <v>56</v>
      </c>
      <c r="B103" s="8" t="s">
        <v>172</v>
      </c>
      <c r="C103" s="21">
        <v>100</v>
      </c>
      <c r="D103" s="21" t="s">
        <v>200</v>
      </c>
      <c r="E103" s="21" t="s">
        <v>204</v>
      </c>
      <c r="F103" s="26"/>
      <c r="G103" s="30">
        <f t="shared" si="3"/>
        <v>0</v>
      </c>
    </row>
    <row r="104" spans="1:7" x14ac:dyDescent="0.25">
      <c r="A104" s="19" t="s">
        <v>57</v>
      </c>
      <c r="B104" s="8" t="s">
        <v>173</v>
      </c>
      <c r="C104" s="21">
        <v>100</v>
      </c>
      <c r="D104" s="21" t="s">
        <v>200</v>
      </c>
      <c r="E104" s="21" t="s">
        <v>204</v>
      </c>
      <c r="F104" s="26"/>
      <c r="G104" s="30">
        <f t="shared" si="3"/>
        <v>0</v>
      </c>
    </row>
    <row r="105" spans="1:7" x14ac:dyDescent="0.25">
      <c r="A105" s="19" t="s">
        <v>58</v>
      </c>
      <c r="B105" s="8" t="s">
        <v>174</v>
      </c>
      <c r="C105" s="21">
        <v>100</v>
      </c>
      <c r="D105" s="21" t="s">
        <v>200</v>
      </c>
      <c r="E105" s="21" t="s">
        <v>204</v>
      </c>
      <c r="F105" s="26"/>
      <c r="G105" s="30">
        <f t="shared" si="3"/>
        <v>0</v>
      </c>
    </row>
    <row r="106" spans="1:7" x14ac:dyDescent="0.25">
      <c r="A106" s="19" t="s">
        <v>59</v>
      </c>
      <c r="B106" s="8" t="s">
        <v>245</v>
      </c>
      <c r="C106" s="21">
        <v>100</v>
      </c>
      <c r="D106" s="21" t="s">
        <v>200</v>
      </c>
      <c r="E106" s="21" t="s">
        <v>204</v>
      </c>
      <c r="F106" s="26"/>
      <c r="G106" s="30">
        <f t="shared" si="3"/>
        <v>0</v>
      </c>
    </row>
    <row r="107" spans="1:7" x14ac:dyDescent="0.25">
      <c r="A107" s="19" t="s">
        <v>60</v>
      </c>
      <c r="B107" s="8" t="s">
        <v>246</v>
      </c>
      <c r="C107" s="21">
        <v>100</v>
      </c>
      <c r="D107" s="21" t="s">
        <v>200</v>
      </c>
      <c r="E107" s="21" t="s">
        <v>204</v>
      </c>
      <c r="F107" s="26"/>
      <c r="G107" s="30">
        <f t="shared" si="3"/>
        <v>0</v>
      </c>
    </row>
    <row r="108" spans="1:7" x14ac:dyDescent="0.25">
      <c r="A108" s="19" t="s">
        <v>61</v>
      </c>
      <c r="B108" s="8" t="s">
        <v>175</v>
      </c>
      <c r="C108" s="21">
        <v>100</v>
      </c>
      <c r="D108" s="21" t="s">
        <v>200</v>
      </c>
      <c r="E108" s="21" t="s">
        <v>204</v>
      </c>
      <c r="F108" s="26"/>
      <c r="G108" s="30">
        <f t="shared" si="3"/>
        <v>0</v>
      </c>
    </row>
    <row r="109" spans="1:7" x14ac:dyDescent="0.25">
      <c r="A109" s="19" t="s">
        <v>62</v>
      </c>
      <c r="B109" s="8" t="s">
        <v>176</v>
      </c>
      <c r="C109" s="21">
        <v>100</v>
      </c>
      <c r="D109" s="21" t="s">
        <v>201</v>
      </c>
      <c r="E109" s="21" t="s">
        <v>204</v>
      </c>
      <c r="F109" s="26"/>
      <c r="G109" s="30">
        <f t="shared" si="3"/>
        <v>0</v>
      </c>
    </row>
    <row r="110" spans="1:7" x14ac:dyDescent="0.25">
      <c r="A110" s="19"/>
      <c r="B110" s="8" t="s">
        <v>177</v>
      </c>
      <c r="C110" s="21"/>
      <c r="D110" s="21"/>
      <c r="E110" s="21"/>
      <c r="F110" s="26"/>
      <c r="G110" s="30"/>
    </row>
    <row r="111" spans="1:7" x14ac:dyDescent="0.25">
      <c r="A111" s="19"/>
      <c r="B111" s="9" t="s">
        <v>211</v>
      </c>
      <c r="C111" s="21"/>
      <c r="D111" s="21"/>
      <c r="E111" s="21"/>
      <c r="F111" s="26"/>
      <c r="G111" s="30"/>
    </row>
    <row r="112" spans="1:7" ht="31.5" x14ac:dyDescent="0.25">
      <c r="A112" s="19" t="s">
        <v>63</v>
      </c>
      <c r="B112" s="8" t="s">
        <v>296</v>
      </c>
      <c r="C112" s="21">
        <v>200</v>
      </c>
      <c r="D112" s="21" t="s">
        <v>200</v>
      </c>
      <c r="E112" s="21" t="s">
        <v>204</v>
      </c>
      <c r="F112" s="26"/>
      <c r="G112" s="30">
        <f t="shared" si="3"/>
        <v>0</v>
      </c>
    </row>
    <row r="113" spans="1:7" ht="31.5" x14ac:dyDescent="0.25">
      <c r="A113" s="19" t="s">
        <v>64</v>
      </c>
      <c r="B113" s="8" t="s">
        <v>297</v>
      </c>
      <c r="C113" s="21">
        <v>200</v>
      </c>
      <c r="D113" s="21" t="s">
        <v>200</v>
      </c>
      <c r="E113" s="21" t="s">
        <v>204</v>
      </c>
      <c r="F113" s="26"/>
      <c r="G113" s="30">
        <f t="shared" si="3"/>
        <v>0</v>
      </c>
    </row>
    <row r="114" spans="1:7" ht="47.25" x14ac:dyDescent="0.25">
      <c r="A114" s="19" t="s">
        <v>65</v>
      </c>
      <c r="B114" s="8" t="s">
        <v>298</v>
      </c>
      <c r="C114" s="21">
        <v>200</v>
      </c>
      <c r="D114" s="21" t="s">
        <v>200</v>
      </c>
      <c r="E114" s="21" t="s">
        <v>204</v>
      </c>
      <c r="F114" s="26"/>
      <c r="G114" s="30">
        <f t="shared" si="3"/>
        <v>0</v>
      </c>
    </row>
    <row r="115" spans="1:7" x14ac:dyDescent="0.25">
      <c r="A115" s="19" t="s">
        <v>66</v>
      </c>
      <c r="B115" s="8" t="s">
        <v>178</v>
      </c>
      <c r="C115" s="21">
        <v>20</v>
      </c>
      <c r="D115" s="21" t="s">
        <v>201</v>
      </c>
      <c r="E115" s="21" t="s">
        <v>204</v>
      </c>
      <c r="F115" s="26"/>
      <c r="G115" s="30">
        <f t="shared" si="3"/>
        <v>0</v>
      </c>
    </row>
    <row r="116" spans="1:7" x14ac:dyDescent="0.25">
      <c r="A116" s="19" t="s">
        <v>67</v>
      </c>
      <c r="B116" s="8" t="s">
        <v>179</v>
      </c>
      <c r="C116" s="21">
        <v>20</v>
      </c>
      <c r="D116" s="21" t="s">
        <v>201</v>
      </c>
      <c r="E116" s="21" t="s">
        <v>204</v>
      </c>
      <c r="F116" s="26"/>
      <c r="G116" s="30">
        <f t="shared" ref="G116:G147" si="4">F116*C116</f>
        <v>0</v>
      </c>
    </row>
    <row r="117" spans="1:7" ht="31.5" x14ac:dyDescent="0.25">
      <c r="A117" s="19" t="s">
        <v>68</v>
      </c>
      <c r="B117" s="8" t="s">
        <v>247</v>
      </c>
      <c r="C117" s="21">
        <v>5000</v>
      </c>
      <c r="D117" s="21" t="s">
        <v>200</v>
      </c>
      <c r="E117" s="21" t="s">
        <v>204</v>
      </c>
      <c r="F117" s="26"/>
      <c r="G117" s="30">
        <f t="shared" si="4"/>
        <v>0</v>
      </c>
    </row>
    <row r="118" spans="1:7" ht="31.5" x14ac:dyDescent="0.25">
      <c r="A118" s="19"/>
      <c r="B118" s="9" t="s">
        <v>281</v>
      </c>
      <c r="C118" s="21"/>
      <c r="D118" s="21"/>
      <c r="E118" s="21"/>
      <c r="F118" s="26"/>
      <c r="G118" s="30"/>
    </row>
    <row r="119" spans="1:7" x14ac:dyDescent="0.25">
      <c r="A119" s="19" t="s">
        <v>69</v>
      </c>
      <c r="B119" s="8" t="s">
        <v>156</v>
      </c>
      <c r="C119" s="21">
        <v>100</v>
      </c>
      <c r="D119" s="21" t="s">
        <v>199</v>
      </c>
      <c r="E119" s="21" t="s">
        <v>204</v>
      </c>
      <c r="F119" s="26"/>
      <c r="G119" s="30">
        <f t="shared" si="4"/>
        <v>0</v>
      </c>
    </row>
    <row r="120" spans="1:7" x14ac:dyDescent="0.25">
      <c r="A120" s="19" t="s">
        <v>70</v>
      </c>
      <c r="B120" s="8" t="s">
        <v>157</v>
      </c>
      <c r="C120" s="21">
        <v>100</v>
      </c>
      <c r="D120" s="21" t="s">
        <v>199</v>
      </c>
      <c r="E120" s="21" t="s">
        <v>204</v>
      </c>
      <c r="F120" s="26"/>
      <c r="G120" s="30">
        <f t="shared" si="4"/>
        <v>0</v>
      </c>
    </row>
    <row r="121" spans="1:7" x14ac:dyDescent="0.25">
      <c r="A121" s="19" t="s">
        <v>71</v>
      </c>
      <c r="B121" s="8" t="s">
        <v>158</v>
      </c>
      <c r="C121" s="21">
        <v>100</v>
      </c>
      <c r="D121" s="21" t="s">
        <v>199</v>
      </c>
      <c r="E121" s="21" t="s">
        <v>204</v>
      </c>
      <c r="F121" s="26"/>
      <c r="G121" s="30">
        <f t="shared" si="4"/>
        <v>0</v>
      </c>
    </row>
    <row r="122" spans="1:7" x14ac:dyDescent="0.25">
      <c r="A122" s="19" t="s">
        <v>72</v>
      </c>
      <c r="B122" s="13" t="s">
        <v>159</v>
      </c>
      <c r="C122" s="21">
        <v>100</v>
      </c>
      <c r="D122" s="21" t="s">
        <v>199</v>
      </c>
      <c r="E122" s="21" t="s">
        <v>204</v>
      </c>
      <c r="F122" s="26"/>
      <c r="G122" s="30">
        <f t="shared" si="4"/>
        <v>0</v>
      </c>
    </row>
    <row r="123" spans="1:7" ht="15" customHeight="1" x14ac:dyDescent="0.25">
      <c r="A123" s="19"/>
      <c r="B123" s="14" t="s">
        <v>180</v>
      </c>
      <c r="C123" s="21"/>
      <c r="D123" s="21"/>
      <c r="E123" s="21"/>
      <c r="F123" s="26"/>
      <c r="G123" s="30"/>
    </row>
    <row r="124" spans="1:7" x14ac:dyDescent="0.25">
      <c r="A124" s="19" t="s">
        <v>73</v>
      </c>
      <c r="B124" s="8" t="s">
        <v>156</v>
      </c>
      <c r="C124" s="21">
        <v>100</v>
      </c>
      <c r="D124" s="21" t="s">
        <v>199</v>
      </c>
      <c r="E124" s="21" t="s">
        <v>204</v>
      </c>
      <c r="F124" s="26"/>
      <c r="G124" s="30">
        <f t="shared" si="4"/>
        <v>0</v>
      </c>
    </row>
    <row r="125" spans="1:7" x14ac:dyDescent="0.25">
      <c r="A125" s="19" t="s">
        <v>74</v>
      </c>
      <c r="B125" s="8" t="s">
        <v>157</v>
      </c>
      <c r="C125" s="21">
        <v>100</v>
      </c>
      <c r="D125" s="21" t="s">
        <v>199</v>
      </c>
      <c r="E125" s="21" t="s">
        <v>204</v>
      </c>
      <c r="F125" s="26"/>
      <c r="G125" s="30">
        <f t="shared" si="4"/>
        <v>0</v>
      </c>
    </row>
    <row r="126" spans="1:7" x14ac:dyDescent="0.25">
      <c r="A126" s="19" t="s">
        <v>75</v>
      </c>
      <c r="B126" s="8" t="s">
        <v>158</v>
      </c>
      <c r="C126" s="21">
        <v>100</v>
      </c>
      <c r="D126" s="21" t="s">
        <v>199</v>
      </c>
      <c r="E126" s="21" t="s">
        <v>204</v>
      </c>
      <c r="F126" s="26"/>
      <c r="G126" s="30">
        <f t="shared" si="4"/>
        <v>0</v>
      </c>
    </row>
    <row r="127" spans="1:7" x14ac:dyDescent="0.25">
      <c r="A127" s="19" t="s">
        <v>76</v>
      </c>
      <c r="B127" s="8" t="s">
        <v>159</v>
      </c>
      <c r="C127" s="21">
        <v>100</v>
      </c>
      <c r="D127" s="21" t="s">
        <v>199</v>
      </c>
      <c r="E127" s="21" t="s">
        <v>204</v>
      </c>
      <c r="F127" s="26"/>
      <c r="G127" s="30">
        <f t="shared" si="4"/>
        <v>0</v>
      </c>
    </row>
    <row r="128" spans="1:7" x14ac:dyDescent="0.25">
      <c r="A128" s="19" t="s">
        <v>77</v>
      </c>
      <c r="B128" s="8" t="s">
        <v>181</v>
      </c>
      <c r="C128" s="21">
        <v>100</v>
      </c>
      <c r="D128" s="21" t="s">
        <v>199</v>
      </c>
      <c r="E128" s="21" t="s">
        <v>204</v>
      </c>
      <c r="F128" s="26"/>
      <c r="G128" s="30">
        <f t="shared" si="4"/>
        <v>0</v>
      </c>
    </row>
    <row r="129" spans="1:7" ht="16.5" customHeight="1" x14ac:dyDescent="0.25">
      <c r="A129" s="19"/>
      <c r="B129" s="9" t="s">
        <v>182</v>
      </c>
      <c r="C129" s="21"/>
      <c r="D129" s="21"/>
      <c r="E129" s="21"/>
      <c r="F129" s="26"/>
      <c r="G129" s="30"/>
    </row>
    <row r="130" spans="1:7" x14ac:dyDescent="0.25">
      <c r="A130" s="19" t="s">
        <v>78</v>
      </c>
      <c r="B130" s="8" t="s">
        <v>156</v>
      </c>
      <c r="C130" s="21">
        <v>100</v>
      </c>
      <c r="D130" s="21" t="s">
        <v>199</v>
      </c>
      <c r="E130" s="21" t="s">
        <v>204</v>
      </c>
      <c r="F130" s="26"/>
      <c r="G130" s="30">
        <f t="shared" si="4"/>
        <v>0</v>
      </c>
    </row>
    <row r="131" spans="1:7" x14ac:dyDescent="0.25">
      <c r="A131" s="19" t="s">
        <v>79</v>
      </c>
      <c r="B131" s="8" t="s">
        <v>157</v>
      </c>
      <c r="C131" s="21">
        <v>100</v>
      </c>
      <c r="D131" s="21" t="s">
        <v>199</v>
      </c>
      <c r="E131" s="21" t="s">
        <v>204</v>
      </c>
      <c r="F131" s="26"/>
      <c r="G131" s="30">
        <f t="shared" si="4"/>
        <v>0</v>
      </c>
    </row>
    <row r="132" spans="1:7" x14ac:dyDescent="0.25">
      <c r="A132" s="19" t="s">
        <v>80</v>
      </c>
      <c r="B132" s="8" t="s">
        <v>183</v>
      </c>
      <c r="C132" s="21">
        <v>100</v>
      </c>
      <c r="D132" s="21" t="s">
        <v>199</v>
      </c>
      <c r="E132" s="21" t="s">
        <v>204</v>
      </c>
      <c r="F132" s="26"/>
      <c r="G132" s="30">
        <f t="shared" si="4"/>
        <v>0</v>
      </c>
    </row>
    <row r="133" spans="1:7" ht="31.5" x14ac:dyDescent="0.25">
      <c r="A133" s="19"/>
      <c r="B133" s="9" t="s">
        <v>299</v>
      </c>
      <c r="C133" s="21"/>
      <c r="D133" s="21"/>
      <c r="E133" s="21"/>
      <c r="F133" s="26"/>
      <c r="G133" s="30"/>
    </row>
    <row r="134" spans="1:7" x14ac:dyDescent="0.25">
      <c r="A134" s="19" t="s">
        <v>81</v>
      </c>
      <c r="B134" s="8" t="s">
        <v>184</v>
      </c>
      <c r="C134" s="21">
        <v>20</v>
      </c>
      <c r="D134" s="21" t="s">
        <v>201</v>
      </c>
      <c r="E134" s="21" t="s">
        <v>204</v>
      </c>
      <c r="F134" s="26"/>
      <c r="G134" s="30">
        <f t="shared" si="4"/>
        <v>0</v>
      </c>
    </row>
    <row r="135" spans="1:7" x14ac:dyDescent="0.25">
      <c r="A135" s="19"/>
      <c r="B135" s="9" t="s">
        <v>212</v>
      </c>
      <c r="C135" s="21"/>
      <c r="D135" s="21"/>
      <c r="E135" s="21"/>
      <c r="F135" s="26"/>
      <c r="G135" s="30"/>
    </row>
    <row r="136" spans="1:7" x14ac:dyDescent="0.25">
      <c r="A136" s="19" t="s">
        <v>82</v>
      </c>
      <c r="B136" s="8" t="s">
        <v>280</v>
      </c>
      <c r="C136" s="21">
        <v>20</v>
      </c>
      <c r="D136" s="21" t="s">
        <v>201</v>
      </c>
      <c r="E136" s="21" t="s">
        <v>204</v>
      </c>
      <c r="F136" s="26"/>
      <c r="G136" s="30">
        <f t="shared" si="4"/>
        <v>0</v>
      </c>
    </row>
    <row r="137" spans="1:7" x14ac:dyDescent="0.25">
      <c r="A137" s="19" t="s">
        <v>83</v>
      </c>
      <c r="B137" s="8" t="s">
        <v>185</v>
      </c>
      <c r="C137" s="21">
        <v>20</v>
      </c>
      <c r="D137" s="21" t="s">
        <v>201</v>
      </c>
      <c r="E137" s="21" t="s">
        <v>204</v>
      </c>
      <c r="F137" s="26"/>
      <c r="G137" s="30">
        <f t="shared" si="4"/>
        <v>0</v>
      </c>
    </row>
    <row r="138" spans="1:7" x14ac:dyDescent="0.25">
      <c r="A138" s="19"/>
      <c r="B138" s="9" t="s">
        <v>186</v>
      </c>
      <c r="C138" s="21"/>
      <c r="D138" s="21"/>
      <c r="E138" s="21"/>
      <c r="F138" s="26"/>
      <c r="G138" s="30"/>
    </row>
    <row r="139" spans="1:7" x14ac:dyDescent="0.25">
      <c r="A139" s="19" t="s">
        <v>84</v>
      </c>
      <c r="B139" s="8" t="s">
        <v>248</v>
      </c>
      <c r="C139" s="21">
        <v>1500</v>
      </c>
      <c r="D139" s="21" t="s">
        <v>200</v>
      </c>
      <c r="E139" s="21" t="s">
        <v>204</v>
      </c>
      <c r="F139" s="26"/>
      <c r="G139" s="30">
        <f t="shared" si="4"/>
        <v>0</v>
      </c>
    </row>
    <row r="140" spans="1:7" ht="47.25" x14ac:dyDescent="0.25">
      <c r="A140" s="19" t="s">
        <v>85</v>
      </c>
      <c r="B140" s="17" t="s">
        <v>254</v>
      </c>
      <c r="C140" s="21">
        <v>2000</v>
      </c>
      <c r="D140" s="21" t="s">
        <v>200</v>
      </c>
      <c r="E140" s="21"/>
      <c r="F140" s="26"/>
      <c r="G140" s="30">
        <f>F140*C140</f>
        <v>0</v>
      </c>
    </row>
    <row r="141" spans="1:7" x14ac:dyDescent="0.25">
      <c r="A141" s="19"/>
      <c r="B141" s="33" t="s">
        <v>300</v>
      </c>
      <c r="C141" s="21"/>
      <c r="D141" s="21"/>
      <c r="E141" s="21"/>
      <c r="F141" s="26"/>
      <c r="G141" s="30"/>
    </row>
    <row r="142" spans="1:7" x14ac:dyDescent="0.25">
      <c r="A142" s="19" t="s">
        <v>86</v>
      </c>
      <c r="B142" s="8" t="s">
        <v>187</v>
      </c>
      <c r="C142" s="21">
        <v>20</v>
      </c>
      <c r="D142" s="21" t="s">
        <v>201</v>
      </c>
      <c r="E142" s="21" t="s">
        <v>204</v>
      </c>
      <c r="F142" s="26"/>
      <c r="G142" s="30">
        <f t="shared" si="4"/>
        <v>0</v>
      </c>
    </row>
    <row r="143" spans="1:7" x14ac:dyDescent="0.25">
      <c r="A143" s="19" t="s">
        <v>87</v>
      </c>
      <c r="B143" s="8" t="s">
        <v>188</v>
      </c>
      <c r="C143" s="21">
        <v>20</v>
      </c>
      <c r="D143" s="21" t="s">
        <v>201</v>
      </c>
      <c r="E143" s="21" t="s">
        <v>204</v>
      </c>
      <c r="F143" s="26"/>
      <c r="G143" s="30">
        <f t="shared" si="4"/>
        <v>0</v>
      </c>
    </row>
    <row r="144" spans="1:7" x14ac:dyDescent="0.25">
      <c r="A144" s="19" t="s">
        <v>88</v>
      </c>
      <c r="B144" s="8" t="s">
        <v>187</v>
      </c>
      <c r="C144" s="21">
        <v>300</v>
      </c>
      <c r="D144" s="21" t="s">
        <v>201</v>
      </c>
      <c r="E144" s="21" t="s">
        <v>204</v>
      </c>
      <c r="F144" s="26"/>
      <c r="G144" s="30">
        <f t="shared" si="4"/>
        <v>0</v>
      </c>
    </row>
    <row r="145" spans="1:7" x14ac:dyDescent="0.25">
      <c r="A145" s="19" t="s">
        <v>89</v>
      </c>
      <c r="B145" s="8" t="s">
        <v>188</v>
      </c>
      <c r="C145" s="21">
        <v>300</v>
      </c>
      <c r="D145" s="21" t="s">
        <v>201</v>
      </c>
      <c r="E145" s="21" t="s">
        <v>204</v>
      </c>
      <c r="F145" s="26"/>
      <c r="G145" s="30">
        <f t="shared" si="4"/>
        <v>0</v>
      </c>
    </row>
    <row r="146" spans="1:7" ht="32.25" customHeight="1" x14ac:dyDescent="0.25">
      <c r="A146" s="19"/>
      <c r="B146" s="11" t="s">
        <v>240</v>
      </c>
      <c r="C146" s="21"/>
      <c r="D146" s="21"/>
      <c r="E146" s="21"/>
      <c r="F146" s="26"/>
      <c r="G146" s="30"/>
    </row>
    <row r="147" spans="1:7" x14ac:dyDescent="0.25">
      <c r="A147" s="19" t="s">
        <v>90</v>
      </c>
      <c r="B147" s="8" t="s">
        <v>156</v>
      </c>
      <c r="C147" s="21">
        <v>300</v>
      </c>
      <c r="D147" s="21" t="s">
        <v>201</v>
      </c>
      <c r="E147" s="21" t="s">
        <v>204</v>
      </c>
      <c r="F147" s="26"/>
      <c r="G147" s="30">
        <f t="shared" si="4"/>
        <v>0</v>
      </c>
    </row>
    <row r="148" spans="1:7" x14ac:dyDescent="0.25">
      <c r="A148" s="19" t="s">
        <v>91</v>
      </c>
      <c r="B148" s="8" t="s">
        <v>159</v>
      </c>
      <c r="C148" s="21">
        <v>300</v>
      </c>
      <c r="D148" s="21" t="s">
        <v>201</v>
      </c>
      <c r="E148" s="21" t="s">
        <v>204</v>
      </c>
      <c r="F148" s="26"/>
      <c r="G148" s="30">
        <f t="shared" ref="G148:G167" si="5">F148*C148</f>
        <v>0</v>
      </c>
    </row>
    <row r="149" spans="1:7" ht="31.5" x14ac:dyDescent="0.25">
      <c r="A149" s="19"/>
      <c r="B149" s="9" t="s">
        <v>301</v>
      </c>
      <c r="C149" s="21"/>
      <c r="D149" s="21"/>
      <c r="E149" s="21"/>
      <c r="F149" s="26"/>
      <c r="G149" s="30"/>
    </row>
    <row r="150" spans="1:7" x14ac:dyDescent="0.25">
      <c r="A150" s="19" t="s">
        <v>92</v>
      </c>
      <c r="B150" s="8" t="s">
        <v>156</v>
      </c>
      <c r="C150" s="21">
        <v>100</v>
      </c>
      <c r="D150" s="21" t="s">
        <v>201</v>
      </c>
      <c r="E150" s="21" t="s">
        <v>204</v>
      </c>
      <c r="F150" s="26"/>
      <c r="G150" s="30">
        <f t="shared" si="5"/>
        <v>0</v>
      </c>
    </row>
    <row r="151" spans="1:7" x14ac:dyDescent="0.25">
      <c r="A151" s="19" t="s">
        <v>93</v>
      </c>
      <c r="B151" s="8" t="s">
        <v>159</v>
      </c>
      <c r="C151" s="21">
        <v>100</v>
      </c>
      <c r="D151" s="21" t="s">
        <v>201</v>
      </c>
      <c r="E151" s="21" t="s">
        <v>204</v>
      </c>
      <c r="F151" s="26"/>
      <c r="G151" s="30">
        <f t="shared" si="5"/>
        <v>0</v>
      </c>
    </row>
    <row r="152" spans="1:7" x14ac:dyDescent="0.25">
      <c r="A152" s="19"/>
      <c r="B152" s="9" t="s">
        <v>189</v>
      </c>
      <c r="C152" s="21"/>
      <c r="D152" s="21"/>
      <c r="E152" s="21"/>
      <c r="F152" s="26"/>
      <c r="G152" s="30"/>
    </row>
    <row r="153" spans="1:7" x14ac:dyDescent="0.25">
      <c r="A153" s="19" t="s">
        <v>94</v>
      </c>
      <c r="B153" s="8" t="s">
        <v>156</v>
      </c>
      <c r="C153" s="21">
        <v>100</v>
      </c>
      <c r="D153" s="21" t="s">
        <v>201</v>
      </c>
      <c r="E153" s="21" t="s">
        <v>204</v>
      </c>
      <c r="F153" s="26"/>
      <c r="G153" s="30">
        <f t="shared" si="5"/>
        <v>0</v>
      </c>
    </row>
    <row r="154" spans="1:7" x14ac:dyDescent="0.25">
      <c r="A154" s="19" t="s">
        <v>95</v>
      </c>
      <c r="B154" s="8" t="s">
        <v>159</v>
      </c>
      <c r="C154" s="21">
        <v>100</v>
      </c>
      <c r="D154" s="21" t="s">
        <v>201</v>
      </c>
      <c r="E154" s="21" t="s">
        <v>204</v>
      </c>
      <c r="F154" s="26"/>
      <c r="G154" s="30">
        <f t="shared" si="5"/>
        <v>0</v>
      </c>
    </row>
    <row r="155" spans="1:7" ht="47.25" x14ac:dyDescent="0.25">
      <c r="A155" s="19"/>
      <c r="B155" s="9" t="s">
        <v>308</v>
      </c>
      <c r="C155" s="21"/>
      <c r="D155" s="21"/>
      <c r="E155" s="21"/>
      <c r="F155" s="26"/>
      <c r="G155" s="30"/>
    </row>
    <row r="156" spans="1:7" x14ac:dyDescent="0.25">
      <c r="A156" s="19" t="s">
        <v>96</v>
      </c>
      <c r="B156" s="8" t="s">
        <v>156</v>
      </c>
      <c r="C156" s="21">
        <v>100</v>
      </c>
      <c r="D156" s="21" t="s">
        <v>199</v>
      </c>
      <c r="E156" s="21" t="s">
        <v>204</v>
      </c>
      <c r="F156" s="26"/>
      <c r="G156" s="30">
        <f t="shared" si="5"/>
        <v>0</v>
      </c>
    </row>
    <row r="157" spans="1:7" x14ac:dyDescent="0.25">
      <c r="A157" s="19" t="s">
        <v>97</v>
      </c>
      <c r="B157" s="8" t="s">
        <v>157</v>
      </c>
      <c r="C157" s="21">
        <v>100</v>
      </c>
      <c r="D157" s="21" t="s">
        <v>199</v>
      </c>
      <c r="E157" s="21" t="s">
        <v>204</v>
      </c>
      <c r="F157" s="26"/>
      <c r="G157" s="30">
        <f t="shared" si="5"/>
        <v>0</v>
      </c>
    </row>
    <row r="158" spans="1:7" x14ac:dyDescent="0.25">
      <c r="A158" s="19" t="s">
        <v>98</v>
      </c>
      <c r="B158" s="8" t="s">
        <v>159</v>
      </c>
      <c r="C158" s="21">
        <v>100</v>
      </c>
      <c r="D158" s="21" t="s">
        <v>199</v>
      </c>
      <c r="E158" s="21" t="s">
        <v>204</v>
      </c>
      <c r="F158" s="26"/>
      <c r="G158" s="30">
        <f t="shared" si="5"/>
        <v>0</v>
      </c>
    </row>
    <row r="159" spans="1:7" ht="31.5" x14ac:dyDescent="0.25">
      <c r="A159" s="19" t="s">
        <v>99</v>
      </c>
      <c r="B159" s="8" t="s">
        <v>289</v>
      </c>
      <c r="C159" s="21">
        <v>100</v>
      </c>
      <c r="D159" s="21" t="s">
        <v>201</v>
      </c>
      <c r="E159" s="21" t="s">
        <v>204</v>
      </c>
      <c r="F159" s="26"/>
      <c r="G159" s="30">
        <f t="shared" si="5"/>
        <v>0</v>
      </c>
    </row>
    <row r="160" spans="1:7" ht="31.5" x14ac:dyDescent="0.25">
      <c r="A160" s="19" t="s">
        <v>100</v>
      </c>
      <c r="B160" s="8" t="s">
        <v>236</v>
      </c>
      <c r="C160" s="21">
        <v>100</v>
      </c>
      <c r="D160" s="21" t="s">
        <v>201</v>
      </c>
      <c r="E160" s="21" t="s">
        <v>204</v>
      </c>
      <c r="F160" s="26"/>
      <c r="G160" s="30">
        <f t="shared" si="5"/>
        <v>0</v>
      </c>
    </row>
    <row r="161" spans="1:7" x14ac:dyDescent="0.25">
      <c r="A161" s="19" t="s">
        <v>101</v>
      </c>
      <c r="B161" s="8" t="s">
        <v>190</v>
      </c>
      <c r="C161" s="21">
        <v>110</v>
      </c>
      <c r="D161" s="21" t="s">
        <v>200</v>
      </c>
      <c r="E161" s="21" t="s">
        <v>204</v>
      </c>
      <c r="F161" s="26"/>
      <c r="G161" s="30">
        <f t="shared" si="5"/>
        <v>0</v>
      </c>
    </row>
    <row r="162" spans="1:7" ht="31.5" x14ac:dyDescent="0.25">
      <c r="A162" s="19" t="s">
        <v>102</v>
      </c>
      <c r="B162" s="8" t="s">
        <v>271</v>
      </c>
      <c r="C162" s="21">
        <v>100</v>
      </c>
      <c r="D162" s="21" t="s">
        <v>200</v>
      </c>
      <c r="E162" s="21" t="s">
        <v>204</v>
      </c>
      <c r="F162" s="26"/>
      <c r="G162" s="30">
        <f t="shared" si="5"/>
        <v>0</v>
      </c>
    </row>
    <row r="163" spans="1:7" x14ac:dyDescent="0.25">
      <c r="A163" s="19" t="s">
        <v>103</v>
      </c>
      <c r="B163" s="8" t="s">
        <v>249</v>
      </c>
      <c r="C163" s="21">
        <v>100</v>
      </c>
      <c r="D163" s="21" t="s">
        <v>200</v>
      </c>
      <c r="E163" s="21" t="s">
        <v>204</v>
      </c>
      <c r="F163" s="26"/>
      <c r="G163" s="30">
        <f t="shared" si="5"/>
        <v>0</v>
      </c>
    </row>
    <row r="164" spans="1:7" x14ac:dyDescent="0.25">
      <c r="A164" s="19" t="s">
        <v>104</v>
      </c>
      <c r="B164" s="8" t="s">
        <v>250</v>
      </c>
      <c r="C164" s="21">
        <v>100</v>
      </c>
      <c r="D164" s="21" t="s">
        <v>200</v>
      </c>
      <c r="E164" s="21" t="s">
        <v>204</v>
      </c>
      <c r="F164" s="26"/>
      <c r="G164" s="30">
        <f t="shared" si="5"/>
        <v>0</v>
      </c>
    </row>
    <row r="165" spans="1:7" ht="31.5" x14ac:dyDescent="0.25">
      <c r="A165" s="19" t="s">
        <v>105</v>
      </c>
      <c r="B165" s="8" t="s">
        <v>272</v>
      </c>
      <c r="C165" s="21">
        <v>100</v>
      </c>
      <c r="D165" s="21" t="s">
        <v>198</v>
      </c>
      <c r="E165" s="21" t="s">
        <v>204</v>
      </c>
      <c r="F165" s="26"/>
      <c r="G165" s="30">
        <f t="shared" si="5"/>
        <v>0</v>
      </c>
    </row>
    <row r="166" spans="1:7" x14ac:dyDescent="0.25">
      <c r="A166" s="19" t="s">
        <v>106</v>
      </c>
      <c r="B166" s="8" t="s">
        <v>191</v>
      </c>
      <c r="C166" s="21">
        <v>100</v>
      </c>
      <c r="D166" s="21" t="s">
        <v>199</v>
      </c>
      <c r="E166" s="21" t="s">
        <v>204</v>
      </c>
      <c r="F166" s="26"/>
      <c r="G166" s="30">
        <f t="shared" si="5"/>
        <v>0</v>
      </c>
    </row>
    <row r="167" spans="1:7" ht="31.5" x14ac:dyDescent="0.25">
      <c r="A167" s="19" t="s">
        <v>107</v>
      </c>
      <c r="B167" s="8" t="s">
        <v>273</v>
      </c>
      <c r="C167" s="21">
        <v>100</v>
      </c>
      <c r="D167" s="21" t="s">
        <v>199</v>
      </c>
      <c r="E167" s="21" t="s">
        <v>204</v>
      </c>
      <c r="F167" s="26"/>
      <c r="G167" s="30">
        <f t="shared" si="5"/>
        <v>0</v>
      </c>
    </row>
    <row r="168" spans="1:7" ht="31.5" x14ac:dyDescent="0.25">
      <c r="A168" s="19" t="s">
        <v>108</v>
      </c>
      <c r="B168" s="8" t="s">
        <v>274</v>
      </c>
      <c r="C168" s="21">
        <v>100</v>
      </c>
      <c r="D168" s="21" t="s">
        <v>201</v>
      </c>
      <c r="E168" s="21" t="s">
        <v>204</v>
      </c>
      <c r="F168" s="26"/>
      <c r="G168" s="30">
        <f t="shared" ref="G168:G179" si="6">F168*C168</f>
        <v>0</v>
      </c>
    </row>
    <row r="169" spans="1:7" ht="39" customHeight="1" x14ac:dyDescent="0.25">
      <c r="A169" s="19" t="s">
        <v>109</v>
      </c>
      <c r="B169" s="34" t="s">
        <v>275</v>
      </c>
      <c r="C169" s="21">
        <v>2000</v>
      </c>
      <c r="D169" s="21" t="s">
        <v>199</v>
      </c>
      <c r="E169" s="21" t="s">
        <v>204</v>
      </c>
      <c r="F169" s="26"/>
      <c r="G169" s="30">
        <f t="shared" si="6"/>
        <v>0</v>
      </c>
    </row>
    <row r="170" spans="1:7" ht="47.25" x14ac:dyDescent="0.25">
      <c r="A170" s="19" t="s">
        <v>110</v>
      </c>
      <c r="B170" s="34" t="s">
        <v>276</v>
      </c>
      <c r="C170" s="21">
        <v>2000</v>
      </c>
      <c r="D170" s="21" t="s">
        <v>199</v>
      </c>
      <c r="E170" s="21" t="s">
        <v>204</v>
      </c>
      <c r="F170" s="26"/>
      <c r="G170" s="30">
        <f t="shared" si="6"/>
        <v>0</v>
      </c>
    </row>
    <row r="171" spans="1:7" ht="47.25" x14ac:dyDescent="0.25">
      <c r="A171" s="19" t="s">
        <v>111</v>
      </c>
      <c r="B171" s="34" t="s">
        <v>304</v>
      </c>
      <c r="C171" s="21">
        <v>2000</v>
      </c>
      <c r="D171" s="21" t="s">
        <v>199</v>
      </c>
      <c r="E171" s="21" t="s">
        <v>204</v>
      </c>
      <c r="F171" s="26"/>
      <c r="G171" s="30">
        <f t="shared" si="6"/>
        <v>0</v>
      </c>
    </row>
    <row r="172" spans="1:7" ht="31.5" x14ac:dyDescent="0.25">
      <c r="A172" s="19"/>
      <c r="B172" s="9" t="s">
        <v>192</v>
      </c>
      <c r="C172" s="21"/>
      <c r="D172" s="21"/>
      <c r="E172" s="21"/>
      <c r="F172" s="26"/>
      <c r="G172" s="30"/>
    </row>
    <row r="173" spans="1:7" ht="63" x14ac:dyDescent="0.25">
      <c r="A173" s="19" t="s">
        <v>112</v>
      </c>
      <c r="B173" s="8" t="s">
        <v>239</v>
      </c>
      <c r="C173" s="21">
        <v>1</v>
      </c>
      <c r="D173" s="21" t="s">
        <v>202</v>
      </c>
      <c r="E173" s="21" t="s">
        <v>204</v>
      </c>
      <c r="F173" s="26"/>
      <c r="G173" s="30">
        <f t="shared" si="6"/>
        <v>0</v>
      </c>
    </row>
    <row r="174" spans="1:7" ht="47.25" x14ac:dyDescent="0.25">
      <c r="A174" s="19" t="s">
        <v>113</v>
      </c>
      <c r="B174" s="8" t="s">
        <v>193</v>
      </c>
      <c r="C174" s="21">
        <v>2000</v>
      </c>
      <c r="D174" s="21" t="s">
        <v>203</v>
      </c>
      <c r="E174" s="21" t="s">
        <v>204</v>
      </c>
      <c r="F174" s="26"/>
      <c r="G174" s="30">
        <f t="shared" si="6"/>
        <v>0</v>
      </c>
    </row>
    <row r="175" spans="1:7" x14ac:dyDescent="0.25">
      <c r="A175" s="19" t="s">
        <v>114</v>
      </c>
      <c r="B175" s="8" t="s">
        <v>237</v>
      </c>
      <c r="C175" s="21">
        <v>20</v>
      </c>
      <c r="D175" s="21" t="s">
        <v>201</v>
      </c>
      <c r="E175" s="21" t="s">
        <v>204</v>
      </c>
      <c r="F175" s="26"/>
      <c r="G175" s="30">
        <f t="shared" si="6"/>
        <v>0</v>
      </c>
    </row>
    <row r="176" spans="1:7" ht="78.75" x14ac:dyDescent="0.25">
      <c r="A176" s="19"/>
      <c r="B176" s="8" t="s">
        <v>238</v>
      </c>
      <c r="C176" s="21"/>
      <c r="D176" s="21"/>
      <c r="E176" s="21"/>
      <c r="F176" s="26"/>
      <c r="G176" s="30"/>
    </row>
    <row r="177" spans="1:7" ht="31.5" x14ac:dyDescent="0.25">
      <c r="A177" s="19" t="s">
        <v>115</v>
      </c>
      <c r="B177" s="8" t="s">
        <v>194</v>
      </c>
      <c r="C177" s="21">
        <v>1000</v>
      </c>
      <c r="D177" s="21" t="s">
        <v>199</v>
      </c>
      <c r="E177" s="21" t="s">
        <v>204</v>
      </c>
      <c r="F177" s="26"/>
      <c r="G177" s="30">
        <f t="shared" si="6"/>
        <v>0</v>
      </c>
    </row>
    <row r="178" spans="1:7" ht="31.5" x14ac:dyDescent="0.25">
      <c r="A178" s="19" t="s">
        <v>116</v>
      </c>
      <c r="B178" s="8" t="s">
        <v>195</v>
      </c>
      <c r="C178" s="21">
        <v>1000</v>
      </c>
      <c r="D178" s="21" t="s">
        <v>199</v>
      </c>
      <c r="E178" s="21" t="s">
        <v>204</v>
      </c>
      <c r="F178" s="26"/>
      <c r="G178" s="30">
        <f t="shared" si="6"/>
        <v>0</v>
      </c>
    </row>
    <row r="179" spans="1:7" ht="31.5" x14ac:dyDescent="0.25">
      <c r="A179" s="19" t="s">
        <v>117</v>
      </c>
      <c r="B179" s="8" t="s">
        <v>196</v>
      </c>
      <c r="C179" s="21">
        <v>1000</v>
      </c>
      <c r="D179" s="21" t="s">
        <v>199</v>
      </c>
      <c r="E179" s="21" t="s">
        <v>204</v>
      </c>
      <c r="F179" s="26"/>
      <c r="G179" s="30">
        <f t="shared" si="6"/>
        <v>0</v>
      </c>
    </row>
    <row r="180" spans="1:7" ht="47.25" x14ac:dyDescent="0.25">
      <c r="A180" s="19" t="s">
        <v>118</v>
      </c>
      <c r="B180" s="3" t="s">
        <v>302</v>
      </c>
      <c r="C180" s="21">
        <v>1</v>
      </c>
      <c r="D180" s="21" t="s">
        <v>255</v>
      </c>
      <c r="E180" s="21"/>
      <c r="F180" s="26"/>
      <c r="G180" s="30">
        <f>F180</f>
        <v>0</v>
      </c>
    </row>
    <row r="181" spans="1:7" ht="48" thickBot="1" x14ac:dyDescent="0.3">
      <c r="A181" s="19" t="s">
        <v>119</v>
      </c>
      <c r="B181" s="4" t="s">
        <v>303</v>
      </c>
      <c r="C181" s="21">
        <v>1</v>
      </c>
      <c r="D181" s="21" t="s">
        <v>255</v>
      </c>
      <c r="E181" s="21"/>
      <c r="F181" s="26"/>
      <c r="G181" s="32">
        <f>F181</f>
        <v>0</v>
      </c>
    </row>
    <row r="182" spans="1:7" ht="47.25" x14ac:dyDescent="0.25">
      <c r="A182" s="19"/>
      <c r="B182" s="9" t="s">
        <v>288</v>
      </c>
      <c r="C182" s="21"/>
      <c r="D182" s="21"/>
      <c r="E182" s="21"/>
      <c r="F182" s="23"/>
      <c r="G182" s="28">
        <f>SUM(G7:G181)</f>
        <v>0</v>
      </c>
    </row>
  </sheetData>
  <mergeCells count="4">
    <mergeCell ref="A1:G1"/>
    <mergeCell ref="A2:G2"/>
    <mergeCell ref="A3:G3"/>
    <mergeCell ref="A4:G4"/>
  </mergeCells>
  <phoneticPr fontId="1" type="noConversion"/>
  <pageMargins left="0.7" right="0.7" top="0.75" bottom="0.75" header="0.3" footer="0.3"/>
  <pageSetup scale="62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AFC9-FF6E-423C-B067-3F27B321938B}">
  <dimension ref="A1:G182"/>
  <sheetViews>
    <sheetView zoomScaleNormal="100" workbookViewId="0">
      <selection activeCell="F7" sqref="F7:F181"/>
    </sheetView>
  </sheetViews>
  <sheetFormatPr defaultColWidth="28.5703125" defaultRowHeight="15.75" x14ac:dyDescent="0.25"/>
  <cols>
    <col min="1" max="1" width="14.5703125" style="20" customWidth="1"/>
    <col min="2" max="2" width="53.28515625" style="17" customWidth="1"/>
    <col min="3" max="3" width="14.85546875" style="5" customWidth="1"/>
    <col min="4" max="4" width="10.42578125" style="5" customWidth="1"/>
    <col min="5" max="5" width="14.7109375" style="5" customWidth="1"/>
    <col min="6" max="6" width="15.7109375" style="24" bestFit="1" customWidth="1"/>
    <col min="7" max="7" width="20.28515625" style="24" customWidth="1"/>
    <col min="8" max="16384" width="28.5703125" style="16"/>
  </cols>
  <sheetData>
    <row r="1" spans="1:7" s="15" customFormat="1" ht="15" customHeight="1" x14ac:dyDescent="0.25">
      <c r="A1" s="36" t="s">
        <v>306</v>
      </c>
      <c r="B1" s="37"/>
      <c r="C1" s="37"/>
      <c r="D1" s="37"/>
      <c r="E1" s="37"/>
      <c r="F1" s="37"/>
      <c r="G1" s="38"/>
    </row>
    <row r="2" spans="1:7" x14ac:dyDescent="0.25">
      <c r="A2" s="39" t="s">
        <v>305</v>
      </c>
      <c r="B2" s="40"/>
      <c r="C2" s="40"/>
      <c r="D2" s="40"/>
      <c r="E2" s="40"/>
      <c r="F2" s="40"/>
      <c r="G2" s="41"/>
    </row>
    <row r="3" spans="1:7" x14ac:dyDescent="0.25">
      <c r="A3" s="39" t="s">
        <v>217</v>
      </c>
      <c r="B3" s="40"/>
      <c r="C3" s="40"/>
      <c r="D3" s="40"/>
      <c r="E3" s="40"/>
      <c r="F3" s="40"/>
      <c r="G3" s="41"/>
    </row>
    <row r="4" spans="1:7" ht="16.5" thickBot="1" x14ac:dyDescent="0.3">
      <c r="A4" s="42" t="s">
        <v>307</v>
      </c>
      <c r="B4" s="43"/>
      <c r="C4" s="43"/>
      <c r="D4" s="43"/>
      <c r="E4" s="43"/>
      <c r="F4" s="43"/>
      <c r="G4" s="44"/>
    </row>
    <row r="5" spans="1:7" ht="16.5" thickBot="1" x14ac:dyDescent="0.3">
      <c r="A5" s="18" t="s">
        <v>0</v>
      </c>
      <c r="B5" s="6" t="s">
        <v>1</v>
      </c>
      <c r="C5" s="7" t="s">
        <v>2</v>
      </c>
      <c r="D5" s="7" t="s">
        <v>3</v>
      </c>
      <c r="E5" s="7"/>
      <c r="F5" s="25" t="s">
        <v>4</v>
      </c>
      <c r="G5" s="29" t="s">
        <v>5</v>
      </c>
    </row>
    <row r="6" spans="1:7" x14ac:dyDescent="0.25">
      <c r="A6" s="19"/>
      <c r="B6" s="9" t="s">
        <v>290</v>
      </c>
      <c r="C6" s="21"/>
      <c r="D6" s="21"/>
      <c r="E6" s="21"/>
      <c r="F6" s="26"/>
      <c r="G6" s="30"/>
    </row>
    <row r="7" spans="1:7" ht="47.25" x14ac:dyDescent="0.25">
      <c r="A7" s="19" t="s">
        <v>6</v>
      </c>
      <c r="B7" s="8" t="s">
        <v>257</v>
      </c>
      <c r="C7" s="21">
        <v>200</v>
      </c>
      <c r="D7" s="21" t="s">
        <v>197</v>
      </c>
      <c r="E7" s="21" t="s">
        <v>204</v>
      </c>
      <c r="F7" s="26"/>
      <c r="G7" s="30">
        <f t="shared" ref="G7:G31" si="0">F7*C7</f>
        <v>0</v>
      </c>
    </row>
    <row r="8" spans="1:7" ht="31.5" x14ac:dyDescent="0.25">
      <c r="A8" s="19"/>
      <c r="B8" s="10" t="s">
        <v>251</v>
      </c>
      <c r="C8" s="21"/>
      <c r="D8" s="21"/>
      <c r="E8" s="21"/>
      <c r="F8" s="26"/>
      <c r="G8" s="31"/>
    </row>
    <row r="9" spans="1:7" x14ac:dyDescent="0.25">
      <c r="A9" s="19" t="s">
        <v>282</v>
      </c>
      <c r="B9" s="8" t="s">
        <v>120</v>
      </c>
      <c r="C9" s="21">
        <v>1200</v>
      </c>
      <c r="D9" s="21" t="s">
        <v>198</v>
      </c>
      <c r="E9" s="21" t="s">
        <v>204</v>
      </c>
      <c r="F9" s="26"/>
      <c r="G9" s="30">
        <f t="shared" si="0"/>
        <v>0</v>
      </c>
    </row>
    <row r="10" spans="1:7" x14ac:dyDescent="0.25">
      <c r="A10" s="19" t="s">
        <v>283</v>
      </c>
      <c r="B10" s="8" t="s">
        <v>121</v>
      </c>
      <c r="C10" s="21">
        <v>1200</v>
      </c>
      <c r="D10" s="21" t="s">
        <v>198</v>
      </c>
      <c r="E10" s="21" t="s">
        <v>204</v>
      </c>
      <c r="F10" s="26"/>
      <c r="G10" s="30">
        <f t="shared" si="0"/>
        <v>0</v>
      </c>
    </row>
    <row r="11" spans="1:7" x14ac:dyDescent="0.25">
      <c r="A11" s="19" t="s">
        <v>7</v>
      </c>
      <c r="B11" s="8" t="s">
        <v>122</v>
      </c>
      <c r="C11" s="21">
        <v>1200</v>
      </c>
      <c r="D11" s="21" t="s">
        <v>199</v>
      </c>
      <c r="E11" s="21" t="s">
        <v>204</v>
      </c>
      <c r="F11" s="26"/>
      <c r="G11" s="30">
        <f t="shared" si="0"/>
        <v>0</v>
      </c>
    </row>
    <row r="12" spans="1:7" x14ac:dyDescent="0.25">
      <c r="A12" s="19" t="s">
        <v>8</v>
      </c>
      <c r="B12" s="8" t="s">
        <v>123</v>
      </c>
      <c r="C12" s="21">
        <v>1200</v>
      </c>
      <c r="D12" s="21" t="s">
        <v>199</v>
      </c>
      <c r="E12" s="21" t="s">
        <v>204</v>
      </c>
      <c r="F12" s="26"/>
      <c r="G12" s="30">
        <f t="shared" si="0"/>
        <v>0</v>
      </c>
    </row>
    <row r="13" spans="1:7" x14ac:dyDescent="0.25">
      <c r="A13" s="19"/>
      <c r="B13" s="9" t="s">
        <v>256</v>
      </c>
      <c r="C13" s="21"/>
      <c r="D13" s="21"/>
      <c r="E13" s="21"/>
      <c r="F13" s="26"/>
      <c r="G13" s="30"/>
    </row>
    <row r="14" spans="1:7" ht="31.5" x14ac:dyDescent="0.25">
      <c r="A14" s="19"/>
      <c r="B14" s="9" t="s">
        <v>124</v>
      </c>
      <c r="C14" s="21"/>
      <c r="D14" s="21"/>
      <c r="E14" s="21"/>
      <c r="F14" s="26"/>
      <c r="G14" s="30"/>
    </row>
    <row r="15" spans="1:7" ht="31.5" x14ac:dyDescent="0.25">
      <c r="A15" s="19" t="s">
        <v>218</v>
      </c>
      <c r="B15" s="8" t="s">
        <v>125</v>
      </c>
      <c r="C15" s="21">
        <v>120</v>
      </c>
      <c r="D15" s="21" t="s">
        <v>197</v>
      </c>
      <c r="E15" s="21" t="s">
        <v>204</v>
      </c>
      <c r="F15" s="26"/>
      <c r="G15" s="30">
        <f t="shared" si="0"/>
        <v>0</v>
      </c>
    </row>
    <row r="16" spans="1:7" x14ac:dyDescent="0.25">
      <c r="A16" s="19" t="s">
        <v>219</v>
      </c>
      <c r="B16" s="8" t="s">
        <v>126</v>
      </c>
      <c r="C16" s="21">
        <v>120</v>
      </c>
      <c r="D16" s="21" t="s">
        <v>197</v>
      </c>
      <c r="E16" s="21" t="s">
        <v>204</v>
      </c>
      <c r="F16" s="26"/>
      <c r="G16" s="30">
        <f t="shared" si="0"/>
        <v>0</v>
      </c>
    </row>
    <row r="17" spans="1:7" ht="31.5" x14ac:dyDescent="0.25">
      <c r="A17" s="19" t="s">
        <v>9</v>
      </c>
      <c r="B17" s="8" t="s">
        <v>258</v>
      </c>
      <c r="C17" s="21">
        <v>120</v>
      </c>
      <c r="D17" s="21" t="s">
        <v>197</v>
      </c>
      <c r="E17" s="21" t="s">
        <v>204</v>
      </c>
      <c r="F17" s="26"/>
      <c r="G17" s="30">
        <f t="shared" si="0"/>
        <v>0</v>
      </c>
    </row>
    <row r="18" spans="1:7" x14ac:dyDescent="0.25">
      <c r="A18" s="19" t="s">
        <v>10</v>
      </c>
      <c r="B18" s="8" t="s">
        <v>127</v>
      </c>
      <c r="C18" s="21">
        <v>15</v>
      </c>
      <c r="D18" s="21" t="s">
        <v>197</v>
      </c>
      <c r="E18" s="21" t="s">
        <v>204</v>
      </c>
      <c r="F18" s="26"/>
      <c r="G18" s="30">
        <f t="shared" si="0"/>
        <v>0</v>
      </c>
    </row>
    <row r="19" spans="1:7" ht="31.5" x14ac:dyDescent="0.25">
      <c r="A19" s="19" t="s">
        <v>11</v>
      </c>
      <c r="B19" s="8" t="s">
        <v>259</v>
      </c>
      <c r="C19" s="21">
        <v>30</v>
      </c>
      <c r="D19" s="21" t="s">
        <v>200</v>
      </c>
      <c r="E19" s="21" t="s">
        <v>204</v>
      </c>
      <c r="F19" s="26"/>
      <c r="G19" s="30">
        <f t="shared" si="0"/>
        <v>0</v>
      </c>
    </row>
    <row r="20" spans="1:7" ht="31.5" x14ac:dyDescent="0.25">
      <c r="A20" s="19" t="s">
        <v>284</v>
      </c>
      <c r="B20" s="8" t="s">
        <v>260</v>
      </c>
      <c r="C20" s="21">
        <v>90</v>
      </c>
      <c r="D20" s="21" t="s">
        <v>200</v>
      </c>
      <c r="E20" s="21" t="s">
        <v>204</v>
      </c>
      <c r="F20" s="26"/>
      <c r="G20" s="30">
        <f t="shared" si="0"/>
        <v>0</v>
      </c>
    </row>
    <row r="21" spans="1:7" ht="31.5" x14ac:dyDescent="0.25">
      <c r="A21" s="19" t="s">
        <v>12</v>
      </c>
      <c r="B21" s="8" t="s">
        <v>261</v>
      </c>
      <c r="C21" s="21">
        <v>300</v>
      </c>
      <c r="D21" s="21" t="s">
        <v>198</v>
      </c>
      <c r="E21" s="21" t="s">
        <v>204</v>
      </c>
      <c r="F21" s="26"/>
      <c r="G21" s="30">
        <f t="shared" si="0"/>
        <v>0</v>
      </c>
    </row>
    <row r="22" spans="1:7" x14ac:dyDescent="0.25">
      <c r="A22" s="19"/>
      <c r="B22" s="10" t="s">
        <v>293</v>
      </c>
      <c r="C22" s="21"/>
      <c r="D22" s="21"/>
      <c r="E22" s="21"/>
      <c r="F22" s="26"/>
      <c r="G22" s="30"/>
    </row>
    <row r="23" spans="1:7" ht="31.5" x14ac:dyDescent="0.25">
      <c r="A23" s="19"/>
      <c r="B23" s="10" t="s">
        <v>294</v>
      </c>
      <c r="C23" s="21"/>
      <c r="D23" s="21"/>
      <c r="E23" s="21"/>
      <c r="F23" s="26"/>
      <c r="G23" s="30"/>
    </row>
    <row r="24" spans="1:7" x14ac:dyDescent="0.25">
      <c r="A24" s="19" t="s">
        <v>13</v>
      </c>
      <c r="B24" s="8" t="s">
        <v>128</v>
      </c>
      <c r="C24" s="21">
        <v>100</v>
      </c>
      <c r="D24" s="21" t="s">
        <v>197</v>
      </c>
      <c r="E24" s="21" t="s">
        <v>204</v>
      </c>
      <c r="F24" s="26"/>
      <c r="G24" s="30">
        <f t="shared" si="0"/>
        <v>0</v>
      </c>
    </row>
    <row r="25" spans="1:7" x14ac:dyDescent="0.25">
      <c r="A25" s="19" t="s">
        <v>285</v>
      </c>
      <c r="B25" s="8" t="s">
        <v>252</v>
      </c>
      <c r="C25" s="21">
        <v>100</v>
      </c>
      <c r="D25" s="21" t="s">
        <v>197</v>
      </c>
      <c r="E25" s="21" t="s">
        <v>204</v>
      </c>
      <c r="F25" s="26"/>
      <c r="G25" s="30">
        <f t="shared" si="0"/>
        <v>0</v>
      </c>
    </row>
    <row r="26" spans="1:7" x14ac:dyDescent="0.25">
      <c r="A26" s="19" t="s">
        <v>14</v>
      </c>
      <c r="B26" s="8" t="s">
        <v>253</v>
      </c>
      <c r="C26" s="21">
        <v>100</v>
      </c>
      <c r="D26" s="21" t="s">
        <v>197</v>
      </c>
      <c r="E26" s="21" t="s">
        <v>204</v>
      </c>
      <c r="F26" s="26"/>
      <c r="G26" s="30">
        <f t="shared" si="0"/>
        <v>0</v>
      </c>
    </row>
    <row r="27" spans="1:7" ht="47.25" x14ac:dyDescent="0.25">
      <c r="A27" s="19" t="s">
        <v>286</v>
      </c>
      <c r="B27" s="8" t="s">
        <v>262</v>
      </c>
      <c r="C27" s="22">
        <v>18</v>
      </c>
      <c r="D27" s="22" t="s">
        <v>197</v>
      </c>
      <c r="E27" s="22" t="s">
        <v>204</v>
      </c>
      <c r="F27" s="26"/>
      <c r="G27" s="31">
        <f>F27*C27</f>
        <v>0</v>
      </c>
    </row>
    <row r="28" spans="1:7" x14ac:dyDescent="0.25">
      <c r="A28" s="19" t="s">
        <v>15</v>
      </c>
      <c r="B28" s="8" t="s">
        <v>129</v>
      </c>
      <c r="C28" s="21">
        <v>18</v>
      </c>
      <c r="D28" s="21" t="s">
        <v>197</v>
      </c>
      <c r="E28" s="21" t="s">
        <v>204</v>
      </c>
      <c r="F28" s="26"/>
      <c r="G28" s="30">
        <f t="shared" si="0"/>
        <v>0</v>
      </c>
    </row>
    <row r="29" spans="1:7" ht="31.5" x14ac:dyDescent="0.25">
      <c r="A29" s="19" t="s">
        <v>287</v>
      </c>
      <c r="B29" s="8" t="s">
        <v>264</v>
      </c>
      <c r="C29" s="21">
        <v>6</v>
      </c>
      <c r="D29" s="21" t="s">
        <v>197</v>
      </c>
      <c r="E29" s="21" t="s">
        <v>204</v>
      </c>
      <c r="F29" s="26"/>
      <c r="G29" s="30">
        <f t="shared" si="0"/>
        <v>0</v>
      </c>
    </row>
    <row r="30" spans="1:7" ht="31.5" x14ac:dyDescent="0.25">
      <c r="A30" s="19" t="s">
        <v>16</v>
      </c>
      <c r="B30" s="8" t="s">
        <v>263</v>
      </c>
      <c r="C30" s="21">
        <v>9</v>
      </c>
      <c r="D30" s="21" t="s">
        <v>197</v>
      </c>
      <c r="E30" s="21" t="s">
        <v>204</v>
      </c>
      <c r="F30" s="26"/>
      <c r="G30" s="30">
        <f t="shared" si="0"/>
        <v>0</v>
      </c>
    </row>
    <row r="31" spans="1:7" x14ac:dyDescent="0.25">
      <c r="A31" s="19" t="s">
        <v>17</v>
      </c>
      <c r="B31" s="8" t="s">
        <v>130</v>
      </c>
      <c r="C31" s="21">
        <v>9</v>
      </c>
      <c r="D31" s="21" t="s">
        <v>197</v>
      </c>
      <c r="E31" s="21" t="s">
        <v>204</v>
      </c>
      <c r="F31" s="26"/>
      <c r="G31" s="30">
        <f t="shared" si="0"/>
        <v>0</v>
      </c>
    </row>
    <row r="32" spans="1:7" ht="47.25" x14ac:dyDescent="0.25">
      <c r="A32" s="19"/>
      <c r="B32" s="9" t="s">
        <v>216</v>
      </c>
      <c r="C32" s="21"/>
      <c r="D32" s="21"/>
      <c r="E32" s="21"/>
      <c r="F32" s="26"/>
      <c r="G32" s="30"/>
    </row>
    <row r="33" spans="1:7" x14ac:dyDescent="0.25">
      <c r="A33" s="19" t="s">
        <v>18</v>
      </c>
      <c r="B33" s="8" t="s">
        <v>131</v>
      </c>
      <c r="C33" s="21">
        <v>20</v>
      </c>
      <c r="D33" s="21" t="s">
        <v>197</v>
      </c>
      <c r="E33" s="21" t="s">
        <v>204</v>
      </c>
      <c r="F33" s="26"/>
      <c r="G33" s="30">
        <f t="shared" ref="G33:G58" si="1">F33*C33</f>
        <v>0</v>
      </c>
    </row>
    <row r="34" spans="1:7" x14ac:dyDescent="0.25">
      <c r="A34" s="19" t="s">
        <v>19</v>
      </c>
      <c r="B34" s="8" t="s">
        <v>132</v>
      </c>
      <c r="C34" s="21">
        <v>20</v>
      </c>
      <c r="D34" s="21" t="s">
        <v>197</v>
      </c>
      <c r="E34" s="21" t="s">
        <v>204</v>
      </c>
      <c r="F34" s="26"/>
      <c r="G34" s="30">
        <f t="shared" si="1"/>
        <v>0</v>
      </c>
    </row>
    <row r="35" spans="1:7" ht="31.5" x14ac:dyDescent="0.25">
      <c r="A35" s="19"/>
      <c r="B35" s="9" t="s">
        <v>291</v>
      </c>
      <c r="C35" s="21"/>
      <c r="D35" s="21"/>
      <c r="E35" s="21"/>
      <c r="F35" s="26"/>
      <c r="G35" s="30"/>
    </row>
    <row r="36" spans="1:7" ht="47.25" x14ac:dyDescent="0.25">
      <c r="A36" s="19" t="s">
        <v>20</v>
      </c>
      <c r="B36" s="8" t="s">
        <v>277</v>
      </c>
      <c r="C36" s="21">
        <v>100</v>
      </c>
      <c r="D36" s="21" t="s">
        <v>197</v>
      </c>
      <c r="E36" s="21" t="s">
        <v>204</v>
      </c>
      <c r="F36" s="26"/>
      <c r="G36" s="30">
        <f t="shared" si="1"/>
        <v>0</v>
      </c>
    </row>
    <row r="37" spans="1:7" x14ac:dyDescent="0.25">
      <c r="A37" s="19"/>
      <c r="B37" s="9" t="s">
        <v>133</v>
      </c>
      <c r="C37" s="21"/>
      <c r="D37" s="21"/>
      <c r="E37" s="21"/>
      <c r="F37" s="26"/>
      <c r="G37" s="30"/>
    </row>
    <row r="38" spans="1:7" x14ac:dyDescent="0.25">
      <c r="A38" s="19" t="s">
        <v>21</v>
      </c>
      <c r="B38" s="8" t="s">
        <v>134</v>
      </c>
      <c r="C38" s="21">
        <v>100</v>
      </c>
      <c r="D38" s="21" t="s">
        <v>199</v>
      </c>
      <c r="E38" s="21" t="s">
        <v>204</v>
      </c>
      <c r="F38" s="26"/>
      <c r="G38" s="30">
        <f t="shared" si="1"/>
        <v>0</v>
      </c>
    </row>
    <row r="39" spans="1:7" x14ac:dyDescent="0.25">
      <c r="A39" s="19" t="s">
        <v>22</v>
      </c>
      <c r="B39" s="8" t="s">
        <v>135</v>
      </c>
      <c r="C39" s="21">
        <v>100</v>
      </c>
      <c r="D39" s="21" t="s">
        <v>199</v>
      </c>
      <c r="E39" s="21" t="s">
        <v>204</v>
      </c>
      <c r="F39" s="26"/>
      <c r="G39" s="30">
        <f t="shared" si="1"/>
        <v>0</v>
      </c>
    </row>
    <row r="40" spans="1:7" x14ac:dyDescent="0.25">
      <c r="A40" s="19"/>
      <c r="B40" s="9" t="s">
        <v>295</v>
      </c>
      <c r="C40" s="21"/>
      <c r="D40" s="21"/>
      <c r="E40" s="21"/>
      <c r="F40" s="26"/>
      <c r="G40" s="30"/>
    </row>
    <row r="41" spans="1:7" ht="31.5" x14ac:dyDescent="0.25">
      <c r="A41" s="19"/>
      <c r="B41" s="9" t="s">
        <v>215</v>
      </c>
      <c r="C41" s="21"/>
      <c r="D41" s="21"/>
      <c r="E41" s="21"/>
      <c r="F41" s="26"/>
      <c r="G41" s="30"/>
    </row>
    <row r="42" spans="1:7" x14ac:dyDescent="0.25">
      <c r="A42" s="19" t="s">
        <v>23</v>
      </c>
      <c r="B42" s="8" t="s">
        <v>136</v>
      </c>
      <c r="C42" s="21">
        <v>100</v>
      </c>
      <c r="D42" s="21" t="s">
        <v>197</v>
      </c>
      <c r="E42" s="21" t="s">
        <v>204</v>
      </c>
      <c r="F42" s="26"/>
      <c r="G42" s="30">
        <f t="shared" si="1"/>
        <v>0</v>
      </c>
    </row>
    <row r="43" spans="1:7" ht="31.5" x14ac:dyDescent="0.25">
      <c r="A43" s="19"/>
      <c r="B43" s="9" t="s">
        <v>214</v>
      </c>
      <c r="C43" s="21"/>
      <c r="D43" s="21"/>
      <c r="E43" s="21"/>
      <c r="F43" s="26"/>
      <c r="G43" s="30"/>
    </row>
    <row r="44" spans="1:7" x14ac:dyDescent="0.25">
      <c r="A44" s="19" t="s">
        <v>24</v>
      </c>
      <c r="B44" s="8" t="s">
        <v>137</v>
      </c>
      <c r="C44" s="21">
        <v>100</v>
      </c>
      <c r="D44" s="21" t="s">
        <v>197</v>
      </c>
      <c r="E44" s="21" t="s">
        <v>204</v>
      </c>
      <c r="F44" s="26"/>
      <c r="G44" s="30">
        <f t="shared" si="1"/>
        <v>0</v>
      </c>
    </row>
    <row r="45" spans="1:7" ht="47.25" x14ac:dyDescent="0.25">
      <c r="A45" s="19"/>
      <c r="B45" s="9" t="s">
        <v>292</v>
      </c>
      <c r="C45" s="21"/>
      <c r="D45" s="21"/>
      <c r="E45" s="21"/>
      <c r="F45" s="26"/>
      <c r="G45" s="30"/>
    </row>
    <row r="46" spans="1:7" x14ac:dyDescent="0.25">
      <c r="A46" s="19" t="s">
        <v>25</v>
      </c>
      <c r="B46" s="8" t="s">
        <v>138</v>
      </c>
      <c r="C46" s="21">
        <v>100</v>
      </c>
      <c r="D46" s="21" t="s">
        <v>197</v>
      </c>
      <c r="E46" s="21" t="s">
        <v>204</v>
      </c>
      <c r="F46" s="26"/>
      <c r="G46" s="30">
        <f t="shared" si="1"/>
        <v>0</v>
      </c>
    </row>
    <row r="47" spans="1:7" x14ac:dyDescent="0.25">
      <c r="A47" s="19" t="s">
        <v>26</v>
      </c>
      <c r="B47" s="8" t="s">
        <v>139</v>
      </c>
      <c r="C47" s="21">
        <v>100</v>
      </c>
      <c r="D47" s="21" t="s">
        <v>197</v>
      </c>
      <c r="E47" s="21" t="s">
        <v>204</v>
      </c>
      <c r="F47" s="26"/>
      <c r="G47" s="30">
        <f t="shared" si="1"/>
        <v>0</v>
      </c>
    </row>
    <row r="48" spans="1:7" ht="31.5" x14ac:dyDescent="0.25">
      <c r="A48" s="19" t="s">
        <v>27</v>
      </c>
      <c r="B48" s="8" t="s">
        <v>265</v>
      </c>
      <c r="C48" s="21">
        <v>150</v>
      </c>
      <c r="D48" s="21" t="s">
        <v>199</v>
      </c>
      <c r="E48" s="21" t="s">
        <v>204</v>
      </c>
      <c r="F48" s="26"/>
      <c r="G48" s="30">
        <f t="shared" si="1"/>
        <v>0</v>
      </c>
    </row>
    <row r="49" spans="1:7" ht="31.5" x14ac:dyDescent="0.25">
      <c r="A49" s="19" t="s">
        <v>28</v>
      </c>
      <c r="B49" s="8" t="s">
        <v>266</v>
      </c>
      <c r="C49" s="21">
        <v>36</v>
      </c>
      <c r="D49" s="21" t="s">
        <v>199</v>
      </c>
      <c r="E49" s="21" t="s">
        <v>204</v>
      </c>
      <c r="F49" s="26"/>
      <c r="G49" s="30">
        <f t="shared" si="1"/>
        <v>0</v>
      </c>
    </row>
    <row r="50" spans="1:7" ht="47.25" x14ac:dyDescent="0.25">
      <c r="A50" s="19" t="s">
        <v>29</v>
      </c>
      <c r="B50" s="8" t="s">
        <v>267</v>
      </c>
      <c r="C50" s="21">
        <v>100</v>
      </c>
      <c r="D50" s="21" t="s">
        <v>199</v>
      </c>
      <c r="E50" s="21" t="s">
        <v>204</v>
      </c>
      <c r="F50" s="26"/>
      <c r="G50" s="30">
        <f t="shared" si="1"/>
        <v>0</v>
      </c>
    </row>
    <row r="51" spans="1:7" x14ac:dyDescent="0.25">
      <c r="A51" s="19" t="s">
        <v>30</v>
      </c>
      <c r="B51" s="8" t="s">
        <v>140</v>
      </c>
      <c r="C51" s="21">
        <v>100</v>
      </c>
      <c r="D51" s="21" t="s">
        <v>197</v>
      </c>
      <c r="E51" s="21" t="s">
        <v>204</v>
      </c>
      <c r="F51" s="26"/>
      <c r="G51" s="30">
        <f t="shared" si="1"/>
        <v>0</v>
      </c>
    </row>
    <row r="52" spans="1:7" x14ac:dyDescent="0.25">
      <c r="A52" s="19" t="s">
        <v>31</v>
      </c>
      <c r="B52" s="8" t="s">
        <v>141</v>
      </c>
      <c r="C52" s="21">
        <v>300</v>
      </c>
      <c r="D52" s="21" t="s">
        <v>199</v>
      </c>
      <c r="E52" s="21" t="s">
        <v>204</v>
      </c>
      <c r="F52" s="26"/>
      <c r="G52" s="30">
        <f t="shared" si="1"/>
        <v>0</v>
      </c>
    </row>
    <row r="53" spans="1:7" x14ac:dyDescent="0.25">
      <c r="A53" s="19"/>
      <c r="B53" s="9" t="s">
        <v>142</v>
      </c>
      <c r="C53" s="21"/>
      <c r="D53" s="21"/>
      <c r="E53" s="21"/>
      <c r="F53" s="26"/>
      <c r="G53" s="30"/>
    </row>
    <row r="54" spans="1:7" x14ac:dyDescent="0.25">
      <c r="A54" s="19" t="s">
        <v>32</v>
      </c>
      <c r="B54" s="8" t="s">
        <v>143</v>
      </c>
      <c r="C54" s="21">
        <v>150</v>
      </c>
      <c r="D54" s="21" t="s">
        <v>199</v>
      </c>
      <c r="E54" s="21" t="s">
        <v>204</v>
      </c>
      <c r="F54" s="26"/>
      <c r="G54" s="30">
        <f t="shared" si="1"/>
        <v>0</v>
      </c>
    </row>
    <row r="55" spans="1:7" ht="31.5" x14ac:dyDescent="0.25">
      <c r="A55" s="19"/>
      <c r="B55" s="9" t="s">
        <v>278</v>
      </c>
      <c r="C55" s="21"/>
      <c r="D55" s="21"/>
      <c r="E55" s="21"/>
      <c r="F55" s="26"/>
      <c r="G55" s="30"/>
    </row>
    <row r="56" spans="1:7" x14ac:dyDescent="0.25">
      <c r="A56" s="19" t="s">
        <v>33</v>
      </c>
      <c r="B56" s="8" t="s">
        <v>144</v>
      </c>
      <c r="C56" s="21">
        <v>100</v>
      </c>
      <c r="D56" s="21" t="s">
        <v>197</v>
      </c>
      <c r="E56" s="21" t="s">
        <v>204</v>
      </c>
      <c r="F56" s="26"/>
      <c r="G56" s="30">
        <f t="shared" si="1"/>
        <v>0</v>
      </c>
    </row>
    <row r="57" spans="1:7" x14ac:dyDescent="0.25">
      <c r="A57" s="19" t="s">
        <v>34</v>
      </c>
      <c r="B57" s="8" t="s">
        <v>145</v>
      </c>
      <c r="C57" s="21">
        <v>100</v>
      </c>
      <c r="D57" s="21" t="s">
        <v>197</v>
      </c>
      <c r="E57" s="21" t="s">
        <v>204</v>
      </c>
      <c r="F57" s="26"/>
      <c r="G57" s="30">
        <f t="shared" si="1"/>
        <v>0</v>
      </c>
    </row>
    <row r="58" spans="1:7" x14ac:dyDescent="0.25">
      <c r="A58" s="19" t="s">
        <v>35</v>
      </c>
      <c r="B58" s="8" t="s">
        <v>146</v>
      </c>
      <c r="C58" s="21">
        <v>100</v>
      </c>
      <c r="D58" s="21" t="s">
        <v>197</v>
      </c>
      <c r="E58" s="21" t="s">
        <v>204</v>
      </c>
      <c r="F58" s="26"/>
      <c r="G58" s="30">
        <f t="shared" si="1"/>
        <v>0</v>
      </c>
    </row>
    <row r="59" spans="1:7" ht="31.5" x14ac:dyDescent="0.25">
      <c r="A59" s="19"/>
      <c r="B59" s="9" t="s">
        <v>147</v>
      </c>
      <c r="C59" s="21"/>
      <c r="D59" s="21"/>
      <c r="E59" s="21"/>
      <c r="F59" s="26"/>
      <c r="G59" s="30"/>
    </row>
    <row r="60" spans="1:7" x14ac:dyDescent="0.25">
      <c r="A60" s="19" t="s">
        <v>36</v>
      </c>
      <c r="B60" s="8" t="s">
        <v>144</v>
      </c>
      <c r="C60" s="21">
        <v>100</v>
      </c>
      <c r="D60" s="21" t="s">
        <v>197</v>
      </c>
      <c r="E60" s="21" t="s">
        <v>204</v>
      </c>
      <c r="F60" s="26"/>
      <c r="G60" s="30">
        <f t="shared" ref="G60:G122" si="2">F60*C60</f>
        <v>0</v>
      </c>
    </row>
    <row r="61" spans="1:7" x14ac:dyDescent="0.25">
      <c r="A61" s="19" t="s">
        <v>37</v>
      </c>
      <c r="B61" s="8" t="s">
        <v>145</v>
      </c>
      <c r="C61" s="21">
        <v>100</v>
      </c>
      <c r="D61" s="21" t="s">
        <v>197</v>
      </c>
      <c r="E61" s="21" t="s">
        <v>204</v>
      </c>
      <c r="F61" s="26"/>
      <c r="G61" s="30">
        <f t="shared" si="2"/>
        <v>0</v>
      </c>
    </row>
    <row r="62" spans="1:7" x14ac:dyDescent="0.25">
      <c r="A62" s="19" t="s">
        <v>38</v>
      </c>
      <c r="B62" s="8" t="s">
        <v>146</v>
      </c>
      <c r="C62" s="21">
        <v>100</v>
      </c>
      <c r="D62" s="21" t="s">
        <v>197</v>
      </c>
      <c r="E62" s="21" t="s">
        <v>204</v>
      </c>
      <c r="F62" s="26"/>
      <c r="G62" s="30">
        <f t="shared" si="2"/>
        <v>0</v>
      </c>
    </row>
    <row r="63" spans="1:7" x14ac:dyDescent="0.25">
      <c r="A63" s="19" t="s">
        <v>39</v>
      </c>
      <c r="B63" s="8" t="s">
        <v>148</v>
      </c>
      <c r="C63" s="21">
        <v>100</v>
      </c>
      <c r="D63" s="21" t="s">
        <v>199</v>
      </c>
      <c r="E63" s="21" t="s">
        <v>204</v>
      </c>
      <c r="F63" s="26"/>
      <c r="G63" s="30">
        <f t="shared" si="2"/>
        <v>0</v>
      </c>
    </row>
    <row r="64" spans="1:7" x14ac:dyDescent="0.25">
      <c r="A64" s="19" t="s">
        <v>40</v>
      </c>
      <c r="B64" s="8" t="s">
        <v>149</v>
      </c>
      <c r="C64" s="21">
        <v>100</v>
      </c>
      <c r="D64" s="21" t="s">
        <v>201</v>
      </c>
      <c r="E64" s="21" t="s">
        <v>204</v>
      </c>
      <c r="F64" s="26"/>
      <c r="G64" s="30">
        <f t="shared" si="2"/>
        <v>0</v>
      </c>
    </row>
    <row r="65" spans="1:7" ht="18.75" customHeight="1" x14ac:dyDescent="0.25">
      <c r="A65" s="19" t="s">
        <v>41</v>
      </c>
      <c r="B65" s="8" t="s">
        <v>150</v>
      </c>
      <c r="C65" s="21">
        <v>100</v>
      </c>
      <c r="D65" s="21" t="s">
        <v>200</v>
      </c>
      <c r="E65" s="21" t="s">
        <v>204</v>
      </c>
      <c r="F65" s="26"/>
      <c r="G65" s="30">
        <f t="shared" si="2"/>
        <v>0</v>
      </c>
    </row>
    <row r="66" spans="1:7" x14ac:dyDescent="0.25">
      <c r="A66" s="19" t="s">
        <v>42</v>
      </c>
      <c r="B66" s="8" t="s">
        <v>151</v>
      </c>
      <c r="C66" s="21">
        <v>100</v>
      </c>
      <c r="D66" s="21" t="s">
        <v>201</v>
      </c>
      <c r="E66" s="21" t="s">
        <v>204</v>
      </c>
      <c r="F66" s="26"/>
      <c r="G66" s="30">
        <f t="shared" si="2"/>
        <v>0</v>
      </c>
    </row>
    <row r="67" spans="1:7" ht="31.5" x14ac:dyDescent="0.25">
      <c r="A67" s="19"/>
      <c r="B67" s="9" t="s">
        <v>213</v>
      </c>
      <c r="C67" s="21"/>
      <c r="D67" s="21"/>
      <c r="E67" s="21"/>
      <c r="F67" s="26"/>
      <c r="G67" s="30"/>
    </row>
    <row r="68" spans="1:7" x14ac:dyDescent="0.25">
      <c r="A68" s="19" t="s">
        <v>43</v>
      </c>
      <c r="B68" s="8" t="s">
        <v>152</v>
      </c>
      <c r="C68" s="21">
        <v>100</v>
      </c>
      <c r="D68" s="21" t="s">
        <v>197</v>
      </c>
      <c r="E68" s="21" t="s">
        <v>204</v>
      </c>
      <c r="F68" s="26"/>
      <c r="G68" s="30">
        <f t="shared" si="2"/>
        <v>0</v>
      </c>
    </row>
    <row r="69" spans="1:7" x14ac:dyDescent="0.25">
      <c r="A69" s="19" t="s">
        <v>44</v>
      </c>
      <c r="B69" s="8" t="s">
        <v>153</v>
      </c>
      <c r="C69" s="21">
        <v>100</v>
      </c>
      <c r="D69" s="21" t="s">
        <v>197</v>
      </c>
      <c r="E69" s="21" t="s">
        <v>204</v>
      </c>
      <c r="F69" s="26"/>
      <c r="G69" s="30">
        <f t="shared" si="2"/>
        <v>0</v>
      </c>
    </row>
    <row r="70" spans="1:7" x14ac:dyDescent="0.25">
      <c r="A70" s="19" t="s">
        <v>45</v>
      </c>
      <c r="B70" s="8" t="s">
        <v>154</v>
      </c>
      <c r="C70" s="21">
        <v>100</v>
      </c>
      <c r="D70" s="21" t="s">
        <v>199</v>
      </c>
      <c r="E70" s="21" t="s">
        <v>204</v>
      </c>
      <c r="F70" s="26"/>
      <c r="G70" s="30">
        <f t="shared" si="2"/>
        <v>0</v>
      </c>
    </row>
    <row r="71" spans="1:7" x14ac:dyDescent="0.25">
      <c r="A71" s="19" t="s">
        <v>46</v>
      </c>
      <c r="B71" s="8" t="s">
        <v>155</v>
      </c>
      <c r="C71" s="21">
        <v>100</v>
      </c>
      <c r="D71" s="21" t="s">
        <v>201</v>
      </c>
      <c r="E71" s="21" t="s">
        <v>204</v>
      </c>
      <c r="F71" s="26"/>
      <c r="G71" s="30">
        <f t="shared" si="2"/>
        <v>0</v>
      </c>
    </row>
    <row r="72" spans="1:7" ht="31.5" x14ac:dyDescent="0.25">
      <c r="A72" s="19"/>
      <c r="B72" s="9" t="s">
        <v>268</v>
      </c>
      <c r="C72" s="21"/>
      <c r="D72" s="21"/>
      <c r="E72" s="21"/>
      <c r="F72" s="26"/>
      <c r="G72" s="30"/>
    </row>
    <row r="73" spans="1:7" x14ac:dyDescent="0.25">
      <c r="A73" s="19" t="s">
        <v>47</v>
      </c>
      <c r="B73" s="8" t="s">
        <v>156</v>
      </c>
      <c r="C73" s="21">
        <v>100</v>
      </c>
      <c r="D73" s="21" t="s">
        <v>199</v>
      </c>
      <c r="E73" s="21" t="s">
        <v>204</v>
      </c>
      <c r="F73" s="26"/>
      <c r="G73" s="30">
        <f t="shared" si="2"/>
        <v>0</v>
      </c>
    </row>
    <row r="74" spans="1:7" x14ac:dyDescent="0.25">
      <c r="A74" s="19" t="s">
        <v>48</v>
      </c>
      <c r="B74" s="8" t="s">
        <v>157</v>
      </c>
      <c r="C74" s="21">
        <v>100</v>
      </c>
      <c r="D74" s="21" t="s">
        <v>199</v>
      </c>
      <c r="E74" s="21" t="s">
        <v>204</v>
      </c>
      <c r="F74" s="26"/>
      <c r="G74" s="30">
        <f t="shared" si="2"/>
        <v>0</v>
      </c>
    </row>
    <row r="75" spans="1:7" x14ac:dyDescent="0.25">
      <c r="A75" s="19" t="s">
        <v>49</v>
      </c>
      <c r="B75" s="8" t="s">
        <v>158</v>
      </c>
      <c r="C75" s="21">
        <v>100</v>
      </c>
      <c r="D75" s="21" t="s">
        <v>199</v>
      </c>
      <c r="E75" s="21" t="s">
        <v>204</v>
      </c>
      <c r="F75" s="26"/>
      <c r="G75" s="30">
        <f t="shared" si="2"/>
        <v>0</v>
      </c>
    </row>
    <row r="76" spans="1:7" x14ac:dyDescent="0.25">
      <c r="A76" s="19" t="s">
        <v>50</v>
      </c>
      <c r="B76" s="8" t="s">
        <v>159</v>
      </c>
      <c r="C76" s="21">
        <v>100</v>
      </c>
      <c r="D76" s="21" t="s">
        <v>199</v>
      </c>
      <c r="E76" s="21" t="s">
        <v>204</v>
      </c>
      <c r="F76" s="26"/>
      <c r="G76" s="30">
        <f t="shared" si="2"/>
        <v>0</v>
      </c>
    </row>
    <row r="77" spans="1:7" ht="31.5" x14ac:dyDescent="0.25">
      <c r="A77" s="19"/>
      <c r="B77" s="9" t="s">
        <v>269</v>
      </c>
      <c r="C77" s="21"/>
      <c r="D77" s="21"/>
      <c r="E77" s="21"/>
      <c r="F77" s="26"/>
      <c r="G77" s="30"/>
    </row>
    <row r="78" spans="1:7" x14ac:dyDescent="0.25">
      <c r="A78" s="19" t="s">
        <v>51</v>
      </c>
      <c r="B78" s="8" t="s">
        <v>156</v>
      </c>
      <c r="C78" s="21">
        <v>100</v>
      </c>
      <c r="D78" s="21" t="s">
        <v>199</v>
      </c>
      <c r="E78" s="21" t="s">
        <v>204</v>
      </c>
      <c r="F78" s="26"/>
      <c r="G78" s="30">
        <f t="shared" si="2"/>
        <v>0</v>
      </c>
    </row>
    <row r="79" spans="1:7" x14ac:dyDescent="0.25">
      <c r="A79" s="19" t="s">
        <v>52</v>
      </c>
      <c r="B79" s="8" t="s">
        <v>157</v>
      </c>
      <c r="C79" s="21">
        <v>100</v>
      </c>
      <c r="D79" s="21" t="s">
        <v>199</v>
      </c>
      <c r="E79" s="21" t="s">
        <v>204</v>
      </c>
      <c r="F79" s="26"/>
      <c r="G79" s="30">
        <f t="shared" si="2"/>
        <v>0</v>
      </c>
    </row>
    <row r="80" spans="1:7" x14ac:dyDescent="0.25">
      <c r="A80" s="19" t="s">
        <v>53</v>
      </c>
      <c r="B80" s="8" t="s">
        <v>158</v>
      </c>
      <c r="C80" s="21">
        <v>100</v>
      </c>
      <c r="D80" s="21" t="s">
        <v>199</v>
      </c>
      <c r="E80" s="21" t="s">
        <v>204</v>
      </c>
      <c r="F80" s="26"/>
      <c r="G80" s="30">
        <f t="shared" si="2"/>
        <v>0</v>
      </c>
    </row>
    <row r="81" spans="1:7" x14ac:dyDescent="0.25">
      <c r="A81" s="19" t="s">
        <v>220</v>
      </c>
      <c r="B81" s="8" t="s">
        <v>159</v>
      </c>
      <c r="C81" s="21">
        <v>100</v>
      </c>
      <c r="D81" s="21" t="s">
        <v>199</v>
      </c>
      <c r="E81" s="21" t="s">
        <v>204</v>
      </c>
      <c r="F81" s="26"/>
      <c r="G81" s="30">
        <f t="shared" si="2"/>
        <v>0</v>
      </c>
    </row>
    <row r="82" spans="1:7" ht="31.5" x14ac:dyDescent="0.25">
      <c r="A82" s="19"/>
      <c r="B82" s="12" t="s">
        <v>279</v>
      </c>
      <c r="C82" s="21"/>
      <c r="D82" s="21"/>
      <c r="E82" s="21"/>
      <c r="F82" s="26"/>
      <c r="G82" s="30"/>
    </row>
    <row r="83" spans="1:7" x14ac:dyDescent="0.25">
      <c r="A83" s="19" t="s">
        <v>221</v>
      </c>
      <c r="B83" s="8" t="s">
        <v>156</v>
      </c>
      <c r="C83" s="21">
        <v>100</v>
      </c>
      <c r="D83" s="21" t="s">
        <v>200</v>
      </c>
      <c r="E83" s="21" t="s">
        <v>204</v>
      </c>
      <c r="F83" s="26"/>
      <c r="G83" s="30">
        <f t="shared" si="2"/>
        <v>0</v>
      </c>
    </row>
    <row r="84" spans="1:7" x14ac:dyDescent="0.25">
      <c r="A84" s="19" t="s">
        <v>222</v>
      </c>
      <c r="B84" s="8" t="s">
        <v>157</v>
      </c>
      <c r="C84" s="21">
        <v>100</v>
      </c>
      <c r="D84" s="21" t="s">
        <v>200</v>
      </c>
      <c r="E84" s="21" t="s">
        <v>204</v>
      </c>
      <c r="F84" s="26"/>
      <c r="G84" s="30">
        <f t="shared" si="2"/>
        <v>0</v>
      </c>
    </row>
    <row r="85" spans="1:7" x14ac:dyDescent="0.25">
      <c r="A85" s="19" t="s">
        <v>223</v>
      </c>
      <c r="B85" s="8" t="s">
        <v>158</v>
      </c>
      <c r="C85" s="21">
        <v>100</v>
      </c>
      <c r="D85" s="21" t="s">
        <v>200</v>
      </c>
      <c r="E85" s="21" t="s">
        <v>204</v>
      </c>
      <c r="F85" s="26"/>
      <c r="G85" s="30">
        <f t="shared" si="2"/>
        <v>0</v>
      </c>
    </row>
    <row r="86" spans="1:7" x14ac:dyDescent="0.25">
      <c r="A86" s="19" t="s">
        <v>224</v>
      </c>
      <c r="B86" s="8" t="s">
        <v>159</v>
      </c>
      <c r="C86" s="21">
        <v>100</v>
      </c>
      <c r="D86" s="21" t="s">
        <v>200</v>
      </c>
      <c r="E86" s="21" t="s">
        <v>204</v>
      </c>
      <c r="F86" s="26"/>
      <c r="G86" s="30">
        <f t="shared" si="2"/>
        <v>0</v>
      </c>
    </row>
    <row r="87" spans="1:7" x14ac:dyDescent="0.25">
      <c r="A87" s="19"/>
      <c r="B87" s="9" t="s">
        <v>160</v>
      </c>
      <c r="C87" s="21"/>
      <c r="D87" s="21"/>
      <c r="E87" s="21"/>
      <c r="F87" s="26"/>
      <c r="G87" s="30"/>
    </row>
    <row r="88" spans="1:7" x14ac:dyDescent="0.25">
      <c r="A88" s="19"/>
      <c r="B88" s="9" t="s">
        <v>161</v>
      </c>
      <c r="C88" s="21"/>
      <c r="D88" s="21"/>
      <c r="E88" s="21"/>
      <c r="F88" s="26"/>
      <c r="G88" s="30"/>
    </row>
    <row r="89" spans="1:7" x14ac:dyDescent="0.25">
      <c r="A89" s="19" t="s">
        <v>225</v>
      </c>
      <c r="B89" s="8" t="s">
        <v>162</v>
      </c>
      <c r="C89" s="21">
        <v>100</v>
      </c>
      <c r="D89" s="21" t="s">
        <v>200</v>
      </c>
      <c r="E89" s="21" t="s">
        <v>204</v>
      </c>
      <c r="F89" s="26"/>
      <c r="G89" s="30">
        <f t="shared" si="2"/>
        <v>0</v>
      </c>
    </row>
    <row r="90" spans="1:7" x14ac:dyDescent="0.25">
      <c r="A90" s="19" t="s">
        <v>226</v>
      </c>
      <c r="B90" s="8" t="s">
        <v>163</v>
      </c>
      <c r="C90" s="21">
        <v>100</v>
      </c>
      <c r="D90" s="21" t="s">
        <v>200</v>
      </c>
      <c r="E90" s="21" t="s">
        <v>204</v>
      </c>
      <c r="F90" s="26"/>
      <c r="G90" s="30">
        <f t="shared" si="2"/>
        <v>0</v>
      </c>
    </row>
    <row r="91" spans="1:7" x14ac:dyDescent="0.25">
      <c r="A91" s="19" t="s">
        <v>227</v>
      </c>
      <c r="B91" s="8" t="s">
        <v>164</v>
      </c>
      <c r="C91" s="21">
        <v>100</v>
      </c>
      <c r="D91" s="21" t="s">
        <v>200</v>
      </c>
      <c r="E91" s="21" t="s">
        <v>204</v>
      </c>
      <c r="F91" s="26"/>
      <c r="G91" s="30">
        <f t="shared" si="2"/>
        <v>0</v>
      </c>
    </row>
    <row r="92" spans="1:7" x14ac:dyDescent="0.25">
      <c r="A92" s="19" t="s">
        <v>228</v>
      </c>
      <c r="B92" s="8" t="s">
        <v>165</v>
      </c>
      <c r="C92" s="21">
        <v>100</v>
      </c>
      <c r="D92" s="21" t="s">
        <v>200</v>
      </c>
      <c r="E92" s="21" t="s">
        <v>204</v>
      </c>
      <c r="F92" s="26"/>
      <c r="G92" s="30">
        <f t="shared" si="2"/>
        <v>0</v>
      </c>
    </row>
    <row r="93" spans="1:7" x14ac:dyDescent="0.25">
      <c r="A93" s="19" t="s">
        <v>229</v>
      </c>
      <c r="B93" s="8" t="s">
        <v>166</v>
      </c>
      <c r="C93" s="21">
        <v>100</v>
      </c>
      <c r="D93" s="21" t="s">
        <v>200</v>
      </c>
      <c r="E93" s="21" t="s">
        <v>204</v>
      </c>
      <c r="F93" s="26"/>
      <c r="G93" s="30">
        <f t="shared" si="2"/>
        <v>0</v>
      </c>
    </row>
    <row r="94" spans="1:7" x14ac:dyDescent="0.25">
      <c r="A94" s="19" t="s">
        <v>230</v>
      </c>
      <c r="B94" s="8" t="s">
        <v>241</v>
      </c>
      <c r="C94" s="21">
        <v>100</v>
      </c>
      <c r="D94" s="21" t="s">
        <v>200</v>
      </c>
      <c r="E94" s="21" t="s">
        <v>204</v>
      </c>
      <c r="F94" s="26"/>
      <c r="G94" s="30">
        <f t="shared" si="2"/>
        <v>0</v>
      </c>
    </row>
    <row r="95" spans="1:7" x14ac:dyDescent="0.25">
      <c r="A95" s="19" t="s">
        <v>231</v>
      </c>
      <c r="B95" s="8" t="s">
        <v>242</v>
      </c>
      <c r="C95" s="21">
        <v>100</v>
      </c>
      <c r="D95" s="21" t="s">
        <v>200</v>
      </c>
      <c r="E95" s="21" t="s">
        <v>204</v>
      </c>
      <c r="F95" s="26"/>
      <c r="G95" s="30">
        <f t="shared" si="2"/>
        <v>0</v>
      </c>
    </row>
    <row r="96" spans="1:7" x14ac:dyDescent="0.25">
      <c r="A96" s="19" t="s">
        <v>232</v>
      </c>
      <c r="B96" s="8" t="s">
        <v>243</v>
      </c>
      <c r="C96" s="21">
        <v>100</v>
      </c>
      <c r="D96" s="21" t="s">
        <v>200</v>
      </c>
      <c r="E96" s="21" t="s">
        <v>204</v>
      </c>
      <c r="F96" s="26"/>
      <c r="G96" s="30">
        <f t="shared" si="2"/>
        <v>0</v>
      </c>
    </row>
    <row r="97" spans="1:7" x14ac:dyDescent="0.25">
      <c r="A97" s="19" t="s">
        <v>233</v>
      </c>
      <c r="B97" s="8" t="s">
        <v>244</v>
      </c>
      <c r="C97" s="21">
        <v>100</v>
      </c>
      <c r="D97" s="21" t="s">
        <v>200</v>
      </c>
      <c r="E97" s="21" t="s">
        <v>204</v>
      </c>
      <c r="F97" s="26"/>
      <c r="G97" s="30">
        <f t="shared" si="2"/>
        <v>0</v>
      </c>
    </row>
    <row r="98" spans="1:7" x14ac:dyDescent="0.25">
      <c r="A98" s="19" t="s">
        <v>234</v>
      </c>
      <c r="B98" s="8" t="s">
        <v>167</v>
      </c>
      <c r="C98" s="21">
        <v>100</v>
      </c>
      <c r="D98" s="21" t="s">
        <v>200</v>
      </c>
      <c r="E98" s="21" t="s">
        <v>204</v>
      </c>
      <c r="F98" s="26"/>
      <c r="G98" s="30">
        <f t="shared" si="2"/>
        <v>0</v>
      </c>
    </row>
    <row r="99" spans="1:7" x14ac:dyDescent="0.25">
      <c r="A99" s="19" t="s">
        <v>235</v>
      </c>
      <c r="B99" s="8" t="s">
        <v>168</v>
      </c>
      <c r="C99" s="21">
        <v>100</v>
      </c>
      <c r="D99" s="21" t="s">
        <v>200</v>
      </c>
      <c r="E99" s="21" t="s">
        <v>204</v>
      </c>
      <c r="F99" s="26"/>
      <c r="G99" s="30">
        <f t="shared" si="2"/>
        <v>0</v>
      </c>
    </row>
    <row r="100" spans="1:7" x14ac:dyDescent="0.25">
      <c r="A100" s="19"/>
      <c r="B100" s="9" t="s">
        <v>169</v>
      </c>
      <c r="C100" s="21"/>
      <c r="D100" s="21"/>
      <c r="E100" s="21"/>
      <c r="F100" s="26"/>
      <c r="G100" s="30"/>
    </row>
    <row r="101" spans="1:7" x14ac:dyDescent="0.25">
      <c r="A101" s="19" t="s">
        <v>54</v>
      </c>
      <c r="B101" s="8" t="s">
        <v>170</v>
      </c>
      <c r="C101" s="21">
        <v>100</v>
      </c>
      <c r="D101" s="21" t="s">
        <v>200</v>
      </c>
      <c r="E101" s="21" t="s">
        <v>204</v>
      </c>
      <c r="F101" s="26"/>
      <c r="G101" s="30">
        <f t="shared" si="2"/>
        <v>0</v>
      </c>
    </row>
    <row r="102" spans="1:7" x14ac:dyDescent="0.25">
      <c r="A102" s="19" t="s">
        <v>55</v>
      </c>
      <c r="B102" s="8" t="s">
        <v>171</v>
      </c>
      <c r="C102" s="21">
        <v>100</v>
      </c>
      <c r="D102" s="21" t="s">
        <v>200</v>
      </c>
      <c r="E102" s="21" t="s">
        <v>204</v>
      </c>
      <c r="F102" s="26"/>
      <c r="G102" s="30">
        <f t="shared" si="2"/>
        <v>0</v>
      </c>
    </row>
    <row r="103" spans="1:7" x14ac:dyDescent="0.25">
      <c r="A103" s="19" t="s">
        <v>56</v>
      </c>
      <c r="B103" s="8" t="s">
        <v>172</v>
      </c>
      <c r="C103" s="21">
        <v>100</v>
      </c>
      <c r="D103" s="21" t="s">
        <v>200</v>
      </c>
      <c r="E103" s="21" t="s">
        <v>204</v>
      </c>
      <c r="F103" s="26"/>
      <c r="G103" s="30">
        <f t="shared" si="2"/>
        <v>0</v>
      </c>
    </row>
    <row r="104" spans="1:7" x14ac:dyDescent="0.25">
      <c r="A104" s="19" t="s">
        <v>57</v>
      </c>
      <c r="B104" s="8" t="s">
        <v>173</v>
      </c>
      <c r="C104" s="21">
        <v>100</v>
      </c>
      <c r="D104" s="21" t="s">
        <v>200</v>
      </c>
      <c r="E104" s="21" t="s">
        <v>204</v>
      </c>
      <c r="F104" s="26"/>
      <c r="G104" s="30">
        <f t="shared" si="2"/>
        <v>0</v>
      </c>
    </row>
    <row r="105" spans="1:7" x14ac:dyDescent="0.25">
      <c r="A105" s="19" t="s">
        <v>58</v>
      </c>
      <c r="B105" s="8" t="s">
        <v>174</v>
      </c>
      <c r="C105" s="21">
        <v>100</v>
      </c>
      <c r="D105" s="21" t="s">
        <v>200</v>
      </c>
      <c r="E105" s="21" t="s">
        <v>204</v>
      </c>
      <c r="F105" s="26"/>
      <c r="G105" s="30">
        <f t="shared" si="2"/>
        <v>0</v>
      </c>
    </row>
    <row r="106" spans="1:7" x14ac:dyDescent="0.25">
      <c r="A106" s="19" t="s">
        <v>59</v>
      </c>
      <c r="B106" s="8" t="s">
        <v>245</v>
      </c>
      <c r="C106" s="21">
        <v>100</v>
      </c>
      <c r="D106" s="21" t="s">
        <v>200</v>
      </c>
      <c r="E106" s="21" t="s">
        <v>204</v>
      </c>
      <c r="F106" s="26"/>
      <c r="G106" s="30">
        <f t="shared" si="2"/>
        <v>0</v>
      </c>
    </row>
    <row r="107" spans="1:7" x14ac:dyDescent="0.25">
      <c r="A107" s="19" t="s">
        <v>60</v>
      </c>
      <c r="B107" s="8" t="s">
        <v>246</v>
      </c>
      <c r="C107" s="21">
        <v>100</v>
      </c>
      <c r="D107" s="21" t="s">
        <v>200</v>
      </c>
      <c r="E107" s="21" t="s">
        <v>204</v>
      </c>
      <c r="F107" s="26"/>
      <c r="G107" s="30">
        <f t="shared" si="2"/>
        <v>0</v>
      </c>
    </row>
    <row r="108" spans="1:7" x14ac:dyDescent="0.25">
      <c r="A108" s="19" t="s">
        <v>61</v>
      </c>
      <c r="B108" s="8" t="s">
        <v>175</v>
      </c>
      <c r="C108" s="21">
        <v>100</v>
      </c>
      <c r="D108" s="21" t="s">
        <v>200</v>
      </c>
      <c r="E108" s="21" t="s">
        <v>204</v>
      </c>
      <c r="F108" s="26"/>
      <c r="G108" s="30">
        <f t="shared" si="2"/>
        <v>0</v>
      </c>
    </row>
    <row r="109" spans="1:7" x14ac:dyDescent="0.25">
      <c r="A109" s="19" t="s">
        <v>62</v>
      </c>
      <c r="B109" s="8" t="s">
        <v>176</v>
      </c>
      <c r="C109" s="21">
        <v>100</v>
      </c>
      <c r="D109" s="21" t="s">
        <v>201</v>
      </c>
      <c r="E109" s="21" t="s">
        <v>204</v>
      </c>
      <c r="F109" s="26"/>
      <c r="G109" s="30">
        <f t="shared" si="2"/>
        <v>0</v>
      </c>
    </row>
    <row r="110" spans="1:7" x14ac:dyDescent="0.25">
      <c r="A110" s="19"/>
      <c r="B110" s="8" t="s">
        <v>177</v>
      </c>
      <c r="C110" s="21"/>
      <c r="D110" s="21"/>
      <c r="E110" s="21"/>
      <c r="F110" s="26"/>
      <c r="G110" s="30"/>
    </row>
    <row r="111" spans="1:7" x14ac:dyDescent="0.25">
      <c r="A111" s="19"/>
      <c r="B111" s="9" t="s">
        <v>211</v>
      </c>
      <c r="C111" s="21"/>
      <c r="D111" s="21"/>
      <c r="E111" s="21"/>
      <c r="F111" s="26"/>
      <c r="G111" s="30"/>
    </row>
    <row r="112" spans="1:7" ht="31.5" x14ac:dyDescent="0.25">
      <c r="A112" s="19" t="s">
        <v>63</v>
      </c>
      <c r="B112" s="8" t="s">
        <v>296</v>
      </c>
      <c r="C112" s="21">
        <v>200</v>
      </c>
      <c r="D112" s="21" t="s">
        <v>200</v>
      </c>
      <c r="E112" s="21" t="s">
        <v>204</v>
      </c>
      <c r="F112" s="26"/>
      <c r="G112" s="30">
        <f t="shared" si="2"/>
        <v>0</v>
      </c>
    </row>
    <row r="113" spans="1:7" ht="31.5" x14ac:dyDescent="0.25">
      <c r="A113" s="19" t="s">
        <v>64</v>
      </c>
      <c r="B113" s="8" t="s">
        <v>297</v>
      </c>
      <c r="C113" s="21">
        <v>200</v>
      </c>
      <c r="D113" s="21" t="s">
        <v>200</v>
      </c>
      <c r="E113" s="21" t="s">
        <v>204</v>
      </c>
      <c r="F113" s="26"/>
      <c r="G113" s="30">
        <f t="shared" si="2"/>
        <v>0</v>
      </c>
    </row>
    <row r="114" spans="1:7" ht="47.25" x14ac:dyDescent="0.25">
      <c r="A114" s="19" t="s">
        <v>65</v>
      </c>
      <c r="B114" s="8" t="s">
        <v>298</v>
      </c>
      <c r="C114" s="21">
        <v>200</v>
      </c>
      <c r="D114" s="21" t="s">
        <v>200</v>
      </c>
      <c r="E114" s="21" t="s">
        <v>204</v>
      </c>
      <c r="F114" s="26"/>
      <c r="G114" s="30">
        <f t="shared" si="2"/>
        <v>0</v>
      </c>
    </row>
    <row r="115" spans="1:7" x14ac:dyDescent="0.25">
      <c r="A115" s="19" t="s">
        <v>66</v>
      </c>
      <c r="B115" s="8" t="s">
        <v>178</v>
      </c>
      <c r="C115" s="21">
        <v>20</v>
      </c>
      <c r="D115" s="21" t="s">
        <v>201</v>
      </c>
      <c r="E115" s="21" t="s">
        <v>204</v>
      </c>
      <c r="F115" s="26"/>
      <c r="G115" s="30">
        <f t="shared" si="2"/>
        <v>0</v>
      </c>
    </row>
    <row r="116" spans="1:7" x14ac:dyDescent="0.25">
      <c r="A116" s="19" t="s">
        <v>67</v>
      </c>
      <c r="B116" s="8" t="s">
        <v>179</v>
      </c>
      <c r="C116" s="21">
        <v>20</v>
      </c>
      <c r="D116" s="21" t="s">
        <v>201</v>
      </c>
      <c r="E116" s="21" t="s">
        <v>204</v>
      </c>
      <c r="F116" s="26"/>
      <c r="G116" s="30">
        <f t="shared" si="2"/>
        <v>0</v>
      </c>
    </row>
    <row r="117" spans="1:7" ht="31.5" x14ac:dyDescent="0.25">
      <c r="A117" s="19" t="s">
        <v>68</v>
      </c>
      <c r="B117" s="8" t="s">
        <v>247</v>
      </c>
      <c r="C117" s="21">
        <v>5000</v>
      </c>
      <c r="D117" s="21" t="s">
        <v>200</v>
      </c>
      <c r="E117" s="21" t="s">
        <v>204</v>
      </c>
      <c r="F117" s="26"/>
      <c r="G117" s="30">
        <f t="shared" si="2"/>
        <v>0</v>
      </c>
    </row>
    <row r="118" spans="1:7" ht="31.5" x14ac:dyDescent="0.25">
      <c r="A118" s="19"/>
      <c r="B118" s="9" t="s">
        <v>281</v>
      </c>
      <c r="C118" s="21"/>
      <c r="D118" s="21"/>
      <c r="E118" s="21"/>
      <c r="F118" s="26"/>
      <c r="G118" s="30"/>
    </row>
    <row r="119" spans="1:7" x14ac:dyDescent="0.25">
      <c r="A119" s="19" t="s">
        <v>69</v>
      </c>
      <c r="B119" s="8" t="s">
        <v>156</v>
      </c>
      <c r="C119" s="21">
        <v>100</v>
      </c>
      <c r="D119" s="21" t="s">
        <v>199</v>
      </c>
      <c r="E119" s="21" t="s">
        <v>204</v>
      </c>
      <c r="F119" s="26"/>
      <c r="G119" s="30">
        <f t="shared" si="2"/>
        <v>0</v>
      </c>
    </row>
    <row r="120" spans="1:7" x14ac:dyDescent="0.25">
      <c r="A120" s="19" t="s">
        <v>70</v>
      </c>
      <c r="B120" s="8" t="s">
        <v>157</v>
      </c>
      <c r="C120" s="21">
        <v>100</v>
      </c>
      <c r="D120" s="21" t="s">
        <v>199</v>
      </c>
      <c r="E120" s="21" t="s">
        <v>204</v>
      </c>
      <c r="F120" s="26"/>
      <c r="G120" s="30">
        <f t="shared" si="2"/>
        <v>0</v>
      </c>
    </row>
    <row r="121" spans="1:7" x14ac:dyDescent="0.25">
      <c r="A121" s="19" t="s">
        <v>71</v>
      </c>
      <c r="B121" s="8" t="s">
        <v>158</v>
      </c>
      <c r="C121" s="21">
        <v>100</v>
      </c>
      <c r="D121" s="21" t="s">
        <v>199</v>
      </c>
      <c r="E121" s="21" t="s">
        <v>204</v>
      </c>
      <c r="F121" s="26"/>
      <c r="G121" s="30">
        <f t="shared" si="2"/>
        <v>0</v>
      </c>
    </row>
    <row r="122" spans="1:7" x14ac:dyDescent="0.25">
      <c r="A122" s="19" t="s">
        <v>72</v>
      </c>
      <c r="B122" s="13" t="s">
        <v>159</v>
      </c>
      <c r="C122" s="21">
        <v>100</v>
      </c>
      <c r="D122" s="21" t="s">
        <v>199</v>
      </c>
      <c r="E122" s="21" t="s">
        <v>204</v>
      </c>
      <c r="F122" s="26"/>
      <c r="G122" s="30">
        <f t="shared" si="2"/>
        <v>0</v>
      </c>
    </row>
    <row r="123" spans="1:7" ht="15" customHeight="1" x14ac:dyDescent="0.25">
      <c r="A123" s="19"/>
      <c r="B123" s="14" t="s">
        <v>180</v>
      </c>
      <c r="C123" s="21"/>
      <c r="D123" s="21"/>
      <c r="E123" s="21"/>
      <c r="F123" s="26"/>
      <c r="G123" s="30"/>
    </row>
    <row r="124" spans="1:7" x14ac:dyDescent="0.25">
      <c r="A124" s="19" t="s">
        <v>73</v>
      </c>
      <c r="B124" s="8" t="s">
        <v>156</v>
      </c>
      <c r="C124" s="21">
        <v>100</v>
      </c>
      <c r="D124" s="21" t="s">
        <v>199</v>
      </c>
      <c r="E124" s="21" t="s">
        <v>204</v>
      </c>
      <c r="F124" s="26"/>
      <c r="G124" s="30">
        <f t="shared" ref="G124:G179" si="3">F124*C124</f>
        <v>0</v>
      </c>
    </row>
    <row r="125" spans="1:7" x14ac:dyDescent="0.25">
      <c r="A125" s="19" t="s">
        <v>74</v>
      </c>
      <c r="B125" s="8" t="s">
        <v>157</v>
      </c>
      <c r="C125" s="21">
        <v>100</v>
      </c>
      <c r="D125" s="21" t="s">
        <v>199</v>
      </c>
      <c r="E125" s="21" t="s">
        <v>204</v>
      </c>
      <c r="F125" s="26"/>
      <c r="G125" s="30">
        <f t="shared" si="3"/>
        <v>0</v>
      </c>
    </row>
    <row r="126" spans="1:7" x14ac:dyDescent="0.25">
      <c r="A126" s="19" t="s">
        <v>75</v>
      </c>
      <c r="B126" s="8" t="s">
        <v>158</v>
      </c>
      <c r="C126" s="21">
        <v>100</v>
      </c>
      <c r="D126" s="21" t="s">
        <v>199</v>
      </c>
      <c r="E126" s="21" t="s">
        <v>204</v>
      </c>
      <c r="F126" s="26"/>
      <c r="G126" s="30">
        <f t="shared" si="3"/>
        <v>0</v>
      </c>
    </row>
    <row r="127" spans="1:7" x14ac:dyDescent="0.25">
      <c r="A127" s="19" t="s">
        <v>76</v>
      </c>
      <c r="B127" s="8" t="s">
        <v>159</v>
      </c>
      <c r="C127" s="21">
        <v>100</v>
      </c>
      <c r="D127" s="21" t="s">
        <v>199</v>
      </c>
      <c r="E127" s="21" t="s">
        <v>204</v>
      </c>
      <c r="F127" s="26"/>
      <c r="G127" s="30">
        <f t="shared" si="3"/>
        <v>0</v>
      </c>
    </row>
    <row r="128" spans="1:7" x14ac:dyDescent="0.25">
      <c r="A128" s="19" t="s">
        <v>77</v>
      </c>
      <c r="B128" s="8" t="s">
        <v>181</v>
      </c>
      <c r="C128" s="21">
        <v>100</v>
      </c>
      <c r="D128" s="21" t="s">
        <v>199</v>
      </c>
      <c r="E128" s="21" t="s">
        <v>204</v>
      </c>
      <c r="F128" s="26"/>
      <c r="G128" s="30">
        <f t="shared" si="3"/>
        <v>0</v>
      </c>
    </row>
    <row r="129" spans="1:7" ht="16.5" customHeight="1" x14ac:dyDescent="0.25">
      <c r="A129" s="19"/>
      <c r="B129" s="9" t="s">
        <v>182</v>
      </c>
      <c r="C129" s="21"/>
      <c r="D129" s="21"/>
      <c r="E129" s="21"/>
      <c r="F129" s="26"/>
      <c r="G129" s="30"/>
    </row>
    <row r="130" spans="1:7" x14ac:dyDescent="0.25">
      <c r="A130" s="19" t="s">
        <v>78</v>
      </c>
      <c r="B130" s="8" t="s">
        <v>156</v>
      </c>
      <c r="C130" s="21">
        <v>100</v>
      </c>
      <c r="D130" s="21" t="s">
        <v>199</v>
      </c>
      <c r="E130" s="21" t="s">
        <v>204</v>
      </c>
      <c r="F130" s="26"/>
      <c r="G130" s="30">
        <f t="shared" si="3"/>
        <v>0</v>
      </c>
    </row>
    <row r="131" spans="1:7" x14ac:dyDescent="0.25">
      <c r="A131" s="19" t="s">
        <v>79</v>
      </c>
      <c r="B131" s="8" t="s">
        <v>157</v>
      </c>
      <c r="C131" s="21">
        <v>100</v>
      </c>
      <c r="D131" s="21" t="s">
        <v>199</v>
      </c>
      <c r="E131" s="21" t="s">
        <v>204</v>
      </c>
      <c r="F131" s="26"/>
      <c r="G131" s="30">
        <f t="shared" si="3"/>
        <v>0</v>
      </c>
    </row>
    <row r="132" spans="1:7" x14ac:dyDescent="0.25">
      <c r="A132" s="19" t="s">
        <v>80</v>
      </c>
      <c r="B132" s="8" t="s">
        <v>183</v>
      </c>
      <c r="C132" s="21">
        <v>100</v>
      </c>
      <c r="D132" s="21" t="s">
        <v>199</v>
      </c>
      <c r="E132" s="21" t="s">
        <v>204</v>
      </c>
      <c r="F132" s="26"/>
      <c r="G132" s="30">
        <f t="shared" si="3"/>
        <v>0</v>
      </c>
    </row>
    <row r="133" spans="1:7" ht="31.5" x14ac:dyDescent="0.25">
      <c r="A133" s="19"/>
      <c r="B133" s="9" t="s">
        <v>299</v>
      </c>
      <c r="C133" s="21"/>
      <c r="D133" s="21"/>
      <c r="E133" s="21"/>
      <c r="F133" s="26"/>
      <c r="G133" s="30"/>
    </row>
    <row r="134" spans="1:7" x14ac:dyDescent="0.25">
      <c r="A134" s="19" t="s">
        <v>81</v>
      </c>
      <c r="B134" s="8" t="s">
        <v>184</v>
      </c>
      <c r="C134" s="21">
        <v>20</v>
      </c>
      <c r="D134" s="21" t="s">
        <v>201</v>
      </c>
      <c r="E134" s="21" t="s">
        <v>204</v>
      </c>
      <c r="F134" s="26"/>
      <c r="G134" s="30">
        <f t="shared" si="3"/>
        <v>0</v>
      </c>
    </row>
    <row r="135" spans="1:7" x14ac:dyDescent="0.25">
      <c r="A135" s="19"/>
      <c r="B135" s="9" t="s">
        <v>212</v>
      </c>
      <c r="C135" s="21"/>
      <c r="D135" s="21"/>
      <c r="E135" s="21"/>
      <c r="F135" s="26"/>
      <c r="G135" s="30"/>
    </row>
    <row r="136" spans="1:7" x14ac:dyDescent="0.25">
      <c r="A136" s="19" t="s">
        <v>82</v>
      </c>
      <c r="B136" s="8" t="s">
        <v>280</v>
      </c>
      <c r="C136" s="21">
        <v>20</v>
      </c>
      <c r="D136" s="21" t="s">
        <v>201</v>
      </c>
      <c r="E136" s="21" t="s">
        <v>204</v>
      </c>
      <c r="F136" s="26"/>
      <c r="G136" s="30">
        <f t="shared" si="3"/>
        <v>0</v>
      </c>
    </row>
    <row r="137" spans="1:7" x14ac:dyDescent="0.25">
      <c r="A137" s="19" t="s">
        <v>83</v>
      </c>
      <c r="B137" s="8" t="s">
        <v>185</v>
      </c>
      <c r="C137" s="21">
        <v>20</v>
      </c>
      <c r="D137" s="21" t="s">
        <v>201</v>
      </c>
      <c r="E137" s="21" t="s">
        <v>204</v>
      </c>
      <c r="F137" s="26"/>
      <c r="G137" s="30">
        <f t="shared" si="3"/>
        <v>0</v>
      </c>
    </row>
    <row r="138" spans="1:7" x14ac:dyDescent="0.25">
      <c r="A138" s="19"/>
      <c r="B138" s="9" t="s">
        <v>186</v>
      </c>
      <c r="C138" s="21"/>
      <c r="D138" s="21"/>
      <c r="E138" s="21"/>
      <c r="F138" s="26"/>
      <c r="G138" s="30"/>
    </row>
    <row r="139" spans="1:7" x14ac:dyDescent="0.25">
      <c r="A139" s="19" t="s">
        <v>84</v>
      </c>
      <c r="B139" s="8" t="s">
        <v>248</v>
      </c>
      <c r="C139" s="21">
        <v>1500</v>
      </c>
      <c r="D139" s="21" t="s">
        <v>200</v>
      </c>
      <c r="E139" s="21" t="s">
        <v>204</v>
      </c>
      <c r="F139" s="26"/>
      <c r="G139" s="30">
        <f t="shared" si="3"/>
        <v>0</v>
      </c>
    </row>
    <row r="140" spans="1:7" ht="47.25" x14ac:dyDescent="0.25">
      <c r="A140" s="19" t="s">
        <v>85</v>
      </c>
      <c r="B140" s="17" t="s">
        <v>254</v>
      </c>
      <c r="C140" s="21">
        <v>2000</v>
      </c>
      <c r="D140" s="21" t="s">
        <v>200</v>
      </c>
      <c r="E140" s="21"/>
      <c r="F140" s="26"/>
      <c r="G140" s="30">
        <f>F140*C140</f>
        <v>0</v>
      </c>
    </row>
    <row r="141" spans="1:7" x14ac:dyDescent="0.25">
      <c r="A141" s="19"/>
      <c r="B141" s="33" t="s">
        <v>300</v>
      </c>
      <c r="C141" s="21"/>
      <c r="D141" s="21"/>
      <c r="E141" s="21"/>
      <c r="F141" s="26"/>
      <c r="G141" s="30"/>
    </row>
    <row r="142" spans="1:7" x14ac:dyDescent="0.25">
      <c r="A142" s="19" t="s">
        <v>86</v>
      </c>
      <c r="B142" s="8" t="s">
        <v>187</v>
      </c>
      <c r="C142" s="21">
        <v>20</v>
      </c>
      <c r="D142" s="21" t="s">
        <v>201</v>
      </c>
      <c r="E142" s="21" t="s">
        <v>204</v>
      </c>
      <c r="F142" s="26"/>
      <c r="G142" s="30">
        <f t="shared" si="3"/>
        <v>0</v>
      </c>
    </row>
    <row r="143" spans="1:7" x14ac:dyDescent="0.25">
      <c r="A143" s="19" t="s">
        <v>87</v>
      </c>
      <c r="B143" s="8" t="s">
        <v>188</v>
      </c>
      <c r="C143" s="21">
        <v>20</v>
      </c>
      <c r="D143" s="21" t="s">
        <v>201</v>
      </c>
      <c r="E143" s="21" t="s">
        <v>204</v>
      </c>
      <c r="F143" s="26"/>
      <c r="G143" s="30">
        <f t="shared" si="3"/>
        <v>0</v>
      </c>
    </row>
    <row r="144" spans="1:7" x14ac:dyDescent="0.25">
      <c r="A144" s="19" t="s">
        <v>88</v>
      </c>
      <c r="B144" s="8" t="s">
        <v>187</v>
      </c>
      <c r="C144" s="21">
        <v>300</v>
      </c>
      <c r="D144" s="21" t="s">
        <v>201</v>
      </c>
      <c r="E144" s="21" t="s">
        <v>204</v>
      </c>
      <c r="F144" s="26"/>
      <c r="G144" s="30">
        <f t="shared" si="3"/>
        <v>0</v>
      </c>
    </row>
    <row r="145" spans="1:7" x14ac:dyDescent="0.25">
      <c r="A145" s="19" t="s">
        <v>89</v>
      </c>
      <c r="B145" s="8" t="s">
        <v>188</v>
      </c>
      <c r="C145" s="21">
        <v>300</v>
      </c>
      <c r="D145" s="21" t="s">
        <v>201</v>
      </c>
      <c r="E145" s="21" t="s">
        <v>204</v>
      </c>
      <c r="F145" s="26"/>
      <c r="G145" s="30">
        <f t="shared" si="3"/>
        <v>0</v>
      </c>
    </row>
    <row r="146" spans="1:7" ht="32.25" customHeight="1" x14ac:dyDescent="0.25">
      <c r="A146" s="19"/>
      <c r="B146" s="11" t="s">
        <v>240</v>
      </c>
      <c r="C146" s="21"/>
      <c r="D146" s="21"/>
      <c r="E146" s="21"/>
      <c r="F146" s="26"/>
      <c r="G146" s="30"/>
    </row>
    <row r="147" spans="1:7" x14ac:dyDescent="0.25">
      <c r="A147" s="19" t="s">
        <v>90</v>
      </c>
      <c r="B147" s="8" t="s">
        <v>156</v>
      </c>
      <c r="C147" s="21">
        <v>300</v>
      </c>
      <c r="D147" s="21" t="s">
        <v>201</v>
      </c>
      <c r="E147" s="21" t="s">
        <v>204</v>
      </c>
      <c r="F147" s="26"/>
      <c r="G147" s="30">
        <f t="shared" si="3"/>
        <v>0</v>
      </c>
    </row>
    <row r="148" spans="1:7" x14ac:dyDescent="0.25">
      <c r="A148" s="19" t="s">
        <v>91</v>
      </c>
      <c r="B148" s="8" t="s">
        <v>159</v>
      </c>
      <c r="C148" s="21">
        <v>300</v>
      </c>
      <c r="D148" s="21" t="s">
        <v>201</v>
      </c>
      <c r="E148" s="21" t="s">
        <v>204</v>
      </c>
      <c r="F148" s="26"/>
      <c r="G148" s="30">
        <f t="shared" si="3"/>
        <v>0</v>
      </c>
    </row>
    <row r="149" spans="1:7" ht="31.5" x14ac:dyDescent="0.25">
      <c r="A149" s="19"/>
      <c r="B149" s="9" t="s">
        <v>301</v>
      </c>
      <c r="C149" s="21"/>
      <c r="D149" s="21"/>
      <c r="E149" s="21"/>
      <c r="F149" s="26"/>
      <c r="G149" s="30"/>
    </row>
    <row r="150" spans="1:7" x14ac:dyDescent="0.25">
      <c r="A150" s="19" t="s">
        <v>92</v>
      </c>
      <c r="B150" s="8" t="s">
        <v>156</v>
      </c>
      <c r="C150" s="21">
        <v>100</v>
      </c>
      <c r="D150" s="21" t="s">
        <v>201</v>
      </c>
      <c r="E150" s="21" t="s">
        <v>204</v>
      </c>
      <c r="F150" s="26"/>
      <c r="G150" s="30">
        <f t="shared" si="3"/>
        <v>0</v>
      </c>
    </row>
    <row r="151" spans="1:7" x14ac:dyDescent="0.25">
      <c r="A151" s="19" t="s">
        <v>93</v>
      </c>
      <c r="B151" s="8" t="s">
        <v>159</v>
      </c>
      <c r="C151" s="21">
        <v>100</v>
      </c>
      <c r="D151" s="21" t="s">
        <v>201</v>
      </c>
      <c r="E151" s="21" t="s">
        <v>204</v>
      </c>
      <c r="F151" s="26"/>
      <c r="G151" s="30">
        <f t="shared" si="3"/>
        <v>0</v>
      </c>
    </row>
    <row r="152" spans="1:7" x14ac:dyDescent="0.25">
      <c r="A152" s="19"/>
      <c r="B152" s="9" t="s">
        <v>189</v>
      </c>
      <c r="C152" s="21"/>
      <c r="D152" s="21"/>
      <c r="E152" s="21"/>
      <c r="F152" s="26"/>
      <c r="G152" s="30"/>
    </row>
    <row r="153" spans="1:7" x14ac:dyDescent="0.25">
      <c r="A153" s="19" t="s">
        <v>94</v>
      </c>
      <c r="B153" s="8" t="s">
        <v>156</v>
      </c>
      <c r="C153" s="21">
        <v>100</v>
      </c>
      <c r="D153" s="21" t="s">
        <v>201</v>
      </c>
      <c r="E153" s="21" t="s">
        <v>204</v>
      </c>
      <c r="F153" s="26"/>
      <c r="G153" s="30">
        <f t="shared" si="3"/>
        <v>0</v>
      </c>
    </row>
    <row r="154" spans="1:7" x14ac:dyDescent="0.25">
      <c r="A154" s="19" t="s">
        <v>95</v>
      </c>
      <c r="B154" s="8" t="s">
        <v>159</v>
      </c>
      <c r="C154" s="21">
        <v>100</v>
      </c>
      <c r="D154" s="21" t="s">
        <v>201</v>
      </c>
      <c r="E154" s="21" t="s">
        <v>204</v>
      </c>
      <c r="F154" s="26"/>
      <c r="G154" s="30">
        <f t="shared" si="3"/>
        <v>0</v>
      </c>
    </row>
    <row r="155" spans="1:7" ht="47.25" x14ac:dyDescent="0.25">
      <c r="A155" s="19"/>
      <c r="B155" s="9" t="s">
        <v>270</v>
      </c>
      <c r="C155" s="21"/>
      <c r="D155" s="21"/>
      <c r="E155" s="21"/>
      <c r="F155" s="26"/>
      <c r="G155" s="30"/>
    </row>
    <row r="156" spans="1:7" x14ac:dyDescent="0.25">
      <c r="A156" s="19" t="s">
        <v>96</v>
      </c>
      <c r="B156" s="8" t="s">
        <v>156</v>
      </c>
      <c r="C156" s="21">
        <v>100</v>
      </c>
      <c r="D156" s="21" t="s">
        <v>199</v>
      </c>
      <c r="E156" s="21" t="s">
        <v>204</v>
      </c>
      <c r="F156" s="26"/>
      <c r="G156" s="30">
        <f t="shared" si="3"/>
        <v>0</v>
      </c>
    </row>
    <row r="157" spans="1:7" x14ac:dyDescent="0.25">
      <c r="A157" s="19" t="s">
        <v>97</v>
      </c>
      <c r="B157" s="8" t="s">
        <v>157</v>
      </c>
      <c r="C157" s="21">
        <v>100</v>
      </c>
      <c r="D157" s="21" t="s">
        <v>199</v>
      </c>
      <c r="E157" s="21" t="s">
        <v>204</v>
      </c>
      <c r="F157" s="26"/>
      <c r="G157" s="30">
        <f t="shared" si="3"/>
        <v>0</v>
      </c>
    </row>
    <row r="158" spans="1:7" x14ac:dyDescent="0.25">
      <c r="A158" s="19" t="s">
        <v>98</v>
      </c>
      <c r="B158" s="8" t="s">
        <v>159</v>
      </c>
      <c r="C158" s="21">
        <v>100</v>
      </c>
      <c r="D158" s="21" t="s">
        <v>199</v>
      </c>
      <c r="E158" s="21" t="s">
        <v>204</v>
      </c>
      <c r="F158" s="26"/>
      <c r="G158" s="30">
        <f t="shared" si="3"/>
        <v>0</v>
      </c>
    </row>
    <row r="159" spans="1:7" ht="31.5" x14ac:dyDescent="0.25">
      <c r="A159" s="19" t="s">
        <v>99</v>
      </c>
      <c r="B159" s="8" t="s">
        <v>289</v>
      </c>
      <c r="C159" s="21">
        <v>100</v>
      </c>
      <c r="D159" s="21" t="s">
        <v>201</v>
      </c>
      <c r="E159" s="21" t="s">
        <v>204</v>
      </c>
      <c r="F159" s="26"/>
      <c r="G159" s="30">
        <f t="shared" si="3"/>
        <v>0</v>
      </c>
    </row>
    <row r="160" spans="1:7" ht="31.5" x14ac:dyDescent="0.25">
      <c r="A160" s="19" t="s">
        <v>100</v>
      </c>
      <c r="B160" s="8" t="s">
        <v>236</v>
      </c>
      <c r="C160" s="21">
        <v>100</v>
      </c>
      <c r="D160" s="21" t="s">
        <v>201</v>
      </c>
      <c r="E160" s="21" t="s">
        <v>204</v>
      </c>
      <c r="F160" s="26"/>
      <c r="G160" s="30">
        <f t="shared" si="3"/>
        <v>0</v>
      </c>
    </row>
    <row r="161" spans="1:7" x14ac:dyDescent="0.25">
      <c r="A161" s="19" t="s">
        <v>101</v>
      </c>
      <c r="B161" s="8" t="s">
        <v>190</v>
      </c>
      <c r="C161" s="21">
        <v>110</v>
      </c>
      <c r="D161" s="21" t="s">
        <v>200</v>
      </c>
      <c r="E161" s="21" t="s">
        <v>204</v>
      </c>
      <c r="F161" s="26"/>
      <c r="G161" s="30">
        <f t="shared" si="3"/>
        <v>0</v>
      </c>
    </row>
    <row r="162" spans="1:7" ht="31.5" x14ac:dyDescent="0.25">
      <c r="A162" s="19" t="s">
        <v>102</v>
      </c>
      <c r="B162" s="8" t="s">
        <v>271</v>
      </c>
      <c r="C162" s="21">
        <v>100</v>
      </c>
      <c r="D162" s="21" t="s">
        <v>200</v>
      </c>
      <c r="E162" s="21" t="s">
        <v>204</v>
      </c>
      <c r="F162" s="26"/>
      <c r="G162" s="30">
        <f t="shared" si="3"/>
        <v>0</v>
      </c>
    </row>
    <row r="163" spans="1:7" x14ac:dyDescent="0.25">
      <c r="A163" s="19" t="s">
        <v>103</v>
      </c>
      <c r="B163" s="8" t="s">
        <v>249</v>
      </c>
      <c r="C163" s="21">
        <v>100</v>
      </c>
      <c r="D163" s="21" t="s">
        <v>200</v>
      </c>
      <c r="E163" s="21" t="s">
        <v>204</v>
      </c>
      <c r="F163" s="26"/>
      <c r="G163" s="30">
        <f t="shared" si="3"/>
        <v>0</v>
      </c>
    </row>
    <row r="164" spans="1:7" x14ac:dyDescent="0.25">
      <c r="A164" s="19" t="s">
        <v>104</v>
      </c>
      <c r="B164" s="8" t="s">
        <v>250</v>
      </c>
      <c r="C164" s="21">
        <v>100</v>
      </c>
      <c r="D164" s="21" t="s">
        <v>200</v>
      </c>
      <c r="E164" s="21" t="s">
        <v>204</v>
      </c>
      <c r="F164" s="26"/>
      <c r="G164" s="30">
        <f t="shared" si="3"/>
        <v>0</v>
      </c>
    </row>
    <row r="165" spans="1:7" ht="31.5" x14ac:dyDescent="0.25">
      <c r="A165" s="19" t="s">
        <v>105</v>
      </c>
      <c r="B165" s="8" t="s">
        <v>272</v>
      </c>
      <c r="C165" s="21">
        <v>100</v>
      </c>
      <c r="D165" s="21" t="s">
        <v>198</v>
      </c>
      <c r="E165" s="21" t="s">
        <v>204</v>
      </c>
      <c r="F165" s="26"/>
      <c r="G165" s="30">
        <f t="shared" si="3"/>
        <v>0</v>
      </c>
    </row>
    <row r="166" spans="1:7" x14ac:dyDescent="0.25">
      <c r="A166" s="19" t="s">
        <v>106</v>
      </c>
      <c r="B166" s="8" t="s">
        <v>191</v>
      </c>
      <c r="C166" s="21">
        <v>100</v>
      </c>
      <c r="D166" s="21" t="s">
        <v>199</v>
      </c>
      <c r="E166" s="21" t="s">
        <v>204</v>
      </c>
      <c r="F166" s="26"/>
      <c r="G166" s="30">
        <f t="shared" si="3"/>
        <v>0</v>
      </c>
    </row>
    <row r="167" spans="1:7" ht="31.5" x14ac:dyDescent="0.25">
      <c r="A167" s="19" t="s">
        <v>107</v>
      </c>
      <c r="B167" s="8" t="s">
        <v>273</v>
      </c>
      <c r="C167" s="21">
        <v>100</v>
      </c>
      <c r="D167" s="21" t="s">
        <v>199</v>
      </c>
      <c r="E167" s="21" t="s">
        <v>204</v>
      </c>
      <c r="F167" s="26"/>
      <c r="G167" s="30">
        <f t="shared" si="3"/>
        <v>0</v>
      </c>
    </row>
    <row r="168" spans="1:7" ht="31.5" x14ac:dyDescent="0.25">
      <c r="A168" s="19" t="s">
        <v>108</v>
      </c>
      <c r="B168" s="8" t="s">
        <v>274</v>
      </c>
      <c r="C168" s="21">
        <v>100</v>
      </c>
      <c r="D168" s="21" t="s">
        <v>201</v>
      </c>
      <c r="E168" s="21" t="s">
        <v>204</v>
      </c>
      <c r="F168" s="26"/>
      <c r="G168" s="30">
        <f t="shared" si="3"/>
        <v>0</v>
      </c>
    </row>
    <row r="169" spans="1:7" ht="39" customHeight="1" x14ac:dyDescent="0.25">
      <c r="A169" s="19" t="s">
        <v>109</v>
      </c>
      <c r="B169" s="34" t="s">
        <v>275</v>
      </c>
      <c r="C169" s="21">
        <v>2000</v>
      </c>
      <c r="D169" s="21" t="s">
        <v>199</v>
      </c>
      <c r="E169" s="21" t="s">
        <v>204</v>
      </c>
      <c r="F169" s="26"/>
      <c r="G169" s="30">
        <f t="shared" si="3"/>
        <v>0</v>
      </c>
    </row>
    <row r="170" spans="1:7" ht="47.25" x14ac:dyDescent="0.25">
      <c r="A170" s="19" t="s">
        <v>110</v>
      </c>
      <c r="B170" s="34" t="s">
        <v>276</v>
      </c>
      <c r="C170" s="21">
        <v>2000</v>
      </c>
      <c r="D170" s="21" t="s">
        <v>199</v>
      </c>
      <c r="E170" s="21" t="s">
        <v>204</v>
      </c>
      <c r="F170" s="26"/>
      <c r="G170" s="30">
        <f t="shared" si="3"/>
        <v>0</v>
      </c>
    </row>
    <row r="171" spans="1:7" ht="47.25" x14ac:dyDescent="0.25">
      <c r="A171" s="19" t="s">
        <v>111</v>
      </c>
      <c r="B171" s="34" t="s">
        <v>304</v>
      </c>
      <c r="C171" s="21">
        <v>2000</v>
      </c>
      <c r="D171" s="21" t="s">
        <v>199</v>
      </c>
      <c r="E171" s="21" t="s">
        <v>204</v>
      </c>
      <c r="F171" s="26"/>
      <c r="G171" s="30">
        <f t="shared" si="3"/>
        <v>0</v>
      </c>
    </row>
    <row r="172" spans="1:7" ht="31.5" x14ac:dyDescent="0.25">
      <c r="A172" s="19"/>
      <c r="B172" s="9" t="s">
        <v>192</v>
      </c>
      <c r="C172" s="21"/>
      <c r="D172" s="21"/>
      <c r="E172" s="21"/>
      <c r="F172" s="26"/>
      <c r="G172" s="30"/>
    </row>
    <row r="173" spans="1:7" ht="63" x14ac:dyDescent="0.25">
      <c r="A173" s="19" t="s">
        <v>112</v>
      </c>
      <c r="B173" s="8" t="s">
        <v>239</v>
      </c>
      <c r="C173" s="21">
        <v>1</v>
      </c>
      <c r="D173" s="21" t="s">
        <v>202</v>
      </c>
      <c r="E173" s="21" t="s">
        <v>204</v>
      </c>
      <c r="F173" s="26"/>
      <c r="G173" s="30">
        <f t="shared" si="3"/>
        <v>0</v>
      </c>
    </row>
    <row r="174" spans="1:7" ht="47.25" x14ac:dyDescent="0.25">
      <c r="A174" s="19" t="s">
        <v>113</v>
      </c>
      <c r="B174" s="8" t="s">
        <v>193</v>
      </c>
      <c r="C174" s="21">
        <v>2000</v>
      </c>
      <c r="D174" s="21" t="s">
        <v>203</v>
      </c>
      <c r="E174" s="21" t="s">
        <v>204</v>
      </c>
      <c r="F174" s="26"/>
      <c r="G174" s="30">
        <f t="shared" si="3"/>
        <v>0</v>
      </c>
    </row>
    <row r="175" spans="1:7" x14ac:dyDescent="0.25">
      <c r="A175" s="19" t="s">
        <v>114</v>
      </c>
      <c r="B175" s="8" t="s">
        <v>237</v>
      </c>
      <c r="C175" s="21">
        <v>20</v>
      </c>
      <c r="D175" s="21" t="s">
        <v>201</v>
      </c>
      <c r="E175" s="21" t="s">
        <v>204</v>
      </c>
      <c r="F175" s="26"/>
      <c r="G175" s="30">
        <f t="shared" si="3"/>
        <v>0</v>
      </c>
    </row>
    <row r="176" spans="1:7" ht="78.75" x14ac:dyDescent="0.25">
      <c r="A176" s="19"/>
      <c r="B176" s="8" t="s">
        <v>238</v>
      </c>
      <c r="C176" s="21"/>
      <c r="D176" s="21"/>
      <c r="E176" s="21"/>
      <c r="F176" s="26"/>
      <c r="G176" s="30"/>
    </row>
    <row r="177" spans="1:7" ht="31.5" x14ac:dyDescent="0.25">
      <c r="A177" s="19" t="s">
        <v>115</v>
      </c>
      <c r="B177" s="8" t="s">
        <v>194</v>
      </c>
      <c r="C177" s="21">
        <v>1000</v>
      </c>
      <c r="D177" s="21" t="s">
        <v>199</v>
      </c>
      <c r="E177" s="21" t="s">
        <v>204</v>
      </c>
      <c r="F177" s="26"/>
      <c r="G177" s="30">
        <f t="shared" si="3"/>
        <v>0</v>
      </c>
    </row>
    <row r="178" spans="1:7" ht="31.5" x14ac:dyDescent="0.25">
      <c r="A178" s="19" t="s">
        <v>116</v>
      </c>
      <c r="B178" s="8" t="s">
        <v>195</v>
      </c>
      <c r="C178" s="21">
        <v>1000</v>
      </c>
      <c r="D178" s="21" t="s">
        <v>199</v>
      </c>
      <c r="E178" s="21" t="s">
        <v>204</v>
      </c>
      <c r="F178" s="26"/>
      <c r="G178" s="30">
        <f t="shared" si="3"/>
        <v>0</v>
      </c>
    </row>
    <row r="179" spans="1:7" ht="31.5" x14ac:dyDescent="0.25">
      <c r="A179" s="19" t="s">
        <v>117</v>
      </c>
      <c r="B179" s="8" t="s">
        <v>196</v>
      </c>
      <c r="C179" s="21">
        <v>1000</v>
      </c>
      <c r="D179" s="21" t="s">
        <v>199</v>
      </c>
      <c r="E179" s="21" t="s">
        <v>204</v>
      </c>
      <c r="F179" s="26"/>
      <c r="G179" s="30">
        <f t="shared" si="3"/>
        <v>0</v>
      </c>
    </row>
    <row r="180" spans="1:7" ht="47.25" x14ac:dyDescent="0.25">
      <c r="A180" s="19" t="s">
        <v>118</v>
      </c>
      <c r="B180" s="3" t="s">
        <v>302</v>
      </c>
      <c r="C180" s="21">
        <v>1</v>
      </c>
      <c r="D180" s="21" t="s">
        <v>255</v>
      </c>
      <c r="E180" s="21"/>
      <c r="F180" s="26"/>
      <c r="G180" s="30">
        <f>F180</f>
        <v>0</v>
      </c>
    </row>
    <row r="181" spans="1:7" ht="48" thickBot="1" x14ac:dyDescent="0.3">
      <c r="A181" s="19" t="s">
        <v>119</v>
      </c>
      <c r="B181" s="4" t="s">
        <v>303</v>
      </c>
      <c r="C181" s="21">
        <v>1</v>
      </c>
      <c r="D181" s="21" t="s">
        <v>255</v>
      </c>
      <c r="E181" s="21"/>
      <c r="F181" s="26"/>
      <c r="G181" s="32">
        <f>F181</f>
        <v>0</v>
      </c>
    </row>
    <row r="182" spans="1:7" ht="47.25" x14ac:dyDescent="0.25">
      <c r="A182" s="19"/>
      <c r="B182" s="9" t="s">
        <v>288</v>
      </c>
      <c r="C182" s="21"/>
      <c r="D182" s="21"/>
      <c r="E182" s="21"/>
      <c r="F182" s="23"/>
      <c r="G182" s="28">
        <f>SUM(G7:G181)</f>
        <v>0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EA41-95AD-4E5A-867F-81FD540A2ADD}">
  <dimension ref="A1:G182"/>
  <sheetViews>
    <sheetView topLeftCell="A175" zoomScaleNormal="100" workbookViewId="0">
      <selection activeCell="F181" sqref="F7:F181"/>
    </sheetView>
  </sheetViews>
  <sheetFormatPr defaultColWidth="28.5703125" defaultRowHeight="15.75" x14ac:dyDescent="0.25"/>
  <cols>
    <col min="1" max="1" width="14.5703125" style="20" customWidth="1"/>
    <col min="2" max="2" width="53.28515625" style="17" customWidth="1"/>
    <col min="3" max="3" width="14.85546875" style="5" customWidth="1"/>
    <col min="4" max="4" width="10.42578125" style="5" customWidth="1"/>
    <col min="5" max="5" width="14.7109375" style="5" customWidth="1"/>
    <col min="6" max="6" width="15.7109375" style="24" bestFit="1" customWidth="1"/>
    <col min="7" max="7" width="20.28515625" style="24" customWidth="1"/>
    <col min="8" max="16384" width="28.5703125" style="16"/>
  </cols>
  <sheetData>
    <row r="1" spans="1:7" s="15" customFormat="1" ht="15" customHeight="1" x14ac:dyDescent="0.25">
      <c r="A1" s="36" t="s">
        <v>306</v>
      </c>
      <c r="B1" s="37"/>
      <c r="C1" s="37"/>
      <c r="D1" s="37"/>
      <c r="E1" s="37"/>
      <c r="F1" s="37"/>
      <c r="G1" s="38"/>
    </row>
    <row r="2" spans="1:7" x14ac:dyDescent="0.25">
      <c r="A2" s="39" t="s">
        <v>305</v>
      </c>
      <c r="B2" s="40"/>
      <c r="C2" s="40"/>
      <c r="D2" s="40"/>
      <c r="E2" s="40"/>
      <c r="F2" s="40"/>
      <c r="G2" s="41"/>
    </row>
    <row r="3" spans="1:7" x14ac:dyDescent="0.25">
      <c r="A3" s="39" t="s">
        <v>217</v>
      </c>
      <c r="B3" s="40"/>
      <c r="C3" s="40"/>
      <c r="D3" s="40"/>
      <c r="E3" s="40"/>
      <c r="F3" s="40"/>
      <c r="G3" s="41"/>
    </row>
    <row r="4" spans="1:7" ht="16.5" thickBot="1" x14ac:dyDescent="0.3">
      <c r="A4" s="42" t="s">
        <v>307</v>
      </c>
      <c r="B4" s="43"/>
      <c r="C4" s="43"/>
      <c r="D4" s="43"/>
      <c r="E4" s="43"/>
      <c r="F4" s="43"/>
      <c r="G4" s="44"/>
    </row>
    <row r="5" spans="1:7" ht="16.5" thickBot="1" x14ac:dyDescent="0.3">
      <c r="A5" s="18" t="s">
        <v>0</v>
      </c>
      <c r="B5" s="6" t="s">
        <v>1</v>
      </c>
      <c r="C5" s="7" t="s">
        <v>2</v>
      </c>
      <c r="D5" s="7" t="s">
        <v>3</v>
      </c>
      <c r="E5" s="7"/>
      <c r="F5" s="25" t="s">
        <v>4</v>
      </c>
      <c r="G5" s="29" t="s">
        <v>5</v>
      </c>
    </row>
    <row r="6" spans="1:7" x14ac:dyDescent="0.25">
      <c r="A6" s="19"/>
      <c r="B6" s="9" t="s">
        <v>290</v>
      </c>
      <c r="C6" s="21"/>
      <c r="D6" s="21"/>
      <c r="E6" s="21"/>
      <c r="F6" s="26"/>
      <c r="G6" s="30"/>
    </row>
    <row r="7" spans="1:7" ht="47.25" x14ac:dyDescent="0.25">
      <c r="A7" s="19" t="s">
        <v>6</v>
      </c>
      <c r="B7" s="8" t="s">
        <v>257</v>
      </c>
      <c r="C7" s="21">
        <v>200</v>
      </c>
      <c r="D7" s="21" t="s">
        <v>197</v>
      </c>
      <c r="E7" s="21" t="s">
        <v>204</v>
      </c>
      <c r="F7" s="26"/>
      <c r="G7" s="30">
        <f t="shared" ref="G7:G31" si="0">F7*C7</f>
        <v>0</v>
      </c>
    </row>
    <row r="8" spans="1:7" ht="31.5" x14ac:dyDescent="0.25">
      <c r="A8" s="19"/>
      <c r="B8" s="10" t="s">
        <v>251</v>
      </c>
      <c r="C8" s="21"/>
      <c r="D8" s="21"/>
      <c r="E8" s="21"/>
      <c r="F8" s="26"/>
      <c r="G8" s="31"/>
    </row>
    <row r="9" spans="1:7" x14ac:dyDescent="0.25">
      <c r="A9" s="19" t="s">
        <v>282</v>
      </c>
      <c r="B9" s="8" t="s">
        <v>120</v>
      </c>
      <c r="C9" s="21">
        <v>1200</v>
      </c>
      <c r="D9" s="21" t="s">
        <v>198</v>
      </c>
      <c r="E9" s="21" t="s">
        <v>204</v>
      </c>
      <c r="F9" s="26"/>
      <c r="G9" s="30">
        <f t="shared" si="0"/>
        <v>0</v>
      </c>
    </row>
    <row r="10" spans="1:7" x14ac:dyDescent="0.25">
      <c r="A10" s="19" t="s">
        <v>283</v>
      </c>
      <c r="B10" s="8" t="s">
        <v>121</v>
      </c>
      <c r="C10" s="21">
        <v>1200</v>
      </c>
      <c r="D10" s="21" t="s">
        <v>198</v>
      </c>
      <c r="E10" s="21" t="s">
        <v>204</v>
      </c>
      <c r="F10" s="26"/>
      <c r="G10" s="30">
        <f t="shared" si="0"/>
        <v>0</v>
      </c>
    </row>
    <row r="11" spans="1:7" x14ac:dyDescent="0.25">
      <c r="A11" s="19" t="s">
        <v>7</v>
      </c>
      <c r="B11" s="8" t="s">
        <v>122</v>
      </c>
      <c r="C11" s="21">
        <v>1200</v>
      </c>
      <c r="D11" s="21" t="s">
        <v>199</v>
      </c>
      <c r="E11" s="21" t="s">
        <v>204</v>
      </c>
      <c r="F11" s="26"/>
      <c r="G11" s="30">
        <f t="shared" si="0"/>
        <v>0</v>
      </c>
    </row>
    <row r="12" spans="1:7" x14ac:dyDescent="0.25">
      <c r="A12" s="19" t="s">
        <v>8</v>
      </c>
      <c r="B12" s="8" t="s">
        <v>123</v>
      </c>
      <c r="C12" s="21">
        <v>1200</v>
      </c>
      <c r="D12" s="21" t="s">
        <v>199</v>
      </c>
      <c r="E12" s="21" t="s">
        <v>204</v>
      </c>
      <c r="F12" s="26"/>
      <c r="G12" s="30">
        <f t="shared" si="0"/>
        <v>0</v>
      </c>
    </row>
    <row r="13" spans="1:7" x14ac:dyDescent="0.25">
      <c r="A13" s="19"/>
      <c r="B13" s="9" t="s">
        <v>256</v>
      </c>
      <c r="C13" s="21"/>
      <c r="D13" s="21"/>
      <c r="E13" s="21"/>
      <c r="F13" s="26"/>
      <c r="G13" s="30"/>
    </row>
    <row r="14" spans="1:7" ht="31.5" x14ac:dyDescent="0.25">
      <c r="A14" s="19"/>
      <c r="B14" s="9" t="s">
        <v>124</v>
      </c>
      <c r="C14" s="21"/>
      <c r="D14" s="21"/>
      <c r="E14" s="21"/>
      <c r="F14" s="26"/>
      <c r="G14" s="30"/>
    </row>
    <row r="15" spans="1:7" ht="31.5" x14ac:dyDescent="0.25">
      <c r="A15" s="19" t="s">
        <v>218</v>
      </c>
      <c r="B15" s="8" t="s">
        <v>125</v>
      </c>
      <c r="C15" s="21">
        <v>120</v>
      </c>
      <c r="D15" s="21" t="s">
        <v>197</v>
      </c>
      <c r="E15" s="21" t="s">
        <v>204</v>
      </c>
      <c r="F15" s="26"/>
      <c r="G15" s="30">
        <f t="shared" si="0"/>
        <v>0</v>
      </c>
    </row>
    <row r="16" spans="1:7" x14ac:dyDescent="0.25">
      <c r="A16" s="19" t="s">
        <v>219</v>
      </c>
      <c r="B16" s="8" t="s">
        <v>126</v>
      </c>
      <c r="C16" s="21">
        <v>120</v>
      </c>
      <c r="D16" s="21" t="s">
        <v>197</v>
      </c>
      <c r="E16" s="21" t="s">
        <v>204</v>
      </c>
      <c r="F16" s="26"/>
      <c r="G16" s="30">
        <f t="shared" si="0"/>
        <v>0</v>
      </c>
    </row>
    <row r="17" spans="1:7" ht="31.5" x14ac:dyDescent="0.25">
      <c r="A17" s="19" t="s">
        <v>9</v>
      </c>
      <c r="B17" s="8" t="s">
        <v>258</v>
      </c>
      <c r="C17" s="21">
        <v>120</v>
      </c>
      <c r="D17" s="21" t="s">
        <v>197</v>
      </c>
      <c r="E17" s="21" t="s">
        <v>204</v>
      </c>
      <c r="F17" s="26"/>
      <c r="G17" s="30">
        <f t="shared" si="0"/>
        <v>0</v>
      </c>
    </row>
    <row r="18" spans="1:7" x14ac:dyDescent="0.25">
      <c r="A18" s="19" t="s">
        <v>10</v>
      </c>
      <c r="B18" s="8" t="s">
        <v>127</v>
      </c>
      <c r="C18" s="21">
        <v>15</v>
      </c>
      <c r="D18" s="21" t="s">
        <v>197</v>
      </c>
      <c r="E18" s="21" t="s">
        <v>204</v>
      </c>
      <c r="F18" s="26"/>
      <c r="G18" s="30">
        <f t="shared" si="0"/>
        <v>0</v>
      </c>
    </row>
    <row r="19" spans="1:7" ht="31.5" x14ac:dyDescent="0.25">
      <c r="A19" s="19" t="s">
        <v>11</v>
      </c>
      <c r="B19" s="8" t="s">
        <v>259</v>
      </c>
      <c r="C19" s="21">
        <v>30</v>
      </c>
      <c r="D19" s="21" t="s">
        <v>200</v>
      </c>
      <c r="E19" s="21" t="s">
        <v>204</v>
      </c>
      <c r="F19" s="26"/>
      <c r="G19" s="30">
        <f t="shared" si="0"/>
        <v>0</v>
      </c>
    </row>
    <row r="20" spans="1:7" ht="31.5" x14ac:dyDescent="0.25">
      <c r="A20" s="19" t="s">
        <v>284</v>
      </c>
      <c r="B20" s="8" t="s">
        <v>260</v>
      </c>
      <c r="C20" s="21">
        <v>90</v>
      </c>
      <c r="D20" s="21" t="s">
        <v>200</v>
      </c>
      <c r="E20" s="21" t="s">
        <v>204</v>
      </c>
      <c r="F20" s="26"/>
      <c r="G20" s="30">
        <f t="shared" si="0"/>
        <v>0</v>
      </c>
    </row>
    <row r="21" spans="1:7" ht="31.5" x14ac:dyDescent="0.25">
      <c r="A21" s="19" t="s">
        <v>12</v>
      </c>
      <c r="B21" s="8" t="s">
        <v>261</v>
      </c>
      <c r="C21" s="21">
        <v>300</v>
      </c>
      <c r="D21" s="21" t="s">
        <v>198</v>
      </c>
      <c r="E21" s="21" t="s">
        <v>204</v>
      </c>
      <c r="F21" s="26"/>
      <c r="G21" s="30">
        <f t="shared" si="0"/>
        <v>0</v>
      </c>
    </row>
    <row r="22" spans="1:7" x14ac:dyDescent="0.25">
      <c r="A22" s="19"/>
      <c r="B22" s="10" t="s">
        <v>293</v>
      </c>
      <c r="C22" s="21"/>
      <c r="D22" s="21"/>
      <c r="E22" s="21"/>
      <c r="F22" s="26"/>
      <c r="G22" s="30"/>
    </row>
    <row r="23" spans="1:7" ht="31.5" x14ac:dyDescent="0.25">
      <c r="A23" s="19"/>
      <c r="B23" s="10" t="s">
        <v>294</v>
      </c>
      <c r="C23" s="21"/>
      <c r="D23" s="21"/>
      <c r="E23" s="21"/>
      <c r="F23" s="26"/>
      <c r="G23" s="30"/>
    </row>
    <row r="24" spans="1:7" x14ac:dyDescent="0.25">
      <c r="A24" s="19" t="s">
        <v>13</v>
      </c>
      <c r="B24" s="8" t="s">
        <v>128</v>
      </c>
      <c r="C24" s="21">
        <v>100</v>
      </c>
      <c r="D24" s="21" t="s">
        <v>197</v>
      </c>
      <c r="E24" s="21" t="s">
        <v>204</v>
      </c>
      <c r="F24" s="26"/>
      <c r="G24" s="30">
        <f t="shared" si="0"/>
        <v>0</v>
      </c>
    </row>
    <row r="25" spans="1:7" x14ac:dyDescent="0.25">
      <c r="A25" s="19" t="s">
        <v>285</v>
      </c>
      <c r="B25" s="8" t="s">
        <v>252</v>
      </c>
      <c r="C25" s="21">
        <v>100</v>
      </c>
      <c r="D25" s="21" t="s">
        <v>197</v>
      </c>
      <c r="E25" s="21" t="s">
        <v>204</v>
      </c>
      <c r="F25" s="26"/>
      <c r="G25" s="30">
        <f t="shared" si="0"/>
        <v>0</v>
      </c>
    </row>
    <row r="26" spans="1:7" x14ac:dyDescent="0.25">
      <c r="A26" s="19" t="s">
        <v>14</v>
      </c>
      <c r="B26" s="8" t="s">
        <v>253</v>
      </c>
      <c r="C26" s="21">
        <v>100</v>
      </c>
      <c r="D26" s="21" t="s">
        <v>197</v>
      </c>
      <c r="E26" s="21" t="s">
        <v>204</v>
      </c>
      <c r="F26" s="26"/>
      <c r="G26" s="30">
        <f t="shared" si="0"/>
        <v>0</v>
      </c>
    </row>
    <row r="27" spans="1:7" ht="47.25" x14ac:dyDescent="0.25">
      <c r="A27" s="19" t="s">
        <v>286</v>
      </c>
      <c r="B27" s="8" t="s">
        <v>262</v>
      </c>
      <c r="C27" s="22">
        <v>18</v>
      </c>
      <c r="D27" s="22" t="s">
        <v>197</v>
      </c>
      <c r="E27" s="22" t="s">
        <v>204</v>
      </c>
      <c r="F27" s="26"/>
      <c r="G27" s="31">
        <f>F27*C27</f>
        <v>0</v>
      </c>
    </row>
    <row r="28" spans="1:7" x14ac:dyDescent="0.25">
      <c r="A28" s="19" t="s">
        <v>15</v>
      </c>
      <c r="B28" s="8" t="s">
        <v>129</v>
      </c>
      <c r="C28" s="21">
        <v>18</v>
      </c>
      <c r="D28" s="21" t="s">
        <v>197</v>
      </c>
      <c r="E28" s="21" t="s">
        <v>204</v>
      </c>
      <c r="F28" s="26"/>
      <c r="G28" s="30">
        <f t="shared" si="0"/>
        <v>0</v>
      </c>
    </row>
    <row r="29" spans="1:7" ht="31.5" x14ac:dyDescent="0.25">
      <c r="A29" s="19" t="s">
        <v>287</v>
      </c>
      <c r="B29" s="8" t="s">
        <v>264</v>
      </c>
      <c r="C29" s="21">
        <v>6</v>
      </c>
      <c r="D29" s="21" t="s">
        <v>197</v>
      </c>
      <c r="E29" s="21" t="s">
        <v>204</v>
      </c>
      <c r="F29" s="26"/>
      <c r="G29" s="30">
        <f t="shared" si="0"/>
        <v>0</v>
      </c>
    </row>
    <row r="30" spans="1:7" ht="31.5" x14ac:dyDescent="0.25">
      <c r="A30" s="19" t="s">
        <v>16</v>
      </c>
      <c r="B30" s="8" t="s">
        <v>263</v>
      </c>
      <c r="C30" s="21">
        <v>9</v>
      </c>
      <c r="D30" s="21" t="s">
        <v>197</v>
      </c>
      <c r="E30" s="21" t="s">
        <v>204</v>
      </c>
      <c r="F30" s="26"/>
      <c r="G30" s="30">
        <f t="shared" si="0"/>
        <v>0</v>
      </c>
    </row>
    <row r="31" spans="1:7" x14ac:dyDescent="0.25">
      <c r="A31" s="19" t="s">
        <v>17</v>
      </c>
      <c r="B31" s="8" t="s">
        <v>130</v>
      </c>
      <c r="C31" s="21">
        <v>9</v>
      </c>
      <c r="D31" s="21" t="s">
        <v>197</v>
      </c>
      <c r="E31" s="21" t="s">
        <v>204</v>
      </c>
      <c r="F31" s="26"/>
      <c r="G31" s="30">
        <f t="shared" si="0"/>
        <v>0</v>
      </c>
    </row>
    <row r="32" spans="1:7" ht="47.25" x14ac:dyDescent="0.25">
      <c r="A32" s="19"/>
      <c r="B32" s="9" t="s">
        <v>216</v>
      </c>
      <c r="C32" s="21"/>
      <c r="D32" s="21"/>
      <c r="E32" s="21"/>
      <c r="F32" s="26"/>
      <c r="G32" s="30"/>
    </row>
    <row r="33" spans="1:7" x14ac:dyDescent="0.25">
      <c r="A33" s="19" t="s">
        <v>18</v>
      </c>
      <c r="B33" s="8" t="s">
        <v>131</v>
      </c>
      <c r="C33" s="21">
        <v>20</v>
      </c>
      <c r="D33" s="21" t="s">
        <v>197</v>
      </c>
      <c r="E33" s="21" t="s">
        <v>204</v>
      </c>
      <c r="F33" s="26"/>
      <c r="G33" s="30">
        <f t="shared" ref="G33:G58" si="1">F33*C33</f>
        <v>0</v>
      </c>
    </row>
    <row r="34" spans="1:7" x14ac:dyDescent="0.25">
      <c r="A34" s="19" t="s">
        <v>19</v>
      </c>
      <c r="B34" s="8" t="s">
        <v>132</v>
      </c>
      <c r="C34" s="21">
        <v>20</v>
      </c>
      <c r="D34" s="21" t="s">
        <v>197</v>
      </c>
      <c r="E34" s="21" t="s">
        <v>204</v>
      </c>
      <c r="F34" s="26"/>
      <c r="G34" s="30">
        <f t="shared" si="1"/>
        <v>0</v>
      </c>
    </row>
    <row r="35" spans="1:7" ht="31.5" x14ac:dyDescent="0.25">
      <c r="A35" s="19"/>
      <c r="B35" s="9" t="s">
        <v>291</v>
      </c>
      <c r="C35" s="21"/>
      <c r="D35" s="21"/>
      <c r="E35" s="21"/>
      <c r="F35" s="26"/>
      <c r="G35" s="30"/>
    </row>
    <row r="36" spans="1:7" ht="47.25" x14ac:dyDescent="0.25">
      <c r="A36" s="19" t="s">
        <v>20</v>
      </c>
      <c r="B36" s="8" t="s">
        <v>277</v>
      </c>
      <c r="C36" s="21">
        <v>100</v>
      </c>
      <c r="D36" s="21" t="s">
        <v>197</v>
      </c>
      <c r="E36" s="21" t="s">
        <v>204</v>
      </c>
      <c r="F36" s="26"/>
      <c r="G36" s="30">
        <f t="shared" si="1"/>
        <v>0</v>
      </c>
    </row>
    <row r="37" spans="1:7" x14ac:dyDescent="0.25">
      <c r="A37" s="19"/>
      <c r="B37" s="9" t="s">
        <v>133</v>
      </c>
      <c r="C37" s="21"/>
      <c r="D37" s="21"/>
      <c r="E37" s="21"/>
      <c r="F37" s="26"/>
      <c r="G37" s="30"/>
    </row>
    <row r="38" spans="1:7" x14ac:dyDescent="0.25">
      <c r="A38" s="19" t="s">
        <v>21</v>
      </c>
      <c r="B38" s="8" t="s">
        <v>134</v>
      </c>
      <c r="C38" s="21">
        <v>100</v>
      </c>
      <c r="D38" s="21" t="s">
        <v>199</v>
      </c>
      <c r="E38" s="21" t="s">
        <v>204</v>
      </c>
      <c r="F38" s="26"/>
      <c r="G38" s="30">
        <f t="shared" si="1"/>
        <v>0</v>
      </c>
    </row>
    <row r="39" spans="1:7" x14ac:dyDescent="0.25">
      <c r="A39" s="19" t="s">
        <v>22</v>
      </c>
      <c r="B39" s="8" t="s">
        <v>135</v>
      </c>
      <c r="C39" s="21">
        <v>100</v>
      </c>
      <c r="D39" s="21" t="s">
        <v>199</v>
      </c>
      <c r="E39" s="21" t="s">
        <v>204</v>
      </c>
      <c r="F39" s="26"/>
      <c r="G39" s="30">
        <f t="shared" si="1"/>
        <v>0</v>
      </c>
    </row>
    <row r="40" spans="1:7" x14ac:dyDescent="0.25">
      <c r="A40" s="19"/>
      <c r="B40" s="9" t="s">
        <v>295</v>
      </c>
      <c r="C40" s="21"/>
      <c r="D40" s="21"/>
      <c r="E40" s="21"/>
      <c r="F40" s="26"/>
      <c r="G40" s="30"/>
    </row>
    <row r="41" spans="1:7" ht="31.5" x14ac:dyDescent="0.25">
      <c r="A41" s="19"/>
      <c r="B41" s="9" t="s">
        <v>215</v>
      </c>
      <c r="C41" s="21"/>
      <c r="D41" s="21"/>
      <c r="E41" s="21"/>
      <c r="F41" s="26"/>
      <c r="G41" s="30"/>
    </row>
    <row r="42" spans="1:7" x14ac:dyDescent="0.25">
      <c r="A42" s="19" t="s">
        <v>23</v>
      </c>
      <c r="B42" s="8" t="s">
        <v>136</v>
      </c>
      <c r="C42" s="21">
        <v>100</v>
      </c>
      <c r="D42" s="21" t="s">
        <v>197</v>
      </c>
      <c r="E42" s="21" t="s">
        <v>204</v>
      </c>
      <c r="F42" s="26"/>
      <c r="G42" s="30">
        <f t="shared" si="1"/>
        <v>0</v>
      </c>
    </row>
    <row r="43" spans="1:7" ht="31.5" x14ac:dyDescent="0.25">
      <c r="A43" s="19"/>
      <c r="B43" s="9" t="s">
        <v>214</v>
      </c>
      <c r="C43" s="21"/>
      <c r="D43" s="21"/>
      <c r="E43" s="21"/>
      <c r="F43" s="26"/>
      <c r="G43" s="30"/>
    </row>
    <row r="44" spans="1:7" x14ac:dyDescent="0.25">
      <c r="A44" s="19" t="s">
        <v>24</v>
      </c>
      <c r="B44" s="8" t="s">
        <v>137</v>
      </c>
      <c r="C44" s="21">
        <v>100</v>
      </c>
      <c r="D44" s="21" t="s">
        <v>197</v>
      </c>
      <c r="E44" s="21" t="s">
        <v>204</v>
      </c>
      <c r="F44" s="26"/>
      <c r="G44" s="30">
        <f t="shared" si="1"/>
        <v>0</v>
      </c>
    </row>
    <row r="45" spans="1:7" ht="47.25" x14ac:dyDescent="0.25">
      <c r="A45" s="19"/>
      <c r="B45" s="9" t="s">
        <v>292</v>
      </c>
      <c r="C45" s="21"/>
      <c r="D45" s="21"/>
      <c r="E45" s="21"/>
      <c r="F45" s="26"/>
      <c r="G45" s="30"/>
    </row>
    <row r="46" spans="1:7" x14ac:dyDescent="0.25">
      <c r="A46" s="19" t="s">
        <v>25</v>
      </c>
      <c r="B46" s="8" t="s">
        <v>138</v>
      </c>
      <c r="C46" s="21">
        <v>100</v>
      </c>
      <c r="D46" s="21" t="s">
        <v>197</v>
      </c>
      <c r="E46" s="21" t="s">
        <v>204</v>
      </c>
      <c r="F46" s="26"/>
      <c r="G46" s="30">
        <f t="shared" si="1"/>
        <v>0</v>
      </c>
    </row>
    <row r="47" spans="1:7" x14ac:dyDescent="0.25">
      <c r="A47" s="19" t="s">
        <v>26</v>
      </c>
      <c r="B47" s="8" t="s">
        <v>139</v>
      </c>
      <c r="C47" s="21">
        <v>100</v>
      </c>
      <c r="D47" s="21" t="s">
        <v>197</v>
      </c>
      <c r="E47" s="21" t="s">
        <v>204</v>
      </c>
      <c r="F47" s="26"/>
      <c r="G47" s="30">
        <f t="shared" si="1"/>
        <v>0</v>
      </c>
    </row>
    <row r="48" spans="1:7" ht="31.5" x14ac:dyDescent="0.25">
      <c r="A48" s="19" t="s">
        <v>27</v>
      </c>
      <c r="B48" s="8" t="s">
        <v>265</v>
      </c>
      <c r="C48" s="21">
        <v>150</v>
      </c>
      <c r="D48" s="21" t="s">
        <v>199</v>
      </c>
      <c r="E48" s="21" t="s">
        <v>204</v>
      </c>
      <c r="F48" s="26"/>
      <c r="G48" s="30">
        <f t="shared" si="1"/>
        <v>0</v>
      </c>
    </row>
    <row r="49" spans="1:7" ht="31.5" x14ac:dyDescent="0.25">
      <c r="A49" s="19" t="s">
        <v>28</v>
      </c>
      <c r="B49" s="8" t="s">
        <v>266</v>
      </c>
      <c r="C49" s="21">
        <v>36</v>
      </c>
      <c r="D49" s="21" t="s">
        <v>199</v>
      </c>
      <c r="E49" s="21" t="s">
        <v>204</v>
      </c>
      <c r="F49" s="26"/>
      <c r="G49" s="30">
        <f t="shared" si="1"/>
        <v>0</v>
      </c>
    </row>
    <row r="50" spans="1:7" ht="47.25" x14ac:dyDescent="0.25">
      <c r="A50" s="19" t="s">
        <v>29</v>
      </c>
      <c r="B50" s="8" t="s">
        <v>267</v>
      </c>
      <c r="C50" s="21">
        <v>100</v>
      </c>
      <c r="D50" s="21" t="s">
        <v>199</v>
      </c>
      <c r="E50" s="21" t="s">
        <v>204</v>
      </c>
      <c r="F50" s="26"/>
      <c r="G50" s="30">
        <f t="shared" si="1"/>
        <v>0</v>
      </c>
    </row>
    <row r="51" spans="1:7" x14ac:dyDescent="0.25">
      <c r="A51" s="19" t="s">
        <v>30</v>
      </c>
      <c r="B51" s="8" t="s">
        <v>140</v>
      </c>
      <c r="C51" s="21">
        <v>100</v>
      </c>
      <c r="D51" s="21" t="s">
        <v>197</v>
      </c>
      <c r="E51" s="21" t="s">
        <v>204</v>
      </c>
      <c r="F51" s="26"/>
      <c r="G51" s="30">
        <f t="shared" si="1"/>
        <v>0</v>
      </c>
    </row>
    <row r="52" spans="1:7" x14ac:dyDescent="0.25">
      <c r="A52" s="19" t="s">
        <v>31</v>
      </c>
      <c r="B52" s="8" t="s">
        <v>141</v>
      </c>
      <c r="C52" s="21">
        <v>300</v>
      </c>
      <c r="D52" s="21" t="s">
        <v>199</v>
      </c>
      <c r="E52" s="21" t="s">
        <v>204</v>
      </c>
      <c r="F52" s="26"/>
      <c r="G52" s="30">
        <f t="shared" si="1"/>
        <v>0</v>
      </c>
    </row>
    <row r="53" spans="1:7" x14ac:dyDescent="0.25">
      <c r="A53" s="19"/>
      <c r="B53" s="9" t="s">
        <v>142</v>
      </c>
      <c r="C53" s="21"/>
      <c r="D53" s="21"/>
      <c r="E53" s="21"/>
      <c r="F53" s="26"/>
      <c r="G53" s="30"/>
    </row>
    <row r="54" spans="1:7" x14ac:dyDescent="0.25">
      <c r="A54" s="19" t="s">
        <v>32</v>
      </c>
      <c r="B54" s="8" t="s">
        <v>143</v>
      </c>
      <c r="C54" s="21">
        <v>150</v>
      </c>
      <c r="D54" s="21" t="s">
        <v>199</v>
      </c>
      <c r="E54" s="21" t="s">
        <v>204</v>
      </c>
      <c r="F54" s="26"/>
      <c r="G54" s="30">
        <f t="shared" si="1"/>
        <v>0</v>
      </c>
    </row>
    <row r="55" spans="1:7" ht="31.5" x14ac:dyDescent="0.25">
      <c r="A55" s="19"/>
      <c r="B55" s="9" t="s">
        <v>278</v>
      </c>
      <c r="C55" s="21"/>
      <c r="D55" s="21"/>
      <c r="E55" s="21"/>
      <c r="F55" s="26"/>
      <c r="G55" s="30"/>
    </row>
    <row r="56" spans="1:7" x14ac:dyDescent="0.25">
      <c r="A56" s="19" t="s">
        <v>33</v>
      </c>
      <c r="B56" s="8" t="s">
        <v>144</v>
      </c>
      <c r="C56" s="21">
        <v>100</v>
      </c>
      <c r="D56" s="21" t="s">
        <v>197</v>
      </c>
      <c r="E56" s="21" t="s">
        <v>204</v>
      </c>
      <c r="F56" s="26"/>
      <c r="G56" s="30">
        <f t="shared" si="1"/>
        <v>0</v>
      </c>
    </row>
    <row r="57" spans="1:7" x14ac:dyDescent="0.25">
      <c r="A57" s="19" t="s">
        <v>34</v>
      </c>
      <c r="B57" s="8" t="s">
        <v>145</v>
      </c>
      <c r="C57" s="21">
        <v>100</v>
      </c>
      <c r="D57" s="21" t="s">
        <v>197</v>
      </c>
      <c r="E57" s="21" t="s">
        <v>204</v>
      </c>
      <c r="F57" s="26"/>
      <c r="G57" s="30">
        <f t="shared" si="1"/>
        <v>0</v>
      </c>
    </row>
    <row r="58" spans="1:7" x14ac:dyDescent="0.25">
      <c r="A58" s="19" t="s">
        <v>35</v>
      </c>
      <c r="B58" s="8" t="s">
        <v>146</v>
      </c>
      <c r="C58" s="21">
        <v>100</v>
      </c>
      <c r="D58" s="21" t="s">
        <v>197</v>
      </c>
      <c r="E58" s="21" t="s">
        <v>204</v>
      </c>
      <c r="F58" s="26"/>
      <c r="G58" s="30">
        <f t="shared" si="1"/>
        <v>0</v>
      </c>
    </row>
    <row r="59" spans="1:7" ht="31.5" x14ac:dyDescent="0.25">
      <c r="A59" s="19"/>
      <c r="B59" s="9" t="s">
        <v>147</v>
      </c>
      <c r="C59" s="21"/>
      <c r="D59" s="21"/>
      <c r="E59" s="21"/>
      <c r="F59" s="26"/>
      <c r="G59" s="30"/>
    </row>
    <row r="60" spans="1:7" x14ac:dyDescent="0.25">
      <c r="A60" s="19" t="s">
        <v>36</v>
      </c>
      <c r="B60" s="8" t="s">
        <v>144</v>
      </c>
      <c r="C60" s="21">
        <v>100</v>
      </c>
      <c r="D60" s="21" t="s">
        <v>197</v>
      </c>
      <c r="E60" s="21" t="s">
        <v>204</v>
      </c>
      <c r="F60" s="26"/>
      <c r="G60" s="30">
        <f t="shared" ref="G60:G122" si="2">F60*C60</f>
        <v>0</v>
      </c>
    </row>
    <row r="61" spans="1:7" x14ac:dyDescent="0.25">
      <c r="A61" s="19" t="s">
        <v>37</v>
      </c>
      <c r="B61" s="8" t="s">
        <v>145</v>
      </c>
      <c r="C61" s="21">
        <v>100</v>
      </c>
      <c r="D61" s="21" t="s">
        <v>197</v>
      </c>
      <c r="E61" s="21" t="s">
        <v>204</v>
      </c>
      <c r="F61" s="26"/>
      <c r="G61" s="30">
        <f t="shared" si="2"/>
        <v>0</v>
      </c>
    </row>
    <row r="62" spans="1:7" x14ac:dyDescent="0.25">
      <c r="A62" s="19" t="s">
        <v>38</v>
      </c>
      <c r="B62" s="8" t="s">
        <v>146</v>
      </c>
      <c r="C62" s="21">
        <v>100</v>
      </c>
      <c r="D62" s="21" t="s">
        <v>197</v>
      </c>
      <c r="E62" s="21" t="s">
        <v>204</v>
      </c>
      <c r="F62" s="26"/>
      <c r="G62" s="30">
        <f t="shared" si="2"/>
        <v>0</v>
      </c>
    </row>
    <row r="63" spans="1:7" x14ac:dyDescent="0.25">
      <c r="A63" s="19" t="s">
        <v>39</v>
      </c>
      <c r="B63" s="8" t="s">
        <v>148</v>
      </c>
      <c r="C63" s="21">
        <v>100</v>
      </c>
      <c r="D63" s="21" t="s">
        <v>199</v>
      </c>
      <c r="E63" s="21" t="s">
        <v>204</v>
      </c>
      <c r="F63" s="26"/>
      <c r="G63" s="30">
        <f t="shared" si="2"/>
        <v>0</v>
      </c>
    </row>
    <row r="64" spans="1:7" x14ac:dyDescent="0.25">
      <c r="A64" s="19" t="s">
        <v>40</v>
      </c>
      <c r="B64" s="8" t="s">
        <v>149</v>
      </c>
      <c r="C64" s="21">
        <v>100</v>
      </c>
      <c r="D64" s="21" t="s">
        <v>201</v>
      </c>
      <c r="E64" s="21" t="s">
        <v>204</v>
      </c>
      <c r="F64" s="26"/>
      <c r="G64" s="30">
        <f t="shared" si="2"/>
        <v>0</v>
      </c>
    </row>
    <row r="65" spans="1:7" ht="18.75" customHeight="1" x14ac:dyDescent="0.25">
      <c r="A65" s="19" t="s">
        <v>41</v>
      </c>
      <c r="B65" s="8" t="s">
        <v>150</v>
      </c>
      <c r="C65" s="21">
        <v>100</v>
      </c>
      <c r="D65" s="21" t="s">
        <v>200</v>
      </c>
      <c r="E65" s="21" t="s">
        <v>204</v>
      </c>
      <c r="F65" s="26"/>
      <c r="G65" s="30">
        <f t="shared" si="2"/>
        <v>0</v>
      </c>
    </row>
    <row r="66" spans="1:7" x14ac:dyDescent="0.25">
      <c r="A66" s="19" t="s">
        <v>42</v>
      </c>
      <c r="B66" s="8" t="s">
        <v>151</v>
      </c>
      <c r="C66" s="21">
        <v>100</v>
      </c>
      <c r="D66" s="21" t="s">
        <v>201</v>
      </c>
      <c r="E66" s="21" t="s">
        <v>204</v>
      </c>
      <c r="F66" s="26"/>
      <c r="G66" s="30">
        <f t="shared" si="2"/>
        <v>0</v>
      </c>
    </row>
    <row r="67" spans="1:7" ht="31.5" x14ac:dyDescent="0.25">
      <c r="A67" s="19"/>
      <c r="B67" s="9" t="s">
        <v>213</v>
      </c>
      <c r="C67" s="21"/>
      <c r="D67" s="21"/>
      <c r="E67" s="21"/>
      <c r="F67" s="26"/>
      <c r="G67" s="30"/>
    </row>
    <row r="68" spans="1:7" x14ac:dyDescent="0.25">
      <c r="A68" s="19" t="s">
        <v>43</v>
      </c>
      <c r="B68" s="8" t="s">
        <v>152</v>
      </c>
      <c r="C68" s="21">
        <v>100</v>
      </c>
      <c r="D68" s="21" t="s">
        <v>197</v>
      </c>
      <c r="E68" s="21" t="s">
        <v>204</v>
      </c>
      <c r="F68" s="26"/>
      <c r="G68" s="30">
        <f t="shared" si="2"/>
        <v>0</v>
      </c>
    </row>
    <row r="69" spans="1:7" x14ac:dyDescent="0.25">
      <c r="A69" s="19" t="s">
        <v>44</v>
      </c>
      <c r="B69" s="8" t="s">
        <v>153</v>
      </c>
      <c r="C69" s="21">
        <v>100</v>
      </c>
      <c r="D69" s="21" t="s">
        <v>197</v>
      </c>
      <c r="E69" s="21" t="s">
        <v>204</v>
      </c>
      <c r="F69" s="26"/>
      <c r="G69" s="30">
        <f t="shared" si="2"/>
        <v>0</v>
      </c>
    </row>
    <row r="70" spans="1:7" x14ac:dyDescent="0.25">
      <c r="A70" s="19" t="s">
        <v>45</v>
      </c>
      <c r="B70" s="8" t="s">
        <v>154</v>
      </c>
      <c r="C70" s="21">
        <v>100</v>
      </c>
      <c r="D70" s="21" t="s">
        <v>199</v>
      </c>
      <c r="E70" s="21" t="s">
        <v>204</v>
      </c>
      <c r="F70" s="26"/>
      <c r="G70" s="30">
        <f t="shared" si="2"/>
        <v>0</v>
      </c>
    </row>
    <row r="71" spans="1:7" x14ac:dyDescent="0.25">
      <c r="A71" s="19" t="s">
        <v>46</v>
      </c>
      <c r="B71" s="8" t="s">
        <v>155</v>
      </c>
      <c r="C71" s="21">
        <v>100</v>
      </c>
      <c r="D71" s="21" t="s">
        <v>201</v>
      </c>
      <c r="E71" s="21" t="s">
        <v>204</v>
      </c>
      <c r="F71" s="26"/>
      <c r="G71" s="30">
        <f t="shared" si="2"/>
        <v>0</v>
      </c>
    </row>
    <row r="72" spans="1:7" ht="31.5" x14ac:dyDescent="0.25">
      <c r="A72" s="19"/>
      <c r="B72" s="9" t="s">
        <v>268</v>
      </c>
      <c r="C72" s="21"/>
      <c r="D72" s="21"/>
      <c r="E72" s="21"/>
      <c r="F72" s="26"/>
      <c r="G72" s="30"/>
    </row>
    <row r="73" spans="1:7" x14ac:dyDescent="0.25">
      <c r="A73" s="19" t="s">
        <v>47</v>
      </c>
      <c r="B73" s="8" t="s">
        <v>156</v>
      </c>
      <c r="C73" s="21">
        <v>100</v>
      </c>
      <c r="D73" s="21" t="s">
        <v>199</v>
      </c>
      <c r="E73" s="21" t="s">
        <v>204</v>
      </c>
      <c r="F73" s="26"/>
      <c r="G73" s="30">
        <f t="shared" si="2"/>
        <v>0</v>
      </c>
    </row>
    <row r="74" spans="1:7" x14ac:dyDescent="0.25">
      <c r="A74" s="19" t="s">
        <v>48</v>
      </c>
      <c r="B74" s="8" t="s">
        <v>157</v>
      </c>
      <c r="C74" s="21">
        <v>100</v>
      </c>
      <c r="D74" s="21" t="s">
        <v>199</v>
      </c>
      <c r="E74" s="21" t="s">
        <v>204</v>
      </c>
      <c r="F74" s="26"/>
      <c r="G74" s="30">
        <f t="shared" si="2"/>
        <v>0</v>
      </c>
    </row>
    <row r="75" spans="1:7" x14ac:dyDescent="0.25">
      <c r="A75" s="19" t="s">
        <v>49</v>
      </c>
      <c r="B75" s="8" t="s">
        <v>158</v>
      </c>
      <c r="C75" s="21">
        <v>100</v>
      </c>
      <c r="D75" s="21" t="s">
        <v>199</v>
      </c>
      <c r="E75" s="21" t="s">
        <v>204</v>
      </c>
      <c r="F75" s="26"/>
      <c r="G75" s="30">
        <f t="shared" si="2"/>
        <v>0</v>
      </c>
    </row>
    <row r="76" spans="1:7" x14ac:dyDescent="0.25">
      <c r="A76" s="19" t="s">
        <v>50</v>
      </c>
      <c r="B76" s="8" t="s">
        <v>159</v>
      </c>
      <c r="C76" s="21">
        <v>100</v>
      </c>
      <c r="D76" s="21" t="s">
        <v>199</v>
      </c>
      <c r="E76" s="21" t="s">
        <v>204</v>
      </c>
      <c r="F76" s="26"/>
      <c r="G76" s="30">
        <f t="shared" si="2"/>
        <v>0</v>
      </c>
    </row>
    <row r="77" spans="1:7" ht="31.5" x14ac:dyDescent="0.25">
      <c r="A77" s="19"/>
      <c r="B77" s="9" t="s">
        <v>269</v>
      </c>
      <c r="C77" s="21"/>
      <c r="D77" s="21"/>
      <c r="E77" s="21"/>
      <c r="F77" s="26"/>
      <c r="G77" s="30"/>
    </row>
    <row r="78" spans="1:7" x14ac:dyDescent="0.25">
      <c r="A78" s="19" t="s">
        <v>51</v>
      </c>
      <c r="B78" s="8" t="s">
        <v>156</v>
      </c>
      <c r="C78" s="21">
        <v>100</v>
      </c>
      <c r="D78" s="21" t="s">
        <v>199</v>
      </c>
      <c r="E78" s="21" t="s">
        <v>204</v>
      </c>
      <c r="F78" s="26"/>
      <c r="G78" s="30">
        <f t="shared" si="2"/>
        <v>0</v>
      </c>
    </row>
    <row r="79" spans="1:7" x14ac:dyDescent="0.25">
      <c r="A79" s="19" t="s">
        <v>52</v>
      </c>
      <c r="B79" s="8" t="s">
        <v>157</v>
      </c>
      <c r="C79" s="21">
        <v>100</v>
      </c>
      <c r="D79" s="21" t="s">
        <v>199</v>
      </c>
      <c r="E79" s="21" t="s">
        <v>204</v>
      </c>
      <c r="F79" s="26"/>
      <c r="G79" s="30">
        <f t="shared" si="2"/>
        <v>0</v>
      </c>
    </row>
    <row r="80" spans="1:7" x14ac:dyDescent="0.25">
      <c r="A80" s="19" t="s">
        <v>53</v>
      </c>
      <c r="B80" s="8" t="s">
        <v>158</v>
      </c>
      <c r="C80" s="21">
        <v>100</v>
      </c>
      <c r="D80" s="21" t="s">
        <v>199</v>
      </c>
      <c r="E80" s="21" t="s">
        <v>204</v>
      </c>
      <c r="F80" s="26"/>
      <c r="G80" s="30">
        <f t="shared" si="2"/>
        <v>0</v>
      </c>
    </row>
    <row r="81" spans="1:7" x14ac:dyDescent="0.25">
      <c r="A81" s="19" t="s">
        <v>220</v>
      </c>
      <c r="B81" s="8" t="s">
        <v>159</v>
      </c>
      <c r="C81" s="21">
        <v>100</v>
      </c>
      <c r="D81" s="21" t="s">
        <v>199</v>
      </c>
      <c r="E81" s="21" t="s">
        <v>204</v>
      </c>
      <c r="F81" s="26"/>
      <c r="G81" s="30">
        <f t="shared" si="2"/>
        <v>0</v>
      </c>
    </row>
    <row r="82" spans="1:7" ht="31.5" x14ac:dyDescent="0.25">
      <c r="A82" s="19"/>
      <c r="B82" s="12" t="s">
        <v>279</v>
      </c>
      <c r="C82" s="21"/>
      <c r="D82" s="21"/>
      <c r="E82" s="21"/>
      <c r="F82" s="26"/>
      <c r="G82" s="30"/>
    </row>
    <row r="83" spans="1:7" x14ac:dyDescent="0.25">
      <c r="A83" s="19" t="s">
        <v>221</v>
      </c>
      <c r="B83" s="8" t="s">
        <v>156</v>
      </c>
      <c r="C83" s="21">
        <v>100</v>
      </c>
      <c r="D83" s="21" t="s">
        <v>200</v>
      </c>
      <c r="E83" s="21" t="s">
        <v>204</v>
      </c>
      <c r="F83" s="26"/>
      <c r="G83" s="30">
        <f t="shared" si="2"/>
        <v>0</v>
      </c>
    </row>
    <row r="84" spans="1:7" x14ac:dyDescent="0.25">
      <c r="A84" s="19" t="s">
        <v>222</v>
      </c>
      <c r="B84" s="8" t="s">
        <v>157</v>
      </c>
      <c r="C84" s="21">
        <v>100</v>
      </c>
      <c r="D84" s="21" t="s">
        <v>200</v>
      </c>
      <c r="E84" s="21" t="s">
        <v>204</v>
      </c>
      <c r="F84" s="26"/>
      <c r="G84" s="30">
        <f t="shared" si="2"/>
        <v>0</v>
      </c>
    </row>
    <row r="85" spans="1:7" x14ac:dyDescent="0.25">
      <c r="A85" s="19" t="s">
        <v>223</v>
      </c>
      <c r="B85" s="8" t="s">
        <v>158</v>
      </c>
      <c r="C85" s="21">
        <v>100</v>
      </c>
      <c r="D85" s="21" t="s">
        <v>200</v>
      </c>
      <c r="E85" s="21" t="s">
        <v>204</v>
      </c>
      <c r="F85" s="26"/>
      <c r="G85" s="30">
        <f t="shared" si="2"/>
        <v>0</v>
      </c>
    </row>
    <row r="86" spans="1:7" x14ac:dyDescent="0.25">
      <c r="A86" s="19" t="s">
        <v>224</v>
      </c>
      <c r="B86" s="8" t="s">
        <v>159</v>
      </c>
      <c r="C86" s="21">
        <v>100</v>
      </c>
      <c r="D86" s="21" t="s">
        <v>200</v>
      </c>
      <c r="E86" s="21" t="s">
        <v>204</v>
      </c>
      <c r="F86" s="26"/>
      <c r="G86" s="30">
        <f t="shared" si="2"/>
        <v>0</v>
      </c>
    </row>
    <row r="87" spans="1:7" x14ac:dyDescent="0.25">
      <c r="A87" s="19"/>
      <c r="B87" s="9" t="s">
        <v>160</v>
      </c>
      <c r="C87" s="21"/>
      <c r="D87" s="21"/>
      <c r="E87" s="21"/>
      <c r="F87" s="26"/>
      <c r="G87" s="30"/>
    </row>
    <row r="88" spans="1:7" x14ac:dyDescent="0.25">
      <c r="A88" s="19"/>
      <c r="B88" s="9" t="s">
        <v>161</v>
      </c>
      <c r="C88" s="21"/>
      <c r="D88" s="21"/>
      <c r="E88" s="21"/>
      <c r="F88" s="26"/>
      <c r="G88" s="30"/>
    </row>
    <row r="89" spans="1:7" x14ac:dyDescent="0.25">
      <c r="A89" s="19" t="s">
        <v>225</v>
      </c>
      <c r="B89" s="8" t="s">
        <v>162</v>
      </c>
      <c r="C89" s="21">
        <v>100</v>
      </c>
      <c r="D89" s="21" t="s">
        <v>200</v>
      </c>
      <c r="E89" s="21" t="s">
        <v>204</v>
      </c>
      <c r="F89" s="26"/>
      <c r="G89" s="30">
        <f t="shared" si="2"/>
        <v>0</v>
      </c>
    </row>
    <row r="90" spans="1:7" x14ac:dyDescent="0.25">
      <c r="A90" s="19" t="s">
        <v>226</v>
      </c>
      <c r="B90" s="8" t="s">
        <v>163</v>
      </c>
      <c r="C90" s="21">
        <v>100</v>
      </c>
      <c r="D90" s="21" t="s">
        <v>200</v>
      </c>
      <c r="E90" s="21" t="s">
        <v>204</v>
      </c>
      <c r="F90" s="26"/>
      <c r="G90" s="30">
        <f t="shared" si="2"/>
        <v>0</v>
      </c>
    </row>
    <row r="91" spans="1:7" x14ac:dyDescent="0.25">
      <c r="A91" s="19" t="s">
        <v>227</v>
      </c>
      <c r="B91" s="8" t="s">
        <v>164</v>
      </c>
      <c r="C91" s="21">
        <v>100</v>
      </c>
      <c r="D91" s="21" t="s">
        <v>200</v>
      </c>
      <c r="E91" s="21" t="s">
        <v>204</v>
      </c>
      <c r="F91" s="26"/>
      <c r="G91" s="30">
        <f t="shared" si="2"/>
        <v>0</v>
      </c>
    </row>
    <row r="92" spans="1:7" x14ac:dyDescent="0.25">
      <c r="A92" s="19" t="s">
        <v>228</v>
      </c>
      <c r="B92" s="8" t="s">
        <v>165</v>
      </c>
      <c r="C92" s="21">
        <v>100</v>
      </c>
      <c r="D92" s="21" t="s">
        <v>200</v>
      </c>
      <c r="E92" s="21" t="s">
        <v>204</v>
      </c>
      <c r="F92" s="26"/>
      <c r="G92" s="30">
        <f t="shared" si="2"/>
        <v>0</v>
      </c>
    </row>
    <row r="93" spans="1:7" x14ac:dyDescent="0.25">
      <c r="A93" s="19" t="s">
        <v>229</v>
      </c>
      <c r="B93" s="8" t="s">
        <v>166</v>
      </c>
      <c r="C93" s="21">
        <v>100</v>
      </c>
      <c r="D93" s="21" t="s">
        <v>200</v>
      </c>
      <c r="E93" s="21" t="s">
        <v>204</v>
      </c>
      <c r="F93" s="26"/>
      <c r="G93" s="30">
        <f t="shared" si="2"/>
        <v>0</v>
      </c>
    </row>
    <row r="94" spans="1:7" x14ac:dyDescent="0.25">
      <c r="A94" s="19" t="s">
        <v>230</v>
      </c>
      <c r="B94" s="8" t="s">
        <v>241</v>
      </c>
      <c r="C94" s="21">
        <v>100</v>
      </c>
      <c r="D94" s="21" t="s">
        <v>200</v>
      </c>
      <c r="E94" s="21" t="s">
        <v>204</v>
      </c>
      <c r="F94" s="26"/>
      <c r="G94" s="30">
        <f t="shared" si="2"/>
        <v>0</v>
      </c>
    </row>
    <row r="95" spans="1:7" x14ac:dyDescent="0.25">
      <c r="A95" s="19" t="s">
        <v>231</v>
      </c>
      <c r="B95" s="8" t="s">
        <v>242</v>
      </c>
      <c r="C95" s="21">
        <v>100</v>
      </c>
      <c r="D95" s="21" t="s">
        <v>200</v>
      </c>
      <c r="E95" s="21" t="s">
        <v>204</v>
      </c>
      <c r="F95" s="26"/>
      <c r="G95" s="30">
        <f t="shared" si="2"/>
        <v>0</v>
      </c>
    </row>
    <row r="96" spans="1:7" x14ac:dyDescent="0.25">
      <c r="A96" s="19" t="s">
        <v>232</v>
      </c>
      <c r="B96" s="8" t="s">
        <v>243</v>
      </c>
      <c r="C96" s="21">
        <v>100</v>
      </c>
      <c r="D96" s="21" t="s">
        <v>200</v>
      </c>
      <c r="E96" s="21" t="s">
        <v>204</v>
      </c>
      <c r="F96" s="26"/>
      <c r="G96" s="30">
        <f t="shared" si="2"/>
        <v>0</v>
      </c>
    </row>
    <row r="97" spans="1:7" x14ac:dyDescent="0.25">
      <c r="A97" s="19" t="s">
        <v>233</v>
      </c>
      <c r="B97" s="8" t="s">
        <v>244</v>
      </c>
      <c r="C97" s="21">
        <v>100</v>
      </c>
      <c r="D97" s="21" t="s">
        <v>200</v>
      </c>
      <c r="E97" s="21" t="s">
        <v>204</v>
      </c>
      <c r="F97" s="26"/>
      <c r="G97" s="30">
        <f t="shared" si="2"/>
        <v>0</v>
      </c>
    </row>
    <row r="98" spans="1:7" x14ac:dyDescent="0.25">
      <c r="A98" s="19" t="s">
        <v>234</v>
      </c>
      <c r="B98" s="8" t="s">
        <v>167</v>
      </c>
      <c r="C98" s="21">
        <v>100</v>
      </c>
      <c r="D98" s="21" t="s">
        <v>200</v>
      </c>
      <c r="E98" s="21" t="s">
        <v>204</v>
      </c>
      <c r="F98" s="26"/>
      <c r="G98" s="30">
        <f t="shared" si="2"/>
        <v>0</v>
      </c>
    </row>
    <row r="99" spans="1:7" x14ac:dyDescent="0.25">
      <c r="A99" s="19" t="s">
        <v>235</v>
      </c>
      <c r="B99" s="8" t="s">
        <v>168</v>
      </c>
      <c r="C99" s="21">
        <v>100</v>
      </c>
      <c r="D99" s="21" t="s">
        <v>200</v>
      </c>
      <c r="E99" s="21" t="s">
        <v>204</v>
      </c>
      <c r="F99" s="26"/>
      <c r="G99" s="30">
        <f t="shared" si="2"/>
        <v>0</v>
      </c>
    </row>
    <row r="100" spans="1:7" x14ac:dyDescent="0.25">
      <c r="A100" s="19"/>
      <c r="B100" s="9" t="s">
        <v>169</v>
      </c>
      <c r="C100" s="21"/>
      <c r="D100" s="21"/>
      <c r="E100" s="21"/>
      <c r="F100" s="26"/>
      <c r="G100" s="30"/>
    </row>
    <row r="101" spans="1:7" x14ac:dyDescent="0.25">
      <c r="A101" s="19" t="s">
        <v>54</v>
      </c>
      <c r="B101" s="8" t="s">
        <v>170</v>
      </c>
      <c r="C101" s="21">
        <v>100</v>
      </c>
      <c r="D101" s="21" t="s">
        <v>200</v>
      </c>
      <c r="E101" s="21" t="s">
        <v>204</v>
      </c>
      <c r="F101" s="26"/>
      <c r="G101" s="30">
        <f t="shared" si="2"/>
        <v>0</v>
      </c>
    </row>
    <row r="102" spans="1:7" x14ac:dyDescent="0.25">
      <c r="A102" s="19" t="s">
        <v>55</v>
      </c>
      <c r="B102" s="8" t="s">
        <v>171</v>
      </c>
      <c r="C102" s="21">
        <v>100</v>
      </c>
      <c r="D102" s="21" t="s">
        <v>200</v>
      </c>
      <c r="E102" s="21" t="s">
        <v>204</v>
      </c>
      <c r="F102" s="26"/>
      <c r="G102" s="30">
        <f t="shared" si="2"/>
        <v>0</v>
      </c>
    </row>
    <row r="103" spans="1:7" x14ac:dyDescent="0.25">
      <c r="A103" s="19" t="s">
        <v>56</v>
      </c>
      <c r="B103" s="8" t="s">
        <v>172</v>
      </c>
      <c r="C103" s="21">
        <v>100</v>
      </c>
      <c r="D103" s="21" t="s">
        <v>200</v>
      </c>
      <c r="E103" s="21" t="s">
        <v>204</v>
      </c>
      <c r="F103" s="26"/>
      <c r="G103" s="30">
        <f t="shared" si="2"/>
        <v>0</v>
      </c>
    </row>
    <row r="104" spans="1:7" x14ac:dyDescent="0.25">
      <c r="A104" s="19" t="s">
        <v>57</v>
      </c>
      <c r="B104" s="8" t="s">
        <v>173</v>
      </c>
      <c r="C104" s="21">
        <v>100</v>
      </c>
      <c r="D104" s="21" t="s">
        <v>200</v>
      </c>
      <c r="E104" s="21" t="s">
        <v>204</v>
      </c>
      <c r="F104" s="26"/>
      <c r="G104" s="30">
        <f t="shared" si="2"/>
        <v>0</v>
      </c>
    </row>
    <row r="105" spans="1:7" x14ac:dyDescent="0.25">
      <c r="A105" s="19" t="s">
        <v>58</v>
      </c>
      <c r="B105" s="8" t="s">
        <v>174</v>
      </c>
      <c r="C105" s="21">
        <v>100</v>
      </c>
      <c r="D105" s="21" t="s">
        <v>200</v>
      </c>
      <c r="E105" s="21" t="s">
        <v>204</v>
      </c>
      <c r="F105" s="26"/>
      <c r="G105" s="30">
        <f t="shared" si="2"/>
        <v>0</v>
      </c>
    </row>
    <row r="106" spans="1:7" x14ac:dyDescent="0.25">
      <c r="A106" s="19" t="s">
        <v>59</v>
      </c>
      <c r="B106" s="8" t="s">
        <v>245</v>
      </c>
      <c r="C106" s="21">
        <v>100</v>
      </c>
      <c r="D106" s="21" t="s">
        <v>200</v>
      </c>
      <c r="E106" s="21" t="s">
        <v>204</v>
      </c>
      <c r="F106" s="26"/>
      <c r="G106" s="30">
        <f t="shared" si="2"/>
        <v>0</v>
      </c>
    </row>
    <row r="107" spans="1:7" x14ac:dyDescent="0.25">
      <c r="A107" s="19" t="s">
        <v>60</v>
      </c>
      <c r="B107" s="8" t="s">
        <v>246</v>
      </c>
      <c r="C107" s="21">
        <v>100</v>
      </c>
      <c r="D107" s="21" t="s">
        <v>200</v>
      </c>
      <c r="E107" s="21" t="s">
        <v>204</v>
      </c>
      <c r="F107" s="26"/>
      <c r="G107" s="30">
        <f t="shared" si="2"/>
        <v>0</v>
      </c>
    </row>
    <row r="108" spans="1:7" x14ac:dyDescent="0.25">
      <c r="A108" s="19" t="s">
        <v>61</v>
      </c>
      <c r="B108" s="8" t="s">
        <v>175</v>
      </c>
      <c r="C108" s="21">
        <v>100</v>
      </c>
      <c r="D108" s="21" t="s">
        <v>200</v>
      </c>
      <c r="E108" s="21" t="s">
        <v>204</v>
      </c>
      <c r="F108" s="26"/>
      <c r="G108" s="30">
        <f t="shared" si="2"/>
        <v>0</v>
      </c>
    </row>
    <row r="109" spans="1:7" x14ac:dyDescent="0.25">
      <c r="A109" s="19" t="s">
        <v>62</v>
      </c>
      <c r="B109" s="8" t="s">
        <v>176</v>
      </c>
      <c r="C109" s="21">
        <v>100</v>
      </c>
      <c r="D109" s="21" t="s">
        <v>201</v>
      </c>
      <c r="E109" s="21" t="s">
        <v>204</v>
      </c>
      <c r="F109" s="26"/>
      <c r="G109" s="30">
        <f t="shared" si="2"/>
        <v>0</v>
      </c>
    </row>
    <row r="110" spans="1:7" x14ac:dyDescent="0.25">
      <c r="A110" s="19"/>
      <c r="B110" s="8" t="s">
        <v>177</v>
      </c>
      <c r="C110" s="21"/>
      <c r="D110" s="21"/>
      <c r="E110" s="21"/>
      <c r="F110" s="26"/>
      <c r="G110" s="30"/>
    </row>
    <row r="111" spans="1:7" x14ac:dyDescent="0.25">
      <c r="A111" s="19"/>
      <c r="B111" s="9" t="s">
        <v>211</v>
      </c>
      <c r="C111" s="21"/>
      <c r="D111" s="21"/>
      <c r="E111" s="21"/>
      <c r="F111" s="26"/>
      <c r="G111" s="30"/>
    </row>
    <row r="112" spans="1:7" ht="31.5" x14ac:dyDescent="0.25">
      <c r="A112" s="19" t="s">
        <v>63</v>
      </c>
      <c r="B112" s="8" t="s">
        <v>296</v>
      </c>
      <c r="C112" s="21">
        <v>200</v>
      </c>
      <c r="D112" s="21" t="s">
        <v>200</v>
      </c>
      <c r="E112" s="21" t="s">
        <v>204</v>
      </c>
      <c r="F112" s="26"/>
      <c r="G112" s="30">
        <f t="shared" si="2"/>
        <v>0</v>
      </c>
    </row>
    <row r="113" spans="1:7" ht="31.5" x14ac:dyDescent="0.25">
      <c r="A113" s="19" t="s">
        <v>64</v>
      </c>
      <c r="B113" s="8" t="s">
        <v>297</v>
      </c>
      <c r="C113" s="21">
        <v>200</v>
      </c>
      <c r="D113" s="21" t="s">
        <v>200</v>
      </c>
      <c r="E113" s="21" t="s">
        <v>204</v>
      </c>
      <c r="F113" s="26"/>
      <c r="G113" s="30">
        <f t="shared" si="2"/>
        <v>0</v>
      </c>
    </row>
    <row r="114" spans="1:7" ht="47.25" x14ac:dyDescent="0.25">
      <c r="A114" s="19" t="s">
        <v>65</v>
      </c>
      <c r="B114" s="8" t="s">
        <v>298</v>
      </c>
      <c r="C114" s="21">
        <v>200</v>
      </c>
      <c r="D114" s="21" t="s">
        <v>200</v>
      </c>
      <c r="E114" s="21" t="s">
        <v>204</v>
      </c>
      <c r="F114" s="26"/>
      <c r="G114" s="30">
        <f t="shared" si="2"/>
        <v>0</v>
      </c>
    </row>
    <row r="115" spans="1:7" x14ac:dyDescent="0.25">
      <c r="A115" s="19" t="s">
        <v>66</v>
      </c>
      <c r="B115" s="8" t="s">
        <v>178</v>
      </c>
      <c r="C115" s="21">
        <v>20</v>
      </c>
      <c r="D115" s="21" t="s">
        <v>201</v>
      </c>
      <c r="E115" s="21" t="s">
        <v>204</v>
      </c>
      <c r="F115" s="26"/>
      <c r="G115" s="30">
        <f t="shared" si="2"/>
        <v>0</v>
      </c>
    </row>
    <row r="116" spans="1:7" x14ac:dyDescent="0.25">
      <c r="A116" s="19" t="s">
        <v>67</v>
      </c>
      <c r="B116" s="8" t="s">
        <v>179</v>
      </c>
      <c r="C116" s="21">
        <v>20</v>
      </c>
      <c r="D116" s="21" t="s">
        <v>201</v>
      </c>
      <c r="E116" s="21" t="s">
        <v>204</v>
      </c>
      <c r="F116" s="26"/>
      <c r="G116" s="30">
        <f t="shared" si="2"/>
        <v>0</v>
      </c>
    </row>
    <row r="117" spans="1:7" ht="31.5" x14ac:dyDescent="0.25">
      <c r="A117" s="19" t="s">
        <v>68</v>
      </c>
      <c r="B117" s="8" t="s">
        <v>247</v>
      </c>
      <c r="C117" s="21">
        <v>5000</v>
      </c>
      <c r="D117" s="21" t="s">
        <v>200</v>
      </c>
      <c r="E117" s="21" t="s">
        <v>204</v>
      </c>
      <c r="F117" s="26"/>
      <c r="G117" s="30">
        <f t="shared" si="2"/>
        <v>0</v>
      </c>
    </row>
    <row r="118" spans="1:7" ht="31.5" x14ac:dyDescent="0.25">
      <c r="A118" s="19"/>
      <c r="B118" s="9" t="s">
        <v>281</v>
      </c>
      <c r="C118" s="21"/>
      <c r="D118" s="21"/>
      <c r="E118" s="21"/>
      <c r="F118" s="26"/>
      <c r="G118" s="30"/>
    </row>
    <row r="119" spans="1:7" x14ac:dyDescent="0.25">
      <c r="A119" s="19" t="s">
        <v>69</v>
      </c>
      <c r="B119" s="8" t="s">
        <v>156</v>
      </c>
      <c r="C119" s="21">
        <v>100</v>
      </c>
      <c r="D119" s="21" t="s">
        <v>199</v>
      </c>
      <c r="E119" s="21" t="s">
        <v>204</v>
      </c>
      <c r="F119" s="26"/>
      <c r="G119" s="30">
        <f t="shared" si="2"/>
        <v>0</v>
      </c>
    </row>
    <row r="120" spans="1:7" x14ac:dyDescent="0.25">
      <c r="A120" s="19" t="s">
        <v>70</v>
      </c>
      <c r="B120" s="8" t="s">
        <v>157</v>
      </c>
      <c r="C120" s="21">
        <v>100</v>
      </c>
      <c r="D120" s="21" t="s">
        <v>199</v>
      </c>
      <c r="E120" s="21" t="s">
        <v>204</v>
      </c>
      <c r="F120" s="26"/>
      <c r="G120" s="30">
        <f t="shared" si="2"/>
        <v>0</v>
      </c>
    </row>
    <row r="121" spans="1:7" x14ac:dyDescent="0.25">
      <c r="A121" s="19" t="s">
        <v>71</v>
      </c>
      <c r="B121" s="8" t="s">
        <v>158</v>
      </c>
      <c r="C121" s="21">
        <v>100</v>
      </c>
      <c r="D121" s="21" t="s">
        <v>199</v>
      </c>
      <c r="E121" s="21" t="s">
        <v>204</v>
      </c>
      <c r="F121" s="26"/>
      <c r="G121" s="30">
        <f t="shared" si="2"/>
        <v>0</v>
      </c>
    </row>
    <row r="122" spans="1:7" x14ac:dyDescent="0.25">
      <c r="A122" s="19" t="s">
        <v>72</v>
      </c>
      <c r="B122" s="13" t="s">
        <v>159</v>
      </c>
      <c r="C122" s="21">
        <v>100</v>
      </c>
      <c r="D122" s="21" t="s">
        <v>199</v>
      </c>
      <c r="E122" s="21" t="s">
        <v>204</v>
      </c>
      <c r="F122" s="26"/>
      <c r="G122" s="30">
        <f t="shared" si="2"/>
        <v>0</v>
      </c>
    </row>
    <row r="123" spans="1:7" ht="15" customHeight="1" x14ac:dyDescent="0.25">
      <c r="A123" s="19"/>
      <c r="B123" s="14" t="s">
        <v>180</v>
      </c>
      <c r="C123" s="21"/>
      <c r="D123" s="21"/>
      <c r="E123" s="21"/>
      <c r="F123" s="26"/>
      <c r="G123" s="30"/>
    </row>
    <row r="124" spans="1:7" x14ac:dyDescent="0.25">
      <c r="A124" s="19" t="s">
        <v>73</v>
      </c>
      <c r="B124" s="8" t="s">
        <v>156</v>
      </c>
      <c r="C124" s="21">
        <v>100</v>
      </c>
      <c r="D124" s="21" t="s">
        <v>199</v>
      </c>
      <c r="E124" s="21" t="s">
        <v>204</v>
      </c>
      <c r="F124" s="26"/>
      <c r="G124" s="30">
        <f t="shared" ref="G124:G179" si="3">F124*C124</f>
        <v>0</v>
      </c>
    </row>
    <row r="125" spans="1:7" x14ac:dyDescent="0.25">
      <c r="A125" s="19" t="s">
        <v>74</v>
      </c>
      <c r="B125" s="8" t="s">
        <v>157</v>
      </c>
      <c r="C125" s="21">
        <v>100</v>
      </c>
      <c r="D125" s="21" t="s">
        <v>199</v>
      </c>
      <c r="E125" s="21" t="s">
        <v>204</v>
      </c>
      <c r="F125" s="26"/>
      <c r="G125" s="30">
        <f t="shared" si="3"/>
        <v>0</v>
      </c>
    </row>
    <row r="126" spans="1:7" x14ac:dyDescent="0.25">
      <c r="A126" s="19" t="s">
        <v>75</v>
      </c>
      <c r="B126" s="8" t="s">
        <v>158</v>
      </c>
      <c r="C126" s="21">
        <v>100</v>
      </c>
      <c r="D126" s="21" t="s">
        <v>199</v>
      </c>
      <c r="E126" s="21" t="s">
        <v>204</v>
      </c>
      <c r="F126" s="26"/>
      <c r="G126" s="30">
        <f t="shared" si="3"/>
        <v>0</v>
      </c>
    </row>
    <row r="127" spans="1:7" x14ac:dyDescent="0.25">
      <c r="A127" s="19" t="s">
        <v>76</v>
      </c>
      <c r="B127" s="8" t="s">
        <v>159</v>
      </c>
      <c r="C127" s="21">
        <v>100</v>
      </c>
      <c r="D127" s="21" t="s">
        <v>199</v>
      </c>
      <c r="E127" s="21" t="s">
        <v>204</v>
      </c>
      <c r="F127" s="26"/>
      <c r="G127" s="30">
        <f t="shared" si="3"/>
        <v>0</v>
      </c>
    </row>
    <row r="128" spans="1:7" x14ac:dyDescent="0.25">
      <c r="A128" s="19" t="s">
        <v>77</v>
      </c>
      <c r="B128" s="8" t="s">
        <v>181</v>
      </c>
      <c r="C128" s="21">
        <v>100</v>
      </c>
      <c r="D128" s="21" t="s">
        <v>199</v>
      </c>
      <c r="E128" s="21" t="s">
        <v>204</v>
      </c>
      <c r="F128" s="26"/>
      <c r="G128" s="30">
        <f t="shared" si="3"/>
        <v>0</v>
      </c>
    </row>
    <row r="129" spans="1:7" ht="16.5" customHeight="1" x14ac:dyDescent="0.25">
      <c r="A129" s="19"/>
      <c r="B129" s="9" t="s">
        <v>182</v>
      </c>
      <c r="C129" s="21"/>
      <c r="D129" s="21"/>
      <c r="E129" s="21"/>
      <c r="F129" s="26"/>
      <c r="G129" s="30"/>
    </row>
    <row r="130" spans="1:7" x14ac:dyDescent="0.25">
      <c r="A130" s="19" t="s">
        <v>78</v>
      </c>
      <c r="B130" s="8" t="s">
        <v>156</v>
      </c>
      <c r="C130" s="21">
        <v>100</v>
      </c>
      <c r="D130" s="21" t="s">
        <v>199</v>
      </c>
      <c r="E130" s="21" t="s">
        <v>204</v>
      </c>
      <c r="F130" s="26"/>
      <c r="G130" s="30">
        <f t="shared" si="3"/>
        <v>0</v>
      </c>
    </row>
    <row r="131" spans="1:7" x14ac:dyDescent="0.25">
      <c r="A131" s="19" t="s">
        <v>79</v>
      </c>
      <c r="B131" s="8" t="s">
        <v>157</v>
      </c>
      <c r="C131" s="21">
        <v>100</v>
      </c>
      <c r="D131" s="21" t="s">
        <v>199</v>
      </c>
      <c r="E131" s="21" t="s">
        <v>204</v>
      </c>
      <c r="F131" s="26"/>
      <c r="G131" s="30">
        <f t="shared" si="3"/>
        <v>0</v>
      </c>
    </row>
    <row r="132" spans="1:7" x14ac:dyDescent="0.25">
      <c r="A132" s="19" t="s">
        <v>80</v>
      </c>
      <c r="B132" s="8" t="s">
        <v>183</v>
      </c>
      <c r="C132" s="21">
        <v>100</v>
      </c>
      <c r="D132" s="21" t="s">
        <v>199</v>
      </c>
      <c r="E132" s="21" t="s">
        <v>204</v>
      </c>
      <c r="F132" s="26"/>
      <c r="G132" s="30">
        <f t="shared" si="3"/>
        <v>0</v>
      </c>
    </row>
    <row r="133" spans="1:7" ht="31.5" x14ac:dyDescent="0.25">
      <c r="A133" s="19"/>
      <c r="B133" s="9" t="s">
        <v>299</v>
      </c>
      <c r="C133" s="21"/>
      <c r="D133" s="21"/>
      <c r="E133" s="21"/>
      <c r="F133" s="26"/>
      <c r="G133" s="30"/>
    </row>
    <row r="134" spans="1:7" x14ac:dyDescent="0.25">
      <c r="A134" s="19" t="s">
        <v>81</v>
      </c>
      <c r="B134" s="8" t="s">
        <v>184</v>
      </c>
      <c r="C134" s="21">
        <v>20</v>
      </c>
      <c r="D134" s="21" t="s">
        <v>201</v>
      </c>
      <c r="E134" s="21" t="s">
        <v>204</v>
      </c>
      <c r="F134" s="26"/>
      <c r="G134" s="30">
        <f t="shared" si="3"/>
        <v>0</v>
      </c>
    </row>
    <row r="135" spans="1:7" x14ac:dyDescent="0.25">
      <c r="A135" s="19"/>
      <c r="B135" s="9" t="s">
        <v>212</v>
      </c>
      <c r="C135" s="21"/>
      <c r="D135" s="21"/>
      <c r="E135" s="21"/>
      <c r="F135" s="26"/>
      <c r="G135" s="30"/>
    </row>
    <row r="136" spans="1:7" x14ac:dyDescent="0.25">
      <c r="A136" s="19" t="s">
        <v>82</v>
      </c>
      <c r="B136" s="8" t="s">
        <v>280</v>
      </c>
      <c r="C136" s="21">
        <v>20</v>
      </c>
      <c r="D136" s="21" t="s">
        <v>201</v>
      </c>
      <c r="E136" s="21" t="s">
        <v>204</v>
      </c>
      <c r="F136" s="26"/>
      <c r="G136" s="30">
        <f t="shared" si="3"/>
        <v>0</v>
      </c>
    </row>
    <row r="137" spans="1:7" x14ac:dyDescent="0.25">
      <c r="A137" s="19" t="s">
        <v>83</v>
      </c>
      <c r="B137" s="8" t="s">
        <v>185</v>
      </c>
      <c r="C137" s="21">
        <v>20</v>
      </c>
      <c r="D137" s="21" t="s">
        <v>201</v>
      </c>
      <c r="E137" s="21" t="s">
        <v>204</v>
      </c>
      <c r="F137" s="26"/>
      <c r="G137" s="30">
        <f t="shared" si="3"/>
        <v>0</v>
      </c>
    </row>
    <row r="138" spans="1:7" x14ac:dyDescent="0.25">
      <c r="A138" s="19"/>
      <c r="B138" s="9" t="s">
        <v>186</v>
      </c>
      <c r="C138" s="21"/>
      <c r="D138" s="21"/>
      <c r="E138" s="21"/>
      <c r="F138" s="26"/>
      <c r="G138" s="30"/>
    </row>
    <row r="139" spans="1:7" x14ac:dyDescent="0.25">
      <c r="A139" s="19" t="s">
        <v>84</v>
      </c>
      <c r="B139" s="8" t="s">
        <v>248</v>
      </c>
      <c r="C139" s="21">
        <v>1500</v>
      </c>
      <c r="D139" s="21" t="s">
        <v>200</v>
      </c>
      <c r="E139" s="21" t="s">
        <v>204</v>
      </c>
      <c r="F139" s="26"/>
      <c r="G139" s="30">
        <f t="shared" si="3"/>
        <v>0</v>
      </c>
    </row>
    <row r="140" spans="1:7" ht="47.25" x14ac:dyDescent="0.25">
      <c r="A140" s="19" t="s">
        <v>85</v>
      </c>
      <c r="B140" s="17" t="s">
        <v>254</v>
      </c>
      <c r="C140" s="21">
        <v>2000</v>
      </c>
      <c r="D140" s="21" t="s">
        <v>200</v>
      </c>
      <c r="E140" s="21"/>
      <c r="F140" s="26"/>
      <c r="G140" s="30">
        <f>F140*C140</f>
        <v>0</v>
      </c>
    </row>
    <row r="141" spans="1:7" x14ac:dyDescent="0.25">
      <c r="A141" s="19"/>
      <c r="B141" s="33" t="s">
        <v>300</v>
      </c>
      <c r="C141" s="21"/>
      <c r="D141" s="21"/>
      <c r="E141" s="21"/>
      <c r="F141" s="26"/>
      <c r="G141" s="30"/>
    </row>
    <row r="142" spans="1:7" x14ac:dyDescent="0.25">
      <c r="A142" s="19" t="s">
        <v>86</v>
      </c>
      <c r="B142" s="8" t="s">
        <v>187</v>
      </c>
      <c r="C142" s="21">
        <v>20</v>
      </c>
      <c r="D142" s="21" t="s">
        <v>201</v>
      </c>
      <c r="E142" s="21" t="s">
        <v>204</v>
      </c>
      <c r="F142" s="26"/>
      <c r="G142" s="30">
        <f t="shared" si="3"/>
        <v>0</v>
      </c>
    </row>
    <row r="143" spans="1:7" x14ac:dyDescent="0.25">
      <c r="A143" s="19" t="s">
        <v>87</v>
      </c>
      <c r="B143" s="8" t="s">
        <v>188</v>
      </c>
      <c r="C143" s="21">
        <v>20</v>
      </c>
      <c r="D143" s="21" t="s">
        <v>201</v>
      </c>
      <c r="E143" s="21" t="s">
        <v>204</v>
      </c>
      <c r="F143" s="26"/>
      <c r="G143" s="30">
        <f t="shared" si="3"/>
        <v>0</v>
      </c>
    </row>
    <row r="144" spans="1:7" x14ac:dyDescent="0.25">
      <c r="A144" s="19" t="s">
        <v>88</v>
      </c>
      <c r="B144" s="8" t="s">
        <v>187</v>
      </c>
      <c r="C144" s="21">
        <v>300</v>
      </c>
      <c r="D144" s="21" t="s">
        <v>201</v>
      </c>
      <c r="E144" s="21" t="s">
        <v>204</v>
      </c>
      <c r="F144" s="26"/>
      <c r="G144" s="30">
        <f t="shared" si="3"/>
        <v>0</v>
      </c>
    </row>
    <row r="145" spans="1:7" x14ac:dyDescent="0.25">
      <c r="A145" s="19" t="s">
        <v>89</v>
      </c>
      <c r="B145" s="8" t="s">
        <v>188</v>
      </c>
      <c r="C145" s="21">
        <v>300</v>
      </c>
      <c r="D145" s="21" t="s">
        <v>201</v>
      </c>
      <c r="E145" s="21" t="s">
        <v>204</v>
      </c>
      <c r="F145" s="26"/>
      <c r="G145" s="30">
        <f t="shared" si="3"/>
        <v>0</v>
      </c>
    </row>
    <row r="146" spans="1:7" ht="32.25" customHeight="1" x14ac:dyDescent="0.25">
      <c r="A146" s="19"/>
      <c r="B146" s="11" t="s">
        <v>240</v>
      </c>
      <c r="C146" s="21"/>
      <c r="D146" s="21"/>
      <c r="E146" s="21"/>
      <c r="F146" s="26"/>
      <c r="G146" s="30"/>
    </row>
    <row r="147" spans="1:7" x14ac:dyDescent="0.25">
      <c r="A147" s="19" t="s">
        <v>90</v>
      </c>
      <c r="B147" s="8" t="s">
        <v>156</v>
      </c>
      <c r="C147" s="21">
        <v>300</v>
      </c>
      <c r="D147" s="21" t="s">
        <v>201</v>
      </c>
      <c r="E147" s="21" t="s">
        <v>204</v>
      </c>
      <c r="F147" s="26"/>
      <c r="G147" s="30">
        <f t="shared" si="3"/>
        <v>0</v>
      </c>
    </row>
    <row r="148" spans="1:7" x14ac:dyDescent="0.25">
      <c r="A148" s="19" t="s">
        <v>91</v>
      </c>
      <c r="B148" s="8" t="s">
        <v>159</v>
      </c>
      <c r="C148" s="21">
        <v>300</v>
      </c>
      <c r="D148" s="21" t="s">
        <v>201</v>
      </c>
      <c r="E148" s="21" t="s">
        <v>204</v>
      </c>
      <c r="F148" s="26"/>
      <c r="G148" s="30">
        <f t="shared" si="3"/>
        <v>0</v>
      </c>
    </row>
    <row r="149" spans="1:7" ht="31.5" x14ac:dyDescent="0.25">
      <c r="A149" s="19"/>
      <c r="B149" s="9" t="s">
        <v>301</v>
      </c>
      <c r="C149" s="21"/>
      <c r="D149" s="21"/>
      <c r="E149" s="21"/>
      <c r="F149" s="26"/>
      <c r="G149" s="30"/>
    </row>
    <row r="150" spans="1:7" x14ac:dyDescent="0.25">
      <c r="A150" s="19" t="s">
        <v>92</v>
      </c>
      <c r="B150" s="8" t="s">
        <v>156</v>
      </c>
      <c r="C150" s="21">
        <v>100</v>
      </c>
      <c r="D150" s="21" t="s">
        <v>201</v>
      </c>
      <c r="E150" s="21" t="s">
        <v>204</v>
      </c>
      <c r="F150" s="26"/>
      <c r="G150" s="30">
        <f t="shared" si="3"/>
        <v>0</v>
      </c>
    </row>
    <row r="151" spans="1:7" x14ac:dyDescent="0.25">
      <c r="A151" s="19" t="s">
        <v>93</v>
      </c>
      <c r="B151" s="8" t="s">
        <v>159</v>
      </c>
      <c r="C151" s="21">
        <v>100</v>
      </c>
      <c r="D151" s="21" t="s">
        <v>201</v>
      </c>
      <c r="E151" s="21" t="s">
        <v>204</v>
      </c>
      <c r="F151" s="26"/>
      <c r="G151" s="30">
        <f t="shared" si="3"/>
        <v>0</v>
      </c>
    </row>
    <row r="152" spans="1:7" x14ac:dyDescent="0.25">
      <c r="A152" s="19"/>
      <c r="B152" s="9" t="s">
        <v>189</v>
      </c>
      <c r="C152" s="21"/>
      <c r="D152" s="21"/>
      <c r="E152" s="21"/>
      <c r="F152" s="26"/>
      <c r="G152" s="30"/>
    </row>
    <row r="153" spans="1:7" x14ac:dyDescent="0.25">
      <c r="A153" s="19" t="s">
        <v>94</v>
      </c>
      <c r="B153" s="8" t="s">
        <v>156</v>
      </c>
      <c r="C153" s="21">
        <v>100</v>
      </c>
      <c r="D153" s="21" t="s">
        <v>201</v>
      </c>
      <c r="E153" s="21" t="s">
        <v>204</v>
      </c>
      <c r="F153" s="26"/>
      <c r="G153" s="30">
        <f t="shared" si="3"/>
        <v>0</v>
      </c>
    </row>
    <row r="154" spans="1:7" x14ac:dyDescent="0.25">
      <c r="A154" s="19" t="s">
        <v>95</v>
      </c>
      <c r="B154" s="8" t="s">
        <v>159</v>
      </c>
      <c r="C154" s="21">
        <v>100</v>
      </c>
      <c r="D154" s="21" t="s">
        <v>201</v>
      </c>
      <c r="E154" s="21" t="s">
        <v>204</v>
      </c>
      <c r="F154" s="26"/>
      <c r="G154" s="30">
        <f t="shared" si="3"/>
        <v>0</v>
      </c>
    </row>
    <row r="155" spans="1:7" ht="47.25" x14ac:dyDescent="0.25">
      <c r="A155" s="19"/>
      <c r="B155" s="9" t="s">
        <v>270</v>
      </c>
      <c r="C155" s="21"/>
      <c r="D155" s="21"/>
      <c r="E155" s="21"/>
      <c r="F155" s="26"/>
      <c r="G155" s="30"/>
    </row>
    <row r="156" spans="1:7" x14ac:dyDescent="0.25">
      <c r="A156" s="19" t="s">
        <v>96</v>
      </c>
      <c r="B156" s="8" t="s">
        <v>156</v>
      </c>
      <c r="C156" s="21">
        <v>100</v>
      </c>
      <c r="D156" s="21" t="s">
        <v>199</v>
      </c>
      <c r="E156" s="21" t="s">
        <v>204</v>
      </c>
      <c r="F156" s="26"/>
      <c r="G156" s="30">
        <f t="shared" si="3"/>
        <v>0</v>
      </c>
    </row>
    <row r="157" spans="1:7" x14ac:dyDescent="0.25">
      <c r="A157" s="19" t="s">
        <v>97</v>
      </c>
      <c r="B157" s="8" t="s">
        <v>157</v>
      </c>
      <c r="C157" s="21">
        <v>100</v>
      </c>
      <c r="D157" s="21" t="s">
        <v>199</v>
      </c>
      <c r="E157" s="21" t="s">
        <v>204</v>
      </c>
      <c r="F157" s="26"/>
      <c r="G157" s="30">
        <f t="shared" si="3"/>
        <v>0</v>
      </c>
    </row>
    <row r="158" spans="1:7" x14ac:dyDescent="0.25">
      <c r="A158" s="19" t="s">
        <v>98</v>
      </c>
      <c r="B158" s="8" t="s">
        <v>159</v>
      </c>
      <c r="C158" s="21">
        <v>100</v>
      </c>
      <c r="D158" s="21" t="s">
        <v>199</v>
      </c>
      <c r="E158" s="21" t="s">
        <v>204</v>
      </c>
      <c r="F158" s="26"/>
      <c r="G158" s="30">
        <f t="shared" si="3"/>
        <v>0</v>
      </c>
    </row>
    <row r="159" spans="1:7" ht="31.5" x14ac:dyDescent="0.25">
      <c r="A159" s="19" t="s">
        <v>99</v>
      </c>
      <c r="B159" s="8" t="s">
        <v>289</v>
      </c>
      <c r="C159" s="21">
        <v>100</v>
      </c>
      <c r="D159" s="21" t="s">
        <v>201</v>
      </c>
      <c r="E159" s="21" t="s">
        <v>204</v>
      </c>
      <c r="F159" s="26"/>
      <c r="G159" s="30">
        <f t="shared" si="3"/>
        <v>0</v>
      </c>
    </row>
    <row r="160" spans="1:7" ht="31.5" x14ac:dyDescent="0.25">
      <c r="A160" s="19" t="s">
        <v>100</v>
      </c>
      <c r="B160" s="8" t="s">
        <v>236</v>
      </c>
      <c r="C160" s="21">
        <v>100</v>
      </c>
      <c r="D160" s="21" t="s">
        <v>201</v>
      </c>
      <c r="E160" s="21" t="s">
        <v>204</v>
      </c>
      <c r="F160" s="26"/>
      <c r="G160" s="30">
        <f t="shared" si="3"/>
        <v>0</v>
      </c>
    </row>
    <row r="161" spans="1:7" x14ac:dyDescent="0.25">
      <c r="A161" s="19" t="s">
        <v>101</v>
      </c>
      <c r="B161" s="8" t="s">
        <v>190</v>
      </c>
      <c r="C161" s="21">
        <v>110</v>
      </c>
      <c r="D161" s="21" t="s">
        <v>200</v>
      </c>
      <c r="E161" s="21" t="s">
        <v>204</v>
      </c>
      <c r="F161" s="26"/>
      <c r="G161" s="30">
        <f t="shared" si="3"/>
        <v>0</v>
      </c>
    </row>
    <row r="162" spans="1:7" ht="31.5" x14ac:dyDescent="0.25">
      <c r="A162" s="19" t="s">
        <v>102</v>
      </c>
      <c r="B162" s="8" t="s">
        <v>271</v>
      </c>
      <c r="C162" s="21">
        <v>100</v>
      </c>
      <c r="D162" s="21" t="s">
        <v>200</v>
      </c>
      <c r="E162" s="21" t="s">
        <v>204</v>
      </c>
      <c r="F162" s="26"/>
      <c r="G162" s="30">
        <f t="shared" si="3"/>
        <v>0</v>
      </c>
    </row>
    <row r="163" spans="1:7" x14ac:dyDescent="0.25">
      <c r="A163" s="19" t="s">
        <v>103</v>
      </c>
      <c r="B163" s="8" t="s">
        <v>249</v>
      </c>
      <c r="C163" s="21">
        <v>100</v>
      </c>
      <c r="D163" s="21" t="s">
        <v>200</v>
      </c>
      <c r="E163" s="21" t="s">
        <v>204</v>
      </c>
      <c r="F163" s="26"/>
      <c r="G163" s="30">
        <f t="shared" si="3"/>
        <v>0</v>
      </c>
    </row>
    <row r="164" spans="1:7" x14ac:dyDescent="0.25">
      <c r="A164" s="19" t="s">
        <v>104</v>
      </c>
      <c r="B164" s="8" t="s">
        <v>250</v>
      </c>
      <c r="C164" s="21">
        <v>100</v>
      </c>
      <c r="D164" s="21" t="s">
        <v>200</v>
      </c>
      <c r="E164" s="21" t="s">
        <v>204</v>
      </c>
      <c r="F164" s="26"/>
      <c r="G164" s="30">
        <f t="shared" si="3"/>
        <v>0</v>
      </c>
    </row>
    <row r="165" spans="1:7" ht="31.5" x14ac:dyDescent="0.25">
      <c r="A165" s="19" t="s">
        <v>105</v>
      </c>
      <c r="B165" s="8" t="s">
        <v>272</v>
      </c>
      <c r="C165" s="21">
        <v>100</v>
      </c>
      <c r="D165" s="21" t="s">
        <v>198</v>
      </c>
      <c r="E165" s="21" t="s">
        <v>204</v>
      </c>
      <c r="F165" s="26"/>
      <c r="G165" s="30">
        <f t="shared" si="3"/>
        <v>0</v>
      </c>
    </row>
    <row r="166" spans="1:7" x14ac:dyDescent="0.25">
      <c r="A166" s="19" t="s">
        <v>106</v>
      </c>
      <c r="B166" s="8" t="s">
        <v>191</v>
      </c>
      <c r="C166" s="21">
        <v>100</v>
      </c>
      <c r="D166" s="21" t="s">
        <v>199</v>
      </c>
      <c r="E166" s="21" t="s">
        <v>204</v>
      </c>
      <c r="F166" s="26"/>
      <c r="G166" s="30">
        <f t="shared" si="3"/>
        <v>0</v>
      </c>
    </row>
    <row r="167" spans="1:7" ht="31.5" x14ac:dyDescent="0.25">
      <c r="A167" s="19" t="s">
        <v>107</v>
      </c>
      <c r="B167" s="8" t="s">
        <v>273</v>
      </c>
      <c r="C167" s="21">
        <v>100</v>
      </c>
      <c r="D167" s="21" t="s">
        <v>199</v>
      </c>
      <c r="E167" s="21" t="s">
        <v>204</v>
      </c>
      <c r="F167" s="26"/>
      <c r="G167" s="30">
        <f t="shared" si="3"/>
        <v>0</v>
      </c>
    </row>
    <row r="168" spans="1:7" ht="31.5" x14ac:dyDescent="0.25">
      <c r="A168" s="19" t="s">
        <v>108</v>
      </c>
      <c r="B168" s="8" t="s">
        <v>274</v>
      </c>
      <c r="C168" s="21">
        <v>100</v>
      </c>
      <c r="D168" s="21" t="s">
        <v>201</v>
      </c>
      <c r="E168" s="21" t="s">
        <v>204</v>
      </c>
      <c r="F168" s="26"/>
      <c r="G168" s="30">
        <f t="shared" si="3"/>
        <v>0</v>
      </c>
    </row>
    <row r="169" spans="1:7" ht="39" customHeight="1" x14ac:dyDescent="0.25">
      <c r="A169" s="19" t="s">
        <v>109</v>
      </c>
      <c r="B169" s="34" t="s">
        <v>275</v>
      </c>
      <c r="C169" s="21">
        <v>2000</v>
      </c>
      <c r="D169" s="21" t="s">
        <v>199</v>
      </c>
      <c r="E169" s="21" t="s">
        <v>204</v>
      </c>
      <c r="F169" s="26"/>
      <c r="G169" s="30">
        <f t="shared" si="3"/>
        <v>0</v>
      </c>
    </row>
    <row r="170" spans="1:7" ht="47.25" x14ac:dyDescent="0.25">
      <c r="A170" s="19" t="s">
        <v>110</v>
      </c>
      <c r="B170" s="34" t="s">
        <v>276</v>
      </c>
      <c r="C170" s="21">
        <v>2000</v>
      </c>
      <c r="D170" s="21" t="s">
        <v>199</v>
      </c>
      <c r="E170" s="21" t="s">
        <v>204</v>
      </c>
      <c r="F170" s="26"/>
      <c r="G170" s="30">
        <f t="shared" si="3"/>
        <v>0</v>
      </c>
    </row>
    <row r="171" spans="1:7" ht="47.25" x14ac:dyDescent="0.25">
      <c r="A171" s="19" t="s">
        <v>111</v>
      </c>
      <c r="B171" s="34" t="s">
        <v>304</v>
      </c>
      <c r="C171" s="21">
        <v>2000</v>
      </c>
      <c r="D171" s="21" t="s">
        <v>199</v>
      </c>
      <c r="E171" s="21" t="s">
        <v>204</v>
      </c>
      <c r="F171" s="26"/>
      <c r="G171" s="30">
        <f t="shared" si="3"/>
        <v>0</v>
      </c>
    </row>
    <row r="172" spans="1:7" ht="31.5" x14ac:dyDescent="0.25">
      <c r="A172" s="19"/>
      <c r="B172" s="9" t="s">
        <v>192</v>
      </c>
      <c r="C172" s="21"/>
      <c r="D172" s="21"/>
      <c r="E172" s="21"/>
      <c r="F172" s="26"/>
      <c r="G172" s="30"/>
    </row>
    <row r="173" spans="1:7" ht="63" x14ac:dyDescent="0.25">
      <c r="A173" s="19" t="s">
        <v>112</v>
      </c>
      <c r="B173" s="8" t="s">
        <v>239</v>
      </c>
      <c r="C173" s="21">
        <v>1</v>
      </c>
      <c r="D173" s="21" t="s">
        <v>202</v>
      </c>
      <c r="E173" s="21" t="s">
        <v>204</v>
      </c>
      <c r="F173" s="26"/>
      <c r="G173" s="30">
        <f t="shared" si="3"/>
        <v>0</v>
      </c>
    </row>
    <row r="174" spans="1:7" ht="47.25" x14ac:dyDescent="0.25">
      <c r="A174" s="19" t="s">
        <v>113</v>
      </c>
      <c r="B174" s="8" t="s">
        <v>193</v>
      </c>
      <c r="C174" s="21">
        <v>2000</v>
      </c>
      <c r="D174" s="21" t="s">
        <v>203</v>
      </c>
      <c r="E174" s="21" t="s">
        <v>204</v>
      </c>
      <c r="F174" s="26"/>
      <c r="G174" s="30">
        <f t="shared" si="3"/>
        <v>0</v>
      </c>
    </row>
    <row r="175" spans="1:7" x14ac:dyDescent="0.25">
      <c r="A175" s="19" t="s">
        <v>114</v>
      </c>
      <c r="B175" s="8" t="s">
        <v>237</v>
      </c>
      <c r="C175" s="21">
        <v>20</v>
      </c>
      <c r="D175" s="21" t="s">
        <v>201</v>
      </c>
      <c r="E175" s="21" t="s">
        <v>204</v>
      </c>
      <c r="F175" s="26"/>
      <c r="G175" s="30">
        <f t="shared" si="3"/>
        <v>0</v>
      </c>
    </row>
    <row r="176" spans="1:7" ht="78.75" x14ac:dyDescent="0.25">
      <c r="A176" s="19"/>
      <c r="B176" s="8" t="s">
        <v>238</v>
      </c>
      <c r="C176" s="21"/>
      <c r="D176" s="21"/>
      <c r="E176" s="21"/>
      <c r="F176" s="26"/>
      <c r="G176" s="30"/>
    </row>
    <row r="177" spans="1:7" ht="31.5" x14ac:dyDescent="0.25">
      <c r="A177" s="19" t="s">
        <v>115</v>
      </c>
      <c r="B177" s="8" t="s">
        <v>194</v>
      </c>
      <c r="C177" s="21">
        <v>1000</v>
      </c>
      <c r="D177" s="21" t="s">
        <v>199</v>
      </c>
      <c r="E177" s="21" t="s">
        <v>204</v>
      </c>
      <c r="F177" s="26"/>
      <c r="G177" s="30">
        <f t="shared" si="3"/>
        <v>0</v>
      </c>
    </row>
    <row r="178" spans="1:7" ht="31.5" x14ac:dyDescent="0.25">
      <c r="A178" s="19" t="s">
        <v>116</v>
      </c>
      <c r="B178" s="8" t="s">
        <v>195</v>
      </c>
      <c r="C178" s="21">
        <v>1000</v>
      </c>
      <c r="D178" s="21" t="s">
        <v>199</v>
      </c>
      <c r="E178" s="21" t="s">
        <v>204</v>
      </c>
      <c r="F178" s="26"/>
      <c r="G178" s="30">
        <f t="shared" si="3"/>
        <v>0</v>
      </c>
    </row>
    <row r="179" spans="1:7" ht="31.5" x14ac:dyDescent="0.25">
      <c r="A179" s="19" t="s">
        <v>117</v>
      </c>
      <c r="B179" s="8" t="s">
        <v>196</v>
      </c>
      <c r="C179" s="21">
        <v>1000</v>
      </c>
      <c r="D179" s="21" t="s">
        <v>199</v>
      </c>
      <c r="E179" s="21" t="s">
        <v>204</v>
      </c>
      <c r="F179" s="26"/>
      <c r="G179" s="30">
        <f t="shared" si="3"/>
        <v>0</v>
      </c>
    </row>
    <row r="180" spans="1:7" ht="47.25" x14ac:dyDescent="0.25">
      <c r="A180" s="19" t="s">
        <v>118</v>
      </c>
      <c r="B180" s="3" t="s">
        <v>302</v>
      </c>
      <c r="C180" s="21">
        <v>1</v>
      </c>
      <c r="D180" s="21" t="s">
        <v>255</v>
      </c>
      <c r="E180" s="21"/>
      <c r="F180" s="26"/>
      <c r="G180" s="30">
        <f>F180</f>
        <v>0</v>
      </c>
    </row>
    <row r="181" spans="1:7" ht="48" thickBot="1" x14ac:dyDescent="0.3">
      <c r="A181" s="19" t="s">
        <v>119</v>
      </c>
      <c r="B181" s="4" t="s">
        <v>303</v>
      </c>
      <c r="C181" s="21">
        <v>1</v>
      </c>
      <c r="D181" s="21" t="s">
        <v>255</v>
      </c>
      <c r="E181" s="21"/>
      <c r="F181" s="26"/>
      <c r="G181" s="32">
        <f>F181</f>
        <v>0</v>
      </c>
    </row>
    <row r="182" spans="1:7" ht="47.25" x14ac:dyDescent="0.25">
      <c r="A182" s="19"/>
      <c r="B182" s="9" t="s">
        <v>288</v>
      </c>
      <c r="C182" s="21"/>
      <c r="D182" s="21"/>
      <c r="E182" s="21"/>
      <c r="F182" s="23"/>
      <c r="G182" s="28">
        <f>SUM(G7:G181)</f>
        <v>0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A880-D786-4D96-96DA-6E9830800158}">
  <dimension ref="A1:G182"/>
  <sheetViews>
    <sheetView zoomScaleNormal="100" workbookViewId="0">
      <selection activeCell="F7" sqref="F7:F181"/>
    </sheetView>
  </sheetViews>
  <sheetFormatPr defaultColWidth="28.5703125" defaultRowHeight="15.75" x14ac:dyDescent="0.25"/>
  <cols>
    <col min="1" max="1" width="14.5703125" style="20" customWidth="1"/>
    <col min="2" max="2" width="53.28515625" style="17" customWidth="1"/>
    <col min="3" max="3" width="14.85546875" style="5" customWidth="1"/>
    <col min="4" max="4" width="10.42578125" style="5" customWidth="1"/>
    <col min="5" max="5" width="14.7109375" style="5" customWidth="1"/>
    <col min="6" max="6" width="15.7109375" style="24" bestFit="1" customWidth="1"/>
    <col min="7" max="7" width="20.28515625" style="24" customWidth="1"/>
    <col min="8" max="16384" width="28.5703125" style="16"/>
  </cols>
  <sheetData>
    <row r="1" spans="1:7" s="15" customFormat="1" ht="15" customHeight="1" x14ac:dyDescent="0.25">
      <c r="A1" s="36" t="s">
        <v>306</v>
      </c>
      <c r="B1" s="37"/>
      <c r="C1" s="37"/>
      <c r="D1" s="37"/>
      <c r="E1" s="37"/>
      <c r="F1" s="37"/>
      <c r="G1" s="38"/>
    </row>
    <row r="2" spans="1:7" x14ac:dyDescent="0.25">
      <c r="A2" s="39" t="s">
        <v>305</v>
      </c>
      <c r="B2" s="40"/>
      <c r="C2" s="40"/>
      <c r="D2" s="40"/>
      <c r="E2" s="40"/>
      <c r="F2" s="40"/>
      <c r="G2" s="41"/>
    </row>
    <row r="3" spans="1:7" x14ac:dyDescent="0.25">
      <c r="A3" s="39" t="s">
        <v>217</v>
      </c>
      <c r="B3" s="40"/>
      <c r="C3" s="40"/>
      <c r="D3" s="40"/>
      <c r="E3" s="40"/>
      <c r="F3" s="40"/>
      <c r="G3" s="41"/>
    </row>
    <row r="4" spans="1:7" ht="16.5" thickBot="1" x14ac:dyDescent="0.3">
      <c r="A4" s="42" t="s">
        <v>307</v>
      </c>
      <c r="B4" s="43"/>
      <c r="C4" s="43"/>
      <c r="D4" s="43"/>
      <c r="E4" s="43"/>
      <c r="F4" s="43"/>
      <c r="G4" s="44"/>
    </row>
    <row r="5" spans="1:7" ht="16.5" thickBot="1" x14ac:dyDescent="0.3">
      <c r="A5" s="18" t="s">
        <v>0</v>
      </c>
      <c r="B5" s="6" t="s">
        <v>1</v>
      </c>
      <c r="C5" s="7" t="s">
        <v>2</v>
      </c>
      <c r="D5" s="7" t="s">
        <v>3</v>
      </c>
      <c r="E5" s="7"/>
      <c r="F5" s="25" t="s">
        <v>4</v>
      </c>
      <c r="G5" s="29" t="s">
        <v>5</v>
      </c>
    </row>
    <row r="6" spans="1:7" x14ac:dyDescent="0.25">
      <c r="A6" s="19"/>
      <c r="B6" s="9" t="s">
        <v>290</v>
      </c>
      <c r="C6" s="21"/>
      <c r="D6" s="21"/>
      <c r="E6" s="21"/>
      <c r="F6" s="26"/>
      <c r="G6" s="30"/>
    </row>
    <row r="7" spans="1:7" ht="47.25" x14ac:dyDescent="0.25">
      <c r="A7" s="19" t="s">
        <v>6</v>
      </c>
      <c r="B7" s="8" t="s">
        <v>257</v>
      </c>
      <c r="C7" s="21">
        <v>200</v>
      </c>
      <c r="D7" s="21" t="s">
        <v>197</v>
      </c>
      <c r="E7" s="21" t="s">
        <v>204</v>
      </c>
      <c r="F7" s="26"/>
      <c r="G7" s="30">
        <f t="shared" ref="G7:G31" si="0">F7*C7</f>
        <v>0</v>
      </c>
    </row>
    <row r="8" spans="1:7" ht="31.5" x14ac:dyDescent="0.25">
      <c r="A8" s="19"/>
      <c r="B8" s="10" t="s">
        <v>251</v>
      </c>
      <c r="C8" s="21"/>
      <c r="D8" s="21"/>
      <c r="E8" s="21"/>
      <c r="F8" s="26"/>
      <c r="G8" s="31"/>
    </row>
    <row r="9" spans="1:7" x14ac:dyDescent="0.25">
      <c r="A9" s="19" t="s">
        <v>282</v>
      </c>
      <c r="B9" s="8" t="s">
        <v>120</v>
      </c>
      <c r="C9" s="21">
        <v>1200</v>
      </c>
      <c r="D9" s="21" t="s">
        <v>198</v>
      </c>
      <c r="E9" s="21" t="s">
        <v>204</v>
      </c>
      <c r="F9" s="26"/>
      <c r="G9" s="30">
        <f t="shared" si="0"/>
        <v>0</v>
      </c>
    </row>
    <row r="10" spans="1:7" x14ac:dyDescent="0.25">
      <c r="A10" s="19" t="s">
        <v>283</v>
      </c>
      <c r="B10" s="8" t="s">
        <v>121</v>
      </c>
      <c r="C10" s="21">
        <v>1200</v>
      </c>
      <c r="D10" s="21" t="s">
        <v>198</v>
      </c>
      <c r="E10" s="21" t="s">
        <v>204</v>
      </c>
      <c r="F10" s="26"/>
      <c r="G10" s="30">
        <f t="shared" si="0"/>
        <v>0</v>
      </c>
    </row>
    <row r="11" spans="1:7" x14ac:dyDescent="0.25">
      <c r="A11" s="19" t="s">
        <v>7</v>
      </c>
      <c r="B11" s="8" t="s">
        <v>122</v>
      </c>
      <c r="C11" s="21">
        <v>1200</v>
      </c>
      <c r="D11" s="21" t="s">
        <v>199</v>
      </c>
      <c r="E11" s="21" t="s">
        <v>204</v>
      </c>
      <c r="F11" s="26"/>
      <c r="G11" s="30">
        <f t="shared" si="0"/>
        <v>0</v>
      </c>
    </row>
    <row r="12" spans="1:7" x14ac:dyDescent="0.25">
      <c r="A12" s="19" t="s">
        <v>8</v>
      </c>
      <c r="B12" s="8" t="s">
        <v>123</v>
      </c>
      <c r="C12" s="21">
        <v>1200</v>
      </c>
      <c r="D12" s="21" t="s">
        <v>199</v>
      </c>
      <c r="E12" s="21" t="s">
        <v>204</v>
      </c>
      <c r="F12" s="26"/>
      <c r="G12" s="30">
        <f t="shared" si="0"/>
        <v>0</v>
      </c>
    </row>
    <row r="13" spans="1:7" x14ac:dyDescent="0.25">
      <c r="A13" s="19"/>
      <c r="B13" s="9" t="s">
        <v>256</v>
      </c>
      <c r="C13" s="21"/>
      <c r="D13" s="21"/>
      <c r="E13" s="21"/>
      <c r="F13" s="26"/>
      <c r="G13" s="30"/>
    </row>
    <row r="14" spans="1:7" ht="31.5" x14ac:dyDescent="0.25">
      <c r="A14" s="19"/>
      <c r="B14" s="9" t="s">
        <v>124</v>
      </c>
      <c r="C14" s="21"/>
      <c r="D14" s="21"/>
      <c r="E14" s="21"/>
      <c r="F14" s="26"/>
      <c r="G14" s="30"/>
    </row>
    <row r="15" spans="1:7" ht="31.5" x14ac:dyDescent="0.25">
      <c r="A15" s="19" t="s">
        <v>218</v>
      </c>
      <c r="B15" s="8" t="s">
        <v>125</v>
      </c>
      <c r="C15" s="21">
        <v>120</v>
      </c>
      <c r="D15" s="21" t="s">
        <v>197</v>
      </c>
      <c r="E15" s="21" t="s">
        <v>204</v>
      </c>
      <c r="F15" s="26"/>
      <c r="G15" s="30">
        <f t="shared" si="0"/>
        <v>0</v>
      </c>
    </row>
    <row r="16" spans="1:7" x14ac:dyDescent="0.25">
      <c r="A16" s="19" t="s">
        <v>219</v>
      </c>
      <c r="B16" s="8" t="s">
        <v>126</v>
      </c>
      <c r="C16" s="21">
        <v>120</v>
      </c>
      <c r="D16" s="21" t="s">
        <v>197</v>
      </c>
      <c r="E16" s="21" t="s">
        <v>204</v>
      </c>
      <c r="F16" s="26"/>
      <c r="G16" s="30">
        <f t="shared" si="0"/>
        <v>0</v>
      </c>
    </row>
    <row r="17" spans="1:7" ht="31.5" x14ac:dyDescent="0.25">
      <c r="A17" s="19" t="s">
        <v>9</v>
      </c>
      <c r="B17" s="8" t="s">
        <v>258</v>
      </c>
      <c r="C17" s="21">
        <v>120</v>
      </c>
      <c r="D17" s="21" t="s">
        <v>197</v>
      </c>
      <c r="E17" s="21" t="s">
        <v>204</v>
      </c>
      <c r="F17" s="26"/>
      <c r="G17" s="30">
        <f t="shared" si="0"/>
        <v>0</v>
      </c>
    </row>
    <row r="18" spans="1:7" x14ac:dyDescent="0.25">
      <c r="A18" s="19" t="s">
        <v>10</v>
      </c>
      <c r="B18" s="8" t="s">
        <v>127</v>
      </c>
      <c r="C18" s="21">
        <v>15</v>
      </c>
      <c r="D18" s="21" t="s">
        <v>197</v>
      </c>
      <c r="E18" s="21" t="s">
        <v>204</v>
      </c>
      <c r="F18" s="26"/>
      <c r="G18" s="30">
        <f t="shared" si="0"/>
        <v>0</v>
      </c>
    </row>
    <row r="19" spans="1:7" ht="31.5" x14ac:dyDescent="0.25">
      <c r="A19" s="19" t="s">
        <v>11</v>
      </c>
      <c r="B19" s="8" t="s">
        <v>259</v>
      </c>
      <c r="C19" s="21">
        <v>30</v>
      </c>
      <c r="D19" s="21" t="s">
        <v>200</v>
      </c>
      <c r="E19" s="21" t="s">
        <v>204</v>
      </c>
      <c r="F19" s="26"/>
      <c r="G19" s="30">
        <f t="shared" si="0"/>
        <v>0</v>
      </c>
    </row>
    <row r="20" spans="1:7" ht="31.5" x14ac:dyDescent="0.25">
      <c r="A20" s="19" t="s">
        <v>284</v>
      </c>
      <c r="B20" s="8" t="s">
        <v>260</v>
      </c>
      <c r="C20" s="21">
        <v>90</v>
      </c>
      <c r="D20" s="21" t="s">
        <v>200</v>
      </c>
      <c r="E20" s="21" t="s">
        <v>204</v>
      </c>
      <c r="F20" s="26"/>
      <c r="G20" s="30">
        <f t="shared" si="0"/>
        <v>0</v>
      </c>
    </row>
    <row r="21" spans="1:7" ht="31.5" x14ac:dyDescent="0.25">
      <c r="A21" s="19" t="s">
        <v>12</v>
      </c>
      <c r="B21" s="8" t="s">
        <v>261</v>
      </c>
      <c r="C21" s="21">
        <v>300</v>
      </c>
      <c r="D21" s="21" t="s">
        <v>198</v>
      </c>
      <c r="E21" s="21" t="s">
        <v>204</v>
      </c>
      <c r="F21" s="26"/>
      <c r="G21" s="30">
        <f t="shared" si="0"/>
        <v>0</v>
      </c>
    </row>
    <row r="22" spans="1:7" x14ac:dyDescent="0.25">
      <c r="A22" s="19"/>
      <c r="B22" s="10" t="s">
        <v>293</v>
      </c>
      <c r="C22" s="21"/>
      <c r="D22" s="21"/>
      <c r="E22" s="21"/>
      <c r="F22" s="26"/>
      <c r="G22" s="30"/>
    </row>
    <row r="23" spans="1:7" ht="31.5" x14ac:dyDescent="0.25">
      <c r="A23" s="19"/>
      <c r="B23" s="10" t="s">
        <v>294</v>
      </c>
      <c r="C23" s="21"/>
      <c r="D23" s="21"/>
      <c r="E23" s="21"/>
      <c r="F23" s="26"/>
      <c r="G23" s="30"/>
    </row>
    <row r="24" spans="1:7" x14ac:dyDescent="0.25">
      <c r="A24" s="19" t="s">
        <v>13</v>
      </c>
      <c r="B24" s="8" t="s">
        <v>128</v>
      </c>
      <c r="C24" s="21">
        <v>100</v>
      </c>
      <c r="D24" s="21" t="s">
        <v>197</v>
      </c>
      <c r="E24" s="21" t="s">
        <v>204</v>
      </c>
      <c r="F24" s="26"/>
      <c r="G24" s="30">
        <f t="shared" si="0"/>
        <v>0</v>
      </c>
    </row>
    <row r="25" spans="1:7" x14ac:dyDescent="0.25">
      <c r="A25" s="19" t="s">
        <v>285</v>
      </c>
      <c r="B25" s="8" t="s">
        <v>252</v>
      </c>
      <c r="C25" s="21">
        <v>100</v>
      </c>
      <c r="D25" s="21" t="s">
        <v>197</v>
      </c>
      <c r="E25" s="21" t="s">
        <v>204</v>
      </c>
      <c r="F25" s="26"/>
      <c r="G25" s="30">
        <f t="shared" si="0"/>
        <v>0</v>
      </c>
    </row>
    <row r="26" spans="1:7" x14ac:dyDescent="0.25">
      <c r="A26" s="19" t="s">
        <v>14</v>
      </c>
      <c r="B26" s="8" t="s">
        <v>253</v>
      </c>
      <c r="C26" s="21">
        <v>100</v>
      </c>
      <c r="D26" s="21" t="s">
        <v>197</v>
      </c>
      <c r="E26" s="21" t="s">
        <v>204</v>
      </c>
      <c r="F26" s="26"/>
      <c r="G26" s="30">
        <f t="shared" si="0"/>
        <v>0</v>
      </c>
    </row>
    <row r="27" spans="1:7" ht="47.25" x14ac:dyDescent="0.25">
      <c r="A27" s="19" t="s">
        <v>286</v>
      </c>
      <c r="B27" s="8" t="s">
        <v>262</v>
      </c>
      <c r="C27" s="22">
        <v>18</v>
      </c>
      <c r="D27" s="22" t="s">
        <v>197</v>
      </c>
      <c r="E27" s="22" t="s">
        <v>204</v>
      </c>
      <c r="F27" s="26"/>
      <c r="G27" s="31">
        <f>F27*C27</f>
        <v>0</v>
      </c>
    </row>
    <row r="28" spans="1:7" x14ac:dyDescent="0.25">
      <c r="A28" s="19" t="s">
        <v>15</v>
      </c>
      <c r="B28" s="8" t="s">
        <v>129</v>
      </c>
      <c r="C28" s="21">
        <v>18</v>
      </c>
      <c r="D28" s="21" t="s">
        <v>197</v>
      </c>
      <c r="E28" s="21" t="s">
        <v>204</v>
      </c>
      <c r="F28" s="26"/>
      <c r="G28" s="30">
        <f t="shared" si="0"/>
        <v>0</v>
      </c>
    </row>
    <row r="29" spans="1:7" ht="31.5" x14ac:dyDescent="0.25">
      <c r="A29" s="19" t="s">
        <v>287</v>
      </c>
      <c r="B29" s="8" t="s">
        <v>264</v>
      </c>
      <c r="C29" s="21">
        <v>6</v>
      </c>
      <c r="D29" s="21" t="s">
        <v>197</v>
      </c>
      <c r="E29" s="21" t="s">
        <v>204</v>
      </c>
      <c r="F29" s="26"/>
      <c r="G29" s="30">
        <f t="shared" si="0"/>
        <v>0</v>
      </c>
    </row>
    <row r="30" spans="1:7" ht="31.5" x14ac:dyDescent="0.25">
      <c r="A30" s="19" t="s">
        <v>16</v>
      </c>
      <c r="B30" s="8" t="s">
        <v>263</v>
      </c>
      <c r="C30" s="21">
        <v>9</v>
      </c>
      <c r="D30" s="21" t="s">
        <v>197</v>
      </c>
      <c r="E30" s="21" t="s">
        <v>204</v>
      </c>
      <c r="F30" s="26"/>
      <c r="G30" s="30">
        <f t="shared" si="0"/>
        <v>0</v>
      </c>
    </row>
    <row r="31" spans="1:7" x14ac:dyDescent="0.25">
      <c r="A31" s="19" t="s">
        <v>17</v>
      </c>
      <c r="B31" s="8" t="s">
        <v>130</v>
      </c>
      <c r="C31" s="21">
        <v>9</v>
      </c>
      <c r="D31" s="21" t="s">
        <v>197</v>
      </c>
      <c r="E31" s="21" t="s">
        <v>204</v>
      </c>
      <c r="F31" s="26"/>
      <c r="G31" s="30">
        <f t="shared" si="0"/>
        <v>0</v>
      </c>
    </row>
    <row r="32" spans="1:7" ht="47.25" x14ac:dyDescent="0.25">
      <c r="A32" s="19"/>
      <c r="B32" s="9" t="s">
        <v>216</v>
      </c>
      <c r="C32" s="21"/>
      <c r="D32" s="21"/>
      <c r="E32" s="21"/>
      <c r="F32" s="26"/>
      <c r="G32" s="30"/>
    </row>
    <row r="33" spans="1:7" x14ac:dyDescent="0.25">
      <c r="A33" s="19" t="s">
        <v>18</v>
      </c>
      <c r="B33" s="8" t="s">
        <v>131</v>
      </c>
      <c r="C33" s="21">
        <v>20</v>
      </c>
      <c r="D33" s="21" t="s">
        <v>197</v>
      </c>
      <c r="E33" s="21" t="s">
        <v>204</v>
      </c>
      <c r="F33" s="26"/>
      <c r="G33" s="30">
        <f t="shared" ref="G33:G58" si="1">F33*C33</f>
        <v>0</v>
      </c>
    </row>
    <row r="34" spans="1:7" x14ac:dyDescent="0.25">
      <c r="A34" s="19" t="s">
        <v>19</v>
      </c>
      <c r="B34" s="8" t="s">
        <v>132</v>
      </c>
      <c r="C34" s="21">
        <v>20</v>
      </c>
      <c r="D34" s="21" t="s">
        <v>197</v>
      </c>
      <c r="E34" s="21" t="s">
        <v>204</v>
      </c>
      <c r="F34" s="26"/>
      <c r="G34" s="30">
        <f t="shared" si="1"/>
        <v>0</v>
      </c>
    </row>
    <row r="35" spans="1:7" ht="31.5" x14ac:dyDescent="0.25">
      <c r="A35" s="19"/>
      <c r="B35" s="9" t="s">
        <v>291</v>
      </c>
      <c r="C35" s="21"/>
      <c r="D35" s="21"/>
      <c r="E35" s="21"/>
      <c r="F35" s="26"/>
      <c r="G35" s="30"/>
    </row>
    <row r="36" spans="1:7" ht="47.25" x14ac:dyDescent="0.25">
      <c r="A36" s="19" t="s">
        <v>20</v>
      </c>
      <c r="B36" s="8" t="s">
        <v>277</v>
      </c>
      <c r="C36" s="21">
        <v>100</v>
      </c>
      <c r="D36" s="21" t="s">
        <v>197</v>
      </c>
      <c r="E36" s="21" t="s">
        <v>204</v>
      </c>
      <c r="F36" s="26"/>
      <c r="G36" s="30">
        <f t="shared" si="1"/>
        <v>0</v>
      </c>
    </row>
    <row r="37" spans="1:7" x14ac:dyDescent="0.25">
      <c r="A37" s="19"/>
      <c r="B37" s="9" t="s">
        <v>133</v>
      </c>
      <c r="C37" s="21"/>
      <c r="D37" s="21"/>
      <c r="E37" s="21"/>
      <c r="F37" s="26"/>
      <c r="G37" s="30"/>
    </row>
    <row r="38" spans="1:7" x14ac:dyDescent="0.25">
      <c r="A38" s="19" t="s">
        <v>21</v>
      </c>
      <c r="B38" s="8" t="s">
        <v>134</v>
      </c>
      <c r="C38" s="21">
        <v>100</v>
      </c>
      <c r="D38" s="21" t="s">
        <v>199</v>
      </c>
      <c r="E38" s="21" t="s">
        <v>204</v>
      </c>
      <c r="F38" s="26"/>
      <c r="G38" s="30">
        <f t="shared" si="1"/>
        <v>0</v>
      </c>
    </row>
    <row r="39" spans="1:7" x14ac:dyDescent="0.25">
      <c r="A39" s="19" t="s">
        <v>22</v>
      </c>
      <c r="B39" s="8" t="s">
        <v>135</v>
      </c>
      <c r="C39" s="21">
        <v>100</v>
      </c>
      <c r="D39" s="21" t="s">
        <v>199</v>
      </c>
      <c r="E39" s="21" t="s">
        <v>204</v>
      </c>
      <c r="F39" s="26"/>
      <c r="G39" s="30">
        <f t="shared" si="1"/>
        <v>0</v>
      </c>
    </row>
    <row r="40" spans="1:7" x14ac:dyDescent="0.25">
      <c r="A40" s="19"/>
      <c r="B40" s="9" t="s">
        <v>295</v>
      </c>
      <c r="C40" s="21"/>
      <c r="D40" s="21"/>
      <c r="E40" s="21"/>
      <c r="F40" s="26"/>
      <c r="G40" s="30"/>
    </row>
    <row r="41" spans="1:7" ht="31.5" x14ac:dyDescent="0.25">
      <c r="A41" s="19"/>
      <c r="B41" s="9" t="s">
        <v>215</v>
      </c>
      <c r="C41" s="21"/>
      <c r="D41" s="21"/>
      <c r="E41" s="21"/>
      <c r="F41" s="26"/>
      <c r="G41" s="30"/>
    </row>
    <row r="42" spans="1:7" x14ac:dyDescent="0.25">
      <c r="A42" s="19" t="s">
        <v>23</v>
      </c>
      <c r="B42" s="8" t="s">
        <v>136</v>
      </c>
      <c r="C42" s="21">
        <v>100</v>
      </c>
      <c r="D42" s="21" t="s">
        <v>197</v>
      </c>
      <c r="E42" s="21" t="s">
        <v>204</v>
      </c>
      <c r="F42" s="26"/>
      <c r="G42" s="30">
        <f t="shared" si="1"/>
        <v>0</v>
      </c>
    </row>
    <row r="43" spans="1:7" ht="31.5" x14ac:dyDescent="0.25">
      <c r="A43" s="19"/>
      <c r="B43" s="9" t="s">
        <v>214</v>
      </c>
      <c r="C43" s="21"/>
      <c r="D43" s="21"/>
      <c r="E43" s="21"/>
      <c r="F43" s="26"/>
      <c r="G43" s="30"/>
    </row>
    <row r="44" spans="1:7" x14ac:dyDescent="0.25">
      <c r="A44" s="19" t="s">
        <v>24</v>
      </c>
      <c r="B44" s="8" t="s">
        <v>137</v>
      </c>
      <c r="C44" s="21">
        <v>100</v>
      </c>
      <c r="D44" s="21" t="s">
        <v>197</v>
      </c>
      <c r="E44" s="21" t="s">
        <v>204</v>
      </c>
      <c r="F44" s="26"/>
      <c r="G44" s="30">
        <f t="shared" si="1"/>
        <v>0</v>
      </c>
    </row>
    <row r="45" spans="1:7" ht="47.25" x14ac:dyDescent="0.25">
      <c r="A45" s="19"/>
      <c r="B45" s="9" t="s">
        <v>292</v>
      </c>
      <c r="C45" s="21"/>
      <c r="D45" s="21"/>
      <c r="E45" s="21"/>
      <c r="F45" s="26"/>
      <c r="G45" s="30"/>
    </row>
    <row r="46" spans="1:7" x14ac:dyDescent="0.25">
      <c r="A46" s="19" t="s">
        <v>25</v>
      </c>
      <c r="B46" s="8" t="s">
        <v>138</v>
      </c>
      <c r="C46" s="21">
        <v>100</v>
      </c>
      <c r="D46" s="21" t="s">
        <v>197</v>
      </c>
      <c r="E46" s="21" t="s">
        <v>204</v>
      </c>
      <c r="F46" s="26"/>
      <c r="G46" s="30">
        <f t="shared" si="1"/>
        <v>0</v>
      </c>
    </row>
    <row r="47" spans="1:7" x14ac:dyDescent="0.25">
      <c r="A47" s="19" t="s">
        <v>26</v>
      </c>
      <c r="B47" s="8" t="s">
        <v>139</v>
      </c>
      <c r="C47" s="21">
        <v>100</v>
      </c>
      <c r="D47" s="21" t="s">
        <v>197</v>
      </c>
      <c r="E47" s="21" t="s">
        <v>204</v>
      </c>
      <c r="F47" s="26"/>
      <c r="G47" s="30">
        <f t="shared" si="1"/>
        <v>0</v>
      </c>
    </row>
    <row r="48" spans="1:7" ht="31.5" x14ac:dyDescent="0.25">
      <c r="A48" s="19" t="s">
        <v>27</v>
      </c>
      <c r="B48" s="8" t="s">
        <v>265</v>
      </c>
      <c r="C48" s="21">
        <v>150</v>
      </c>
      <c r="D48" s="21" t="s">
        <v>199</v>
      </c>
      <c r="E48" s="21" t="s">
        <v>204</v>
      </c>
      <c r="F48" s="26"/>
      <c r="G48" s="30">
        <f t="shared" si="1"/>
        <v>0</v>
      </c>
    </row>
    <row r="49" spans="1:7" ht="31.5" x14ac:dyDescent="0.25">
      <c r="A49" s="19" t="s">
        <v>28</v>
      </c>
      <c r="B49" s="8" t="s">
        <v>266</v>
      </c>
      <c r="C49" s="21">
        <v>36</v>
      </c>
      <c r="D49" s="21" t="s">
        <v>199</v>
      </c>
      <c r="E49" s="21" t="s">
        <v>204</v>
      </c>
      <c r="F49" s="26"/>
      <c r="G49" s="30">
        <f t="shared" si="1"/>
        <v>0</v>
      </c>
    </row>
    <row r="50" spans="1:7" ht="47.25" x14ac:dyDescent="0.25">
      <c r="A50" s="19" t="s">
        <v>29</v>
      </c>
      <c r="B50" s="8" t="s">
        <v>267</v>
      </c>
      <c r="C50" s="21">
        <v>100</v>
      </c>
      <c r="D50" s="21" t="s">
        <v>199</v>
      </c>
      <c r="E50" s="21" t="s">
        <v>204</v>
      </c>
      <c r="F50" s="26"/>
      <c r="G50" s="30">
        <f t="shared" si="1"/>
        <v>0</v>
      </c>
    </row>
    <row r="51" spans="1:7" x14ac:dyDescent="0.25">
      <c r="A51" s="19" t="s">
        <v>30</v>
      </c>
      <c r="B51" s="8" t="s">
        <v>140</v>
      </c>
      <c r="C51" s="21">
        <v>100</v>
      </c>
      <c r="D51" s="21" t="s">
        <v>197</v>
      </c>
      <c r="E51" s="21" t="s">
        <v>204</v>
      </c>
      <c r="F51" s="26"/>
      <c r="G51" s="30">
        <f t="shared" si="1"/>
        <v>0</v>
      </c>
    </row>
    <row r="52" spans="1:7" x14ac:dyDescent="0.25">
      <c r="A52" s="19" t="s">
        <v>31</v>
      </c>
      <c r="B52" s="8" t="s">
        <v>141</v>
      </c>
      <c r="C52" s="21">
        <v>300</v>
      </c>
      <c r="D52" s="21" t="s">
        <v>199</v>
      </c>
      <c r="E52" s="21" t="s">
        <v>204</v>
      </c>
      <c r="F52" s="26"/>
      <c r="G52" s="30">
        <f t="shared" si="1"/>
        <v>0</v>
      </c>
    </row>
    <row r="53" spans="1:7" x14ac:dyDescent="0.25">
      <c r="A53" s="19"/>
      <c r="B53" s="9" t="s">
        <v>142</v>
      </c>
      <c r="C53" s="21"/>
      <c r="D53" s="21"/>
      <c r="E53" s="21"/>
      <c r="F53" s="26"/>
      <c r="G53" s="30"/>
    </row>
    <row r="54" spans="1:7" x14ac:dyDescent="0.25">
      <c r="A54" s="19" t="s">
        <v>32</v>
      </c>
      <c r="B54" s="8" t="s">
        <v>143</v>
      </c>
      <c r="C54" s="21">
        <v>150</v>
      </c>
      <c r="D54" s="21" t="s">
        <v>199</v>
      </c>
      <c r="E54" s="21" t="s">
        <v>204</v>
      </c>
      <c r="F54" s="26"/>
      <c r="G54" s="30">
        <f t="shared" si="1"/>
        <v>0</v>
      </c>
    </row>
    <row r="55" spans="1:7" ht="31.5" x14ac:dyDescent="0.25">
      <c r="A55" s="19"/>
      <c r="B55" s="9" t="s">
        <v>278</v>
      </c>
      <c r="C55" s="21"/>
      <c r="D55" s="21"/>
      <c r="E55" s="21"/>
      <c r="F55" s="26"/>
      <c r="G55" s="30"/>
    </row>
    <row r="56" spans="1:7" x14ac:dyDescent="0.25">
      <c r="A56" s="19" t="s">
        <v>33</v>
      </c>
      <c r="B56" s="8" t="s">
        <v>144</v>
      </c>
      <c r="C56" s="21">
        <v>100</v>
      </c>
      <c r="D56" s="21" t="s">
        <v>197</v>
      </c>
      <c r="E56" s="21" t="s">
        <v>204</v>
      </c>
      <c r="F56" s="26"/>
      <c r="G56" s="30">
        <f t="shared" si="1"/>
        <v>0</v>
      </c>
    </row>
    <row r="57" spans="1:7" x14ac:dyDescent="0.25">
      <c r="A57" s="19" t="s">
        <v>34</v>
      </c>
      <c r="B57" s="8" t="s">
        <v>145</v>
      </c>
      <c r="C57" s="21">
        <v>100</v>
      </c>
      <c r="D57" s="21" t="s">
        <v>197</v>
      </c>
      <c r="E57" s="21" t="s">
        <v>204</v>
      </c>
      <c r="F57" s="26"/>
      <c r="G57" s="30">
        <f t="shared" si="1"/>
        <v>0</v>
      </c>
    </row>
    <row r="58" spans="1:7" x14ac:dyDescent="0.25">
      <c r="A58" s="19" t="s">
        <v>35</v>
      </c>
      <c r="B58" s="8" t="s">
        <v>146</v>
      </c>
      <c r="C58" s="21">
        <v>100</v>
      </c>
      <c r="D58" s="21" t="s">
        <v>197</v>
      </c>
      <c r="E58" s="21" t="s">
        <v>204</v>
      </c>
      <c r="F58" s="26"/>
      <c r="G58" s="30">
        <f t="shared" si="1"/>
        <v>0</v>
      </c>
    </row>
    <row r="59" spans="1:7" ht="31.5" x14ac:dyDescent="0.25">
      <c r="A59" s="19"/>
      <c r="B59" s="9" t="s">
        <v>147</v>
      </c>
      <c r="C59" s="21"/>
      <c r="D59" s="21"/>
      <c r="E59" s="21"/>
      <c r="F59" s="26"/>
      <c r="G59" s="30"/>
    </row>
    <row r="60" spans="1:7" x14ac:dyDescent="0.25">
      <c r="A60" s="19" t="s">
        <v>36</v>
      </c>
      <c r="B60" s="8" t="s">
        <v>144</v>
      </c>
      <c r="C60" s="21">
        <v>100</v>
      </c>
      <c r="D60" s="21" t="s">
        <v>197</v>
      </c>
      <c r="E60" s="21" t="s">
        <v>204</v>
      </c>
      <c r="F60" s="26"/>
      <c r="G60" s="30">
        <f t="shared" ref="G60:G122" si="2">F60*C60</f>
        <v>0</v>
      </c>
    </row>
    <row r="61" spans="1:7" x14ac:dyDescent="0.25">
      <c r="A61" s="19" t="s">
        <v>37</v>
      </c>
      <c r="B61" s="8" t="s">
        <v>145</v>
      </c>
      <c r="C61" s="21">
        <v>100</v>
      </c>
      <c r="D61" s="21" t="s">
        <v>197</v>
      </c>
      <c r="E61" s="21" t="s">
        <v>204</v>
      </c>
      <c r="F61" s="26"/>
      <c r="G61" s="30">
        <f t="shared" si="2"/>
        <v>0</v>
      </c>
    </row>
    <row r="62" spans="1:7" x14ac:dyDescent="0.25">
      <c r="A62" s="19" t="s">
        <v>38</v>
      </c>
      <c r="B62" s="8" t="s">
        <v>146</v>
      </c>
      <c r="C62" s="21">
        <v>100</v>
      </c>
      <c r="D62" s="21" t="s">
        <v>197</v>
      </c>
      <c r="E62" s="21" t="s">
        <v>204</v>
      </c>
      <c r="F62" s="26"/>
      <c r="G62" s="30">
        <f t="shared" si="2"/>
        <v>0</v>
      </c>
    </row>
    <row r="63" spans="1:7" x14ac:dyDescent="0.25">
      <c r="A63" s="19" t="s">
        <v>39</v>
      </c>
      <c r="B63" s="8" t="s">
        <v>148</v>
      </c>
      <c r="C63" s="21">
        <v>100</v>
      </c>
      <c r="D63" s="21" t="s">
        <v>199</v>
      </c>
      <c r="E63" s="21" t="s">
        <v>204</v>
      </c>
      <c r="F63" s="26"/>
      <c r="G63" s="30">
        <f t="shared" si="2"/>
        <v>0</v>
      </c>
    </row>
    <row r="64" spans="1:7" x14ac:dyDescent="0.25">
      <c r="A64" s="19" t="s">
        <v>40</v>
      </c>
      <c r="B64" s="8" t="s">
        <v>149</v>
      </c>
      <c r="C64" s="21">
        <v>100</v>
      </c>
      <c r="D64" s="21" t="s">
        <v>201</v>
      </c>
      <c r="E64" s="21" t="s">
        <v>204</v>
      </c>
      <c r="F64" s="26"/>
      <c r="G64" s="30">
        <f t="shared" si="2"/>
        <v>0</v>
      </c>
    </row>
    <row r="65" spans="1:7" ht="18.75" customHeight="1" x14ac:dyDescent="0.25">
      <c r="A65" s="19" t="s">
        <v>41</v>
      </c>
      <c r="B65" s="8" t="s">
        <v>150</v>
      </c>
      <c r="C65" s="21">
        <v>100</v>
      </c>
      <c r="D65" s="21" t="s">
        <v>200</v>
      </c>
      <c r="E65" s="21" t="s">
        <v>204</v>
      </c>
      <c r="F65" s="26"/>
      <c r="G65" s="30">
        <f t="shared" si="2"/>
        <v>0</v>
      </c>
    </row>
    <row r="66" spans="1:7" x14ac:dyDescent="0.25">
      <c r="A66" s="19" t="s">
        <v>42</v>
      </c>
      <c r="B66" s="8" t="s">
        <v>151</v>
      </c>
      <c r="C66" s="21">
        <v>100</v>
      </c>
      <c r="D66" s="21" t="s">
        <v>201</v>
      </c>
      <c r="E66" s="21" t="s">
        <v>204</v>
      </c>
      <c r="F66" s="26"/>
      <c r="G66" s="30">
        <f t="shared" si="2"/>
        <v>0</v>
      </c>
    </row>
    <row r="67" spans="1:7" ht="31.5" x14ac:dyDescent="0.25">
      <c r="A67" s="19"/>
      <c r="B67" s="9" t="s">
        <v>213</v>
      </c>
      <c r="C67" s="21"/>
      <c r="D67" s="21"/>
      <c r="E67" s="21"/>
      <c r="F67" s="26"/>
      <c r="G67" s="30"/>
    </row>
    <row r="68" spans="1:7" x14ac:dyDescent="0.25">
      <c r="A68" s="19" t="s">
        <v>43</v>
      </c>
      <c r="B68" s="8" t="s">
        <v>152</v>
      </c>
      <c r="C68" s="21">
        <v>100</v>
      </c>
      <c r="D68" s="21" t="s">
        <v>197</v>
      </c>
      <c r="E68" s="21" t="s">
        <v>204</v>
      </c>
      <c r="F68" s="26"/>
      <c r="G68" s="30">
        <f t="shared" si="2"/>
        <v>0</v>
      </c>
    </row>
    <row r="69" spans="1:7" x14ac:dyDescent="0.25">
      <c r="A69" s="19" t="s">
        <v>44</v>
      </c>
      <c r="B69" s="8" t="s">
        <v>153</v>
      </c>
      <c r="C69" s="21">
        <v>100</v>
      </c>
      <c r="D69" s="21" t="s">
        <v>197</v>
      </c>
      <c r="E69" s="21" t="s">
        <v>204</v>
      </c>
      <c r="F69" s="26"/>
      <c r="G69" s="30">
        <f t="shared" si="2"/>
        <v>0</v>
      </c>
    </row>
    <row r="70" spans="1:7" x14ac:dyDescent="0.25">
      <c r="A70" s="19" t="s">
        <v>45</v>
      </c>
      <c r="B70" s="8" t="s">
        <v>154</v>
      </c>
      <c r="C70" s="21">
        <v>100</v>
      </c>
      <c r="D70" s="21" t="s">
        <v>199</v>
      </c>
      <c r="E70" s="21" t="s">
        <v>204</v>
      </c>
      <c r="F70" s="26"/>
      <c r="G70" s="30">
        <f t="shared" si="2"/>
        <v>0</v>
      </c>
    </row>
    <row r="71" spans="1:7" x14ac:dyDescent="0.25">
      <c r="A71" s="19" t="s">
        <v>46</v>
      </c>
      <c r="B71" s="8" t="s">
        <v>155</v>
      </c>
      <c r="C71" s="21">
        <v>100</v>
      </c>
      <c r="D71" s="21" t="s">
        <v>201</v>
      </c>
      <c r="E71" s="21" t="s">
        <v>204</v>
      </c>
      <c r="F71" s="26"/>
      <c r="G71" s="30">
        <f t="shared" si="2"/>
        <v>0</v>
      </c>
    </row>
    <row r="72" spans="1:7" ht="31.5" x14ac:dyDescent="0.25">
      <c r="A72" s="19"/>
      <c r="B72" s="9" t="s">
        <v>268</v>
      </c>
      <c r="C72" s="21"/>
      <c r="D72" s="21"/>
      <c r="E72" s="21"/>
      <c r="F72" s="26"/>
      <c r="G72" s="30"/>
    </row>
    <row r="73" spans="1:7" x14ac:dyDescent="0.25">
      <c r="A73" s="19" t="s">
        <v>47</v>
      </c>
      <c r="B73" s="8" t="s">
        <v>156</v>
      </c>
      <c r="C73" s="21">
        <v>100</v>
      </c>
      <c r="D73" s="21" t="s">
        <v>199</v>
      </c>
      <c r="E73" s="21" t="s">
        <v>204</v>
      </c>
      <c r="F73" s="26"/>
      <c r="G73" s="30">
        <f t="shared" si="2"/>
        <v>0</v>
      </c>
    </row>
    <row r="74" spans="1:7" x14ac:dyDescent="0.25">
      <c r="A74" s="19" t="s">
        <v>48</v>
      </c>
      <c r="B74" s="8" t="s">
        <v>157</v>
      </c>
      <c r="C74" s="21">
        <v>100</v>
      </c>
      <c r="D74" s="21" t="s">
        <v>199</v>
      </c>
      <c r="E74" s="21" t="s">
        <v>204</v>
      </c>
      <c r="F74" s="26"/>
      <c r="G74" s="30">
        <f t="shared" si="2"/>
        <v>0</v>
      </c>
    </row>
    <row r="75" spans="1:7" x14ac:dyDescent="0.25">
      <c r="A75" s="19" t="s">
        <v>49</v>
      </c>
      <c r="B75" s="8" t="s">
        <v>158</v>
      </c>
      <c r="C75" s="21">
        <v>100</v>
      </c>
      <c r="D75" s="21" t="s">
        <v>199</v>
      </c>
      <c r="E75" s="21" t="s">
        <v>204</v>
      </c>
      <c r="F75" s="26"/>
      <c r="G75" s="30">
        <f t="shared" si="2"/>
        <v>0</v>
      </c>
    </row>
    <row r="76" spans="1:7" x14ac:dyDescent="0.25">
      <c r="A76" s="19" t="s">
        <v>50</v>
      </c>
      <c r="B76" s="8" t="s">
        <v>159</v>
      </c>
      <c r="C76" s="21">
        <v>100</v>
      </c>
      <c r="D76" s="21" t="s">
        <v>199</v>
      </c>
      <c r="E76" s="21" t="s">
        <v>204</v>
      </c>
      <c r="F76" s="26"/>
      <c r="G76" s="30">
        <f t="shared" si="2"/>
        <v>0</v>
      </c>
    </row>
    <row r="77" spans="1:7" ht="31.5" x14ac:dyDescent="0.25">
      <c r="A77" s="19"/>
      <c r="B77" s="9" t="s">
        <v>269</v>
      </c>
      <c r="C77" s="21"/>
      <c r="D77" s="21"/>
      <c r="E77" s="21"/>
      <c r="F77" s="26"/>
      <c r="G77" s="30"/>
    </row>
    <row r="78" spans="1:7" x14ac:dyDescent="0.25">
      <c r="A78" s="19" t="s">
        <v>51</v>
      </c>
      <c r="B78" s="8" t="s">
        <v>156</v>
      </c>
      <c r="C78" s="21">
        <v>100</v>
      </c>
      <c r="D78" s="21" t="s">
        <v>199</v>
      </c>
      <c r="E78" s="21" t="s">
        <v>204</v>
      </c>
      <c r="F78" s="26"/>
      <c r="G78" s="30">
        <f t="shared" si="2"/>
        <v>0</v>
      </c>
    </row>
    <row r="79" spans="1:7" x14ac:dyDescent="0.25">
      <c r="A79" s="19" t="s">
        <v>52</v>
      </c>
      <c r="B79" s="8" t="s">
        <v>157</v>
      </c>
      <c r="C79" s="21">
        <v>100</v>
      </c>
      <c r="D79" s="21" t="s">
        <v>199</v>
      </c>
      <c r="E79" s="21" t="s">
        <v>204</v>
      </c>
      <c r="F79" s="26"/>
      <c r="G79" s="30">
        <f t="shared" si="2"/>
        <v>0</v>
      </c>
    </row>
    <row r="80" spans="1:7" x14ac:dyDescent="0.25">
      <c r="A80" s="19" t="s">
        <v>53</v>
      </c>
      <c r="B80" s="8" t="s">
        <v>158</v>
      </c>
      <c r="C80" s="21">
        <v>100</v>
      </c>
      <c r="D80" s="21" t="s">
        <v>199</v>
      </c>
      <c r="E80" s="21" t="s">
        <v>204</v>
      </c>
      <c r="F80" s="26"/>
      <c r="G80" s="30">
        <f t="shared" si="2"/>
        <v>0</v>
      </c>
    </row>
    <row r="81" spans="1:7" x14ac:dyDescent="0.25">
      <c r="A81" s="19" t="s">
        <v>220</v>
      </c>
      <c r="B81" s="8" t="s">
        <v>159</v>
      </c>
      <c r="C81" s="21">
        <v>100</v>
      </c>
      <c r="D81" s="21" t="s">
        <v>199</v>
      </c>
      <c r="E81" s="21" t="s">
        <v>204</v>
      </c>
      <c r="F81" s="26"/>
      <c r="G81" s="30">
        <f t="shared" si="2"/>
        <v>0</v>
      </c>
    </row>
    <row r="82" spans="1:7" ht="31.5" x14ac:dyDescent="0.25">
      <c r="A82" s="19"/>
      <c r="B82" s="12" t="s">
        <v>279</v>
      </c>
      <c r="C82" s="21"/>
      <c r="D82" s="21"/>
      <c r="E82" s="21"/>
      <c r="F82" s="26"/>
      <c r="G82" s="30"/>
    </row>
    <row r="83" spans="1:7" x14ac:dyDescent="0.25">
      <c r="A83" s="19" t="s">
        <v>221</v>
      </c>
      <c r="B83" s="8" t="s">
        <v>156</v>
      </c>
      <c r="C83" s="21">
        <v>100</v>
      </c>
      <c r="D83" s="21" t="s">
        <v>200</v>
      </c>
      <c r="E83" s="21" t="s">
        <v>204</v>
      </c>
      <c r="F83" s="26"/>
      <c r="G83" s="30">
        <f t="shared" si="2"/>
        <v>0</v>
      </c>
    </row>
    <row r="84" spans="1:7" x14ac:dyDescent="0.25">
      <c r="A84" s="19" t="s">
        <v>222</v>
      </c>
      <c r="B84" s="8" t="s">
        <v>157</v>
      </c>
      <c r="C84" s="21">
        <v>100</v>
      </c>
      <c r="D84" s="21" t="s">
        <v>200</v>
      </c>
      <c r="E84" s="21" t="s">
        <v>204</v>
      </c>
      <c r="F84" s="26"/>
      <c r="G84" s="30">
        <f t="shared" si="2"/>
        <v>0</v>
      </c>
    </row>
    <row r="85" spans="1:7" x14ac:dyDescent="0.25">
      <c r="A85" s="19" t="s">
        <v>223</v>
      </c>
      <c r="B85" s="8" t="s">
        <v>158</v>
      </c>
      <c r="C85" s="21">
        <v>100</v>
      </c>
      <c r="D85" s="21" t="s">
        <v>200</v>
      </c>
      <c r="E85" s="21" t="s">
        <v>204</v>
      </c>
      <c r="F85" s="26"/>
      <c r="G85" s="30">
        <f t="shared" si="2"/>
        <v>0</v>
      </c>
    </row>
    <row r="86" spans="1:7" x14ac:dyDescent="0.25">
      <c r="A86" s="19" t="s">
        <v>224</v>
      </c>
      <c r="B86" s="8" t="s">
        <v>159</v>
      </c>
      <c r="C86" s="21">
        <v>100</v>
      </c>
      <c r="D86" s="21" t="s">
        <v>200</v>
      </c>
      <c r="E86" s="21" t="s">
        <v>204</v>
      </c>
      <c r="F86" s="26"/>
      <c r="G86" s="30">
        <f t="shared" si="2"/>
        <v>0</v>
      </c>
    </row>
    <row r="87" spans="1:7" x14ac:dyDescent="0.25">
      <c r="A87" s="19"/>
      <c r="B87" s="9" t="s">
        <v>160</v>
      </c>
      <c r="C87" s="21"/>
      <c r="D87" s="21"/>
      <c r="E87" s="21"/>
      <c r="F87" s="26"/>
      <c r="G87" s="30"/>
    </row>
    <row r="88" spans="1:7" x14ac:dyDescent="0.25">
      <c r="A88" s="19"/>
      <c r="B88" s="9" t="s">
        <v>161</v>
      </c>
      <c r="C88" s="21"/>
      <c r="D88" s="21"/>
      <c r="E88" s="21"/>
      <c r="F88" s="26"/>
      <c r="G88" s="30"/>
    </row>
    <row r="89" spans="1:7" x14ac:dyDescent="0.25">
      <c r="A89" s="19" t="s">
        <v>225</v>
      </c>
      <c r="B89" s="8" t="s">
        <v>162</v>
      </c>
      <c r="C89" s="21">
        <v>100</v>
      </c>
      <c r="D89" s="21" t="s">
        <v>200</v>
      </c>
      <c r="E89" s="21" t="s">
        <v>204</v>
      </c>
      <c r="F89" s="26"/>
      <c r="G89" s="30">
        <f t="shared" si="2"/>
        <v>0</v>
      </c>
    </row>
    <row r="90" spans="1:7" x14ac:dyDescent="0.25">
      <c r="A90" s="19" t="s">
        <v>226</v>
      </c>
      <c r="B90" s="8" t="s">
        <v>163</v>
      </c>
      <c r="C90" s="21">
        <v>100</v>
      </c>
      <c r="D90" s="21" t="s">
        <v>200</v>
      </c>
      <c r="E90" s="21" t="s">
        <v>204</v>
      </c>
      <c r="F90" s="26"/>
      <c r="G90" s="30">
        <f t="shared" si="2"/>
        <v>0</v>
      </c>
    </row>
    <row r="91" spans="1:7" x14ac:dyDescent="0.25">
      <c r="A91" s="19" t="s">
        <v>227</v>
      </c>
      <c r="B91" s="8" t="s">
        <v>164</v>
      </c>
      <c r="C91" s="21">
        <v>100</v>
      </c>
      <c r="D91" s="21" t="s">
        <v>200</v>
      </c>
      <c r="E91" s="21" t="s">
        <v>204</v>
      </c>
      <c r="F91" s="26"/>
      <c r="G91" s="30">
        <f t="shared" si="2"/>
        <v>0</v>
      </c>
    </row>
    <row r="92" spans="1:7" x14ac:dyDescent="0.25">
      <c r="A92" s="19" t="s">
        <v>228</v>
      </c>
      <c r="B92" s="8" t="s">
        <v>165</v>
      </c>
      <c r="C92" s="21">
        <v>100</v>
      </c>
      <c r="D92" s="21" t="s">
        <v>200</v>
      </c>
      <c r="E92" s="21" t="s">
        <v>204</v>
      </c>
      <c r="F92" s="26"/>
      <c r="G92" s="30">
        <f t="shared" si="2"/>
        <v>0</v>
      </c>
    </row>
    <row r="93" spans="1:7" x14ac:dyDescent="0.25">
      <c r="A93" s="19" t="s">
        <v>229</v>
      </c>
      <c r="B93" s="8" t="s">
        <v>166</v>
      </c>
      <c r="C93" s="21">
        <v>100</v>
      </c>
      <c r="D93" s="21" t="s">
        <v>200</v>
      </c>
      <c r="E93" s="21" t="s">
        <v>204</v>
      </c>
      <c r="F93" s="26"/>
      <c r="G93" s="30">
        <f t="shared" si="2"/>
        <v>0</v>
      </c>
    </row>
    <row r="94" spans="1:7" x14ac:dyDescent="0.25">
      <c r="A94" s="19" t="s">
        <v>230</v>
      </c>
      <c r="B94" s="8" t="s">
        <v>241</v>
      </c>
      <c r="C94" s="21">
        <v>100</v>
      </c>
      <c r="D94" s="21" t="s">
        <v>200</v>
      </c>
      <c r="E94" s="21" t="s">
        <v>204</v>
      </c>
      <c r="F94" s="26"/>
      <c r="G94" s="30">
        <f t="shared" si="2"/>
        <v>0</v>
      </c>
    </row>
    <row r="95" spans="1:7" x14ac:dyDescent="0.25">
      <c r="A95" s="19" t="s">
        <v>231</v>
      </c>
      <c r="B95" s="8" t="s">
        <v>242</v>
      </c>
      <c r="C95" s="21">
        <v>100</v>
      </c>
      <c r="D95" s="21" t="s">
        <v>200</v>
      </c>
      <c r="E95" s="21" t="s">
        <v>204</v>
      </c>
      <c r="F95" s="26"/>
      <c r="G95" s="30">
        <f t="shared" si="2"/>
        <v>0</v>
      </c>
    </row>
    <row r="96" spans="1:7" x14ac:dyDescent="0.25">
      <c r="A96" s="19" t="s">
        <v>232</v>
      </c>
      <c r="B96" s="8" t="s">
        <v>243</v>
      </c>
      <c r="C96" s="21">
        <v>100</v>
      </c>
      <c r="D96" s="21" t="s">
        <v>200</v>
      </c>
      <c r="E96" s="21" t="s">
        <v>204</v>
      </c>
      <c r="F96" s="26"/>
      <c r="G96" s="30">
        <f t="shared" si="2"/>
        <v>0</v>
      </c>
    </row>
    <row r="97" spans="1:7" x14ac:dyDescent="0.25">
      <c r="A97" s="19" t="s">
        <v>233</v>
      </c>
      <c r="B97" s="8" t="s">
        <v>244</v>
      </c>
      <c r="C97" s="21">
        <v>100</v>
      </c>
      <c r="D97" s="21" t="s">
        <v>200</v>
      </c>
      <c r="E97" s="21" t="s">
        <v>204</v>
      </c>
      <c r="F97" s="26"/>
      <c r="G97" s="30">
        <f t="shared" si="2"/>
        <v>0</v>
      </c>
    </row>
    <row r="98" spans="1:7" x14ac:dyDescent="0.25">
      <c r="A98" s="19" t="s">
        <v>234</v>
      </c>
      <c r="B98" s="8" t="s">
        <v>167</v>
      </c>
      <c r="C98" s="21">
        <v>100</v>
      </c>
      <c r="D98" s="21" t="s">
        <v>200</v>
      </c>
      <c r="E98" s="21" t="s">
        <v>204</v>
      </c>
      <c r="F98" s="26"/>
      <c r="G98" s="30">
        <f t="shared" si="2"/>
        <v>0</v>
      </c>
    </row>
    <row r="99" spans="1:7" x14ac:dyDescent="0.25">
      <c r="A99" s="19" t="s">
        <v>235</v>
      </c>
      <c r="B99" s="8" t="s">
        <v>168</v>
      </c>
      <c r="C99" s="21">
        <v>100</v>
      </c>
      <c r="D99" s="21" t="s">
        <v>200</v>
      </c>
      <c r="E99" s="21" t="s">
        <v>204</v>
      </c>
      <c r="F99" s="26"/>
      <c r="G99" s="30">
        <f t="shared" si="2"/>
        <v>0</v>
      </c>
    </row>
    <row r="100" spans="1:7" x14ac:dyDescent="0.25">
      <c r="A100" s="19"/>
      <c r="B100" s="9" t="s">
        <v>169</v>
      </c>
      <c r="C100" s="21"/>
      <c r="D100" s="21"/>
      <c r="E100" s="21"/>
      <c r="F100" s="26"/>
      <c r="G100" s="30"/>
    </row>
    <row r="101" spans="1:7" x14ac:dyDescent="0.25">
      <c r="A101" s="19" t="s">
        <v>54</v>
      </c>
      <c r="B101" s="8" t="s">
        <v>170</v>
      </c>
      <c r="C101" s="21">
        <v>100</v>
      </c>
      <c r="D101" s="21" t="s">
        <v>200</v>
      </c>
      <c r="E101" s="21" t="s">
        <v>204</v>
      </c>
      <c r="F101" s="26"/>
      <c r="G101" s="30">
        <f t="shared" si="2"/>
        <v>0</v>
      </c>
    </row>
    <row r="102" spans="1:7" x14ac:dyDescent="0.25">
      <c r="A102" s="19" t="s">
        <v>55</v>
      </c>
      <c r="B102" s="8" t="s">
        <v>171</v>
      </c>
      <c r="C102" s="21">
        <v>100</v>
      </c>
      <c r="D102" s="21" t="s">
        <v>200</v>
      </c>
      <c r="E102" s="21" t="s">
        <v>204</v>
      </c>
      <c r="F102" s="26"/>
      <c r="G102" s="30">
        <f t="shared" si="2"/>
        <v>0</v>
      </c>
    </row>
    <row r="103" spans="1:7" x14ac:dyDescent="0.25">
      <c r="A103" s="19" t="s">
        <v>56</v>
      </c>
      <c r="B103" s="8" t="s">
        <v>172</v>
      </c>
      <c r="C103" s="21">
        <v>100</v>
      </c>
      <c r="D103" s="21" t="s">
        <v>200</v>
      </c>
      <c r="E103" s="21" t="s">
        <v>204</v>
      </c>
      <c r="F103" s="26"/>
      <c r="G103" s="30">
        <f t="shared" si="2"/>
        <v>0</v>
      </c>
    </row>
    <row r="104" spans="1:7" x14ac:dyDescent="0.25">
      <c r="A104" s="19" t="s">
        <v>57</v>
      </c>
      <c r="B104" s="8" t="s">
        <v>173</v>
      </c>
      <c r="C104" s="21">
        <v>100</v>
      </c>
      <c r="D104" s="21" t="s">
        <v>200</v>
      </c>
      <c r="E104" s="21" t="s">
        <v>204</v>
      </c>
      <c r="F104" s="26"/>
      <c r="G104" s="30">
        <f t="shared" si="2"/>
        <v>0</v>
      </c>
    </row>
    <row r="105" spans="1:7" x14ac:dyDescent="0.25">
      <c r="A105" s="19" t="s">
        <v>58</v>
      </c>
      <c r="B105" s="8" t="s">
        <v>174</v>
      </c>
      <c r="C105" s="21">
        <v>100</v>
      </c>
      <c r="D105" s="21" t="s">
        <v>200</v>
      </c>
      <c r="E105" s="21" t="s">
        <v>204</v>
      </c>
      <c r="F105" s="26"/>
      <c r="G105" s="30">
        <f t="shared" si="2"/>
        <v>0</v>
      </c>
    </row>
    <row r="106" spans="1:7" x14ac:dyDescent="0.25">
      <c r="A106" s="19" t="s">
        <v>59</v>
      </c>
      <c r="B106" s="8" t="s">
        <v>245</v>
      </c>
      <c r="C106" s="21">
        <v>100</v>
      </c>
      <c r="D106" s="21" t="s">
        <v>200</v>
      </c>
      <c r="E106" s="21" t="s">
        <v>204</v>
      </c>
      <c r="F106" s="26"/>
      <c r="G106" s="30">
        <f t="shared" si="2"/>
        <v>0</v>
      </c>
    </row>
    <row r="107" spans="1:7" x14ac:dyDescent="0.25">
      <c r="A107" s="19" t="s">
        <v>60</v>
      </c>
      <c r="B107" s="8" t="s">
        <v>246</v>
      </c>
      <c r="C107" s="21">
        <v>100</v>
      </c>
      <c r="D107" s="21" t="s">
        <v>200</v>
      </c>
      <c r="E107" s="21" t="s">
        <v>204</v>
      </c>
      <c r="F107" s="26"/>
      <c r="G107" s="30">
        <f t="shared" si="2"/>
        <v>0</v>
      </c>
    </row>
    <row r="108" spans="1:7" x14ac:dyDescent="0.25">
      <c r="A108" s="19" t="s">
        <v>61</v>
      </c>
      <c r="B108" s="8" t="s">
        <v>175</v>
      </c>
      <c r="C108" s="21">
        <v>100</v>
      </c>
      <c r="D108" s="21" t="s">
        <v>200</v>
      </c>
      <c r="E108" s="21" t="s">
        <v>204</v>
      </c>
      <c r="F108" s="26"/>
      <c r="G108" s="30">
        <f t="shared" si="2"/>
        <v>0</v>
      </c>
    </row>
    <row r="109" spans="1:7" x14ac:dyDescent="0.25">
      <c r="A109" s="19" t="s">
        <v>62</v>
      </c>
      <c r="B109" s="8" t="s">
        <v>176</v>
      </c>
      <c r="C109" s="21">
        <v>100</v>
      </c>
      <c r="D109" s="21" t="s">
        <v>201</v>
      </c>
      <c r="E109" s="21" t="s">
        <v>204</v>
      </c>
      <c r="F109" s="26"/>
      <c r="G109" s="30">
        <f t="shared" si="2"/>
        <v>0</v>
      </c>
    </row>
    <row r="110" spans="1:7" x14ac:dyDescent="0.25">
      <c r="A110" s="19"/>
      <c r="B110" s="8" t="s">
        <v>177</v>
      </c>
      <c r="C110" s="21"/>
      <c r="D110" s="21"/>
      <c r="E110" s="21"/>
      <c r="F110" s="26"/>
      <c r="G110" s="30"/>
    </row>
    <row r="111" spans="1:7" x14ac:dyDescent="0.25">
      <c r="A111" s="19"/>
      <c r="B111" s="9" t="s">
        <v>211</v>
      </c>
      <c r="C111" s="21"/>
      <c r="D111" s="21"/>
      <c r="E111" s="21"/>
      <c r="F111" s="26"/>
      <c r="G111" s="30"/>
    </row>
    <row r="112" spans="1:7" ht="31.5" x14ac:dyDescent="0.25">
      <c r="A112" s="19" t="s">
        <v>63</v>
      </c>
      <c r="B112" s="8" t="s">
        <v>296</v>
      </c>
      <c r="C112" s="21">
        <v>200</v>
      </c>
      <c r="D112" s="21" t="s">
        <v>200</v>
      </c>
      <c r="E112" s="21" t="s">
        <v>204</v>
      </c>
      <c r="F112" s="26"/>
      <c r="G112" s="30">
        <f t="shared" si="2"/>
        <v>0</v>
      </c>
    </row>
    <row r="113" spans="1:7" ht="31.5" x14ac:dyDescent="0.25">
      <c r="A113" s="19" t="s">
        <v>64</v>
      </c>
      <c r="B113" s="8" t="s">
        <v>297</v>
      </c>
      <c r="C113" s="21">
        <v>200</v>
      </c>
      <c r="D113" s="21" t="s">
        <v>200</v>
      </c>
      <c r="E113" s="21" t="s">
        <v>204</v>
      </c>
      <c r="F113" s="26"/>
      <c r="G113" s="30">
        <f t="shared" si="2"/>
        <v>0</v>
      </c>
    </row>
    <row r="114" spans="1:7" ht="47.25" x14ac:dyDescent="0.25">
      <c r="A114" s="19" t="s">
        <v>65</v>
      </c>
      <c r="B114" s="8" t="s">
        <v>298</v>
      </c>
      <c r="C114" s="21">
        <v>200</v>
      </c>
      <c r="D114" s="21" t="s">
        <v>200</v>
      </c>
      <c r="E114" s="21" t="s">
        <v>204</v>
      </c>
      <c r="F114" s="26"/>
      <c r="G114" s="30">
        <f t="shared" si="2"/>
        <v>0</v>
      </c>
    </row>
    <row r="115" spans="1:7" x14ac:dyDescent="0.25">
      <c r="A115" s="19" t="s">
        <v>66</v>
      </c>
      <c r="B115" s="8" t="s">
        <v>178</v>
      </c>
      <c r="C115" s="21">
        <v>20</v>
      </c>
      <c r="D115" s="21" t="s">
        <v>201</v>
      </c>
      <c r="E115" s="21" t="s">
        <v>204</v>
      </c>
      <c r="F115" s="26"/>
      <c r="G115" s="30">
        <f t="shared" si="2"/>
        <v>0</v>
      </c>
    </row>
    <row r="116" spans="1:7" x14ac:dyDescent="0.25">
      <c r="A116" s="19" t="s">
        <v>67</v>
      </c>
      <c r="B116" s="8" t="s">
        <v>179</v>
      </c>
      <c r="C116" s="21">
        <v>20</v>
      </c>
      <c r="D116" s="21" t="s">
        <v>201</v>
      </c>
      <c r="E116" s="21" t="s">
        <v>204</v>
      </c>
      <c r="F116" s="26"/>
      <c r="G116" s="30">
        <f t="shared" si="2"/>
        <v>0</v>
      </c>
    </row>
    <row r="117" spans="1:7" ht="31.5" x14ac:dyDescent="0.25">
      <c r="A117" s="19" t="s">
        <v>68</v>
      </c>
      <c r="B117" s="8" t="s">
        <v>247</v>
      </c>
      <c r="C117" s="21">
        <v>5000</v>
      </c>
      <c r="D117" s="21" t="s">
        <v>200</v>
      </c>
      <c r="E117" s="21" t="s">
        <v>204</v>
      </c>
      <c r="F117" s="26"/>
      <c r="G117" s="30">
        <f t="shared" si="2"/>
        <v>0</v>
      </c>
    </row>
    <row r="118" spans="1:7" ht="31.5" x14ac:dyDescent="0.25">
      <c r="A118" s="19"/>
      <c r="B118" s="9" t="s">
        <v>281</v>
      </c>
      <c r="C118" s="21"/>
      <c r="D118" s="21"/>
      <c r="E118" s="21"/>
      <c r="F118" s="26"/>
      <c r="G118" s="30"/>
    </row>
    <row r="119" spans="1:7" x14ac:dyDescent="0.25">
      <c r="A119" s="19" t="s">
        <v>69</v>
      </c>
      <c r="B119" s="8" t="s">
        <v>156</v>
      </c>
      <c r="C119" s="21">
        <v>100</v>
      </c>
      <c r="D119" s="21" t="s">
        <v>199</v>
      </c>
      <c r="E119" s="21" t="s">
        <v>204</v>
      </c>
      <c r="F119" s="26"/>
      <c r="G119" s="30">
        <f t="shared" si="2"/>
        <v>0</v>
      </c>
    </row>
    <row r="120" spans="1:7" x14ac:dyDescent="0.25">
      <c r="A120" s="19" t="s">
        <v>70</v>
      </c>
      <c r="B120" s="8" t="s">
        <v>157</v>
      </c>
      <c r="C120" s="21">
        <v>100</v>
      </c>
      <c r="D120" s="21" t="s">
        <v>199</v>
      </c>
      <c r="E120" s="21" t="s">
        <v>204</v>
      </c>
      <c r="F120" s="26"/>
      <c r="G120" s="30">
        <f t="shared" si="2"/>
        <v>0</v>
      </c>
    </row>
    <row r="121" spans="1:7" x14ac:dyDescent="0.25">
      <c r="A121" s="19" t="s">
        <v>71</v>
      </c>
      <c r="B121" s="8" t="s">
        <v>158</v>
      </c>
      <c r="C121" s="21">
        <v>100</v>
      </c>
      <c r="D121" s="21" t="s">
        <v>199</v>
      </c>
      <c r="E121" s="21" t="s">
        <v>204</v>
      </c>
      <c r="F121" s="26"/>
      <c r="G121" s="30">
        <f t="shared" si="2"/>
        <v>0</v>
      </c>
    </row>
    <row r="122" spans="1:7" x14ac:dyDescent="0.25">
      <c r="A122" s="19" t="s">
        <v>72</v>
      </c>
      <c r="B122" s="13" t="s">
        <v>159</v>
      </c>
      <c r="C122" s="21">
        <v>100</v>
      </c>
      <c r="D122" s="21" t="s">
        <v>199</v>
      </c>
      <c r="E122" s="21" t="s">
        <v>204</v>
      </c>
      <c r="F122" s="26"/>
      <c r="G122" s="30">
        <f t="shared" si="2"/>
        <v>0</v>
      </c>
    </row>
    <row r="123" spans="1:7" ht="15" customHeight="1" x14ac:dyDescent="0.25">
      <c r="A123" s="19"/>
      <c r="B123" s="14" t="s">
        <v>180</v>
      </c>
      <c r="C123" s="21"/>
      <c r="D123" s="21"/>
      <c r="E123" s="21"/>
      <c r="F123" s="26"/>
      <c r="G123" s="30"/>
    </row>
    <row r="124" spans="1:7" x14ac:dyDescent="0.25">
      <c r="A124" s="19" t="s">
        <v>73</v>
      </c>
      <c r="B124" s="8" t="s">
        <v>156</v>
      </c>
      <c r="C124" s="21">
        <v>100</v>
      </c>
      <c r="D124" s="21" t="s">
        <v>199</v>
      </c>
      <c r="E124" s="21" t="s">
        <v>204</v>
      </c>
      <c r="F124" s="26"/>
      <c r="G124" s="30">
        <f t="shared" ref="G124:G179" si="3">F124*C124</f>
        <v>0</v>
      </c>
    </row>
    <row r="125" spans="1:7" x14ac:dyDescent="0.25">
      <c r="A125" s="19" t="s">
        <v>74</v>
      </c>
      <c r="B125" s="8" t="s">
        <v>157</v>
      </c>
      <c r="C125" s="21">
        <v>100</v>
      </c>
      <c r="D125" s="21" t="s">
        <v>199</v>
      </c>
      <c r="E125" s="21" t="s">
        <v>204</v>
      </c>
      <c r="F125" s="26"/>
      <c r="G125" s="30">
        <f t="shared" si="3"/>
        <v>0</v>
      </c>
    </row>
    <row r="126" spans="1:7" x14ac:dyDescent="0.25">
      <c r="A126" s="19" t="s">
        <v>75</v>
      </c>
      <c r="B126" s="8" t="s">
        <v>158</v>
      </c>
      <c r="C126" s="21">
        <v>100</v>
      </c>
      <c r="D126" s="21" t="s">
        <v>199</v>
      </c>
      <c r="E126" s="21" t="s">
        <v>204</v>
      </c>
      <c r="F126" s="26"/>
      <c r="G126" s="30">
        <f t="shared" si="3"/>
        <v>0</v>
      </c>
    </row>
    <row r="127" spans="1:7" x14ac:dyDescent="0.25">
      <c r="A127" s="19" t="s">
        <v>76</v>
      </c>
      <c r="B127" s="8" t="s">
        <v>159</v>
      </c>
      <c r="C127" s="21">
        <v>100</v>
      </c>
      <c r="D127" s="21" t="s">
        <v>199</v>
      </c>
      <c r="E127" s="21" t="s">
        <v>204</v>
      </c>
      <c r="F127" s="26"/>
      <c r="G127" s="30">
        <f t="shared" si="3"/>
        <v>0</v>
      </c>
    </row>
    <row r="128" spans="1:7" x14ac:dyDescent="0.25">
      <c r="A128" s="19" t="s">
        <v>77</v>
      </c>
      <c r="B128" s="8" t="s">
        <v>181</v>
      </c>
      <c r="C128" s="21">
        <v>100</v>
      </c>
      <c r="D128" s="21" t="s">
        <v>199</v>
      </c>
      <c r="E128" s="21" t="s">
        <v>204</v>
      </c>
      <c r="F128" s="26"/>
      <c r="G128" s="30">
        <f t="shared" si="3"/>
        <v>0</v>
      </c>
    </row>
    <row r="129" spans="1:7" ht="16.5" customHeight="1" x14ac:dyDescent="0.25">
      <c r="A129" s="19"/>
      <c r="B129" s="9" t="s">
        <v>182</v>
      </c>
      <c r="C129" s="21"/>
      <c r="D129" s="21"/>
      <c r="E129" s="21"/>
      <c r="F129" s="26"/>
      <c r="G129" s="30"/>
    </row>
    <row r="130" spans="1:7" x14ac:dyDescent="0.25">
      <c r="A130" s="19" t="s">
        <v>78</v>
      </c>
      <c r="B130" s="8" t="s">
        <v>156</v>
      </c>
      <c r="C130" s="21">
        <v>100</v>
      </c>
      <c r="D130" s="21" t="s">
        <v>199</v>
      </c>
      <c r="E130" s="21" t="s">
        <v>204</v>
      </c>
      <c r="F130" s="26"/>
      <c r="G130" s="30">
        <f t="shared" si="3"/>
        <v>0</v>
      </c>
    </row>
    <row r="131" spans="1:7" x14ac:dyDescent="0.25">
      <c r="A131" s="19" t="s">
        <v>79</v>
      </c>
      <c r="B131" s="8" t="s">
        <v>157</v>
      </c>
      <c r="C131" s="21">
        <v>100</v>
      </c>
      <c r="D131" s="21" t="s">
        <v>199</v>
      </c>
      <c r="E131" s="21" t="s">
        <v>204</v>
      </c>
      <c r="F131" s="26"/>
      <c r="G131" s="30">
        <f t="shared" si="3"/>
        <v>0</v>
      </c>
    </row>
    <row r="132" spans="1:7" x14ac:dyDescent="0.25">
      <c r="A132" s="19" t="s">
        <v>80</v>
      </c>
      <c r="B132" s="8" t="s">
        <v>183</v>
      </c>
      <c r="C132" s="21">
        <v>100</v>
      </c>
      <c r="D132" s="21" t="s">
        <v>199</v>
      </c>
      <c r="E132" s="21" t="s">
        <v>204</v>
      </c>
      <c r="F132" s="26"/>
      <c r="G132" s="30">
        <f t="shared" si="3"/>
        <v>0</v>
      </c>
    </row>
    <row r="133" spans="1:7" ht="31.5" x14ac:dyDescent="0.25">
      <c r="A133" s="19"/>
      <c r="B133" s="9" t="s">
        <v>299</v>
      </c>
      <c r="C133" s="21"/>
      <c r="D133" s="21"/>
      <c r="E133" s="21"/>
      <c r="F133" s="26"/>
      <c r="G133" s="30"/>
    </row>
    <row r="134" spans="1:7" x14ac:dyDescent="0.25">
      <c r="A134" s="19" t="s">
        <v>81</v>
      </c>
      <c r="B134" s="8" t="s">
        <v>184</v>
      </c>
      <c r="C134" s="21">
        <v>20</v>
      </c>
      <c r="D134" s="21" t="s">
        <v>201</v>
      </c>
      <c r="E134" s="21" t="s">
        <v>204</v>
      </c>
      <c r="F134" s="26"/>
      <c r="G134" s="30">
        <f t="shared" si="3"/>
        <v>0</v>
      </c>
    </row>
    <row r="135" spans="1:7" x14ac:dyDescent="0.25">
      <c r="A135" s="19"/>
      <c r="B135" s="9" t="s">
        <v>212</v>
      </c>
      <c r="C135" s="21"/>
      <c r="D135" s="21"/>
      <c r="E135" s="21"/>
      <c r="F135" s="26"/>
      <c r="G135" s="30"/>
    </row>
    <row r="136" spans="1:7" x14ac:dyDescent="0.25">
      <c r="A136" s="19" t="s">
        <v>82</v>
      </c>
      <c r="B136" s="8" t="s">
        <v>280</v>
      </c>
      <c r="C136" s="21">
        <v>20</v>
      </c>
      <c r="D136" s="21" t="s">
        <v>201</v>
      </c>
      <c r="E136" s="21" t="s">
        <v>204</v>
      </c>
      <c r="F136" s="26"/>
      <c r="G136" s="30">
        <f t="shared" si="3"/>
        <v>0</v>
      </c>
    </row>
    <row r="137" spans="1:7" x14ac:dyDescent="0.25">
      <c r="A137" s="19" t="s">
        <v>83</v>
      </c>
      <c r="B137" s="8" t="s">
        <v>185</v>
      </c>
      <c r="C137" s="21">
        <v>20</v>
      </c>
      <c r="D137" s="21" t="s">
        <v>201</v>
      </c>
      <c r="E137" s="21" t="s">
        <v>204</v>
      </c>
      <c r="F137" s="26"/>
      <c r="G137" s="30">
        <f t="shared" si="3"/>
        <v>0</v>
      </c>
    </row>
    <row r="138" spans="1:7" x14ac:dyDescent="0.25">
      <c r="A138" s="19"/>
      <c r="B138" s="9" t="s">
        <v>186</v>
      </c>
      <c r="C138" s="21"/>
      <c r="D138" s="21"/>
      <c r="E138" s="21"/>
      <c r="F138" s="26"/>
      <c r="G138" s="30"/>
    </row>
    <row r="139" spans="1:7" x14ac:dyDescent="0.25">
      <c r="A139" s="19" t="s">
        <v>84</v>
      </c>
      <c r="B139" s="8" t="s">
        <v>248</v>
      </c>
      <c r="C139" s="21">
        <v>1500</v>
      </c>
      <c r="D139" s="21" t="s">
        <v>200</v>
      </c>
      <c r="E139" s="21" t="s">
        <v>204</v>
      </c>
      <c r="F139" s="26"/>
      <c r="G139" s="30">
        <f t="shared" si="3"/>
        <v>0</v>
      </c>
    </row>
    <row r="140" spans="1:7" ht="47.25" x14ac:dyDescent="0.25">
      <c r="A140" s="19" t="s">
        <v>85</v>
      </c>
      <c r="B140" s="17" t="s">
        <v>254</v>
      </c>
      <c r="C140" s="21">
        <v>2000</v>
      </c>
      <c r="D140" s="21" t="s">
        <v>200</v>
      </c>
      <c r="E140" s="21"/>
      <c r="F140" s="26"/>
      <c r="G140" s="30">
        <f>F140*C140</f>
        <v>0</v>
      </c>
    </row>
    <row r="141" spans="1:7" x14ac:dyDescent="0.25">
      <c r="A141" s="19"/>
      <c r="B141" s="33" t="s">
        <v>300</v>
      </c>
      <c r="C141" s="21"/>
      <c r="D141" s="21"/>
      <c r="E141" s="21"/>
      <c r="F141" s="26"/>
      <c r="G141" s="30"/>
    </row>
    <row r="142" spans="1:7" x14ac:dyDescent="0.25">
      <c r="A142" s="19" t="s">
        <v>86</v>
      </c>
      <c r="B142" s="8" t="s">
        <v>187</v>
      </c>
      <c r="C142" s="21">
        <v>20</v>
      </c>
      <c r="D142" s="21" t="s">
        <v>201</v>
      </c>
      <c r="E142" s="21" t="s">
        <v>204</v>
      </c>
      <c r="F142" s="26"/>
      <c r="G142" s="30">
        <f t="shared" si="3"/>
        <v>0</v>
      </c>
    </row>
    <row r="143" spans="1:7" x14ac:dyDescent="0.25">
      <c r="A143" s="19" t="s">
        <v>87</v>
      </c>
      <c r="B143" s="8" t="s">
        <v>188</v>
      </c>
      <c r="C143" s="21">
        <v>20</v>
      </c>
      <c r="D143" s="21" t="s">
        <v>201</v>
      </c>
      <c r="E143" s="21" t="s">
        <v>204</v>
      </c>
      <c r="F143" s="26"/>
      <c r="G143" s="30">
        <f t="shared" si="3"/>
        <v>0</v>
      </c>
    </row>
    <row r="144" spans="1:7" x14ac:dyDescent="0.25">
      <c r="A144" s="19" t="s">
        <v>88</v>
      </c>
      <c r="B144" s="8" t="s">
        <v>187</v>
      </c>
      <c r="C144" s="21">
        <v>300</v>
      </c>
      <c r="D144" s="21" t="s">
        <v>201</v>
      </c>
      <c r="E144" s="21" t="s">
        <v>204</v>
      </c>
      <c r="F144" s="26"/>
      <c r="G144" s="30">
        <f t="shared" si="3"/>
        <v>0</v>
      </c>
    </row>
    <row r="145" spans="1:7" x14ac:dyDescent="0.25">
      <c r="A145" s="19" t="s">
        <v>89</v>
      </c>
      <c r="B145" s="8" t="s">
        <v>188</v>
      </c>
      <c r="C145" s="21">
        <v>300</v>
      </c>
      <c r="D145" s="21" t="s">
        <v>201</v>
      </c>
      <c r="E145" s="21" t="s">
        <v>204</v>
      </c>
      <c r="F145" s="26"/>
      <c r="G145" s="30">
        <f t="shared" si="3"/>
        <v>0</v>
      </c>
    </row>
    <row r="146" spans="1:7" ht="32.25" customHeight="1" x14ac:dyDescent="0.25">
      <c r="A146" s="19"/>
      <c r="B146" s="11" t="s">
        <v>240</v>
      </c>
      <c r="C146" s="21"/>
      <c r="D146" s="21"/>
      <c r="E146" s="21"/>
      <c r="F146" s="26"/>
      <c r="G146" s="30"/>
    </row>
    <row r="147" spans="1:7" x14ac:dyDescent="0.25">
      <c r="A147" s="19" t="s">
        <v>90</v>
      </c>
      <c r="B147" s="8" t="s">
        <v>156</v>
      </c>
      <c r="C147" s="21">
        <v>300</v>
      </c>
      <c r="D147" s="21" t="s">
        <v>201</v>
      </c>
      <c r="E147" s="21" t="s">
        <v>204</v>
      </c>
      <c r="F147" s="26"/>
      <c r="G147" s="30">
        <f t="shared" si="3"/>
        <v>0</v>
      </c>
    </row>
    <row r="148" spans="1:7" x14ac:dyDescent="0.25">
      <c r="A148" s="19" t="s">
        <v>91</v>
      </c>
      <c r="B148" s="8" t="s">
        <v>159</v>
      </c>
      <c r="C148" s="21">
        <v>300</v>
      </c>
      <c r="D148" s="21" t="s">
        <v>201</v>
      </c>
      <c r="E148" s="21" t="s">
        <v>204</v>
      </c>
      <c r="F148" s="26"/>
      <c r="G148" s="30">
        <f t="shared" si="3"/>
        <v>0</v>
      </c>
    </row>
    <row r="149" spans="1:7" ht="31.5" x14ac:dyDescent="0.25">
      <c r="A149" s="19"/>
      <c r="B149" s="9" t="s">
        <v>301</v>
      </c>
      <c r="C149" s="21"/>
      <c r="D149" s="21"/>
      <c r="E149" s="21"/>
      <c r="F149" s="26"/>
      <c r="G149" s="30"/>
    </row>
    <row r="150" spans="1:7" x14ac:dyDescent="0.25">
      <c r="A150" s="19" t="s">
        <v>92</v>
      </c>
      <c r="B150" s="8" t="s">
        <v>156</v>
      </c>
      <c r="C150" s="21">
        <v>100</v>
      </c>
      <c r="D150" s="21" t="s">
        <v>201</v>
      </c>
      <c r="E150" s="21" t="s">
        <v>204</v>
      </c>
      <c r="F150" s="26"/>
      <c r="G150" s="30">
        <f t="shared" si="3"/>
        <v>0</v>
      </c>
    </row>
    <row r="151" spans="1:7" x14ac:dyDescent="0.25">
      <c r="A151" s="19" t="s">
        <v>93</v>
      </c>
      <c r="B151" s="8" t="s">
        <v>159</v>
      </c>
      <c r="C151" s="21">
        <v>100</v>
      </c>
      <c r="D151" s="21" t="s">
        <v>201</v>
      </c>
      <c r="E151" s="21" t="s">
        <v>204</v>
      </c>
      <c r="F151" s="26"/>
      <c r="G151" s="30">
        <f t="shared" si="3"/>
        <v>0</v>
      </c>
    </row>
    <row r="152" spans="1:7" x14ac:dyDescent="0.25">
      <c r="A152" s="19"/>
      <c r="B152" s="9" t="s">
        <v>189</v>
      </c>
      <c r="C152" s="21"/>
      <c r="D152" s="21"/>
      <c r="E152" s="21"/>
      <c r="F152" s="26"/>
      <c r="G152" s="30"/>
    </row>
    <row r="153" spans="1:7" x14ac:dyDescent="0.25">
      <c r="A153" s="19" t="s">
        <v>94</v>
      </c>
      <c r="B153" s="8" t="s">
        <v>156</v>
      </c>
      <c r="C153" s="21">
        <v>100</v>
      </c>
      <c r="D153" s="21" t="s">
        <v>201</v>
      </c>
      <c r="E153" s="21" t="s">
        <v>204</v>
      </c>
      <c r="F153" s="26"/>
      <c r="G153" s="30">
        <f t="shared" si="3"/>
        <v>0</v>
      </c>
    </row>
    <row r="154" spans="1:7" x14ac:dyDescent="0.25">
      <c r="A154" s="19" t="s">
        <v>95</v>
      </c>
      <c r="B154" s="8" t="s">
        <v>159</v>
      </c>
      <c r="C154" s="21">
        <v>100</v>
      </c>
      <c r="D154" s="21" t="s">
        <v>201</v>
      </c>
      <c r="E154" s="21" t="s">
        <v>204</v>
      </c>
      <c r="F154" s="26"/>
      <c r="G154" s="30">
        <f t="shared" si="3"/>
        <v>0</v>
      </c>
    </row>
    <row r="155" spans="1:7" ht="47.25" x14ac:dyDescent="0.25">
      <c r="A155" s="19"/>
      <c r="B155" s="9" t="s">
        <v>270</v>
      </c>
      <c r="C155" s="21"/>
      <c r="D155" s="21"/>
      <c r="E155" s="21"/>
      <c r="F155" s="26"/>
      <c r="G155" s="30"/>
    </row>
    <row r="156" spans="1:7" x14ac:dyDescent="0.25">
      <c r="A156" s="19" t="s">
        <v>96</v>
      </c>
      <c r="B156" s="8" t="s">
        <v>156</v>
      </c>
      <c r="C156" s="21">
        <v>100</v>
      </c>
      <c r="D156" s="21" t="s">
        <v>199</v>
      </c>
      <c r="E156" s="21" t="s">
        <v>204</v>
      </c>
      <c r="F156" s="26"/>
      <c r="G156" s="30">
        <f t="shared" si="3"/>
        <v>0</v>
      </c>
    </row>
    <row r="157" spans="1:7" x14ac:dyDescent="0.25">
      <c r="A157" s="19" t="s">
        <v>97</v>
      </c>
      <c r="B157" s="8" t="s">
        <v>157</v>
      </c>
      <c r="C157" s="21">
        <v>100</v>
      </c>
      <c r="D157" s="21" t="s">
        <v>199</v>
      </c>
      <c r="E157" s="21" t="s">
        <v>204</v>
      </c>
      <c r="F157" s="26"/>
      <c r="G157" s="30">
        <f t="shared" si="3"/>
        <v>0</v>
      </c>
    </row>
    <row r="158" spans="1:7" x14ac:dyDescent="0.25">
      <c r="A158" s="19" t="s">
        <v>98</v>
      </c>
      <c r="B158" s="8" t="s">
        <v>159</v>
      </c>
      <c r="C158" s="21">
        <v>100</v>
      </c>
      <c r="D158" s="21" t="s">
        <v>199</v>
      </c>
      <c r="E158" s="21" t="s">
        <v>204</v>
      </c>
      <c r="F158" s="26"/>
      <c r="G158" s="30">
        <f t="shared" si="3"/>
        <v>0</v>
      </c>
    </row>
    <row r="159" spans="1:7" ht="31.5" x14ac:dyDescent="0.25">
      <c r="A159" s="19" t="s">
        <v>99</v>
      </c>
      <c r="B159" s="8" t="s">
        <v>289</v>
      </c>
      <c r="C159" s="21">
        <v>100</v>
      </c>
      <c r="D159" s="21" t="s">
        <v>201</v>
      </c>
      <c r="E159" s="21" t="s">
        <v>204</v>
      </c>
      <c r="F159" s="26"/>
      <c r="G159" s="30">
        <f t="shared" si="3"/>
        <v>0</v>
      </c>
    </row>
    <row r="160" spans="1:7" ht="31.5" x14ac:dyDescent="0.25">
      <c r="A160" s="19" t="s">
        <v>100</v>
      </c>
      <c r="B160" s="8" t="s">
        <v>236</v>
      </c>
      <c r="C160" s="21">
        <v>100</v>
      </c>
      <c r="D160" s="21" t="s">
        <v>201</v>
      </c>
      <c r="E160" s="21" t="s">
        <v>204</v>
      </c>
      <c r="F160" s="26"/>
      <c r="G160" s="30">
        <f t="shared" si="3"/>
        <v>0</v>
      </c>
    </row>
    <row r="161" spans="1:7" x14ac:dyDescent="0.25">
      <c r="A161" s="19" t="s">
        <v>101</v>
      </c>
      <c r="B161" s="8" t="s">
        <v>190</v>
      </c>
      <c r="C161" s="21">
        <v>110</v>
      </c>
      <c r="D161" s="21" t="s">
        <v>200</v>
      </c>
      <c r="E161" s="21" t="s">
        <v>204</v>
      </c>
      <c r="F161" s="26"/>
      <c r="G161" s="30">
        <f t="shared" si="3"/>
        <v>0</v>
      </c>
    </row>
    <row r="162" spans="1:7" ht="31.5" x14ac:dyDescent="0.25">
      <c r="A162" s="19" t="s">
        <v>102</v>
      </c>
      <c r="B162" s="8" t="s">
        <v>271</v>
      </c>
      <c r="C162" s="21">
        <v>100</v>
      </c>
      <c r="D162" s="21" t="s">
        <v>200</v>
      </c>
      <c r="E162" s="21" t="s">
        <v>204</v>
      </c>
      <c r="F162" s="26"/>
      <c r="G162" s="30">
        <f t="shared" si="3"/>
        <v>0</v>
      </c>
    </row>
    <row r="163" spans="1:7" x14ac:dyDescent="0.25">
      <c r="A163" s="19" t="s">
        <v>103</v>
      </c>
      <c r="B163" s="8" t="s">
        <v>249</v>
      </c>
      <c r="C163" s="21">
        <v>100</v>
      </c>
      <c r="D163" s="21" t="s">
        <v>200</v>
      </c>
      <c r="E163" s="21" t="s">
        <v>204</v>
      </c>
      <c r="F163" s="26"/>
      <c r="G163" s="30">
        <f t="shared" si="3"/>
        <v>0</v>
      </c>
    </row>
    <row r="164" spans="1:7" x14ac:dyDescent="0.25">
      <c r="A164" s="19" t="s">
        <v>104</v>
      </c>
      <c r="B164" s="8" t="s">
        <v>250</v>
      </c>
      <c r="C164" s="21">
        <v>100</v>
      </c>
      <c r="D164" s="21" t="s">
        <v>200</v>
      </c>
      <c r="E164" s="21" t="s">
        <v>204</v>
      </c>
      <c r="F164" s="26"/>
      <c r="G164" s="30">
        <f t="shared" si="3"/>
        <v>0</v>
      </c>
    </row>
    <row r="165" spans="1:7" ht="31.5" x14ac:dyDescent="0.25">
      <c r="A165" s="19" t="s">
        <v>105</v>
      </c>
      <c r="B165" s="8" t="s">
        <v>272</v>
      </c>
      <c r="C165" s="21">
        <v>100</v>
      </c>
      <c r="D165" s="21" t="s">
        <v>198</v>
      </c>
      <c r="E165" s="21" t="s">
        <v>204</v>
      </c>
      <c r="F165" s="26"/>
      <c r="G165" s="30">
        <f t="shared" si="3"/>
        <v>0</v>
      </c>
    </row>
    <row r="166" spans="1:7" x14ac:dyDescent="0.25">
      <c r="A166" s="19" t="s">
        <v>106</v>
      </c>
      <c r="B166" s="8" t="s">
        <v>191</v>
      </c>
      <c r="C166" s="21">
        <v>100</v>
      </c>
      <c r="D166" s="21" t="s">
        <v>199</v>
      </c>
      <c r="E166" s="21" t="s">
        <v>204</v>
      </c>
      <c r="F166" s="26"/>
      <c r="G166" s="30">
        <f t="shared" si="3"/>
        <v>0</v>
      </c>
    </row>
    <row r="167" spans="1:7" ht="31.5" x14ac:dyDescent="0.25">
      <c r="A167" s="19" t="s">
        <v>107</v>
      </c>
      <c r="B167" s="8" t="s">
        <v>273</v>
      </c>
      <c r="C167" s="21">
        <v>100</v>
      </c>
      <c r="D167" s="21" t="s">
        <v>199</v>
      </c>
      <c r="E167" s="21" t="s">
        <v>204</v>
      </c>
      <c r="F167" s="26"/>
      <c r="G167" s="30">
        <f t="shared" si="3"/>
        <v>0</v>
      </c>
    </row>
    <row r="168" spans="1:7" ht="31.5" x14ac:dyDescent="0.25">
      <c r="A168" s="19" t="s">
        <v>108</v>
      </c>
      <c r="B168" s="8" t="s">
        <v>274</v>
      </c>
      <c r="C168" s="21">
        <v>100</v>
      </c>
      <c r="D168" s="21" t="s">
        <v>201</v>
      </c>
      <c r="E168" s="21" t="s">
        <v>204</v>
      </c>
      <c r="F168" s="26"/>
      <c r="G168" s="30">
        <f t="shared" si="3"/>
        <v>0</v>
      </c>
    </row>
    <row r="169" spans="1:7" ht="39" customHeight="1" x14ac:dyDescent="0.25">
      <c r="A169" s="19" t="s">
        <v>109</v>
      </c>
      <c r="B169" s="34" t="s">
        <v>275</v>
      </c>
      <c r="C169" s="21">
        <v>2000</v>
      </c>
      <c r="D169" s="21" t="s">
        <v>199</v>
      </c>
      <c r="E169" s="21" t="s">
        <v>204</v>
      </c>
      <c r="F169" s="26"/>
      <c r="G169" s="30">
        <f t="shared" si="3"/>
        <v>0</v>
      </c>
    </row>
    <row r="170" spans="1:7" ht="47.25" x14ac:dyDescent="0.25">
      <c r="A170" s="19" t="s">
        <v>110</v>
      </c>
      <c r="B170" s="34" t="s">
        <v>276</v>
      </c>
      <c r="C170" s="21">
        <v>2000</v>
      </c>
      <c r="D170" s="21" t="s">
        <v>199</v>
      </c>
      <c r="E170" s="21" t="s">
        <v>204</v>
      </c>
      <c r="F170" s="26"/>
      <c r="G170" s="30">
        <f t="shared" si="3"/>
        <v>0</v>
      </c>
    </row>
    <row r="171" spans="1:7" ht="47.25" x14ac:dyDescent="0.25">
      <c r="A171" s="19" t="s">
        <v>111</v>
      </c>
      <c r="B171" s="34" t="s">
        <v>304</v>
      </c>
      <c r="C171" s="21">
        <v>2000</v>
      </c>
      <c r="D171" s="21" t="s">
        <v>199</v>
      </c>
      <c r="E171" s="21" t="s">
        <v>204</v>
      </c>
      <c r="F171" s="26"/>
      <c r="G171" s="30">
        <f t="shared" si="3"/>
        <v>0</v>
      </c>
    </row>
    <row r="172" spans="1:7" ht="31.5" x14ac:dyDescent="0.25">
      <c r="A172" s="19"/>
      <c r="B172" s="9" t="s">
        <v>192</v>
      </c>
      <c r="C172" s="21"/>
      <c r="D172" s="21"/>
      <c r="E172" s="21"/>
      <c r="F172" s="26"/>
      <c r="G172" s="30"/>
    </row>
    <row r="173" spans="1:7" ht="63" x14ac:dyDescent="0.25">
      <c r="A173" s="19" t="s">
        <v>112</v>
      </c>
      <c r="B173" s="8" t="s">
        <v>239</v>
      </c>
      <c r="C173" s="21">
        <v>1</v>
      </c>
      <c r="D173" s="21" t="s">
        <v>202</v>
      </c>
      <c r="E173" s="21" t="s">
        <v>204</v>
      </c>
      <c r="F173" s="26"/>
      <c r="G173" s="30">
        <f t="shared" si="3"/>
        <v>0</v>
      </c>
    </row>
    <row r="174" spans="1:7" ht="47.25" x14ac:dyDescent="0.25">
      <c r="A174" s="19" t="s">
        <v>113</v>
      </c>
      <c r="B174" s="8" t="s">
        <v>193</v>
      </c>
      <c r="C174" s="21">
        <v>2000</v>
      </c>
      <c r="D174" s="21" t="s">
        <v>203</v>
      </c>
      <c r="E174" s="21" t="s">
        <v>204</v>
      </c>
      <c r="F174" s="26"/>
      <c r="G174" s="30">
        <f t="shared" si="3"/>
        <v>0</v>
      </c>
    </row>
    <row r="175" spans="1:7" x14ac:dyDescent="0.25">
      <c r="A175" s="19" t="s">
        <v>114</v>
      </c>
      <c r="B175" s="8" t="s">
        <v>237</v>
      </c>
      <c r="C175" s="21">
        <v>20</v>
      </c>
      <c r="D175" s="21" t="s">
        <v>201</v>
      </c>
      <c r="E175" s="21" t="s">
        <v>204</v>
      </c>
      <c r="F175" s="26"/>
      <c r="G175" s="30">
        <f t="shared" si="3"/>
        <v>0</v>
      </c>
    </row>
    <row r="176" spans="1:7" ht="78.75" x14ac:dyDescent="0.25">
      <c r="A176" s="19"/>
      <c r="B176" s="8" t="s">
        <v>238</v>
      </c>
      <c r="C176" s="21"/>
      <c r="D176" s="21"/>
      <c r="E176" s="21"/>
      <c r="F176" s="26"/>
      <c r="G176" s="30"/>
    </row>
    <row r="177" spans="1:7" ht="31.5" x14ac:dyDescent="0.25">
      <c r="A177" s="19" t="s">
        <v>115</v>
      </c>
      <c r="B177" s="8" t="s">
        <v>194</v>
      </c>
      <c r="C177" s="21">
        <v>1000</v>
      </c>
      <c r="D177" s="21" t="s">
        <v>199</v>
      </c>
      <c r="E177" s="21" t="s">
        <v>204</v>
      </c>
      <c r="F177" s="26"/>
      <c r="G177" s="30">
        <f t="shared" si="3"/>
        <v>0</v>
      </c>
    </row>
    <row r="178" spans="1:7" ht="31.5" x14ac:dyDescent="0.25">
      <c r="A178" s="19" t="s">
        <v>116</v>
      </c>
      <c r="B178" s="8" t="s">
        <v>195</v>
      </c>
      <c r="C178" s="21">
        <v>1000</v>
      </c>
      <c r="D178" s="21" t="s">
        <v>199</v>
      </c>
      <c r="E178" s="21" t="s">
        <v>204</v>
      </c>
      <c r="F178" s="26"/>
      <c r="G178" s="30">
        <f t="shared" si="3"/>
        <v>0</v>
      </c>
    </row>
    <row r="179" spans="1:7" ht="31.5" x14ac:dyDescent="0.25">
      <c r="A179" s="19" t="s">
        <v>117</v>
      </c>
      <c r="B179" s="8" t="s">
        <v>196</v>
      </c>
      <c r="C179" s="21">
        <v>1000</v>
      </c>
      <c r="D179" s="21" t="s">
        <v>199</v>
      </c>
      <c r="E179" s="21" t="s">
        <v>204</v>
      </c>
      <c r="F179" s="26"/>
      <c r="G179" s="30">
        <f t="shared" si="3"/>
        <v>0</v>
      </c>
    </row>
    <row r="180" spans="1:7" ht="47.25" x14ac:dyDescent="0.25">
      <c r="A180" s="19" t="s">
        <v>118</v>
      </c>
      <c r="B180" s="3" t="s">
        <v>302</v>
      </c>
      <c r="C180" s="21">
        <v>1</v>
      </c>
      <c r="D180" s="21" t="s">
        <v>255</v>
      </c>
      <c r="E180" s="21"/>
      <c r="F180" s="26"/>
      <c r="G180" s="30">
        <f>F180</f>
        <v>0</v>
      </c>
    </row>
    <row r="181" spans="1:7" ht="48" thickBot="1" x14ac:dyDescent="0.3">
      <c r="A181" s="19" t="s">
        <v>119</v>
      </c>
      <c r="B181" s="4" t="s">
        <v>303</v>
      </c>
      <c r="C181" s="21">
        <v>1</v>
      </c>
      <c r="D181" s="21" t="s">
        <v>255</v>
      </c>
      <c r="E181" s="21"/>
      <c r="F181" s="26"/>
      <c r="G181" s="32">
        <f>F181</f>
        <v>0</v>
      </c>
    </row>
    <row r="182" spans="1:7" ht="47.25" x14ac:dyDescent="0.25">
      <c r="A182" s="19"/>
      <c r="B182" s="9" t="s">
        <v>288</v>
      </c>
      <c r="C182" s="21"/>
      <c r="D182" s="21"/>
      <c r="E182" s="21"/>
      <c r="F182" s="23"/>
      <c r="G182" s="28">
        <f>SUM(G7:G181)</f>
        <v>0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31B2-3083-43D2-A87A-AD81402715A3}">
  <dimension ref="A1:G182"/>
  <sheetViews>
    <sheetView topLeftCell="A174" zoomScale="90" zoomScaleNormal="90" workbookViewId="0">
      <selection activeCell="F181" sqref="F7:F181"/>
    </sheetView>
  </sheetViews>
  <sheetFormatPr defaultColWidth="28.5703125" defaultRowHeight="15.75" x14ac:dyDescent="0.25"/>
  <cols>
    <col min="1" max="1" width="14.5703125" style="20" customWidth="1"/>
    <col min="2" max="2" width="53.28515625" style="17" customWidth="1"/>
    <col min="3" max="3" width="14.85546875" style="5" customWidth="1"/>
    <col min="4" max="4" width="10.42578125" style="5" customWidth="1"/>
    <col min="5" max="5" width="14.7109375" style="5" customWidth="1"/>
    <col min="6" max="6" width="15.7109375" style="24" bestFit="1" customWidth="1"/>
    <col min="7" max="7" width="20.28515625" style="24" customWidth="1"/>
    <col min="8" max="16384" width="28.5703125" style="16"/>
  </cols>
  <sheetData>
    <row r="1" spans="1:7" s="15" customFormat="1" ht="15" customHeight="1" x14ac:dyDescent="0.25">
      <c r="A1" s="36" t="s">
        <v>306</v>
      </c>
      <c r="B1" s="37"/>
      <c r="C1" s="37"/>
      <c r="D1" s="37"/>
      <c r="E1" s="37"/>
      <c r="F1" s="37"/>
      <c r="G1" s="38"/>
    </row>
    <row r="2" spans="1:7" x14ac:dyDescent="0.25">
      <c r="A2" s="39" t="s">
        <v>305</v>
      </c>
      <c r="B2" s="40"/>
      <c r="C2" s="40"/>
      <c r="D2" s="40"/>
      <c r="E2" s="40"/>
      <c r="F2" s="40"/>
      <c r="G2" s="41"/>
    </row>
    <row r="3" spans="1:7" x14ac:dyDescent="0.25">
      <c r="A3" s="39" t="s">
        <v>217</v>
      </c>
      <c r="B3" s="40"/>
      <c r="C3" s="40"/>
      <c r="D3" s="40"/>
      <c r="E3" s="40"/>
      <c r="F3" s="40"/>
      <c r="G3" s="41"/>
    </row>
    <row r="4" spans="1:7" ht="16.5" thickBot="1" x14ac:dyDescent="0.3">
      <c r="A4" s="42" t="s">
        <v>307</v>
      </c>
      <c r="B4" s="43"/>
      <c r="C4" s="43"/>
      <c r="D4" s="43"/>
      <c r="E4" s="43"/>
      <c r="F4" s="43"/>
      <c r="G4" s="44"/>
    </row>
    <row r="5" spans="1:7" ht="16.5" thickBot="1" x14ac:dyDescent="0.3">
      <c r="A5" s="18" t="s">
        <v>0</v>
      </c>
      <c r="B5" s="6" t="s">
        <v>1</v>
      </c>
      <c r="C5" s="7" t="s">
        <v>2</v>
      </c>
      <c r="D5" s="7" t="s">
        <v>3</v>
      </c>
      <c r="E5" s="7"/>
      <c r="F5" s="25" t="s">
        <v>4</v>
      </c>
      <c r="G5" s="29" t="s">
        <v>5</v>
      </c>
    </row>
    <row r="6" spans="1:7" x14ac:dyDescent="0.25">
      <c r="A6" s="19"/>
      <c r="B6" s="9" t="s">
        <v>290</v>
      </c>
      <c r="C6" s="21"/>
      <c r="D6" s="21"/>
      <c r="E6" s="21"/>
      <c r="F6" s="26"/>
      <c r="G6" s="30"/>
    </row>
    <row r="7" spans="1:7" ht="47.25" x14ac:dyDescent="0.25">
      <c r="A7" s="19" t="s">
        <v>6</v>
      </c>
      <c r="B7" s="8" t="s">
        <v>257</v>
      </c>
      <c r="C7" s="21">
        <v>200</v>
      </c>
      <c r="D7" s="21" t="s">
        <v>197</v>
      </c>
      <c r="E7" s="21" t="s">
        <v>204</v>
      </c>
      <c r="F7" s="26"/>
      <c r="G7" s="30">
        <f t="shared" ref="G7:G31" si="0">F7*C7</f>
        <v>0</v>
      </c>
    </row>
    <row r="8" spans="1:7" ht="31.5" x14ac:dyDescent="0.25">
      <c r="A8" s="19"/>
      <c r="B8" s="10" t="s">
        <v>251</v>
      </c>
      <c r="C8" s="21"/>
      <c r="D8" s="21"/>
      <c r="E8" s="21"/>
      <c r="F8" s="26"/>
      <c r="G8" s="31"/>
    </row>
    <row r="9" spans="1:7" x14ac:dyDescent="0.25">
      <c r="A9" s="19" t="s">
        <v>282</v>
      </c>
      <c r="B9" s="8" t="s">
        <v>120</v>
      </c>
      <c r="C9" s="21">
        <v>1200</v>
      </c>
      <c r="D9" s="21" t="s">
        <v>198</v>
      </c>
      <c r="E9" s="21" t="s">
        <v>204</v>
      </c>
      <c r="F9" s="26"/>
      <c r="G9" s="30">
        <f t="shared" si="0"/>
        <v>0</v>
      </c>
    </row>
    <row r="10" spans="1:7" x14ac:dyDescent="0.25">
      <c r="A10" s="19" t="s">
        <v>283</v>
      </c>
      <c r="B10" s="8" t="s">
        <v>121</v>
      </c>
      <c r="C10" s="21">
        <v>1200</v>
      </c>
      <c r="D10" s="21" t="s">
        <v>198</v>
      </c>
      <c r="E10" s="21" t="s">
        <v>204</v>
      </c>
      <c r="F10" s="26"/>
      <c r="G10" s="30">
        <f t="shared" si="0"/>
        <v>0</v>
      </c>
    </row>
    <row r="11" spans="1:7" x14ac:dyDescent="0.25">
      <c r="A11" s="19" t="s">
        <v>7</v>
      </c>
      <c r="B11" s="8" t="s">
        <v>122</v>
      </c>
      <c r="C11" s="21">
        <v>1200</v>
      </c>
      <c r="D11" s="21" t="s">
        <v>199</v>
      </c>
      <c r="E11" s="21" t="s">
        <v>204</v>
      </c>
      <c r="F11" s="26"/>
      <c r="G11" s="30">
        <f t="shared" si="0"/>
        <v>0</v>
      </c>
    </row>
    <row r="12" spans="1:7" x14ac:dyDescent="0.25">
      <c r="A12" s="19" t="s">
        <v>8</v>
      </c>
      <c r="B12" s="8" t="s">
        <v>123</v>
      </c>
      <c r="C12" s="21">
        <v>1200</v>
      </c>
      <c r="D12" s="21" t="s">
        <v>199</v>
      </c>
      <c r="E12" s="21" t="s">
        <v>204</v>
      </c>
      <c r="F12" s="26"/>
      <c r="G12" s="30">
        <f t="shared" si="0"/>
        <v>0</v>
      </c>
    </row>
    <row r="13" spans="1:7" x14ac:dyDescent="0.25">
      <c r="A13" s="19"/>
      <c r="B13" s="9" t="s">
        <v>256</v>
      </c>
      <c r="C13" s="21"/>
      <c r="D13" s="21"/>
      <c r="E13" s="21"/>
      <c r="F13" s="26"/>
      <c r="G13" s="30"/>
    </row>
    <row r="14" spans="1:7" ht="31.5" x14ac:dyDescent="0.25">
      <c r="A14" s="19"/>
      <c r="B14" s="9" t="s">
        <v>124</v>
      </c>
      <c r="C14" s="21"/>
      <c r="D14" s="21"/>
      <c r="E14" s="21"/>
      <c r="F14" s="26"/>
      <c r="G14" s="30"/>
    </row>
    <row r="15" spans="1:7" ht="31.5" x14ac:dyDescent="0.25">
      <c r="A15" s="19" t="s">
        <v>218</v>
      </c>
      <c r="B15" s="8" t="s">
        <v>125</v>
      </c>
      <c r="C15" s="21">
        <v>120</v>
      </c>
      <c r="D15" s="21" t="s">
        <v>197</v>
      </c>
      <c r="E15" s="21" t="s">
        <v>204</v>
      </c>
      <c r="F15" s="26"/>
      <c r="G15" s="30">
        <f t="shared" si="0"/>
        <v>0</v>
      </c>
    </row>
    <row r="16" spans="1:7" x14ac:dyDescent="0.25">
      <c r="A16" s="19" t="s">
        <v>219</v>
      </c>
      <c r="B16" s="8" t="s">
        <v>126</v>
      </c>
      <c r="C16" s="21">
        <v>120</v>
      </c>
      <c r="D16" s="21" t="s">
        <v>197</v>
      </c>
      <c r="E16" s="21" t="s">
        <v>204</v>
      </c>
      <c r="F16" s="26"/>
      <c r="G16" s="30">
        <f t="shared" si="0"/>
        <v>0</v>
      </c>
    </row>
    <row r="17" spans="1:7" ht="31.5" x14ac:dyDescent="0.25">
      <c r="A17" s="19" t="s">
        <v>9</v>
      </c>
      <c r="B17" s="8" t="s">
        <v>258</v>
      </c>
      <c r="C17" s="21">
        <v>120</v>
      </c>
      <c r="D17" s="21" t="s">
        <v>197</v>
      </c>
      <c r="E17" s="21" t="s">
        <v>204</v>
      </c>
      <c r="F17" s="26"/>
      <c r="G17" s="30">
        <f t="shared" si="0"/>
        <v>0</v>
      </c>
    </row>
    <row r="18" spans="1:7" x14ac:dyDescent="0.25">
      <c r="A18" s="19" t="s">
        <v>10</v>
      </c>
      <c r="B18" s="8" t="s">
        <v>127</v>
      </c>
      <c r="C18" s="21">
        <v>15</v>
      </c>
      <c r="D18" s="21" t="s">
        <v>197</v>
      </c>
      <c r="E18" s="21" t="s">
        <v>204</v>
      </c>
      <c r="F18" s="26"/>
      <c r="G18" s="30">
        <f t="shared" si="0"/>
        <v>0</v>
      </c>
    </row>
    <row r="19" spans="1:7" ht="31.5" x14ac:dyDescent="0.25">
      <c r="A19" s="19" t="s">
        <v>11</v>
      </c>
      <c r="B19" s="8" t="s">
        <v>259</v>
      </c>
      <c r="C19" s="21">
        <v>30</v>
      </c>
      <c r="D19" s="21" t="s">
        <v>200</v>
      </c>
      <c r="E19" s="21" t="s">
        <v>204</v>
      </c>
      <c r="F19" s="26"/>
      <c r="G19" s="30">
        <f t="shared" si="0"/>
        <v>0</v>
      </c>
    </row>
    <row r="20" spans="1:7" ht="31.5" x14ac:dyDescent="0.25">
      <c r="A20" s="19" t="s">
        <v>284</v>
      </c>
      <c r="B20" s="8" t="s">
        <v>260</v>
      </c>
      <c r="C20" s="21">
        <v>90</v>
      </c>
      <c r="D20" s="21" t="s">
        <v>200</v>
      </c>
      <c r="E20" s="21" t="s">
        <v>204</v>
      </c>
      <c r="F20" s="26"/>
      <c r="G20" s="30">
        <f t="shared" si="0"/>
        <v>0</v>
      </c>
    </row>
    <row r="21" spans="1:7" ht="31.5" x14ac:dyDescent="0.25">
      <c r="A21" s="19" t="s">
        <v>12</v>
      </c>
      <c r="B21" s="8" t="s">
        <v>261</v>
      </c>
      <c r="C21" s="21">
        <v>300</v>
      </c>
      <c r="D21" s="21" t="s">
        <v>198</v>
      </c>
      <c r="E21" s="21" t="s">
        <v>204</v>
      </c>
      <c r="F21" s="26"/>
      <c r="G21" s="30">
        <f t="shared" si="0"/>
        <v>0</v>
      </c>
    </row>
    <row r="22" spans="1:7" x14ac:dyDescent="0.25">
      <c r="A22" s="19"/>
      <c r="B22" s="10" t="s">
        <v>293</v>
      </c>
      <c r="C22" s="21"/>
      <c r="D22" s="21"/>
      <c r="E22" s="21"/>
      <c r="F22" s="26"/>
      <c r="G22" s="30"/>
    </row>
    <row r="23" spans="1:7" ht="31.5" x14ac:dyDescent="0.25">
      <c r="A23" s="19"/>
      <c r="B23" s="10" t="s">
        <v>294</v>
      </c>
      <c r="C23" s="21"/>
      <c r="D23" s="21"/>
      <c r="E23" s="21"/>
      <c r="F23" s="26"/>
      <c r="G23" s="30"/>
    </row>
    <row r="24" spans="1:7" x14ac:dyDescent="0.25">
      <c r="A24" s="19" t="s">
        <v>13</v>
      </c>
      <c r="B24" s="8" t="s">
        <v>128</v>
      </c>
      <c r="C24" s="21">
        <v>100</v>
      </c>
      <c r="D24" s="21" t="s">
        <v>197</v>
      </c>
      <c r="E24" s="21" t="s">
        <v>204</v>
      </c>
      <c r="F24" s="26"/>
      <c r="G24" s="30">
        <f t="shared" si="0"/>
        <v>0</v>
      </c>
    </row>
    <row r="25" spans="1:7" x14ac:dyDescent="0.25">
      <c r="A25" s="19" t="s">
        <v>285</v>
      </c>
      <c r="B25" s="8" t="s">
        <v>252</v>
      </c>
      <c r="C25" s="21">
        <v>100</v>
      </c>
      <c r="D25" s="21" t="s">
        <v>197</v>
      </c>
      <c r="E25" s="21" t="s">
        <v>204</v>
      </c>
      <c r="F25" s="26"/>
      <c r="G25" s="30">
        <f t="shared" si="0"/>
        <v>0</v>
      </c>
    </row>
    <row r="26" spans="1:7" x14ac:dyDescent="0.25">
      <c r="A26" s="19" t="s">
        <v>14</v>
      </c>
      <c r="B26" s="8" t="s">
        <v>253</v>
      </c>
      <c r="C26" s="21">
        <v>100</v>
      </c>
      <c r="D26" s="21" t="s">
        <v>197</v>
      </c>
      <c r="E26" s="21" t="s">
        <v>204</v>
      </c>
      <c r="F26" s="26"/>
      <c r="G26" s="30">
        <f t="shared" si="0"/>
        <v>0</v>
      </c>
    </row>
    <row r="27" spans="1:7" ht="47.25" x14ac:dyDescent="0.25">
      <c r="A27" s="19" t="s">
        <v>286</v>
      </c>
      <c r="B27" s="8" t="s">
        <v>262</v>
      </c>
      <c r="C27" s="22">
        <v>18</v>
      </c>
      <c r="D27" s="22" t="s">
        <v>197</v>
      </c>
      <c r="E27" s="22" t="s">
        <v>204</v>
      </c>
      <c r="F27" s="26"/>
      <c r="G27" s="31">
        <f>F27*C27</f>
        <v>0</v>
      </c>
    </row>
    <row r="28" spans="1:7" x14ac:dyDescent="0.25">
      <c r="A28" s="19" t="s">
        <v>15</v>
      </c>
      <c r="B28" s="8" t="s">
        <v>129</v>
      </c>
      <c r="C28" s="21">
        <v>18</v>
      </c>
      <c r="D28" s="21" t="s">
        <v>197</v>
      </c>
      <c r="E28" s="21" t="s">
        <v>204</v>
      </c>
      <c r="F28" s="26"/>
      <c r="G28" s="30">
        <f t="shared" si="0"/>
        <v>0</v>
      </c>
    </row>
    <row r="29" spans="1:7" ht="31.5" x14ac:dyDescent="0.25">
      <c r="A29" s="19" t="s">
        <v>287</v>
      </c>
      <c r="B29" s="8" t="s">
        <v>264</v>
      </c>
      <c r="C29" s="21">
        <v>6</v>
      </c>
      <c r="D29" s="21" t="s">
        <v>197</v>
      </c>
      <c r="E29" s="21" t="s">
        <v>204</v>
      </c>
      <c r="F29" s="26"/>
      <c r="G29" s="30">
        <f t="shared" si="0"/>
        <v>0</v>
      </c>
    </row>
    <row r="30" spans="1:7" ht="31.5" x14ac:dyDescent="0.25">
      <c r="A30" s="19" t="s">
        <v>16</v>
      </c>
      <c r="B30" s="8" t="s">
        <v>263</v>
      </c>
      <c r="C30" s="21">
        <v>9</v>
      </c>
      <c r="D30" s="21" t="s">
        <v>197</v>
      </c>
      <c r="E30" s="21" t="s">
        <v>204</v>
      </c>
      <c r="F30" s="26"/>
      <c r="G30" s="30">
        <f t="shared" si="0"/>
        <v>0</v>
      </c>
    </row>
    <row r="31" spans="1:7" x14ac:dyDescent="0.25">
      <c r="A31" s="19" t="s">
        <v>17</v>
      </c>
      <c r="B31" s="8" t="s">
        <v>130</v>
      </c>
      <c r="C31" s="21">
        <v>9</v>
      </c>
      <c r="D31" s="21" t="s">
        <v>197</v>
      </c>
      <c r="E31" s="21" t="s">
        <v>204</v>
      </c>
      <c r="F31" s="26"/>
      <c r="G31" s="30">
        <f t="shared" si="0"/>
        <v>0</v>
      </c>
    </row>
    <row r="32" spans="1:7" ht="47.25" x14ac:dyDescent="0.25">
      <c r="A32" s="19"/>
      <c r="B32" s="9" t="s">
        <v>216</v>
      </c>
      <c r="C32" s="21"/>
      <c r="D32" s="21"/>
      <c r="E32" s="21"/>
      <c r="F32" s="26"/>
      <c r="G32" s="30"/>
    </row>
    <row r="33" spans="1:7" x14ac:dyDescent="0.25">
      <c r="A33" s="19" t="s">
        <v>18</v>
      </c>
      <c r="B33" s="8" t="s">
        <v>131</v>
      </c>
      <c r="C33" s="21">
        <v>20</v>
      </c>
      <c r="D33" s="21" t="s">
        <v>197</v>
      </c>
      <c r="E33" s="21" t="s">
        <v>204</v>
      </c>
      <c r="F33" s="26"/>
      <c r="G33" s="30">
        <f t="shared" ref="G33:G58" si="1">F33*C33</f>
        <v>0</v>
      </c>
    </row>
    <row r="34" spans="1:7" x14ac:dyDescent="0.25">
      <c r="A34" s="19" t="s">
        <v>19</v>
      </c>
      <c r="B34" s="8" t="s">
        <v>132</v>
      </c>
      <c r="C34" s="21">
        <v>20</v>
      </c>
      <c r="D34" s="21" t="s">
        <v>197</v>
      </c>
      <c r="E34" s="21" t="s">
        <v>204</v>
      </c>
      <c r="F34" s="26"/>
      <c r="G34" s="30">
        <f t="shared" si="1"/>
        <v>0</v>
      </c>
    </row>
    <row r="35" spans="1:7" ht="31.5" x14ac:dyDescent="0.25">
      <c r="A35" s="19"/>
      <c r="B35" s="9" t="s">
        <v>291</v>
      </c>
      <c r="C35" s="21"/>
      <c r="D35" s="21"/>
      <c r="E35" s="21"/>
      <c r="F35" s="26"/>
      <c r="G35" s="30"/>
    </row>
    <row r="36" spans="1:7" ht="47.25" x14ac:dyDescent="0.25">
      <c r="A36" s="19" t="s">
        <v>20</v>
      </c>
      <c r="B36" s="8" t="s">
        <v>277</v>
      </c>
      <c r="C36" s="21">
        <v>100</v>
      </c>
      <c r="D36" s="21" t="s">
        <v>197</v>
      </c>
      <c r="E36" s="21" t="s">
        <v>204</v>
      </c>
      <c r="F36" s="26"/>
      <c r="G36" s="30">
        <f t="shared" si="1"/>
        <v>0</v>
      </c>
    </row>
    <row r="37" spans="1:7" x14ac:dyDescent="0.25">
      <c r="A37" s="19"/>
      <c r="B37" s="9" t="s">
        <v>133</v>
      </c>
      <c r="C37" s="21"/>
      <c r="D37" s="21"/>
      <c r="E37" s="21"/>
      <c r="F37" s="26"/>
      <c r="G37" s="30"/>
    </row>
    <row r="38" spans="1:7" x14ac:dyDescent="0.25">
      <c r="A38" s="19" t="s">
        <v>21</v>
      </c>
      <c r="B38" s="8" t="s">
        <v>134</v>
      </c>
      <c r="C38" s="21">
        <v>100</v>
      </c>
      <c r="D38" s="21" t="s">
        <v>199</v>
      </c>
      <c r="E38" s="21" t="s">
        <v>204</v>
      </c>
      <c r="F38" s="26"/>
      <c r="G38" s="30">
        <f t="shared" si="1"/>
        <v>0</v>
      </c>
    </row>
    <row r="39" spans="1:7" x14ac:dyDescent="0.25">
      <c r="A39" s="19" t="s">
        <v>22</v>
      </c>
      <c r="B39" s="8" t="s">
        <v>135</v>
      </c>
      <c r="C39" s="21">
        <v>100</v>
      </c>
      <c r="D39" s="21" t="s">
        <v>199</v>
      </c>
      <c r="E39" s="21" t="s">
        <v>204</v>
      </c>
      <c r="F39" s="26"/>
      <c r="G39" s="30">
        <f t="shared" si="1"/>
        <v>0</v>
      </c>
    </row>
    <row r="40" spans="1:7" x14ac:dyDescent="0.25">
      <c r="A40" s="19"/>
      <c r="B40" s="9" t="s">
        <v>295</v>
      </c>
      <c r="C40" s="21"/>
      <c r="D40" s="21"/>
      <c r="E40" s="21"/>
      <c r="F40" s="26"/>
      <c r="G40" s="30"/>
    </row>
    <row r="41" spans="1:7" ht="31.5" x14ac:dyDescent="0.25">
      <c r="A41" s="19"/>
      <c r="B41" s="9" t="s">
        <v>215</v>
      </c>
      <c r="C41" s="21"/>
      <c r="D41" s="21"/>
      <c r="E41" s="21"/>
      <c r="F41" s="26"/>
      <c r="G41" s="30"/>
    </row>
    <row r="42" spans="1:7" x14ac:dyDescent="0.25">
      <c r="A42" s="19" t="s">
        <v>23</v>
      </c>
      <c r="B42" s="8" t="s">
        <v>136</v>
      </c>
      <c r="C42" s="21">
        <v>100</v>
      </c>
      <c r="D42" s="21" t="s">
        <v>197</v>
      </c>
      <c r="E42" s="21" t="s">
        <v>204</v>
      </c>
      <c r="F42" s="26"/>
      <c r="G42" s="30">
        <f t="shared" si="1"/>
        <v>0</v>
      </c>
    </row>
    <row r="43" spans="1:7" ht="31.5" x14ac:dyDescent="0.25">
      <c r="A43" s="19"/>
      <c r="B43" s="9" t="s">
        <v>214</v>
      </c>
      <c r="C43" s="21"/>
      <c r="D43" s="21"/>
      <c r="E43" s="21"/>
      <c r="F43" s="26"/>
      <c r="G43" s="30"/>
    </row>
    <row r="44" spans="1:7" x14ac:dyDescent="0.25">
      <c r="A44" s="19" t="s">
        <v>24</v>
      </c>
      <c r="B44" s="8" t="s">
        <v>137</v>
      </c>
      <c r="C44" s="21">
        <v>100</v>
      </c>
      <c r="D44" s="21" t="s">
        <v>197</v>
      </c>
      <c r="E44" s="21" t="s">
        <v>204</v>
      </c>
      <c r="F44" s="26"/>
      <c r="G44" s="30">
        <f t="shared" si="1"/>
        <v>0</v>
      </c>
    </row>
    <row r="45" spans="1:7" ht="47.25" x14ac:dyDescent="0.25">
      <c r="A45" s="19"/>
      <c r="B45" s="9" t="s">
        <v>292</v>
      </c>
      <c r="C45" s="21"/>
      <c r="D45" s="21"/>
      <c r="E45" s="21"/>
      <c r="F45" s="26"/>
      <c r="G45" s="30"/>
    </row>
    <row r="46" spans="1:7" x14ac:dyDescent="0.25">
      <c r="A46" s="19" t="s">
        <v>25</v>
      </c>
      <c r="B46" s="8" t="s">
        <v>138</v>
      </c>
      <c r="C46" s="21">
        <v>100</v>
      </c>
      <c r="D46" s="21" t="s">
        <v>197</v>
      </c>
      <c r="E46" s="21" t="s">
        <v>204</v>
      </c>
      <c r="F46" s="26"/>
      <c r="G46" s="30">
        <f t="shared" si="1"/>
        <v>0</v>
      </c>
    </row>
    <row r="47" spans="1:7" x14ac:dyDescent="0.25">
      <c r="A47" s="19" t="s">
        <v>26</v>
      </c>
      <c r="B47" s="8" t="s">
        <v>139</v>
      </c>
      <c r="C47" s="21">
        <v>100</v>
      </c>
      <c r="D47" s="21" t="s">
        <v>197</v>
      </c>
      <c r="E47" s="21" t="s">
        <v>204</v>
      </c>
      <c r="F47" s="26"/>
      <c r="G47" s="30">
        <f t="shared" si="1"/>
        <v>0</v>
      </c>
    </row>
    <row r="48" spans="1:7" ht="31.5" x14ac:dyDescent="0.25">
      <c r="A48" s="19" t="s">
        <v>27</v>
      </c>
      <c r="B48" s="8" t="s">
        <v>265</v>
      </c>
      <c r="C48" s="21">
        <v>150</v>
      </c>
      <c r="D48" s="21" t="s">
        <v>199</v>
      </c>
      <c r="E48" s="21" t="s">
        <v>204</v>
      </c>
      <c r="F48" s="26"/>
      <c r="G48" s="30">
        <f t="shared" si="1"/>
        <v>0</v>
      </c>
    </row>
    <row r="49" spans="1:7" ht="31.5" x14ac:dyDescent="0.25">
      <c r="A49" s="19" t="s">
        <v>28</v>
      </c>
      <c r="B49" s="8" t="s">
        <v>266</v>
      </c>
      <c r="C49" s="21">
        <v>36</v>
      </c>
      <c r="D49" s="21" t="s">
        <v>199</v>
      </c>
      <c r="E49" s="21" t="s">
        <v>204</v>
      </c>
      <c r="F49" s="26"/>
      <c r="G49" s="30">
        <f t="shared" si="1"/>
        <v>0</v>
      </c>
    </row>
    <row r="50" spans="1:7" ht="47.25" x14ac:dyDescent="0.25">
      <c r="A50" s="19" t="s">
        <v>29</v>
      </c>
      <c r="B50" s="8" t="s">
        <v>267</v>
      </c>
      <c r="C50" s="21">
        <v>100</v>
      </c>
      <c r="D50" s="21" t="s">
        <v>199</v>
      </c>
      <c r="E50" s="21" t="s">
        <v>204</v>
      </c>
      <c r="F50" s="26"/>
      <c r="G50" s="30">
        <f t="shared" si="1"/>
        <v>0</v>
      </c>
    </row>
    <row r="51" spans="1:7" x14ac:dyDescent="0.25">
      <c r="A51" s="19" t="s">
        <v>30</v>
      </c>
      <c r="B51" s="8" t="s">
        <v>140</v>
      </c>
      <c r="C51" s="21">
        <v>100</v>
      </c>
      <c r="D51" s="21" t="s">
        <v>197</v>
      </c>
      <c r="E51" s="21" t="s">
        <v>204</v>
      </c>
      <c r="F51" s="26"/>
      <c r="G51" s="30">
        <f t="shared" si="1"/>
        <v>0</v>
      </c>
    </row>
    <row r="52" spans="1:7" x14ac:dyDescent="0.25">
      <c r="A52" s="19" t="s">
        <v>31</v>
      </c>
      <c r="B52" s="8" t="s">
        <v>141</v>
      </c>
      <c r="C52" s="21">
        <v>300</v>
      </c>
      <c r="D52" s="21" t="s">
        <v>199</v>
      </c>
      <c r="E52" s="21" t="s">
        <v>204</v>
      </c>
      <c r="F52" s="26"/>
      <c r="G52" s="30">
        <f t="shared" si="1"/>
        <v>0</v>
      </c>
    </row>
    <row r="53" spans="1:7" x14ac:dyDescent="0.25">
      <c r="A53" s="19"/>
      <c r="B53" s="9" t="s">
        <v>142</v>
      </c>
      <c r="C53" s="21"/>
      <c r="D53" s="21"/>
      <c r="E53" s="21"/>
      <c r="F53" s="26"/>
      <c r="G53" s="30"/>
    </row>
    <row r="54" spans="1:7" x14ac:dyDescent="0.25">
      <c r="A54" s="19" t="s">
        <v>32</v>
      </c>
      <c r="B54" s="8" t="s">
        <v>143</v>
      </c>
      <c r="C54" s="21">
        <v>150</v>
      </c>
      <c r="D54" s="21" t="s">
        <v>199</v>
      </c>
      <c r="E54" s="21" t="s">
        <v>204</v>
      </c>
      <c r="F54" s="26"/>
      <c r="G54" s="30">
        <f t="shared" si="1"/>
        <v>0</v>
      </c>
    </row>
    <row r="55" spans="1:7" ht="31.5" x14ac:dyDescent="0.25">
      <c r="A55" s="19"/>
      <c r="B55" s="9" t="s">
        <v>278</v>
      </c>
      <c r="C55" s="21"/>
      <c r="D55" s="21"/>
      <c r="E55" s="21"/>
      <c r="F55" s="26"/>
      <c r="G55" s="30"/>
    </row>
    <row r="56" spans="1:7" x14ac:dyDescent="0.25">
      <c r="A56" s="19" t="s">
        <v>33</v>
      </c>
      <c r="B56" s="8" t="s">
        <v>144</v>
      </c>
      <c r="C56" s="21">
        <v>100</v>
      </c>
      <c r="D56" s="21" t="s">
        <v>197</v>
      </c>
      <c r="E56" s="21" t="s">
        <v>204</v>
      </c>
      <c r="F56" s="26"/>
      <c r="G56" s="30">
        <f t="shared" si="1"/>
        <v>0</v>
      </c>
    </row>
    <row r="57" spans="1:7" x14ac:dyDescent="0.25">
      <c r="A57" s="19" t="s">
        <v>34</v>
      </c>
      <c r="B57" s="8" t="s">
        <v>145</v>
      </c>
      <c r="C57" s="21">
        <v>100</v>
      </c>
      <c r="D57" s="21" t="s">
        <v>197</v>
      </c>
      <c r="E57" s="21" t="s">
        <v>204</v>
      </c>
      <c r="F57" s="26"/>
      <c r="G57" s="30">
        <f t="shared" si="1"/>
        <v>0</v>
      </c>
    </row>
    <row r="58" spans="1:7" x14ac:dyDescent="0.25">
      <c r="A58" s="19" t="s">
        <v>35</v>
      </c>
      <c r="B58" s="8" t="s">
        <v>146</v>
      </c>
      <c r="C58" s="21">
        <v>100</v>
      </c>
      <c r="D58" s="21" t="s">
        <v>197</v>
      </c>
      <c r="E58" s="21" t="s">
        <v>204</v>
      </c>
      <c r="F58" s="26"/>
      <c r="G58" s="30">
        <f t="shared" si="1"/>
        <v>0</v>
      </c>
    </row>
    <row r="59" spans="1:7" ht="31.5" x14ac:dyDescent="0.25">
      <c r="A59" s="19"/>
      <c r="B59" s="9" t="s">
        <v>147</v>
      </c>
      <c r="C59" s="21"/>
      <c r="D59" s="21"/>
      <c r="E59" s="21"/>
      <c r="F59" s="26"/>
      <c r="G59" s="30"/>
    </row>
    <row r="60" spans="1:7" x14ac:dyDescent="0.25">
      <c r="A60" s="19" t="s">
        <v>36</v>
      </c>
      <c r="B60" s="8" t="s">
        <v>144</v>
      </c>
      <c r="C60" s="21">
        <v>100</v>
      </c>
      <c r="D60" s="21" t="s">
        <v>197</v>
      </c>
      <c r="E60" s="21" t="s">
        <v>204</v>
      </c>
      <c r="F60" s="26"/>
      <c r="G60" s="30">
        <f t="shared" ref="G60:G122" si="2">F60*C60</f>
        <v>0</v>
      </c>
    </row>
    <row r="61" spans="1:7" x14ac:dyDescent="0.25">
      <c r="A61" s="19" t="s">
        <v>37</v>
      </c>
      <c r="B61" s="8" t="s">
        <v>145</v>
      </c>
      <c r="C61" s="21">
        <v>100</v>
      </c>
      <c r="D61" s="21" t="s">
        <v>197</v>
      </c>
      <c r="E61" s="21" t="s">
        <v>204</v>
      </c>
      <c r="F61" s="26"/>
      <c r="G61" s="30">
        <f t="shared" si="2"/>
        <v>0</v>
      </c>
    </row>
    <row r="62" spans="1:7" x14ac:dyDescent="0.25">
      <c r="A62" s="19" t="s">
        <v>38</v>
      </c>
      <c r="B62" s="8" t="s">
        <v>146</v>
      </c>
      <c r="C62" s="21">
        <v>100</v>
      </c>
      <c r="D62" s="21" t="s">
        <v>197</v>
      </c>
      <c r="E62" s="21" t="s">
        <v>204</v>
      </c>
      <c r="F62" s="26"/>
      <c r="G62" s="30">
        <f t="shared" si="2"/>
        <v>0</v>
      </c>
    </row>
    <row r="63" spans="1:7" x14ac:dyDescent="0.25">
      <c r="A63" s="19" t="s">
        <v>39</v>
      </c>
      <c r="B63" s="8" t="s">
        <v>148</v>
      </c>
      <c r="C63" s="21">
        <v>100</v>
      </c>
      <c r="D63" s="21" t="s">
        <v>199</v>
      </c>
      <c r="E63" s="21" t="s">
        <v>204</v>
      </c>
      <c r="F63" s="26"/>
      <c r="G63" s="30">
        <f t="shared" si="2"/>
        <v>0</v>
      </c>
    </row>
    <row r="64" spans="1:7" x14ac:dyDescent="0.25">
      <c r="A64" s="19" t="s">
        <v>40</v>
      </c>
      <c r="B64" s="8" t="s">
        <v>149</v>
      </c>
      <c r="C64" s="21">
        <v>100</v>
      </c>
      <c r="D64" s="21" t="s">
        <v>201</v>
      </c>
      <c r="E64" s="21" t="s">
        <v>204</v>
      </c>
      <c r="F64" s="26"/>
      <c r="G64" s="30">
        <f t="shared" si="2"/>
        <v>0</v>
      </c>
    </row>
    <row r="65" spans="1:7" ht="18.75" customHeight="1" x14ac:dyDescent="0.25">
      <c r="A65" s="19" t="s">
        <v>41</v>
      </c>
      <c r="B65" s="8" t="s">
        <v>150</v>
      </c>
      <c r="C65" s="21">
        <v>100</v>
      </c>
      <c r="D65" s="21" t="s">
        <v>200</v>
      </c>
      <c r="E65" s="21" t="s">
        <v>204</v>
      </c>
      <c r="F65" s="26"/>
      <c r="G65" s="30">
        <f t="shared" si="2"/>
        <v>0</v>
      </c>
    </row>
    <row r="66" spans="1:7" x14ac:dyDescent="0.25">
      <c r="A66" s="19" t="s">
        <v>42</v>
      </c>
      <c r="B66" s="8" t="s">
        <v>151</v>
      </c>
      <c r="C66" s="21">
        <v>100</v>
      </c>
      <c r="D66" s="21" t="s">
        <v>201</v>
      </c>
      <c r="E66" s="21" t="s">
        <v>204</v>
      </c>
      <c r="F66" s="26"/>
      <c r="G66" s="30">
        <f t="shared" si="2"/>
        <v>0</v>
      </c>
    </row>
    <row r="67" spans="1:7" ht="31.5" x14ac:dyDescent="0.25">
      <c r="A67" s="19"/>
      <c r="B67" s="9" t="s">
        <v>213</v>
      </c>
      <c r="C67" s="21"/>
      <c r="D67" s="21"/>
      <c r="E67" s="21"/>
      <c r="F67" s="26"/>
      <c r="G67" s="30"/>
    </row>
    <row r="68" spans="1:7" x14ac:dyDescent="0.25">
      <c r="A68" s="19" t="s">
        <v>43</v>
      </c>
      <c r="B68" s="8" t="s">
        <v>152</v>
      </c>
      <c r="C68" s="21">
        <v>100</v>
      </c>
      <c r="D68" s="21" t="s">
        <v>197</v>
      </c>
      <c r="E68" s="21" t="s">
        <v>204</v>
      </c>
      <c r="F68" s="26"/>
      <c r="G68" s="30">
        <f t="shared" si="2"/>
        <v>0</v>
      </c>
    </row>
    <row r="69" spans="1:7" x14ac:dyDescent="0.25">
      <c r="A69" s="19" t="s">
        <v>44</v>
      </c>
      <c r="B69" s="8" t="s">
        <v>153</v>
      </c>
      <c r="C69" s="21">
        <v>100</v>
      </c>
      <c r="D69" s="21" t="s">
        <v>197</v>
      </c>
      <c r="E69" s="21" t="s">
        <v>204</v>
      </c>
      <c r="F69" s="26"/>
      <c r="G69" s="30">
        <f t="shared" si="2"/>
        <v>0</v>
      </c>
    </row>
    <row r="70" spans="1:7" x14ac:dyDescent="0.25">
      <c r="A70" s="19" t="s">
        <v>45</v>
      </c>
      <c r="B70" s="8" t="s">
        <v>154</v>
      </c>
      <c r="C70" s="21">
        <v>100</v>
      </c>
      <c r="D70" s="21" t="s">
        <v>199</v>
      </c>
      <c r="E70" s="21" t="s">
        <v>204</v>
      </c>
      <c r="F70" s="26"/>
      <c r="G70" s="30">
        <f t="shared" si="2"/>
        <v>0</v>
      </c>
    </row>
    <row r="71" spans="1:7" x14ac:dyDescent="0.25">
      <c r="A71" s="19" t="s">
        <v>46</v>
      </c>
      <c r="B71" s="8" t="s">
        <v>155</v>
      </c>
      <c r="C71" s="21">
        <v>100</v>
      </c>
      <c r="D71" s="21" t="s">
        <v>201</v>
      </c>
      <c r="E71" s="21" t="s">
        <v>204</v>
      </c>
      <c r="F71" s="26"/>
      <c r="G71" s="30">
        <f t="shared" si="2"/>
        <v>0</v>
      </c>
    </row>
    <row r="72" spans="1:7" ht="31.5" x14ac:dyDescent="0.25">
      <c r="A72" s="19"/>
      <c r="B72" s="9" t="s">
        <v>268</v>
      </c>
      <c r="C72" s="21"/>
      <c r="D72" s="21"/>
      <c r="E72" s="21"/>
      <c r="F72" s="26"/>
      <c r="G72" s="30"/>
    </row>
    <row r="73" spans="1:7" x14ac:dyDescent="0.25">
      <c r="A73" s="19" t="s">
        <v>47</v>
      </c>
      <c r="B73" s="8" t="s">
        <v>156</v>
      </c>
      <c r="C73" s="21">
        <v>100</v>
      </c>
      <c r="D73" s="21" t="s">
        <v>199</v>
      </c>
      <c r="E73" s="21" t="s">
        <v>204</v>
      </c>
      <c r="F73" s="26"/>
      <c r="G73" s="30">
        <f t="shared" si="2"/>
        <v>0</v>
      </c>
    </row>
    <row r="74" spans="1:7" x14ac:dyDescent="0.25">
      <c r="A74" s="19" t="s">
        <v>48</v>
      </c>
      <c r="B74" s="8" t="s">
        <v>157</v>
      </c>
      <c r="C74" s="21">
        <v>100</v>
      </c>
      <c r="D74" s="21" t="s">
        <v>199</v>
      </c>
      <c r="E74" s="21" t="s">
        <v>204</v>
      </c>
      <c r="F74" s="26"/>
      <c r="G74" s="30">
        <f t="shared" si="2"/>
        <v>0</v>
      </c>
    </row>
    <row r="75" spans="1:7" x14ac:dyDescent="0.25">
      <c r="A75" s="19" t="s">
        <v>49</v>
      </c>
      <c r="B75" s="8" t="s">
        <v>158</v>
      </c>
      <c r="C75" s="21">
        <v>100</v>
      </c>
      <c r="D75" s="21" t="s">
        <v>199</v>
      </c>
      <c r="E75" s="21" t="s">
        <v>204</v>
      </c>
      <c r="F75" s="26"/>
      <c r="G75" s="30">
        <f t="shared" si="2"/>
        <v>0</v>
      </c>
    </row>
    <row r="76" spans="1:7" x14ac:dyDescent="0.25">
      <c r="A76" s="19" t="s">
        <v>50</v>
      </c>
      <c r="B76" s="8" t="s">
        <v>159</v>
      </c>
      <c r="C76" s="21">
        <v>100</v>
      </c>
      <c r="D76" s="21" t="s">
        <v>199</v>
      </c>
      <c r="E76" s="21" t="s">
        <v>204</v>
      </c>
      <c r="F76" s="26"/>
      <c r="G76" s="30">
        <f t="shared" si="2"/>
        <v>0</v>
      </c>
    </row>
    <row r="77" spans="1:7" ht="31.5" x14ac:dyDescent="0.25">
      <c r="A77" s="19"/>
      <c r="B77" s="9" t="s">
        <v>269</v>
      </c>
      <c r="C77" s="21"/>
      <c r="D77" s="21"/>
      <c r="E77" s="21"/>
      <c r="F77" s="26"/>
      <c r="G77" s="30"/>
    </row>
    <row r="78" spans="1:7" x14ac:dyDescent="0.25">
      <c r="A78" s="19" t="s">
        <v>51</v>
      </c>
      <c r="B78" s="8" t="s">
        <v>156</v>
      </c>
      <c r="C78" s="21">
        <v>100</v>
      </c>
      <c r="D78" s="21" t="s">
        <v>199</v>
      </c>
      <c r="E78" s="21" t="s">
        <v>204</v>
      </c>
      <c r="F78" s="26"/>
      <c r="G78" s="30">
        <f t="shared" si="2"/>
        <v>0</v>
      </c>
    </row>
    <row r="79" spans="1:7" x14ac:dyDescent="0.25">
      <c r="A79" s="19" t="s">
        <v>52</v>
      </c>
      <c r="B79" s="8" t="s">
        <v>157</v>
      </c>
      <c r="C79" s="21">
        <v>100</v>
      </c>
      <c r="D79" s="21" t="s">
        <v>199</v>
      </c>
      <c r="E79" s="21" t="s">
        <v>204</v>
      </c>
      <c r="F79" s="26"/>
      <c r="G79" s="30">
        <f t="shared" si="2"/>
        <v>0</v>
      </c>
    </row>
    <row r="80" spans="1:7" x14ac:dyDescent="0.25">
      <c r="A80" s="19" t="s">
        <v>53</v>
      </c>
      <c r="B80" s="8" t="s">
        <v>158</v>
      </c>
      <c r="C80" s="21">
        <v>100</v>
      </c>
      <c r="D80" s="21" t="s">
        <v>199</v>
      </c>
      <c r="E80" s="21" t="s">
        <v>204</v>
      </c>
      <c r="F80" s="26"/>
      <c r="G80" s="30">
        <f t="shared" si="2"/>
        <v>0</v>
      </c>
    </row>
    <row r="81" spans="1:7" x14ac:dyDescent="0.25">
      <c r="A81" s="19" t="s">
        <v>220</v>
      </c>
      <c r="B81" s="8" t="s">
        <v>159</v>
      </c>
      <c r="C81" s="21">
        <v>100</v>
      </c>
      <c r="D81" s="21" t="s">
        <v>199</v>
      </c>
      <c r="E81" s="21" t="s">
        <v>204</v>
      </c>
      <c r="F81" s="26"/>
      <c r="G81" s="30">
        <f t="shared" si="2"/>
        <v>0</v>
      </c>
    </row>
    <row r="82" spans="1:7" ht="31.5" x14ac:dyDescent="0.25">
      <c r="A82" s="19"/>
      <c r="B82" s="12" t="s">
        <v>279</v>
      </c>
      <c r="C82" s="21"/>
      <c r="D82" s="21"/>
      <c r="E82" s="21"/>
      <c r="F82" s="26"/>
      <c r="G82" s="30"/>
    </row>
    <row r="83" spans="1:7" x14ac:dyDescent="0.25">
      <c r="A83" s="19" t="s">
        <v>221</v>
      </c>
      <c r="B83" s="8" t="s">
        <v>156</v>
      </c>
      <c r="C83" s="21">
        <v>100</v>
      </c>
      <c r="D83" s="21" t="s">
        <v>200</v>
      </c>
      <c r="E83" s="21" t="s">
        <v>204</v>
      </c>
      <c r="F83" s="26"/>
      <c r="G83" s="30">
        <f t="shared" si="2"/>
        <v>0</v>
      </c>
    </row>
    <row r="84" spans="1:7" x14ac:dyDescent="0.25">
      <c r="A84" s="19" t="s">
        <v>222</v>
      </c>
      <c r="B84" s="8" t="s">
        <v>157</v>
      </c>
      <c r="C84" s="21">
        <v>100</v>
      </c>
      <c r="D84" s="21" t="s">
        <v>200</v>
      </c>
      <c r="E84" s="21" t="s">
        <v>204</v>
      </c>
      <c r="F84" s="26"/>
      <c r="G84" s="30">
        <f t="shared" si="2"/>
        <v>0</v>
      </c>
    </row>
    <row r="85" spans="1:7" x14ac:dyDescent="0.25">
      <c r="A85" s="19" t="s">
        <v>223</v>
      </c>
      <c r="B85" s="8" t="s">
        <v>158</v>
      </c>
      <c r="C85" s="21">
        <v>100</v>
      </c>
      <c r="D85" s="21" t="s">
        <v>200</v>
      </c>
      <c r="E85" s="21" t="s">
        <v>204</v>
      </c>
      <c r="F85" s="26"/>
      <c r="G85" s="30">
        <f t="shared" si="2"/>
        <v>0</v>
      </c>
    </row>
    <row r="86" spans="1:7" x14ac:dyDescent="0.25">
      <c r="A86" s="19" t="s">
        <v>224</v>
      </c>
      <c r="B86" s="8" t="s">
        <v>159</v>
      </c>
      <c r="C86" s="21">
        <v>100</v>
      </c>
      <c r="D86" s="21" t="s">
        <v>200</v>
      </c>
      <c r="E86" s="21" t="s">
        <v>204</v>
      </c>
      <c r="F86" s="26"/>
      <c r="G86" s="30">
        <f t="shared" si="2"/>
        <v>0</v>
      </c>
    </row>
    <row r="87" spans="1:7" x14ac:dyDescent="0.25">
      <c r="A87" s="19"/>
      <c r="B87" s="9" t="s">
        <v>160</v>
      </c>
      <c r="C87" s="21"/>
      <c r="D87" s="21"/>
      <c r="E87" s="21"/>
      <c r="F87" s="26"/>
      <c r="G87" s="30"/>
    </row>
    <row r="88" spans="1:7" x14ac:dyDescent="0.25">
      <c r="A88" s="19"/>
      <c r="B88" s="9" t="s">
        <v>161</v>
      </c>
      <c r="C88" s="21"/>
      <c r="D88" s="21"/>
      <c r="E88" s="21"/>
      <c r="F88" s="26"/>
      <c r="G88" s="30"/>
    </row>
    <row r="89" spans="1:7" x14ac:dyDescent="0.25">
      <c r="A89" s="19" t="s">
        <v>225</v>
      </c>
      <c r="B89" s="8" t="s">
        <v>162</v>
      </c>
      <c r="C89" s="21">
        <v>100</v>
      </c>
      <c r="D89" s="21" t="s">
        <v>200</v>
      </c>
      <c r="E89" s="21" t="s">
        <v>204</v>
      </c>
      <c r="F89" s="26"/>
      <c r="G89" s="30">
        <f t="shared" si="2"/>
        <v>0</v>
      </c>
    </row>
    <row r="90" spans="1:7" x14ac:dyDescent="0.25">
      <c r="A90" s="19" t="s">
        <v>226</v>
      </c>
      <c r="B90" s="8" t="s">
        <v>163</v>
      </c>
      <c r="C90" s="21">
        <v>100</v>
      </c>
      <c r="D90" s="21" t="s">
        <v>200</v>
      </c>
      <c r="E90" s="21" t="s">
        <v>204</v>
      </c>
      <c r="F90" s="26"/>
      <c r="G90" s="30">
        <f t="shared" si="2"/>
        <v>0</v>
      </c>
    </row>
    <row r="91" spans="1:7" x14ac:dyDescent="0.25">
      <c r="A91" s="19" t="s">
        <v>227</v>
      </c>
      <c r="B91" s="8" t="s">
        <v>164</v>
      </c>
      <c r="C91" s="21">
        <v>100</v>
      </c>
      <c r="D91" s="21" t="s">
        <v>200</v>
      </c>
      <c r="E91" s="21" t="s">
        <v>204</v>
      </c>
      <c r="F91" s="26"/>
      <c r="G91" s="30">
        <f t="shared" si="2"/>
        <v>0</v>
      </c>
    </row>
    <row r="92" spans="1:7" x14ac:dyDescent="0.25">
      <c r="A92" s="19" t="s">
        <v>228</v>
      </c>
      <c r="B92" s="8" t="s">
        <v>165</v>
      </c>
      <c r="C92" s="21">
        <v>100</v>
      </c>
      <c r="D92" s="21" t="s">
        <v>200</v>
      </c>
      <c r="E92" s="21" t="s">
        <v>204</v>
      </c>
      <c r="F92" s="26"/>
      <c r="G92" s="30">
        <f t="shared" si="2"/>
        <v>0</v>
      </c>
    </row>
    <row r="93" spans="1:7" x14ac:dyDescent="0.25">
      <c r="A93" s="19" t="s">
        <v>229</v>
      </c>
      <c r="B93" s="8" t="s">
        <v>166</v>
      </c>
      <c r="C93" s="21">
        <v>100</v>
      </c>
      <c r="D93" s="21" t="s">
        <v>200</v>
      </c>
      <c r="E93" s="21" t="s">
        <v>204</v>
      </c>
      <c r="F93" s="26"/>
      <c r="G93" s="30">
        <f t="shared" si="2"/>
        <v>0</v>
      </c>
    </row>
    <row r="94" spans="1:7" x14ac:dyDescent="0.25">
      <c r="A94" s="19" t="s">
        <v>230</v>
      </c>
      <c r="B94" s="8" t="s">
        <v>241</v>
      </c>
      <c r="C94" s="21">
        <v>100</v>
      </c>
      <c r="D94" s="21" t="s">
        <v>200</v>
      </c>
      <c r="E94" s="21" t="s">
        <v>204</v>
      </c>
      <c r="F94" s="26"/>
      <c r="G94" s="30">
        <f t="shared" si="2"/>
        <v>0</v>
      </c>
    </row>
    <row r="95" spans="1:7" x14ac:dyDescent="0.25">
      <c r="A95" s="19" t="s">
        <v>231</v>
      </c>
      <c r="B95" s="8" t="s">
        <v>242</v>
      </c>
      <c r="C95" s="21">
        <v>100</v>
      </c>
      <c r="D95" s="21" t="s">
        <v>200</v>
      </c>
      <c r="E95" s="21" t="s">
        <v>204</v>
      </c>
      <c r="F95" s="26"/>
      <c r="G95" s="30">
        <f t="shared" si="2"/>
        <v>0</v>
      </c>
    </row>
    <row r="96" spans="1:7" x14ac:dyDescent="0.25">
      <c r="A96" s="19" t="s">
        <v>232</v>
      </c>
      <c r="B96" s="8" t="s">
        <v>243</v>
      </c>
      <c r="C96" s="21">
        <v>100</v>
      </c>
      <c r="D96" s="21" t="s">
        <v>200</v>
      </c>
      <c r="E96" s="21" t="s">
        <v>204</v>
      </c>
      <c r="F96" s="26"/>
      <c r="G96" s="30">
        <f t="shared" si="2"/>
        <v>0</v>
      </c>
    </row>
    <row r="97" spans="1:7" x14ac:dyDescent="0.25">
      <c r="A97" s="19" t="s">
        <v>233</v>
      </c>
      <c r="B97" s="8" t="s">
        <v>244</v>
      </c>
      <c r="C97" s="21">
        <v>100</v>
      </c>
      <c r="D97" s="21" t="s">
        <v>200</v>
      </c>
      <c r="E97" s="21" t="s">
        <v>204</v>
      </c>
      <c r="F97" s="26"/>
      <c r="G97" s="30">
        <f t="shared" si="2"/>
        <v>0</v>
      </c>
    </row>
    <row r="98" spans="1:7" x14ac:dyDescent="0.25">
      <c r="A98" s="19" t="s">
        <v>234</v>
      </c>
      <c r="B98" s="8" t="s">
        <v>167</v>
      </c>
      <c r="C98" s="21">
        <v>100</v>
      </c>
      <c r="D98" s="21" t="s">
        <v>200</v>
      </c>
      <c r="E98" s="21" t="s">
        <v>204</v>
      </c>
      <c r="F98" s="26"/>
      <c r="G98" s="30">
        <f t="shared" si="2"/>
        <v>0</v>
      </c>
    </row>
    <row r="99" spans="1:7" x14ac:dyDescent="0.25">
      <c r="A99" s="19" t="s">
        <v>235</v>
      </c>
      <c r="B99" s="8" t="s">
        <v>168</v>
      </c>
      <c r="C99" s="21">
        <v>100</v>
      </c>
      <c r="D99" s="21" t="s">
        <v>200</v>
      </c>
      <c r="E99" s="21" t="s">
        <v>204</v>
      </c>
      <c r="F99" s="26"/>
      <c r="G99" s="30">
        <f t="shared" si="2"/>
        <v>0</v>
      </c>
    </row>
    <row r="100" spans="1:7" x14ac:dyDescent="0.25">
      <c r="A100" s="19"/>
      <c r="B100" s="9" t="s">
        <v>169</v>
      </c>
      <c r="C100" s="21"/>
      <c r="D100" s="21"/>
      <c r="E100" s="21"/>
      <c r="F100" s="26"/>
      <c r="G100" s="30"/>
    </row>
    <row r="101" spans="1:7" x14ac:dyDescent="0.25">
      <c r="A101" s="19" t="s">
        <v>54</v>
      </c>
      <c r="B101" s="8" t="s">
        <v>170</v>
      </c>
      <c r="C101" s="21">
        <v>100</v>
      </c>
      <c r="D101" s="21" t="s">
        <v>200</v>
      </c>
      <c r="E101" s="21" t="s">
        <v>204</v>
      </c>
      <c r="F101" s="26"/>
      <c r="G101" s="30">
        <f t="shared" si="2"/>
        <v>0</v>
      </c>
    </row>
    <row r="102" spans="1:7" x14ac:dyDescent="0.25">
      <c r="A102" s="19" t="s">
        <v>55</v>
      </c>
      <c r="B102" s="8" t="s">
        <v>171</v>
      </c>
      <c r="C102" s="21">
        <v>100</v>
      </c>
      <c r="D102" s="21" t="s">
        <v>200</v>
      </c>
      <c r="E102" s="21" t="s">
        <v>204</v>
      </c>
      <c r="F102" s="26"/>
      <c r="G102" s="30">
        <f t="shared" si="2"/>
        <v>0</v>
      </c>
    </row>
    <row r="103" spans="1:7" x14ac:dyDescent="0.25">
      <c r="A103" s="19" t="s">
        <v>56</v>
      </c>
      <c r="B103" s="8" t="s">
        <v>172</v>
      </c>
      <c r="C103" s="21">
        <v>100</v>
      </c>
      <c r="D103" s="21" t="s">
        <v>200</v>
      </c>
      <c r="E103" s="21" t="s">
        <v>204</v>
      </c>
      <c r="F103" s="26"/>
      <c r="G103" s="30">
        <f t="shared" si="2"/>
        <v>0</v>
      </c>
    </row>
    <row r="104" spans="1:7" x14ac:dyDescent="0.25">
      <c r="A104" s="19" t="s">
        <v>57</v>
      </c>
      <c r="B104" s="8" t="s">
        <v>173</v>
      </c>
      <c r="C104" s="21">
        <v>100</v>
      </c>
      <c r="D104" s="21" t="s">
        <v>200</v>
      </c>
      <c r="E104" s="21" t="s">
        <v>204</v>
      </c>
      <c r="F104" s="26"/>
      <c r="G104" s="30">
        <f t="shared" si="2"/>
        <v>0</v>
      </c>
    </row>
    <row r="105" spans="1:7" x14ac:dyDescent="0.25">
      <c r="A105" s="19" t="s">
        <v>58</v>
      </c>
      <c r="B105" s="8" t="s">
        <v>174</v>
      </c>
      <c r="C105" s="21">
        <v>100</v>
      </c>
      <c r="D105" s="21" t="s">
        <v>200</v>
      </c>
      <c r="E105" s="21" t="s">
        <v>204</v>
      </c>
      <c r="F105" s="26"/>
      <c r="G105" s="30">
        <f t="shared" si="2"/>
        <v>0</v>
      </c>
    </row>
    <row r="106" spans="1:7" x14ac:dyDescent="0.25">
      <c r="A106" s="19" t="s">
        <v>59</v>
      </c>
      <c r="B106" s="8" t="s">
        <v>245</v>
      </c>
      <c r="C106" s="21">
        <v>100</v>
      </c>
      <c r="D106" s="21" t="s">
        <v>200</v>
      </c>
      <c r="E106" s="21" t="s">
        <v>204</v>
      </c>
      <c r="F106" s="26"/>
      <c r="G106" s="30">
        <f t="shared" si="2"/>
        <v>0</v>
      </c>
    </row>
    <row r="107" spans="1:7" x14ac:dyDescent="0.25">
      <c r="A107" s="19" t="s">
        <v>60</v>
      </c>
      <c r="B107" s="8" t="s">
        <v>246</v>
      </c>
      <c r="C107" s="21">
        <v>100</v>
      </c>
      <c r="D107" s="21" t="s">
        <v>200</v>
      </c>
      <c r="E107" s="21" t="s">
        <v>204</v>
      </c>
      <c r="F107" s="26"/>
      <c r="G107" s="30">
        <f t="shared" si="2"/>
        <v>0</v>
      </c>
    </row>
    <row r="108" spans="1:7" x14ac:dyDescent="0.25">
      <c r="A108" s="19" t="s">
        <v>61</v>
      </c>
      <c r="B108" s="8" t="s">
        <v>175</v>
      </c>
      <c r="C108" s="21">
        <v>100</v>
      </c>
      <c r="D108" s="21" t="s">
        <v>200</v>
      </c>
      <c r="E108" s="21" t="s">
        <v>204</v>
      </c>
      <c r="F108" s="26"/>
      <c r="G108" s="30">
        <f t="shared" si="2"/>
        <v>0</v>
      </c>
    </row>
    <row r="109" spans="1:7" x14ac:dyDescent="0.25">
      <c r="A109" s="19" t="s">
        <v>62</v>
      </c>
      <c r="B109" s="8" t="s">
        <v>176</v>
      </c>
      <c r="C109" s="21">
        <v>100</v>
      </c>
      <c r="D109" s="21" t="s">
        <v>201</v>
      </c>
      <c r="E109" s="21" t="s">
        <v>204</v>
      </c>
      <c r="F109" s="26"/>
      <c r="G109" s="30">
        <f t="shared" si="2"/>
        <v>0</v>
      </c>
    </row>
    <row r="110" spans="1:7" x14ac:dyDescent="0.25">
      <c r="A110" s="19"/>
      <c r="B110" s="8" t="s">
        <v>177</v>
      </c>
      <c r="C110" s="21"/>
      <c r="D110" s="21"/>
      <c r="E110" s="21"/>
      <c r="F110" s="26"/>
      <c r="G110" s="30"/>
    </row>
    <row r="111" spans="1:7" x14ac:dyDescent="0.25">
      <c r="A111" s="19"/>
      <c r="B111" s="9" t="s">
        <v>211</v>
      </c>
      <c r="C111" s="21"/>
      <c r="D111" s="21"/>
      <c r="E111" s="21"/>
      <c r="F111" s="26"/>
      <c r="G111" s="30"/>
    </row>
    <row r="112" spans="1:7" ht="31.5" x14ac:dyDescent="0.25">
      <c r="A112" s="19" t="s">
        <v>63</v>
      </c>
      <c r="B112" s="8" t="s">
        <v>296</v>
      </c>
      <c r="C112" s="21">
        <v>200</v>
      </c>
      <c r="D112" s="21" t="s">
        <v>200</v>
      </c>
      <c r="E112" s="21" t="s">
        <v>204</v>
      </c>
      <c r="F112" s="26"/>
      <c r="G112" s="30">
        <f t="shared" si="2"/>
        <v>0</v>
      </c>
    </row>
    <row r="113" spans="1:7" ht="31.5" x14ac:dyDescent="0.25">
      <c r="A113" s="19" t="s">
        <v>64</v>
      </c>
      <c r="B113" s="8" t="s">
        <v>297</v>
      </c>
      <c r="C113" s="21">
        <v>200</v>
      </c>
      <c r="D113" s="21" t="s">
        <v>200</v>
      </c>
      <c r="E113" s="21" t="s">
        <v>204</v>
      </c>
      <c r="F113" s="26"/>
      <c r="G113" s="30">
        <f t="shared" si="2"/>
        <v>0</v>
      </c>
    </row>
    <row r="114" spans="1:7" ht="47.25" x14ac:dyDescent="0.25">
      <c r="A114" s="19" t="s">
        <v>65</v>
      </c>
      <c r="B114" s="8" t="s">
        <v>298</v>
      </c>
      <c r="C114" s="21">
        <v>200</v>
      </c>
      <c r="D114" s="21" t="s">
        <v>200</v>
      </c>
      <c r="E114" s="21" t="s">
        <v>204</v>
      </c>
      <c r="F114" s="26"/>
      <c r="G114" s="30">
        <f t="shared" si="2"/>
        <v>0</v>
      </c>
    </row>
    <row r="115" spans="1:7" x14ac:dyDescent="0.25">
      <c r="A115" s="19" t="s">
        <v>66</v>
      </c>
      <c r="B115" s="8" t="s">
        <v>178</v>
      </c>
      <c r="C115" s="21">
        <v>20</v>
      </c>
      <c r="D115" s="21" t="s">
        <v>201</v>
      </c>
      <c r="E115" s="21" t="s">
        <v>204</v>
      </c>
      <c r="F115" s="26"/>
      <c r="G115" s="30">
        <f t="shared" si="2"/>
        <v>0</v>
      </c>
    </row>
    <row r="116" spans="1:7" x14ac:dyDescent="0.25">
      <c r="A116" s="19" t="s">
        <v>67</v>
      </c>
      <c r="B116" s="8" t="s">
        <v>179</v>
      </c>
      <c r="C116" s="21">
        <v>20</v>
      </c>
      <c r="D116" s="21" t="s">
        <v>201</v>
      </c>
      <c r="E116" s="21" t="s">
        <v>204</v>
      </c>
      <c r="F116" s="26"/>
      <c r="G116" s="30">
        <f t="shared" si="2"/>
        <v>0</v>
      </c>
    </row>
    <row r="117" spans="1:7" ht="31.5" x14ac:dyDescent="0.25">
      <c r="A117" s="19" t="s">
        <v>68</v>
      </c>
      <c r="B117" s="8" t="s">
        <v>247</v>
      </c>
      <c r="C117" s="21">
        <v>5000</v>
      </c>
      <c r="D117" s="21" t="s">
        <v>200</v>
      </c>
      <c r="E117" s="21" t="s">
        <v>204</v>
      </c>
      <c r="F117" s="26"/>
      <c r="G117" s="30">
        <f t="shared" si="2"/>
        <v>0</v>
      </c>
    </row>
    <row r="118" spans="1:7" ht="31.5" x14ac:dyDescent="0.25">
      <c r="A118" s="19"/>
      <c r="B118" s="9" t="s">
        <v>281</v>
      </c>
      <c r="C118" s="21"/>
      <c r="D118" s="21"/>
      <c r="E118" s="21"/>
      <c r="F118" s="26"/>
      <c r="G118" s="30"/>
    </row>
    <row r="119" spans="1:7" x14ac:dyDescent="0.25">
      <c r="A119" s="19" t="s">
        <v>69</v>
      </c>
      <c r="B119" s="8" t="s">
        <v>156</v>
      </c>
      <c r="C119" s="21">
        <v>100</v>
      </c>
      <c r="D119" s="21" t="s">
        <v>199</v>
      </c>
      <c r="E119" s="21" t="s">
        <v>204</v>
      </c>
      <c r="F119" s="26"/>
      <c r="G119" s="30">
        <f t="shared" si="2"/>
        <v>0</v>
      </c>
    </row>
    <row r="120" spans="1:7" x14ac:dyDescent="0.25">
      <c r="A120" s="19" t="s">
        <v>70</v>
      </c>
      <c r="B120" s="8" t="s">
        <v>157</v>
      </c>
      <c r="C120" s="21">
        <v>100</v>
      </c>
      <c r="D120" s="21" t="s">
        <v>199</v>
      </c>
      <c r="E120" s="21" t="s">
        <v>204</v>
      </c>
      <c r="F120" s="26"/>
      <c r="G120" s="30">
        <f t="shared" si="2"/>
        <v>0</v>
      </c>
    </row>
    <row r="121" spans="1:7" x14ac:dyDescent="0.25">
      <c r="A121" s="19" t="s">
        <v>71</v>
      </c>
      <c r="B121" s="8" t="s">
        <v>158</v>
      </c>
      <c r="C121" s="21">
        <v>100</v>
      </c>
      <c r="D121" s="21" t="s">
        <v>199</v>
      </c>
      <c r="E121" s="21" t="s">
        <v>204</v>
      </c>
      <c r="F121" s="26"/>
      <c r="G121" s="30">
        <f t="shared" si="2"/>
        <v>0</v>
      </c>
    </row>
    <row r="122" spans="1:7" x14ac:dyDescent="0.25">
      <c r="A122" s="19" t="s">
        <v>72</v>
      </c>
      <c r="B122" s="13" t="s">
        <v>159</v>
      </c>
      <c r="C122" s="21">
        <v>100</v>
      </c>
      <c r="D122" s="21" t="s">
        <v>199</v>
      </c>
      <c r="E122" s="21" t="s">
        <v>204</v>
      </c>
      <c r="F122" s="26"/>
      <c r="G122" s="30">
        <f t="shared" si="2"/>
        <v>0</v>
      </c>
    </row>
    <row r="123" spans="1:7" ht="15" customHeight="1" x14ac:dyDescent="0.25">
      <c r="A123" s="19"/>
      <c r="B123" s="14" t="s">
        <v>180</v>
      </c>
      <c r="C123" s="21"/>
      <c r="D123" s="21"/>
      <c r="E123" s="21"/>
      <c r="F123" s="26"/>
      <c r="G123" s="30"/>
    </row>
    <row r="124" spans="1:7" x14ac:dyDescent="0.25">
      <c r="A124" s="19" t="s">
        <v>73</v>
      </c>
      <c r="B124" s="8" t="s">
        <v>156</v>
      </c>
      <c r="C124" s="21">
        <v>100</v>
      </c>
      <c r="D124" s="21" t="s">
        <v>199</v>
      </c>
      <c r="E124" s="21" t="s">
        <v>204</v>
      </c>
      <c r="F124" s="26"/>
      <c r="G124" s="30">
        <f t="shared" ref="G124:G179" si="3">F124*C124</f>
        <v>0</v>
      </c>
    </row>
    <row r="125" spans="1:7" x14ac:dyDescent="0.25">
      <c r="A125" s="19" t="s">
        <v>74</v>
      </c>
      <c r="B125" s="8" t="s">
        <v>157</v>
      </c>
      <c r="C125" s="21">
        <v>100</v>
      </c>
      <c r="D125" s="21" t="s">
        <v>199</v>
      </c>
      <c r="E125" s="21" t="s">
        <v>204</v>
      </c>
      <c r="F125" s="26"/>
      <c r="G125" s="30">
        <f t="shared" si="3"/>
        <v>0</v>
      </c>
    </row>
    <row r="126" spans="1:7" x14ac:dyDescent="0.25">
      <c r="A126" s="19" t="s">
        <v>75</v>
      </c>
      <c r="B126" s="8" t="s">
        <v>158</v>
      </c>
      <c r="C126" s="21">
        <v>100</v>
      </c>
      <c r="D126" s="21" t="s">
        <v>199</v>
      </c>
      <c r="E126" s="21" t="s">
        <v>204</v>
      </c>
      <c r="F126" s="26"/>
      <c r="G126" s="30">
        <f t="shared" si="3"/>
        <v>0</v>
      </c>
    </row>
    <row r="127" spans="1:7" x14ac:dyDescent="0.25">
      <c r="A127" s="19" t="s">
        <v>76</v>
      </c>
      <c r="B127" s="8" t="s">
        <v>159</v>
      </c>
      <c r="C127" s="21">
        <v>100</v>
      </c>
      <c r="D127" s="21" t="s">
        <v>199</v>
      </c>
      <c r="E127" s="21" t="s">
        <v>204</v>
      </c>
      <c r="F127" s="26"/>
      <c r="G127" s="30">
        <f t="shared" si="3"/>
        <v>0</v>
      </c>
    </row>
    <row r="128" spans="1:7" x14ac:dyDescent="0.25">
      <c r="A128" s="19" t="s">
        <v>77</v>
      </c>
      <c r="B128" s="8" t="s">
        <v>181</v>
      </c>
      <c r="C128" s="21">
        <v>100</v>
      </c>
      <c r="D128" s="21" t="s">
        <v>199</v>
      </c>
      <c r="E128" s="21" t="s">
        <v>204</v>
      </c>
      <c r="F128" s="26"/>
      <c r="G128" s="30">
        <f t="shared" si="3"/>
        <v>0</v>
      </c>
    </row>
    <row r="129" spans="1:7" ht="16.5" customHeight="1" x14ac:dyDescent="0.25">
      <c r="A129" s="19"/>
      <c r="B129" s="9" t="s">
        <v>182</v>
      </c>
      <c r="C129" s="21"/>
      <c r="D129" s="21"/>
      <c r="E129" s="21"/>
      <c r="F129" s="26"/>
      <c r="G129" s="30"/>
    </row>
    <row r="130" spans="1:7" x14ac:dyDescent="0.25">
      <c r="A130" s="19" t="s">
        <v>78</v>
      </c>
      <c r="B130" s="8" t="s">
        <v>156</v>
      </c>
      <c r="C130" s="21">
        <v>100</v>
      </c>
      <c r="D130" s="21" t="s">
        <v>199</v>
      </c>
      <c r="E130" s="21" t="s">
        <v>204</v>
      </c>
      <c r="F130" s="26"/>
      <c r="G130" s="30">
        <f t="shared" si="3"/>
        <v>0</v>
      </c>
    </row>
    <row r="131" spans="1:7" x14ac:dyDescent="0.25">
      <c r="A131" s="19" t="s">
        <v>79</v>
      </c>
      <c r="B131" s="8" t="s">
        <v>157</v>
      </c>
      <c r="C131" s="21">
        <v>100</v>
      </c>
      <c r="D131" s="21" t="s">
        <v>199</v>
      </c>
      <c r="E131" s="21" t="s">
        <v>204</v>
      </c>
      <c r="F131" s="26"/>
      <c r="G131" s="30">
        <f t="shared" si="3"/>
        <v>0</v>
      </c>
    </row>
    <row r="132" spans="1:7" x14ac:dyDescent="0.25">
      <c r="A132" s="19" t="s">
        <v>80</v>
      </c>
      <c r="B132" s="8" t="s">
        <v>183</v>
      </c>
      <c r="C132" s="21">
        <v>100</v>
      </c>
      <c r="D132" s="21" t="s">
        <v>199</v>
      </c>
      <c r="E132" s="21" t="s">
        <v>204</v>
      </c>
      <c r="F132" s="26"/>
      <c r="G132" s="30">
        <f t="shared" si="3"/>
        <v>0</v>
      </c>
    </row>
    <row r="133" spans="1:7" ht="31.5" x14ac:dyDescent="0.25">
      <c r="A133" s="19"/>
      <c r="B133" s="9" t="s">
        <v>299</v>
      </c>
      <c r="C133" s="21"/>
      <c r="D133" s="21"/>
      <c r="E133" s="21"/>
      <c r="F133" s="26"/>
      <c r="G133" s="30"/>
    </row>
    <row r="134" spans="1:7" x14ac:dyDescent="0.25">
      <c r="A134" s="19" t="s">
        <v>81</v>
      </c>
      <c r="B134" s="8" t="s">
        <v>184</v>
      </c>
      <c r="C134" s="21">
        <v>20</v>
      </c>
      <c r="D134" s="21" t="s">
        <v>201</v>
      </c>
      <c r="E134" s="21" t="s">
        <v>204</v>
      </c>
      <c r="F134" s="26"/>
      <c r="G134" s="30">
        <f t="shared" si="3"/>
        <v>0</v>
      </c>
    </row>
    <row r="135" spans="1:7" x14ac:dyDescent="0.25">
      <c r="A135" s="19"/>
      <c r="B135" s="9" t="s">
        <v>212</v>
      </c>
      <c r="C135" s="21"/>
      <c r="D135" s="21"/>
      <c r="E135" s="21"/>
      <c r="F135" s="26"/>
      <c r="G135" s="30"/>
    </row>
    <row r="136" spans="1:7" x14ac:dyDescent="0.25">
      <c r="A136" s="19" t="s">
        <v>82</v>
      </c>
      <c r="B136" s="8" t="s">
        <v>280</v>
      </c>
      <c r="C136" s="21">
        <v>20</v>
      </c>
      <c r="D136" s="21" t="s">
        <v>201</v>
      </c>
      <c r="E136" s="21" t="s">
        <v>204</v>
      </c>
      <c r="F136" s="26"/>
      <c r="G136" s="30">
        <f t="shared" si="3"/>
        <v>0</v>
      </c>
    </row>
    <row r="137" spans="1:7" x14ac:dyDescent="0.25">
      <c r="A137" s="19" t="s">
        <v>83</v>
      </c>
      <c r="B137" s="8" t="s">
        <v>185</v>
      </c>
      <c r="C137" s="21">
        <v>20</v>
      </c>
      <c r="D137" s="21" t="s">
        <v>201</v>
      </c>
      <c r="E137" s="21" t="s">
        <v>204</v>
      </c>
      <c r="F137" s="26"/>
      <c r="G137" s="30">
        <f t="shared" si="3"/>
        <v>0</v>
      </c>
    </row>
    <row r="138" spans="1:7" x14ac:dyDescent="0.25">
      <c r="A138" s="19"/>
      <c r="B138" s="9" t="s">
        <v>186</v>
      </c>
      <c r="C138" s="21"/>
      <c r="D138" s="21"/>
      <c r="E138" s="21"/>
      <c r="F138" s="26"/>
      <c r="G138" s="30"/>
    </row>
    <row r="139" spans="1:7" x14ac:dyDescent="0.25">
      <c r="A139" s="19" t="s">
        <v>84</v>
      </c>
      <c r="B139" s="8" t="s">
        <v>248</v>
      </c>
      <c r="C139" s="21">
        <v>1500</v>
      </c>
      <c r="D139" s="21" t="s">
        <v>200</v>
      </c>
      <c r="E139" s="21" t="s">
        <v>204</v>
      </c>
      <c r="F139" s="26"/>
      <c r="G139" s="30">
        <f t="shared" si="3"/>
        <v>0</v>
      </c>
    </row>
    <row r="140" spans="1:7" ht="47.25" x14ac:dyDescent="0.25">
      <c r="A140" s="19" t="s">
        <v>85</v>
      </c>
      <c r="B140" s="17" t="s">
        <v>254</v>
      </c>
      <c r="C140" s="21">
        <v>2000</v>
      </c>
      <c r="D140" s="21" t="s">
        <v>200</v>
      </c>
      <c r="E140" s="21"/>
      <c r="F140" s="26"/>
      <c r="G140" s="30">
        <f>F140*C140</f>
        <v>0</v>
      </c>
    </row>
    <row r="141" spans="1:7" x14ac:dyDescent="0.25">
      <c r="A141" s="19"/>
      <c r="B141" s="33" t="s">
        <v>300</v>
      </c>
      <c r="C141" s="21"/>
      <c r="D141" s="21"/>
      <c r="E141" s="21"/>
      <c r="F141" s="26"/>
      <c r="G141" s="30"/>
    </row>
    <row r="142" spans="1:7" x14ac:dyDescent="0.25">
      <c r="A142" s="19" t="s">
        <v>86</v>
      </c>
      <c r="B142" s="8" t="s">
        <v>187</v>
      </c>
      <c r="C142" s="21">
        <v>20</v>
      </c>
      <c r="D142" s="21" t="s">
        <v>201</v>
      </c>
      <c r="E142" s="21" t="s">
        <v>204</v>
      </c>
      <c r="F142" s="26"/>
      <c r="G142" s="30">
        <f t="shared" si="3"/>
        <v>0</v>
      </c>
    </row>
    <row r="143" spans="1:7" x14ac:dyDescent="0.25">
      <c r="A143" s="19" t="s">
        <v>87</v>
      </c>
      <c r="B143" s="8" t="s">
        <v>188</v>
      </c>
      <c r="C143" s="21">
        <v>20</v>
      </c>
      <c r="D143" s="21" t="s">
        <v>201</v>
      </c>
      <c r="E143" s="21" t="s">
        <v>204</v>
      </c>
      <c r="F143" s="26"/>
      <c r="G143" s="30">
        <f t="shared" si="3"/>
        <v>0</v>
      </c>
    </row>
    <row r="144" spans="1:7" x14ac:dyDescent="0.25">
      <c r="A144" s="19" t="s">
        <v>88</v>
      </c>
      <c r="B144" s="8" t="s">
        <v>187</v>
      </c>
      <c r="C144" s="21">
        <v>300</v>
      </c>
      <c r="D144" s="21" t="s">
        <v>201</v>
      </c>
      <c r="E144" s="21" t="s">
        <v>204</v>
      </c>
      <c r="F144" s="26"/>
      <c r="G144" s="30">
        <f t="shared" si="3"/>
        <v>0</v>
      </c>
    </row>
    <row r="145" spans="1:7" x14ac:dyDescent="0.25">
      <c r="A145" s="19" t="s">
        <v>89</v>
      </c>
      <c r="B145" s="8" t="s">
        <v>188</v>
      </c>
      <c r="C145" s="21">
        <v>300</v>
      </c>
      <c r="D145" s="21" t="s">
        <v>201</v>
      </c>
      <c r="E145" s="21" t="s">
        <v>204</v>
      </c>
      <c r="F145" s="26"/>
      <c r="G145" s="30">
        <f t="shared" si="3"/>
        <v>0</v>
      </c>
    </row>
    <row r="146" spans="1:7" ht="32.25" customHeight="1" x14ac:dyDescent="0.25">
      <c r="A146" s="19"/>
      <c r="B146" s="11" t="s">
        <v>240</v>
      </c>
      <c r="C146" s="21"/>
      <c r="D146" s="21"/>
      <c r="E146" s="21"/>
      <c r="F146" s="26"/>
      <c r="G146" s="30"/>
    </row>
    <row r="147" spans="1:7" x14ac:dyDescent="0.25">
      <c r="A147" s="19" t="s">
        <v>90</v>
      </c>
      <c r="B147" s="8" t="s">
        <v>156</v>
      </c>
      <c r="C147" s="21">
        <v>300</v>
      </c>
      <c r="D147" s="21" t="s">
        <v>201</v>
      </c>
      <c r="E147" s="21" t="s">
        <v>204</v>
      </c>
      <c r="F147" s="26"/>
      <c r="G147" s="30">
        <f t="shared" si="3"/>
        <v>0</v>
      </c>
    </row>
    <row r="148" spans="1:7" x14ac:dyDescent="0.25">
      <c r="A148" s="19" t="s">
        <v>91</v>
      </c>
      <c r="B148" s="8" t="s">
        <v>159</v>
      </c>
      <c r="C148" s="21">
        <v>300</v>
      </c>
      <c r="D148" s="21" t="s">
        <v>201</v>
      </c>
      <c r="E148" s="21" t="s">
        <v>204</v>
      </c>
      <c r="F148" s="26"/>
      <c r="G148" s="30">
        <f t="shared" si="3"/>
        <v>0</v>
      </c>
    </row>
    <row r="149" spans="1:7" ht="31.5" x14ac:dyDescent="0.25">
      <c r="A149" s="19"/>
      <c r="B149" s="9" t="s">
        <v>301</v>
      </c>
      <c r="C149" s="21"/>
      <c r="D149" s="21"/>
      <c r="E149" s="21"/>
      <c r="F149" s="26"/>
      <c r="G149" s="30"/>
    </row>
    <row r="150" spans="1:7" x14ac:dyDescent="0.25">
      <c r="A150" s="19" t="s">
        <v>92</v>
      </c>
      <c r="B150" s="8" t="s">
        <v>156</v>
      </c>
      <c r="C150" s="21">
        <v>100</v>
      </c>
      <c r="D150" s="21" t="s">
        <v>201</v>
      </c>
      <c r="E150" s="21" t="s">
        <v>204</v>
      </c>
      <c r="F150" s="26"/>
      <c r="G150" s="30">
        <f t="shared" si="3"/>
        <v>0</v>
      </c>
    </row>
    <row r="151" spans="1:7" x14ac:dyDescent="0.25">
      <c r="A151" s="19" t="s">
        <v>93</v>
      </c>
      <c r="B151" s="8" t="s">
        <v>159</v>
      </c>
      <c r="C151" s="21">
        <v>100</v>
      </c>
      <c r="D151" s="21" t="s">
        <v>201</v>
      </c>
      <c r="E151" s="21" t="s">
        <v>204</v>
      </c>
      <c r="F151" s="26"/>
      <c r="G151" s="30">
        <f t="shared" si="3"/>
        <v>0</v>
      </c>
    </row>
    <row r="152" spans="1:7" x14ac:dyDescent="0.25">
      <c r="A152" s="19"/>
      <c r="B152" s="9" t="s">
        <v>189</v>
      </c>
      <c r="C152" s="21"/>
      <c r="D152" s="21"/>
      <c r="E152" s="21"/>
      <c r="F152" s="26"/>
      <c r="G152" s="30"/>
    </row>
    <row r="153" spans="1:7" x14ac:dyDescent="0.25">
      <c r="A153" s="19" t="s">
        <v>94</v>
      </c>
      <c r="B153" s="8" t="s">
        <v>156</v>
      </c>
      <c r="C153" s="21">
        <v>100</v>
      </c>
      <c r="D153" s="21" t="s">
        <v>201</v>
      </c>
      <c r="E153" s="21" t="s">
        <v>204</v>
      </c>
      <c r="F153" s="26"/>
      <c r="G153" s="30">
        <f t="shared" si="3"/>
        <v>0</v>
      </c>
    </row>
    <row r="154" spans="1:7" x14ac:dyDescent="0.25">
      <c r="A154" s="19" t="s">
        <v>95</v>
      </c>
      <c r="B154" s="8" t="s">
        <v>159</v>
      </c>
      <c r="C154" s="21">
        <v>100</v>
      </c>
      <c r="D154" s="21" t="s">
        <v>201</v>
      </c>
      <c r="E154" s="21" t="s">
        <v>204</v>
      </c>
      <c r="F154" s="26"/>
      <c r="G154" s="30">
        <f t="shared" si="3"/>
        <v>0</v>
      </c>
    </row>
    <row r="155" spans="1:7" ht="47.25" x14ac:dyDescent="0.25">
      <c r="A155" s="19"/>
      <c r="B155" s="9" t="s">
        <v>270</v>
      </c>
      <c r="C155" s="21"/>
      <c r="D155" s="21"/>
      <c r="E155" s="21"/>
      <c r="F155" s="26"/>
      <c r="G155" s="30"/>
    </row>
    <row r="156" spans="1:7" x14ac:dyDescent="0.25">
      <c r="A156" s="19" t="s">
        <v>96</v>
      </c>
      <c r="B156" s="8" t="s">
        <v>156</v>
      </c>
      <c r="C156" s="21">
        <v>100</v>
      </c>
      <c r="D156" s="21" t="s">
        <v>199</v>
      </c>
      <c r="E156" s="21" t="s">
        <v>204</v>
      </c>
      <c r="F156" s="26"/>
      <c r="G156" s="30">
        <f t="shared" si="3"/>
        <v>0</v>
      </c>
    </row>
    <row r="157" spans="1:7" x14ac:dyDescent="0.25">
      <c r="A157" s="19" t="s">
        <v>97</v>
      </c>
      <c r="B157" s="8" t="s">
        <v>157</v>
      </c>
      <c r="C157" s="21">
        <v>100</v>
      </c>
      <c r="D157" s="21" t="s">
        <v>199</v>
      </c>
      <c r="E157" s="21" t="s">
        <v>204</v>
      </c>
      <c r="F157" s="26"/>
      <c r="G157" s="30">
        <f t="shared" si="3"/>
        <v>0</v>
      </c>
    </row>
    <row r="158" spans="1:7" x14ac:dyDescent="0.25">
      <c r="A158" s="19" t="s">
        <v>98</v>
      </c>
      <c r="B158" s="8" t="s">
        <v>159</v>
      </c>
      <c r="C158" s="21">
        <v>100</v>
      </c>
      <c r="D158" s="21" t="s">
        <v>199</v>
      </c>
      <c r="E158" s="21" t="s">
        <v>204</v>
      </c>
      <c r="F158" s="26"/>
      <c r="G158" s="30">
        <f t="shared" si="3"/>
        <v>0</v>
      </c>
    </row>
    <row r="159" spans="1:7" ht="31.5" x14ac:dyDescent="0.25">
      <c r="A159" s="19" t="s">
        <v>99</v>
      </c>
      <c r="B159" s="8" t="s">
        <v>289</v>
      </c>
      <c r="C159" s="21">
        <v>100</v>
      </c>
      <c r="D159" s="21" t="s">
        <v>201</v>
      </c>
      <c r="E159" s="21" t="s">
        <v>204</v>
      </c>
      <c r="F159" s="26"/>
      <c r="G159" s="30">
        <f t="shared" si="3"/>
        <v>0</v>
      </c>
    </row>
    <row r="160" spans="1:7" ht="31.5" x14ac:dyDescent="0.25">
      <c r="A160" s="19" t="s">
        <v>100</v>
      </c>
      <c r="B160" s="8" t="s">
        <v>236</v>
      </c>
      <c r="C160" s="21">
        <v>100</v>
      </c>
      <c r="D160" s="21" t="s">
        <v>201</v>
      </c>
      <c r="E160" s="21" t="s">
        <v>204</v>
      </c>
      <c r="F160" s="26"/>
      <c r="G160" s="30">
        <f t="shared" si="3"/>
        <v>0</v>
      </c>
    </row>
    <row r="161" spans="1:7" x14ac:dyDescent="0.25">
      <c r="A161" s="19" t="s">
        <v>101</v>
      </c>
      <c r="B161" s="8" t="s">
        <v>190</v>
      </c>
      <c r="C161" s="21">
        <v>110</v>
      </c>
      <c r="D161" s="21" t="s">
        <v>200</v>
      </c>
      <c r="E161" s="21" t="s">
        <v>204</v>
      </c>
      <c r="F161" s="26"/>
      <c r="G161" s="30">
        <f t="shared" si="3"/>
        <v>0</v>
      </c>
    </row>
    <row r="162" spans="1:7" ht="31.5" x14ac:dyDescent="0.25">
      <c r="A162" s="19" t="s">
        <v>102</v>
      </c>
      <c r="B162" s="8" t="s">
        <v>271</v>
      </c>
      <c r="C162" s="21">
        <v>100</v>
      </c>
      <c r="D162" s="21" t="s">
        <v>200</v>
      </c>
      <c r="E162" s="21" t="s">
        <v>204</v>
      </c>
      <c r="F162" s="26"/>
      <c r="G162" s="30">
        <f t="shared" si="3"/>
        <v>0</v>
      </c>
    </row>
    <row r="163" spans="1:7" x14ac:dyDescent="0.25">
      <c r="A163" s="19" t="s">
        <v>103</v>
      </c>
      <c r="B163" s="8" t="s">
        <v>249</v>
      </c>
      <c r="C163" s="21">
        <v>100</v>
      </c>
      <c r="D163" s="21" t="s">
        <v>200</v>
      </c>
      <c r="E163" s="21" t="s">
        <v>204</v>
      </c>
      <c r="F163" s="26"/>
      <c r="G163" s="30">
        <f t="shared" si="3"/>
        <v>0</v>
      </c>
    </row>
    <row r="164" spans="1:7" x14ac:dyDescent="0.25">
      <c r="A164" s="19" t="s">
        <v>104</v>
      </c>
      <c r="B164" s="8" t="s">
        <v>250</v>
      </c>
      <c r="C164" s="21">
        <v>100</v>
      </c>
      <c r="D164" s="21" t="s">
        <v>200</v>
      </c>
      <c r="E164" s="21" t="s">
        <v>204</v>
      </c>
      <c r="F164" s="26"/>
      <c r="G164" s="30">
        <f t="shared" si="3"/>
        <v>0</v>
      </c>
    </row>
    <row r="165" spans="1:7" ht="31.5" x14ac:dyDescent="0.25">
      <c r="A165" s="19" t="s">
        <v>105</v>
      </c>
      <c r="B165" s="8" t="s">
        <v>272</v>
      </c>
      <c r="C165" s="21">
        <v>100</v>
      </c>
      <c r="D165" s="21" t="s">
        <v>198</v>
      </c>
      <c r="E165" s="21" t="s">
        <v>204</v>
      </c>
      <c r="F165" s="26"/>
      <c r="G165" s="30">
        <f t="shared" si="3"/>
        <v>0</v>
      </c>
    </row>
    <row r="166" spans="1:7" x14ac:dyDescent="0.25">
      <c r="A166" s="19" t="s">
        <v>106</v>
      </c>
      <c r="B166" s="8" t="s">
        <v>191</v>
      </c>
      <c r="C166" s="21">
        <v>100</v>
      </c>
      <c r="D166" s="21" t="s">
        <v>199</v>
      </c>
      <c r="E166" s="21" t="s">
        <v>204</v>
      </c>
      <c r="F166" s="26"/>
      <c r="G166" s="30">
        <f t="shared" si="3"/>
        <v>0</v>
      </c>
    </row>
    <row r="167" spans="1:7" ht="31.5" x14ac:dyDescent="0.25">
      <c r="A167" s="19" t="s">
        <v>107</v>
      </c>
      <c r="B167" s="8" t="s">
        <v>273</v>
      </c>
      <c r="C167" s="21">
        <v>100</v>
      </c>
      <c r="D167" s="21" t="s">
        <v>199</v>
      </c>
      <c r="E167" s="21" t="s">
        <v>204</v>
      </c>
      <c r="F167" s="26"/>
      <c r="G167" s="30">
        <f t="shared" si="3"/>
        <v>0</v>
      </c>
    </row>
    <row r="168" spans="1:7" ht="31.5" x14ac:dyDescent="0.25">
      <c r="A168" s="19" t="s">
        <v>108</v>
      </c>
      <c r="B168" s="8" t="s">
        <v>274</v>
      </c>
      <c r="C168" s="21">
        <v>100</v>
      </c>
      <c r="D168" s="21" t="s">
        <v>201</v>
      </c>
      <c r="E168" s="21" t="s">
        <v>204</v>
      </c>
      <c r="F168" s="26"/>
      <c r="G168" s="30">
        <f t="shared" si="3"/>
        <v>0</v>
      </c>
    </row>
    <row r="169" spans="1:7" ht="39" customHeight="1" x14ac:dyDescent="0.25">
      <c r="A169" s="19" t="s">
        <v>109</v>
      </c>
      <c r="B169" s="34" t="s">
        <v>275</v>
      </c>
      <c r="C169" s="21">
        <v>2000</v>
      </c>
      <c r="D169" s="21" t="s">
        <v>199</v>
      </c>
      <c r="E169" s="21" t="s">
        <v>204</v>
      </c>
      <c r="F169" s="26"/>
      <c r="G169" s="30">
        <f t="shared" si="3"/>
        <v>0</v>
      </c>
    </row>
    <row r="170" spans="1:7" ht="47.25" x14ac:dyDescent="0.25">
      <c r="A170" s="19" t="s">
        <v>110</v>
      </c>
      <c r="B170" s="34" t="s">
        <v>276</v>
      </c>
      <c r="C170" s="21">
        <v>2000</v>
      </c>
      <c r="D170" s="21" t="s">
        <v>199</v>
      </c>
      <c r="E170" s="21" t="s">
        <v>204</v>
      </c>
      <c r="F170" s="26"/>
      <c r="G170" s="30">
        <f t="shared" si="3"/>
        <v>0</v>
      </c>
    </row>
    <row r="171" spans="1:7" ht="47.25" x14ac:dyDescent="0.25">
      <c r="A171" s="19" t="s">
        <v>111</v>
      </c>
      <c r="B171" s="34" t="s">
        <v>304</v>
      </c>
      <c r="C171" s="21">
        <v>2000</v>
      </c>
      <c r="D171" s="21" t="s">
        <v>199</v>
      </c>
      <c r="E171" s="21" t="s">
        <v>204</v>
      </c>
      <c r="F171" s="26"/>
      <c r="G171" s="30">
        <f t="shared" si="3"/>
        <v>0</v>
      </c>
    </row>
    <row r="172" spans="1:7" ht="31.5" x14ac:dyDescent="0.25">
      <c r="A172" s="19"/>
      <c r="B172" s="9" t="s">
        <v>192</v>
      </c>
      <c r="C172" s="21"/>
      <c r="D172" s="21"/>
      <c r="E172" s="21"/>
      <c r="F172" s="26"/>
      <c r="G172" s="30"/>
    </row>
    <row r="173" spans="1:7" ht="63" x14ac:dyDescent="0.25">
      <c r="A173" s="19" t="s">
        <v>112</v>
      </c>
      <c r="B173" s="8" t="s">
        <v>239</v>
      </c>
      <c r="C173" s="21">
        <v>1</v>
      </c>
      <c r="D173" s="21" t="s">
        <v>202</v>
      </c>
      <c r="E173" s="21" t="s">
        <v>204</v>
      </c>
      <c r="F173" s="26"/>
      <c r="G173" s="30">
        <f t="shared" si="3"/>
        <v>0</v>
      </c>
    </row>
    <row r="174" spans="1:7" ht="47.25" x14ac:dyDescent="0.25">
      <c r="A174" s="19" t="s">
        <v>113</v>
      </c>
      <c r="B174" s="8" t="s">
        <v>193</v>
      </c>
      <c r="C174" s="21">
        <v>2000</v>
      </c>
      <c r="D174" s="21" t="s">
        <v>203</v>
      </c>
      <c r="E174" s="21" t="s">
        <v>204</v>
      </c>
      <c r="F174" s="26"/>
      <c r="G174" s="30">
        <f t="shared" si="3"/>
        <v>0</v>
      </c>
    </row>
    <row r="175" spans="1:7" x14ac:dyDescent="0.25">
      <c r="A175" s="19" t="s">
        <v>114</v>
      </c>
      <c r="B175" s="8" t="s">
        <v>237</v>
      </c>
      <c r="C175" s="21">
        <v>20</v>
      </c>
      <c r="D175" s="21" t="s">
        <v>201</v>
      </c>
      <c r="E175" s="21" t="s">
        <v>204</v>
      </c>
      <c r="F175" s="26"/>
      <c r="G175" s="30">
        <f t="shared" si="3"/>
        <v>0</v>
      </c>
    </row>
    <row r="176" spans="1:7" ht="78.75" x14ac:dyDescent="0.25">
      <c r="A176" s="19"/>
      <c r="B176" s="8" t="s">
        <v>238</v>
      </c>
      <c r="C176" s="21"/>
      <c r="D176" s="21"/>
      <c r="E176" s="21"/>
      <c r="F176" s="26"/>
      <c r="G176" s="30"/>
    </row>
    <row r="177" spans="1:7" ht="31.5" x14ac:dyDescent="0.25">
      <c r="A177" s="19" t="s">
        <v>115</v>
      </c>
      <c r="B177" s="8" t="s">
        <v>194</v>
      </c>
      <c r="C177" s="21">
        <v>1000</v>
      </c>
      <c r="D177" s="21" t="s">
        <v>199</v>
      </c>
      <c r="E177" s="21" t="s">
        <v>204</v>
      </c>
      <c r="F177" s="26"/>
      <c r="G177" s="30">
        <f t="shared" si="3"/>
        <v>0</v>
      </c>
    </row>
    <row r="178" spans="1:7" ht="31.5" x14ac:dyDescent="0.25">
      <c r="A178" s="19" t="s">
        <v>116</v>
      </c>
      <c r="B178" s="8" t="s">
        <v>195</v>
      </c>
      <c r="C178" s="21">
        <v>1000</v>
      </c>
      <c r="D178" s="21" t="s">
        <v>199</v>
      </c>
      <c r="E178" s="21" t="s">
        <v>204</v>
      </c>
      <c r="F178" s="26"/>
      <c r="G178" s="30">
        <f t="shared" si="3"/>
        <v>0</v>
      </c>
    </row>
    <row r="179" spans="1:7" ht="31.5" x14ac:dyDescent="0.25">
      <c r="A179" s="19" t="s">
        <v>117</v>
      </c>
      <c r="B179" s="8" t="s">
        <v>196</v>
      </c>
      <c r="C179" s="21">
        <v>1000</v>
      </c>
      <c r="D179" s="21" t="s">
        <v>199</v>
      </c>
      <c r="E179" s="21" t="s">
        <v>204</v>
      </c>
      <c r="F179" s="26"/>
      <c r="G179" s="30">
        <f t="shared" si="3"/>
        <v>0</v>
      </c>
    </row>
    <row r="180" spans="1:7" ht="47.25" x14ac:dyDescent="0.25">
      <c r="A180" s="19" t="s">
        <v>118</v>
      </c>
      <c r="B180" s="3" t="s">
        <v>302</v>
      </c>
      <c r="C180" s="21">
        <v>1</v>
      </c>
      <c r="D180" s="21" t="s">
        <v>255</v>
      </c>
      <c r="E180" s="21"/>
      <c r="F180" s="26"/>
      <c r="G180" s="30">
        <f>F180</f>
        <v>0</v>
      </c>
    </row>
    <row r="181" spans="1:7" ht="48" thickBot="1" x14ac:dyDescent="0.3">
      <c r="A181" s="19" t="s">
        <v>119</v>
      </c>
      <c r="B181" s="4" t="s">
        <v>303</v>
      </c>
      <c r="C181" s="21">
        <v>1</v>
      </c>
      <c r="D181" s="21" t="s">
        <v>255</v>
      </c>
      <c r="E181" s="21"/>
      <c r="F181" s="26"/>
      <c r="G181" s="32">
        <f>F181</f>
        <v>0</v>
      </c>
    </row>
    <row r="182" spans="1:7" ht="47.25" x14ac:dyDescent="0.25">
      <c r="A182" s="19"/>
      <c r="B182" s="9" t="s">
        <v>288</v>
      </c>
      <c r="C182" s="21"/>
      <c r="D182" s="21"/>
      <c r="E182" s="21"/>
      <c r="F182" s="23"/>
      <c r="G182" s="28">
        <f>SUM(G7:G181)</f>
        <v>0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  <pageSetup scale="62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C225-33D8-45F2-888A-3CA0E42B7CDD}">
  <dimension ref="B2:D8"/>
  <sheetViews>
    <sheetView workbookViewId="0">
      <selection activeCell="F10" sqref="F10"/>
    </sheetView>
  </sheetViews>
  <sheetFormatPr defaultRowHeight="15" x14ac:dyDescent="0.25"/>
  <cols>
    <col min="4" max="4" width="17.85546875" style="1" customWidth="1"/>
  </cols>
  <sheetData>
    <row r="2" spans="2:4" x14ac:dyDescent="0.25">
      <c r="B2" s="45" t="s">
        <v>210</v>
      </c>
      <c r="C2" s="45"/>
      <c r="D2" s="45"/>
    </row>
    <row r="3" spans="2:4" x14ac:dyDescent="0.25">
      <c r="B3" s="45" t="s">
        <v>205</v>
      </c>
      <c r="C3" s="45"/>
      <c r="D3" s="2">
        <f>'Base Option'!G182</f>
        <v>0</v>
      </c>
    </row>
    <row r="4" spans="2:4" x14ac:dyDescent="0.25">
      <c r="B4" s="45" t="s">
        <v>206</v>
      </c>
      <c r="C4" s="45"/>
      <c r="D4" s="2">
        <f>'Option 1'!G182</f>
        <v>0</v>
      </c>
    </row>
    <row r="5" spans="2:4" x14ac:dyDescent="0.25">
      <c r="B5" s="45" t="s">
        <v>207</v>
      </c>
      <c r="C5" s="45"/>
      <c r="D5" s="2">
        <f>'Option 2'!G182</f>
        <v>0</v>
      </c>
    </row>
    <row r="6" spans="2:4" x14ac:dyDescent="0.25">
      <c r="B6" s="45" t="s">
        <v>208</v>
      </c>
      <c r="C6" s="45"/>
      <c r="D6" s="2">
        <f>'Option 3'!G182</f>
        <v>0</v>
      </c>
    </row>
    <row r="7" spans="2:4" x14ac:dyDescent="0.25">
      <c r="B7" s="45" t="s">
        <v>209</v>
      </c>
      <c r="C7" s="45"/>
      <c r="D7" s="2">
        <f>'Option 4'!G182</f>
        <v>0</v>
      </c>
    </row>
    <row r="8" spans="2:4" x14ac:dyDescent="0.25">
      <c r="B8" s="46" t="s">
        <v>5</v>
      </c>
      <c r="C8" s="46"/>
      <c r="D8" s="35">
        <f>D3+D4+D5+D6+D7</f>
        <v>0</v>
      </c>
    </row>
  </sheetData>
  <mergeCells count="7">
    <mergeCell ref="B7:C7"/>
    <mergeCell ref="B8:C8"/>
    <mergeCell ref="B2:D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Option</vt:lpstr>
      <vt:lpstr>Option 1</vt:lpstr>
      <vt:lpstr>Option 2</vt:lpstr>
      <vt:lpstr>Option 3</vt:lpstr>
      <vt:lpstr>Option 4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Ryder, Brooke A CIV USN NAVFAC MIDLANT PHI (USA)</dc:creator>
  <cp:lastModifiedBy>Ryder, Brooke A CIV USN NAVFAC MIDLANT PHI (USA)</cp:lastModifiedBy>
  <cp:lastPrinted>2025-04-17T14:26:51Z</cp:lastPrinted>
  <dcterms:created xsi:type="dcterms:W3CDTF">2025-03-20T18:38:17Z</dcterms:created>
  <dcterms:modified xsi:type="dcterms:W3CDTF">2025-04-17T17:58:50Z</dcterms:modified>
</cp:coreProperties>
</file>