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SYRSEBURR\OneDrive - Department of Veterans Affairs\Desktop\Current Procurements\BATH MED GAS\"/>
    </mc:Choice>
  </mc:AlternateContent>
  <xr:revisionPtr revIDLastSave="0" documentId="8_{E5FEAE1A-2C52-4A75-AA81-E61E774B4529}" xr6:coauthVersionLast="47" xr6:coauthVersionMax="47" xr10:uidLastSave="{00000000-0000-0000-0000-000000000000}"/>
  <bookViews>
    <workbookView xWindow="-120" yWindow="-120" windowWidth="29040" windowHeight="15720" xr2:uid="{094C7ACF-5FE4-42CD-A757-DF920BA94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J2" i="1"/>
  <c r="J17" i="1"/>
  <c r="J18" i="1"/>
  <c r="J19" i="1"/>
  <c r="J20" i="1"/>
  <c r="J21" i="1"/>
  <c r="M17" i="1"/>
  <c r="M18" i="1"/>
  <c r="M19" i="1"/>
  <c r="M20" i="1"/>
  <c r="M2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M22" i="1" l="1"/>
  <c r="J22" i="1"/>
  <c r="G22" i="1"/>
  <c r="E25" i="1" l="1"/>
</calcChain>
</file>

<file path=xl/sharedStrings.xml><?xml version="1.0" encoding="utf-8"?>
<sst xmlns="http://schemas.openxmlformats.org/spreadsheetml/2006/main" count="69" uniqueCount="53">
  <si>
    <t>Item #</t>
  </si>
  <si>
    <t>Description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</si>
  <si>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</si>
  <si>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</si>
  <si>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</si>
  <si>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</si>
  <si>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</si>
  <si>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</si>
  <si>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</si>
  <si>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</si>
  <si>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</si>
  <si>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</si>
  <si>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</si>
  <si>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</si>
  <si>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</si>
  <si>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</si>
  <si>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DAILY RENTAL - E W/OXY-GEN I</t>
  </si>
  <si>
    <t>0015</t>
  </si>
  <si>
    <t>0016</t>
  </si>
  <si>
    <t>Emergency Delivery</t>
  </si>
  <si>
    <t>0017</t>
  </si>
  <si>
    <t>Hydrostatic Testing VA Tanks as requested</t>
  </si>
  <si>
    <t>Pricing Period Total Price</t>
  </si>
  <si>
    <t>UOM</t>
  </si>
  <si>
    <t>CYL</t>
  </si>
  <si>
    <t>DAILY</t>
  </si>
  <si>
    <t>EA</t>
  </si>
  <si>
    <t>Unit Price</t>
  </si>
  <si>
    <t xml:space="preserve">2027 Annual Quantity </t>
  </si>
  <si>
    <t>Pricing  Period 1</t>
  </si>
  <si>
    <t>Pricing Period 2</t>
  </si>
  <si>
    <t>2028 Annual Quantity</t>
  </si>
  <si>
    <t>Pricing Period 3</t>
  </si>
  <si>
    <t>All Three Pricing Period Total</t>
  </si>
  <si>
    <t>2026 Annual Quantity</t>
  </si>
  <si>
    <t>Bath  All in One E Tanks - CF per tank - 24 Please include Delivery and Gas as all one Delivery on Demand- Estimate 2X a week Quantity of tanks on site 120.Tank Type - Aluminum Medical Grade Oxygen</t>
  </si>
  <si>
    <t xml:space="preserve">Bath Medical O2 Gas Form D Tanks - CCF per tank - 15 Please include Delivery and Gas as all one Delivery on Demand - Estimate 2X a week Quantity of tanks on site 18 </t>
  </si>
  <si>
    <t>OxyTote</t>
  </si>
  <si>
    <t>HP LG</t>
  </si>
  <si>
    <t>MED SM</t>
  </si>
  <si>
    <t>Bath Medical VA Oxygen (247 CF) Size K</t>
  </si>
  <si>
    <t>Bath Medical Carbon Dioxide USP 50LB Vapor Size K</t>
  </si>
  <si>
    <t>Bath Medical Carbon Dioxide 7 Pounds Size E</t>
  </si>
  <si>
    <t>Bath Breathing Air USP  (22CF) Size E</t>
  </si>
  <si>
    <t>Bath Breathing Air USP (232CF) Size K</t>
  </si>
  <si>
    <t>Bath Nitrogen USP (230CF) Size K</t>
  </si>
  <si>
    <t>Bath Medical Nitrous Oxide (487CF) Size K</t>
  </si>
  <si>
    <t>Bath Breathing Testing Mix .3%CO2,3%CH4,21%O2 IN N2 Size E</t>
  </si>
  <si>
    <t>Bath  5%CO2,5%H2, in NIT Size K</t>
  </si>
  <si>
    <t>Bath Medical USP Oxygen All in Ones Size E</t>
  </si>
  <si>
    <t>Small Medical Cylinder Rental Size D</t>
  </si>
  <si>
    <t>SPECIALTY GAS CYLINDER RENTAL DAYS</t>
  </si>
  <si>
    <t>Lost Containers - quote all types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</si>
</sst>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4" fontId="0" fillId="2" borderId="0" xfId="1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44" fontId="0" fillId="2" borderId="0" xfId="1" applyFont="1" applyFill="1"/>
    <xf numFmtId="164" fontId="0" fillId="2" borderId="0" xfId="1" applyNumberFormat="1" applyFont="1" applyFill="1" applyAlignment="1">
      <alignment horizontal="center" vertical="center"/>
    </xf>
    <xf numFmtId="0" fontId="0" fillId="2" borderId="0" xfId="0" applyFill="1"/>
    <xf numFmtId="44" fontId="3" fillId="3" borderId="0" xfId="1" applyFont="1" applyFill="1" applyAlignment="1">
      <alignment horizontal="center" vertical="center"/>
    </xf>
    <xf numFmtId="44" fontId="2" fillId="3" borderId="0" xfId="1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 vertical="center"/>
    </xf>
    <xf numFmtId="8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C56F-8A28-475B-AA4D-E9ADCEB349E0}">
  <dimension ref="A1:S25"/>
  <sheetViews>
    <sheetView tabSelected="1" workbookViewId="0">
      <selection activeCell="F2" sqref="F2"/>
    </sheetView>
  </sheetViews>
  <sheetFormatPr defaultRowHeight="15" x14ac:dyDescent="0.25"/>
  <cols>
    <col min="1" max="1" width="8.7109375" style="4"/>
    <col min="2" max="2" width="17.85546875" style="4" customWidth="1"/>
    <col min="3" max="3" width="50.140625" style="5" customWidth="1"/>
    <col min="4" max="4" width="8.7109375" style="5"/>
    <col min="5" max="5" width="8.7109375" style="14"/>
    <col min="6" max="6" width="11.42578125" style="12" customWidth="1"/>
    <col min="7" max="7" width="12.7109375" style="12" customWidth="1"/>
    <col min="8" max="8" width="8.7109375" style="18"/>
    <col min="9" max="9" width="9.140625" style="16"/>
    <col min="10" max="10" width="14.42578125" style="12" customWidth="1"/>
    <col min="11" max="11" width="8.7109375" style="14"/>
    <col min="12" max="12" width="9" style="12" bestFit="1" customWidth="1"/>
    <col min="13" max="13" width="13.140625" style="12" customWidth="1"/>
    <col min="14" max="14" width="8.7109375" style="11"/>
    <col min="15" max="15" width="9" style="12" bestFit="1" customWidth="1"/>
    <col min="16" max="16" width="15.28515625" style="12" customWidth="1"/>
    <col min="17" max="17" width="8.7109375" style="14"/>
    <col min="18" max="18" width="9" style="12" bestFit="1" customWidth="1"/>
    <col min="19" max="19" width="13" style="12" customWidth="1"/>
  </cols>
  <sheetData>
    <row r="1" spans="1:19" ht="46.5" customHeight="1" x14ac:dyDescent="0.25">
      <c r="A1" s="3" t="s">
        <v>0</v>
      </c>
      <c r="B1" s="8"/>
      <c r="C1" s="1" t="s">
        <v>1</v>
      </c>
      <c r="D1" s="2" t="s">
        <v>34</v>
      </c>
      <c r="E1" s="9" t="s">
        <v>23</v>
      </c>
      <c r="F1" s="10" t="s">
        <v>27</v>
      </c>
      <c r="G1" s="19" t="s">
        <v>29</v>
      </c>
      <c r="H1" s="11" t="s">
        <v>28</v>
      </c>
      <c r="I1" s="12" t="s">
        <v>27</v>
      </c>
      <c r="J1" s="20" t="s">
        <v>30</v>
      </c>
      <c r="K1" s="11" t="s">
        <v>31</v>
      </c>
      <c r="L1" s="13" t="s">
        <v>27</v>
      </c>
      <c r="M1" s="20" t="s">
        <v>32</v>
      </c>
      <c r="O1" s="13"/>
      <c r="P1" s="13"/>
      <c r="Q1" s="11"/>
      <c r="R1" s="13"/>
      <c r="S1" s="13"/>
    </row>
    <row r="2" spans="1:19" ht="86.1" customHeight="1" x14ac:dyDescent="0.25">
      <c r="A2" s="4" t="s">
        <v>2</v>
      </c>
      <c r="C2" s="6" t="s">
        <v>35</v>
      </c>
      <c r="D2" s="7">
        <v>729</v>
      </c>
      <c r="E2" s="14" t="s">
        <v>24</v>
      </c>
      <c r="G2" s="21">
        <f>SUM(D2*F2)</f>
        <v>0</v>
      </c>
      <c r="H2" s="15">
        <v>1250</v>
      </c>
      <c r="J2" s="21">
        <f>SUM(H2*I2)</f>
        <v>0</v>
      </c>
      <c r="K2" s="15">
        <v>1250</v>
      </c>
      <c r="M2" s="21">
        <f>SUM(K2*L2)</f>
        <v>0</v>
      </c>
      <c r="N2" s="15"/>
      <c r="Q2" s="15"/>
    </row>
    <row r="3" spans="1:19" ht="87.6" customHeight="1" x14ac:dyDescent="0.25">
      <c r="A3" s="4" t="s">
        <v>3</v>
      </c>
      <c r="C3" s="6" t="s">
        <v>36</v>
      </c>
      <c r="D3" s="5">
        <v>2</v>
      </c>
      <c r="E3" s="14" t="s">
        <v>24</v>
      </c>
      <c r="G3" s="21">
        <f t="shared" ref="G3:G16" si="0">SUM(D3*F3)</f>
        <v>0</v>
      </c>
      <c r="H3" s="14">
        <v>4</v>
      </c>
      <c r="J3" s="21">
        <f t="shared" ref="J3:J21" si="1">SUM(H3*I3)</f>
        <v>0</v>
      </c>
      <c r="K3" s="14">
        <v>4</v>
      </c>
      <c r="M3" s="21">
        <f t="shared" ref="M3:M21" si="2">SUM(K3*L3)</f>
        <v>0</v>
      </c>
      <c r="N3" s="14"/>
    </row>
    <row r="4" spans="1:19" x14ac:dyDescent="0.25">
      <c r="A4" s="4" t="s">
        <v>4</v>
      </c>
      <c r="C4" s="5" t="s">
        <v>40</v>
      </c>
      <c r="D4" s="5">
        <v>21</v>
      </c>
      <c r="E4" s="14" t="s">
        <v>24</v>
      </c>
      <c r="G4" s="21">
        <f t="shared" si="0"/>
        <v>0</v>
      </c>
      <c r="H4" s="14">
        <v>36</v>
      </c>
      <c r="J4" s="21">
        <f t="shared" si="1"/>
        <v>0</v>
      </c>
      <c r="K4" s="14">
        <v>36</v>
      </c>
      <c r="M4" s="21">
        <f t="shared" si="2"/>
        <v>0</v>
      </c>
      <c r="N4" s="14"/>
    </row>
    <row r="5" spans="1:19" x14ac:dyDescent="0.25">
      <c r="A5" s="4" t="s">
        <v>5</v>
      </c>
      <c r="C5" s="5" t="s">
        <v>41</v>
      </c>
      <c r="D5" s="5">
        <v>4</v>
      </c>
      <c r="E5" s="14" t="s">
        <v>24</v>
      </c>
      <c r="G5" s="21">
        <f t="shared" si="0"/>
        <v>0</v>
      </c>
      <c r="H5" s="14">
        <v>6</v>
      </c>
      <c r="J5" s="21">
        <f t="shared" si="1"/>
        <v>0</v>
      </c>
      <c r="K5" s="14">
        <v>6</v>
      </c>
      <c r="M5" s="21">
        <f t="shared" si="2"/>
        <v>0</v>
      </c>
      <c r="N5" s="14"/>
    </row>
    <row r="6" spans="1:19" x14ac:dyDescent="0.25">
      <c r="A6" s="4" t="s">
        <v>6</v>
      </c>
      <c r="C6" s="5" t="s">
        <v>42</v>
      </c>
      <c r="D6" s="5">
        <v>294</v>
      </c>
      <c r="E6" s="14" t="s">
        <v>24</v>
      </c>
      <c r="G6" s="21">
        <f t="shared" si="0"/>
        <v>0</v>
      </c>
      <c r="H6" s="14">
        <v>504</v>
      </c>
      <c r="J6" s="21">
        <f t="shared" si="1"/>
        <v>0</v>
      </c>
      <c r="K6" s="14">
        <v>504</v>
      </c>
      <c r="M6" s="21">
        <f t="shared" si="2"/>
        <v>0</v>
      </c>
      <c r="N6" s="14"/>
    </row>
    <row r="7" spans="1:19" x14ac:dyDescent="0.25">
      <c r="A7" s="4" t="s">
        <v>7</v>
      </c>
      <c r="C7" s="5" t="s">
        <v>43</v>
      </c>
      <c r="D7" s="5">
        <v>41</v>
      </c>
      <c r="E7" s="14" t="s">
        <v>24</v>
      </c>
      <c r="G7" s="21">
        <f t="shared" si="0"/>
        <v>0</v>
      </c>
      <c r="H7" s="14">
        <v>70</v>
      </c>
      <c r="J7" s="21">
        <f t="shared" si="1"/>
        <v>0</v>
      </c>
      <c r="K7" s="14">
        <v>70</v>
      </c>
      <c r="M7" s="21">
        <f t="shared" si="2"/>
        <v>0</v>
      </c>
      <c r="N7" s="14"/>
    </row>
    <row r="8" spans="1:19" x14ac:dyDescent="0.25">
      <c r="A8" s="4" t="s">
        <v>8</v>
      </c>
      <c r="C8" s="5" t="s">
        <v>44</v>
      </c>
      <c r="D8" s="5">
        <v>2</v>
      </c>
      <c r="E8" s="14" t="s">
        <v>24</v>
      </c>
      <c r="G8" s="21">
        <f t="shared" si="0"/>
        <v>0</v>
      </c>
      <c r="H8" s="14">
        <v>4</v>
      </c>
      <c r="J8" s="21">
        <f t="shared" si="1"/>
        <v>0</v>
      </c>
      <c r="K8" s="14">
        <v>4</v>
      </c>
      <c r="M8" s="21">
        <f t="shared" si="2"/>
        <v>0</v>
      </c>
      <c r="N8" s="14"/>
    </row>
    <row r="9" spans="1:19" x14ac:dyDescent="0.25">
      <c r="A9" s="4" t="s">
        <v>9</v>
      </c>
      <c r="C9" s="5" t="s">
        <v>45</v>
      </c>
      <c r="D9" s="5">
        <v>37</v>
      </c>
      <c r="E9" s="14" t="s">
        <v>24</v>
      </c>
      <c r="G9" s="21">
        <f t="shared" si="0"/>
        <v>0</v>
      </c>
      <c r="H9" s="14">
        <v>64</v>
      </c>
      <c r="J9" s="21">
        <f t="shared" si="1"/>
        <v>0</v>
      </c>
      <c r="K9" s="14">
        <v>64</v>
      </c>
      <c r="M9" s="21">
        <f t="shared" si="2"/>
        <v>0</v>
      </c>
      <c r="N9" s="14"/>
    </row>
    <row r="10" spans="1:19" x14ac:dyDescent="0.25">
      <c r="A10" s="4" t="s">
        <v>10</v>
      </c>
      <c r="C10" s="5" t="s">
        <v>46</v>
      </c>
      <c r="D10" s="5">
        <v>28</v>
      </c>
      <c r="E10" s="14" t="s">
        <v>24</v>
      </c>
      <c r="G10" s="21">
        <f t="shared" si="0"/>
        <v>0</v>
      </c>
      <c r="H10" s="14">
        <v>48</v>
      </c>
      <c r="J10" s="21">
        <f t="shared" si="1"/>
        <v>0</v>
      </c>
      <c r="K10" s="14">
        <v>48</v>
      </c>
      <c r="M10" s="21">
        <f t="shared" si="2"/>
        <v>0</v>
      </c>
      <c r="N10" s="14"/>
    </row>
    <row r="11" spans="1:19" x14ac:dyDescent="0.25">
      <c r="A11" s="4" t="s">
        <v>11</v>
      </c>
      <c r="C11" s="5" t="s">
        <v>47</v>
      </c>
      <c r="D11" s="5">
        <v>2</v>
      </c>
      <c r="E11" s="14" t="s">
        <v>24</v>
      </c>
      <c r="G11" s="21">
        <f t="shared" si="0"/>
        <v>0</v>
      </c>
      <c r="H11" s="14">
        <v>4</v>
      </c>
      <c r="J11" s="21">
        <f t="shared" si="1"/>
        <v>0</v>
      </c>
      <c r="K11" s="14">
        <v>4</v>
      </c>
      <c r="M11" s="21">
        <f t="shared" si="2"/>
        <v>0</v>
      </c>
      <c r="N11" s="14"/>
    </row>
    <row r="12" spans="1:19" x14ac:dyDescent="0.25">
      <c r="A12" s="4" t="s">
        <v>12</v>
      </c>
      <c r="C12" s="5" t="s">
        <v>48</v>
      </c>
      <c r="D12" s="5">
        <v>4</v>
      </c>
      <c r="E12" s="14" t="s">
        <v>24</v>
      </c>
      <c r="G12" s="21">
        <f t="shared" si="0"/>
        <v>0</v>
      </c>
      <c r="H12" s="14">
        <v>6</v>
      </c>
      <c r="J12" s="21">
        <f t="shared" si="1"/>
        <v>0</v>
      </c>
      <c r="K12" s="14">
        <v>6</v>
      </c>
      <c r="M12" s="21">
        <f t="shared" si="2"/>
        <v>0</v>
      </c>
      <c r="N12" s="14"/>
    </row>
    <row r="13" spans="1:19" x14ac:dyDescent="0.25">
      <c r="A13" s="4" t="s">
        <v>13</v>
      </c>
      <c r="C13" s="5" t="s">
        <v>49</v>
      </c>
      <c r="D13" s="7">
        <v>583</v>
      </c>
      <c r="E13" s="14" t="s">
        <v>24</v>
      </c>
      <c r="G13" s="21">
        <f t="shared" si="0"/>
        <v>0</v>
      </c>
      <c r="H13" s="15">
        <v>1000</v>
      </c>
      <c r="J13" s="21">
        <f t="shared" si="1"/>
        <v>0</v>
      </c>
      <c r="K13" s="15">
        <v>1000</v>
      </c>
      <c r="M13" s="21">
        <f t="shared" si="2"/>
        <v>0</v>
      </c>
      <c r="N13" s="15"/>
      <c r="Q13" s="15"/>
    </row>
    <row r="14" spans="1:19" x14ac:dyDescent="0.25">
      <c r="A14" s="4" t="s">
        <v>14</v>
      </c>
      <c r="C14" s="5" t="s">
        <v>50</v>
      </c>
      <c r="D14" s="7">
        <v>7239</v>
      </c>
      <c r="E14" s="14" t="s">
        <v>25</v>
      </c>
      <c r="F14" s="17"/>
      <c r="G14" s="21">
        <f t="shared" si="0"/>
        <v>0</v>
      </c>
      <c r="H14" s="15">
        <v>12410</v>
      </c>
      <c r="J14" s="21">
        <f t="shared" si="1"/>
        <v>0</v>
      </c>
      <c r="K14" s="15">
        <v>12410</v>
      </c>
      <c r="L14" s="17"/>
      <c r="M14" s="21">
        <f t="shared" si="2"/>
        <v>0</v>
      </c>
      <c r="N14" s="15"/>
      <c r="Q14" s="15"/>
    </row>
    <row r="15" spans="1:19" x14ac:dyDescent="0.25">
      <c r="A15" s="4" t="s">
        <v>15</v>
      </c>
      <c r="C15" s="5" t="s">
        <v>16</v>
      </c>
      <c r="D15" s="7">
        <v>124130</v>
      </c>
      <c r="E15" s="14" t="s">
        <v>25</v>
      </c>
      <c r="F15" s="17"/>
      <c r="G15" s="21">
        <f t="shared" si="0"/>
        <v>0</v>
      </c>
      <c r="H15" s="15">
        <v>212795</v>
      </c>
      <c r="J15" s="21">
        <f t="shared" si="1"/>
        <v>0</v>
      </c>
      <c r="K15" s="15">
        <v>212795</v>
      </c>
      <c r="L15" s="17"/>
      <c r="M15" s="21">
        <f t="shared" si="2"/>
        <v>0</v>
      </c>
      <c r="N15" s="15"/>
      <c r="Q15" s="15"/>
    </row>
    <row r="16" spans="1:19" x14ac:dyDescent="0.25">
      <c r="A16" s="4" t="s">
        <v>17</v>
      </c>
      <c r="C16" s="5" t="s">
        <v>51</v>
      </c>
      <c r="D16" s="7">
        <v>58036</v>
      </c>
      <c r="E16" s="14" t="s">
        <v>25</v>
      </c>
      <c r="G16" s="21">
        <f t="shared" si="0"/>
        <v>0</v>
      </c>
      <c r="H16" s="15">
        <v>99490</v>
      </c>
      <c r="J16" s="21">
        <f t="shared" si="1"/>
        <v>0</v>
      </c>
      <c r="K16" s="15">
        <v>99490</v>
      </c>
      <c r="L16" s="17"/>
      <c r="M16" s="21">
        <f t="shared" si="2"/>
        <v>0</v>
      </c>
      <c r="N16" s="15"/>
      <c r="Q16" s="15"/>
    </row>
    <row r="17" spans="1:13" x14ac:dyDescent="0.25">
      <c r="A17" s="4" t="s">
        <v>18</v>
      </c>
      <c r="C17" s="5" t="s">
        <v>19</v>
      </c>
      <c r="E17" s="14" t="s">
        <v>26</v>
      </c>
      <c r="G17" s="21"/>
      <c r="J17" s="21">
        <f t="shared" si="1"/>
        <v>0</v>
      </c>
      <c r="M17" s="21">
        <f t="shared" si="2"/>
        <v>0</v>
      </c>
    </row>
    <row r="18" spans="1:13" x14ac:dyDescent="0.25">
      <c r="A18" s="4" t="s">
        <v>20</v>
      </c>
      <c r="C18" s="5" t="s">
        <v>21</v>
      </c>
      <c r="E18" s="14" t="s">
        <v>26</v>
      </c>
      <c r="G18" s="21"/>
      <c r="J18" s="21">
        <f t="shared" si="1"/>
        <v>0</v>
      </c>
      <c r="M18" s="21">
        <f t="shared" si="2"/>
        <v>0</v>
      </c>
    </row>
    <row r="19" spans="1:13" x14ac:dyDescent="0.25">
      <c r="C19" s="5" t="s">
        <v>52</v>
      </c>
      <c r="E19" s="14" t="s">
        <v>37</v>
      </c>
      <c r="G19" s="21"/>
      <c r="I19" s="16">
        <v>0</v>
      </c>
      <c r="J19" s="21">
        <f t="shared" si="1"/>
        <v>0</v>
      </c>
      <c r="L19" s="12">
        <v>0</v>
      </c>
      <c r="M19" s="21">
        <f t="shared" si="2"/>
        <v>0</v>
      </c>
    </row>
    <row r="20" spans="1:13" x14ac:dyDescent="0.25">
      <c r="E20" s="14" t="s">
        <v>38</v>
      </c>
      <c r="G20" s="21"/>
      <c r="J20" s="21">
        <f t="shared" si="1"/>
        <v>0</v>
      </c>
      <c r="M20" s="21">
        <f t="shared" si="2"/>
        <v>0</v>
      </c>
    </row>
    <row r="21" spans="1:13" x14ac:dyDescent="0.25">
      <c r="E21" s="14" t="s">
        <v>39</v>
      </c>
      <c r="G21" s="21"/>
      <c r="J21" s="21">
        <f t="shared" si="1"/>
        <v>0</v>
      </c>
      <c r="M21" s="21">
        <f t="shared" si="2"/>
        <v>0</v>
      </c>
    </row>
    <row r="22" spans="1:13" x14ac:dyDescent="0.25">
      <c r="C22" s="5" t="s">
        <v>22</v>
      </c>
      <c r="G22" s="21">
        <f>SUM(G2:G16)</f>
        <v>0</v>
      </c>
      <c r="J22" s="21">
        <f>SUM(J2:J16)</f>
        <v>0</v>
      </c>
      <c r="M22" s="21">
        <f>SUM(M2:M16)</f>
        <v>0</v>
      </c>
    </row>
    <row r="25" spans="1:13" ht="73.5" customHeight="1" x14ac:dyDescent="0.25">
      <c r="D25" s="6" t="s">
        <v>33</v>
      </c>
      <c r="E25" s="22">
        <f>SUM(G22:J22:M22)</f>
        <v>0</v>
      </c>
      <c r="F25" s="23"/>
      <c r="G25" s="23"/>
      <c r="H25" s="23"/>
      <c r="I25" s="23"/>
      <c r="J25" s="23"/>
    </row>
  </sheetData>
  <mergeCells count="1">
    <mergeCell ref="E25:J25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F96EDD8C49F489C3F849213649FA7" ma:contentTypeVersion="18" ma:contentTypeDescription="Create a new document." ma:contentTypeScope="" ma:versionID="ebc65f1f266b3e26a759db23c23a997a">
  <xsd:schema xmlns:xsd="http://www.w3.org/2001/XMLSchema" xmlns:xs="http://www.w3.org/2001/XMLSchema" xmlns:p="http://schemas.microsoft.com/office/2006/metadata/properties" xmlns:ns2="f3dd7ea9-d0b7-411f-b51d-a3deb7d77878" xmlns:ns3="29dd36f9-28df-4e25-b384-2293c76b636d" targetNamespace="http://schemas.microsoft.com/office/2006/metadata/properties" ma:root="true" ma:fieldsID="ac73ca0af27f82fa590c92f3d4ce9d06" ns2:_="" ns3:_="">
    <xsd:import namespace="f3dd7ea9-d0b7-411f-b51d-a3deb7d77878"/>
    <xsd:import namespace="29dd36f9-28df-4e25-b384-2293c76b63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d7ea9-d0b7-411f-b51d-a3deb7d77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308f16-1fac-4843-b122-0efb95091e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d36f9-28df-4e25-b384-2293c76b636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ceff5c8-2ae8-4526-8cd1-88b239e1eaa5}" ma:internalName="TaxCatchAll" ma:showField="CatchAllData" ma:web="29dd36f9-28df-4e25-b384-2293c76b63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dd36f9-28df-4e25-b384-2293c76b636d" xsi:nil="true"/>
    <lcf76f155ced4ddcb4097134ff3c332f xmlns="f3dd7ea9-d0b7-411f-b51d-a3deb7d778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6EFB54-9CD9-4973-8D9E-16FF40B95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d7ea9-d0b7-411f-b51d-a3deb7d77878"/>
    <ds:schemaRef ds:uri="29dd36f9-28df-4e25-b384-2293c76b63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40209-0D6E-4847-A2AD-0DEAE0586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2274A-3594-4BC7-9707-1FE9E3431D28}">
  <ds:schemaRefs>
    <ds:schemaRef ds:uri="http://schemas.microsoft.com/office/2006/metadata/properties"/>
    <ds:schemaRef ds:uri="http://schemas.microsoft.com/office/infopath/2007/PartnerControls"/>
    <ds:schemaRef ds:uri="29dd36f9-28df-4e25-b384-2293c76b636d"/>
    <ds:schemaRef ds:uri="f3dd7ea9-d0b7-411f-b51d-a3deb7d77878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Swinton, Corey P.</dc:creator>
  <cp:lastModifiedBy>Seburn, Ryan S.</cp:lastModifiedBy>
  <dcterms:created xsi:type="dcterms:W3CDTF">2025-04-01T14:10:41Z</dcterms:created>
  <dcterms:modified xsi:type="dcterms:W3CDTF">2026-02-24T13:57:37Z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0x0101008B7F96EDD8C49F489C3F849213649FA7</vt:lpwstr>
  </property>
  <property fmtid="{D5CDD505-2E9C-101B-9397-08002B2CF9AE}" pid="3" name="MediaServiceImageTags">
    <vt:lpwstr/>
  </property>
</Properties>
</file>