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44/"/>
    </mc:Choice>
  </mc:AlternateContent>
  <xr:revisionPtr revIDLastSave="152" documentId="8_{FED04AA3-B771-4AFD-BFEA-2FA15BD10DCB}" xr6:coauthVersionLast="47" xr6:coauthVersionMax="47" xr10:uidLastSave="{8091EC8F-0F99-4FEA-A6A5-FF04C0020455}"/>
  <bookViews>
    <workbookView xWindow="-28920" yWindow="-105" windowWidth="29040" windowHeight="15720" activeTab="2" xr2:uid="{00000000-000D-0000-FFFF-FFFF00000000}"/>
  </bookViews>
  <sheets>
    <sheet name="Instructions-" sheetId="4" r:id="rId1"/>
    <sheet name="1. Company Info" sheetId="2" r:id="rId2"/>
    <sheet name="2. Pricing - Offeror Complete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69" i="1"/>
  <c r="H71" i="1" s="1"/>
  <c r="H70" i="1"/>
  <c r="H68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76" i="4" l="1"/>
  <c r="H77" i="4"/>
  <c r="H78" i="4" s="1"/>
  <c r="H72" i="1"/>
  <c r="H79" i="4" l="1"/>
  <c r="H80" i="4" s="1"/>
  <c r="H81" i="4" s="1"/>
  <c r="H73" i="1"/>
  <c r="H82" i="4" l="1"/>
  <c r="H74" i="1"/>
  <c r="H83" i="4" l="1"/>
  <c r="H75" i="1"/>
  <c r="H84" i="4" l="1"/>
  <c r="H85" i="4"/>
  <c r="H76" i="1"/>
  <c r="H77" i="1" s="1"/>
  <c r="H86" i="4" l="1"/>
  <c r="H87" i="4" s="1"/>
  <c r="H88" i="4" s="1"/>
  <c r="H78" i="1"/>
  <c r="H79" i="1" s="1"/>
  <c r="H80" i="1" s="1"/>
  <c r="H81" i="1" s="1"/>
  <c r="H82" i="1" s="1"/>
  <c r="H89" i="4" l="1"/>
  <c r="H90" i="4" s="1"/>
  <c r="H91" i="4" l="1"/>
</calcChain>
</file>

<file path=xl/sharedStrings.xml><?xml version="1.0" encoding="utf-8"?>
<sst xmlns="http://schemas.openxmlformats.org/spreadsheetml/2006/main" count="769" uniqueCount="173">
  <si>
    <r>
      <rPr>
        <b/>
        <sz val="16"/>
        <color theme="1"/>
        <rFont val="Calibri"/>
        <family val="2"/>
        <scheme val="minor"/>
      </rPr>
      <t>1. COMPANY INFORMATION TAB: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Offerors shall complete all the green colored cells on the Company Information Tab</t>
    </r>
  </si>
  <si>
    <t>Figure 1:</t>
  </si>
  <si>
    <t>Figure 2:</t>
  </si>
  <si>
    <t>See Table Below</t>
  </si>
  <si>
    <t>CLIN Number</t>
  </si>
  <si>
    <t>ITEM</t>
  </si>
  <si>
    <t>PART NO</t>
  </si>
  <si>
    <t>OPTION</t>
  </si>
  <si>
    <t xml:space="preserve">QUANTITY </t>
  </si>
  <si>
    <t>UNIT PRICE</t>
  </si>
  <si>
    <t>AMOUNT</t>
  </si>
  <si>
    <t>TOTAL EVALUATED PRICE</t>
  </si>
  <si>
    <t>0001</t>
  </si>
  <si>
    <t>SUPPORT ASSEMBLY, INSTALLATION, #1 &amp; #3 ENGINE</t>
  </si>
  <si>
    <t>DOMESTIC</t>
  </si>
  <si>
    <t>4158AS0590-1</t>
  </si>
  <si>
    <t>0002</t>
  </si>
  <si>
    <t>FMS ISRAEL</t>
  </si>
  <si>
    <t>0003</t>
  </si>
  <si>
    <t>YES</t>
  </si>
  <si>
    <t>0004</t>
  </si>
  <si>
    <t>PIGTAIL, SERVICING/DRAIN, MAIN ROTOR DAMPER</t>
  </si>
  <si>
    <t>4158AS0550-1</t>
  </si>
  <si>
    <t>0005</t>
  </si>
  <si>
    <t>0006</t>
  </si>
  <si>
    <t>0007</t>
  </si>
  <si>
    <t>PLUG,  BLEED AIR, #3 ENGINE</t>
  </si>
  <si>
    <t>4158AS0312-1</t>
  </si>
  <si>
    <t>0008</t>
  </si>
  <si>
    <t>0009</t>
  </si>
  <si>
    <t>0010</t>
  </si>
  <si>
    <t>RESTRAINER ASSY, SLEEVE/HINGE CUFF, MRH</t>
  </si>
  <si>
    <t>4158AS0456-1</t>
  </si>
  <si>
    <t>0011</t>
  </si>
  <si>
    <t>0012</t>
  </si>
  <si>
    <t>0013</t>
  </si>
  <si>
    <t>SHUT-OFF VALVE INSTALLATION TOOL</t>
  </si>
  <si>
    <t>4158AS0525-1</t>
  </si>
  <si>
    <t>0014</t>
  </si>
  <si>
    <t>0015</t>
  </si>
  <si>
    <t>0016</t>
  </si>
  <si>
    <t>Wheel Brake System Bleed Kit</t>
  </si>
  <si>
    <t>4158AS1215-1</t>
  </si>
  <si>
    <t>0017</t>
  </si>
  <si>
    <t>0018</t>
  </si>
  <si>
    <t>0019</t>
  </si>
  <si>
    <t>ASSEMBLY/DISASSEMBLY TOOL SET, ENGINE TO NOSE GEARBOX</t>
  </si>
  <si>
    <t>4158AS0316-1</t>
  </si>
  <si>
    <t>0020</t>
  </si>
  <si>
    <t>0021</t>
  </si>
  <si>
    <t>0022</t>
  </si>
  <si>
    <t xml:space="preserve">INSTALLATION/REMOVAL SET, BEARING, MAIN ROTOR HEAD SCISSOR </t>
  </si>
  <si>
    <t>4158AS0750-10</t>
  </si>
  <si>
    <t>0023</t>
  </si>
  <si>
    <t>0024</t>
  </si>
  <si>
    <t>0025</t>
  </si>
  <si>
    <t>INSTALLATION/REMOVAL SET, CENTERING BEARING</t>
  </si>
  <si>
    <t>4158AS0500-1</t>
  </si>
  <si>
    <t>0026</t>
  </si>
  <si>
    <t>0027</t>
  </si>
  <si>
    <t>0028</t>
  </si>
  <si>
    <t>LUBRICATION ASSIST TOOL, SWASHPLATE</t>
  </si>
  <si>
    <t>4158AS0139-1</t>
  </si>
  <si>
    <t>0029</t>
  </si>
  <si>
    <t>0030</t>
  </si>
  <si>
    <t>0031</t>
  </si>
  <si>
    <t>PULLER SET, BOLTS, SWASHPLATE, MAIN ROTOR SERVO &amp; STATIONARY SCISSOR</t>
  </si>
  <si>
    <t>4158AS0450-10</t>
  </si>
  <si>
    <t>0032</t>
  </si>
  <si>
    <t>0033</t>
  </si>
  <si>
    <t>0034</t>
  </si>
  <si>
    <t>PULLER, SPLIT CONE, TAIL ROTOR</t>
  </si>
  <si>
    <t>4158AS0223-1</t>
  </si>
  <si>
    <t>0035</t>
  </si>
  <si>
    <t>0036</t>
  </si>
  <si>
    <t>0037</t>
  </si>
  <si>
    <t>PULLER, TAIL ROTOR PITCH BEAM</t>
  </si>
  <si>
    <t>4158AS0221-1</t>
  </si>
  <si>
    <t>0038</t>
  </si>
  <si>
    <t>0039</t>
  </si>
  <si>
    <t>0040</t>
  </si>
  <si>
    <t>PULLER, TRUNION PIN, NOSE &amp; MAIN LANDING GEAR</t>
  </si>
  <si>
    <t>4158AS0765-10</t>
  </si>
  <si>
    <t>0041</t>
  </si>
  <si>
    <t>0042</t>
  </si>
  <si>
    <t>0043</t>
  </si>
  <si>
    <t>REMOVAL TOOL, NOSE GEARBOX OUTPUT FLANGE</t>
  </si>
  <si>
    <t>4158AS0390-1</t>
  </si>
  <si>
    <t>0044</t>
  </si>
  <si>
    <t>0045</t>
  </si>
  <si>
    <t>0046</t>
  </si>
  <si>
    <t>REMOVAL TOOL, OIL COOLER FAN, MAIN GEARBOX</t>
  </si>
  <si>
    <t>4158AS0337-1</t>
  </si>
  <si>
    <t>0047</t>
  </si>
  <si>
    <t>0048</t>
  </si>
  <si>
    <t>0049</t>
  </si>
  <si>
    <t>COVER ASSEMBLY, EAPPS INLET, #1/#3 ENGINE</t>
  </si>
  <si>
    <t>4158AS0890-1</t>
  </si>
  <si>
    <t>0050</t>
  </si>
  <si>
    <t>0051</t>
  </si>
  <si>
    <t>0052</t>
  </si>
  <si>
    <t>COVER ASSEMBLY, EAPPS INLET, #2 ENGINE</t>
  </si>
  <si>
    <t>4158AS0893-1</t>
  </si>
  <si>
    <t>0053</t>
  </si>
  <si>
    <t>0054</t>
  </si>
  <si>
    <t>0055</t>
  </si>
  <si>
    <t>PRY BAR, MANUAL ROTATION, MAIN ROTOR HEAD</t>
  </si>
  <si>
    <t>4158AS0112-1</t>
  </si>
  <si>
    <t>0056</t>
  </si>
  <si>
    <t>0057</t>
  </si>
  <si>
    <t>0058</t>
  </si>
  <si>
    <t>REMOVAL TOOL, NOSE GEARBOX OUTPUT NUT</t>
  </si>
  <si>
    <t>4158AS0820-1</t>
  </si>
  <si>
    <t>0059</t>
  </si>
  <si>
    <t>0060</t>
  </si>
  <si>
    <t>0061</t>
  </si>
  <si>
    <t>THREAD PROTECTOR, MAIN ROTOR SHAFT</t>
  </si>
  <si>
    <t>4158AS0189-1</t>
  </si>
  <si>
    <t>0062</t>
  </si>
  <si>
    <t>0063</t>
  </si>
  <si>
    <t>0064</t>
  </si>
  <si>
    <t>THREAD PROTECTOR, TAIL ROTOR SHAFT</t>
  </si>
  <si>
    <t>4158AS0362-10</t>
  </si>
  <si>
    <t>0065</t>
  </si>
  <si>
    <t>0066</t>
  </si>
  <si>
    <t>0067</t>
  </si>
  <si>
    <t xml:space="preserve">TORQUE REACTOR,  HUB ASSEMBLY </t>
  </si>
  <si>
    <t>0068</t>
  </si>
  <si>
    <t>0069</t>
  </si>
  <si>
    <t>0070</t>
  </si>
  <si>
    <t xml:space="preserve">TORQUE REACTOR, FLANGE AND NUT, DRIVETRAIN </t>
  </si>
  <si>
    <t>4158AS0630-1</t>
  </si>
  <si>
    <t>0071</t>
  </si>
  <si>
    <t>0072</t>
  </si>
  <si>
    <t>0073</t>
  </si>
  <si>
    <t>TORQUE REACTOR, MAIN GEARBOX MOUNTING BOLTS</t>
  </si>
  <si>
    <t>4158AS0330-1</t>
  </si>
  <si>
    <t>0074</t>
  </si>
  <si>
    <t>0075</t>
  </si>
  <si>
    <t>0076</t>
  </si>
  <si>
    <t>TORQUE REACTOR, QCA</t>
  </si>
  <si>
    <t>4158AS0800-1</t>
  </si>
  <si>
    <t>0077</t>
  </si>
  <si>
    <t>0078</t>
  </si>
  <si>
    <t>0079</t>
  </si>
  <si>
    <t>TORQUE REACTOR, TAIL ROTOR PITCH BEAM</t>
  </si>
  <si>
    <t>4158AS0295-1</t>
  </si>
  <si>
    <t>0080</t>
  </si>
  <si>
    <t>0081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</si>
  <si>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</si>
  <si>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</si>
  <si>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</si>
  <si>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</si>
  <si>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</si>
  <si>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</si>
  <si>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</si>
  <si>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</si>
  <si>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</si>
  <si>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</si>
  <si>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</si>
  <si>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</si>
  <si>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</si>
  <si>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</si>
  <si>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0082</t>
  </si>
  <si>
    <t>0083</t>
  </si>
  <si>
    <t>0084</t>
  </si>
  <si>
    <t>CDRL FOR ALL DOMESTIC BASE CLINS</t>
  </si>
  <si>
    <t>CDRL FOR ALL FMS BASE CLINS</t>
  </si>
  <si>
    <t>CDRL FOR ALL DOMESTIC OPTION CLINS</t>
  </si>
  <si>
    <t>N/A</t>
  </si>
  <si>
    <t>NSP</t>
  </si>
  <si>
    <r>
      <rPr>
        <b/>
        <sz val="16"/>
        <rFont val="Calibri"/>
        <family val="2"/>
        <scheme val="minor"/>
      </rPr>
      <t>2. PRICING  TAB</t>
    </r>
    <r>
      <rPr>
        <sz val="16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Offerors shall propose Fixed-Price unit prices in the green colored cells in column D for each Contract Line Item as applicable.  All cells that are filled in with the color as that of Figure 1 below shall have a unit priced inserted. All Firm-Fixed-Price unit prices proposed in the Pricing tab, if awarded, shall be the contractual amounts. The amount in cell H91 of Figure 2 (H83 of the Pricing tab) is derived from the sum of the blue cells above them for each respective CLIN. Figure 2 below provides an example of what a populated pricing tab shall look like.*DO NOT PRICE CDRLs; CDRLs are NOT SEPERATELY PRICED (NSP)</t>
    </r>
  </si>
  <si>
    <t>4158AS0233-10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</si>
</sst>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000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1" fillId="4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4" borderId="0" xfId="0" applyFont="1" applyFill="1" applyAlignment="1" applyProtection="1">
      <alignment horizontal="lef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10" fillId="2" borderId="1" xfId="0" applyFont="1" applyFill="1" applyBorder="1"/>
    <xf numFmtId="0" fontId="9" fillId="2" borderId="1" xfId="0" applyFont="1" applyFill="1" applyBorder="1"/>
    <xf numFmtId="0" fontId="8" fillId="0" borderId="1" xfId="0" applyFont="1" applyBorder="1"/>
    <xf numFmtId="0" fontId="8" fillId="5" borderId="1" xfId="0" applyFont="1" applyFill="1" applyBorder="1" applyAlignment="1" applyProtection="1">
      <alignment horizontal="left"/>
      <protection locked="0"/>
    </xf>
    <xf numFmtId="8" fontId="0" fillId="5" borderId="0" xfId="0" applyNumberFormat="1" applyFill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 applyProtection="1">
      <alignment vertical="center"/>
      <protection locked="0"/>
    </xf>
    <xf numFmtId="165" fontId="1" fillId="6" borderId="1" xfId="0" applyNumberFormat="1" applyFont="1" applyFill="1" applyBorder="1" applyAlignment="1">
      <alignment vertical="center"/>
    </xf>
    <xf numFmtId="164" fontId="4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Protection="1">
      <protection locked="0"/>
    </xf>
    <xf numFmtId="0" fontId="0" fillId="0" borderId="1" xfId="0" applyBorder="1"/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164" fontId="12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4" fontId="12" fillId="3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0" borderId="1" xfId="0" applyFont="1" applyBorder="1" applyAlignment="1">
      <alignment vertical="center"/>
    </xf>
    <xf numFmtId="0" fontId="6" fillId="4" borderId="1" xfId="0" applyFont="1" applyFill="1" applyBorder="1"/>
    <xf numFmtId="165" fontId="0" fillId="6" borderId="2" xfId="0" applyNumberFormat="1" applyFill="1" applyBorder="1" applyAlignment="1">
      <alignment horizontal="right" wrapText="1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49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5" fontId="0" fillId="6" borderId="7" xfId="0" applyNumberFormat="1" applyFill="1" applyBorder="1" applyAlignment="1">
      <alignment horizontal="right" wrapText="1"/>
    </xf>
    <xf numFmtId="0" fontId="0" fillId="0" borderId="6" xfId="0" applyBorder="1"/>
    <xf numFmtId="165" fontId="8" fillId="6" borderId="1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527C-F0F3-49A0-B520-D3972DC00463}">
  <dimension ref="A1:R1023"/>
  <sheetViews>
    <sheetView topLeftCell="A45" zoomScale="85" zoomScaleNormal="85" workbookViewId="0">
      <selection activeCell="D79" sqref="D79"/>
    </sheetView>
  </sheetViews>
  <sheetFormatPr defaultColWidth="9.109375" defaultRowHeight="14.4" x14ac:dyDescent="0.3"/>
  <cols>
    <col min="1" max="1" width="19.33203125" customWidth="1"/>
    <col min="2" max="2" width="75.33203125" customWidth="1"/>
    <col min="3" max="3" width="13.44140625" bestFit="1" customWidth="1"/>
    <col min="4" max="4" width="14.5546875" bestFit="1" customWidth="1"/>
    <col min="5" max="5" width="13.5546875" customWidth="1"/>
    <col min="6" max="6" width="16.5546875" bestFit="1" customWidth="1"/>
    <col min="7" max="7" width="15.6640625" customWidth="1"/>
    <col min="8" max="8" width="17.6640625" customWidth="1"/>
    <col min="9" max="9" width="19.6640625" customWidth="1"/>
    <col min="10" max="10" width="16.44140625" style="4" bestFit="1" customWidth="1"/>
    <col min="11" max="11" width="13.5546875" style="4" bestFit="1" customWidth="1"/>
    <col min="12" max="16384" width="9.109375" style="4"/>
  </cols>
  <sheetData>
    <row r="1" spans="1:18" ht="58.2" customHeight="1" x14ac:dyDescent="0.4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18" ht="100.2" customHeight="1" x14ac:dyDescent="0.3">
      <c r="A2" s="41" t="s">
        <v>171</v>
      </c>
      <c r="B2" s="41"/>
      <c r="C2" s="41"/>
      <c r="D2" s="41"/>
      <c r="E2" s="41"/>
      <c r="F2" s="41"/>
    </row>
    <row r="3" spans="1:18" ht="30" customHeight="1" x14ac:dyDescent="0.35">
      <c r="A3" s="31" t="s">
        <v>1</v>
      </c>
      <c r="B3" s="15"/>
    </row>
    <row r="5" spans="1:18" ht="31.95" customHeight="1" x14ac:dyDescent="0.35">
      <c r="A5" s="32" t="s">
        <v>2</v>
      </c>
      <c r="B5" t="s">
        <v>3</v>
      </c>
    </row>
    <row r="9" spans="1:18" s="2" customFormat="1" ht="28.2" customHeight="1" x14ac:dyDescent="0.3">
      <c r="A9" s="24" t="s">
        <v>4</v>
      </c>
      <c r="B9" s="25" t="s">
        <v>5</v>
      </c>
      <c r="C9" s="25"/>
      <c r="D9" s="25" t="s">
        <v>6</v>
      </c>
      <c r="E9" s="25" t="s">
        <v>7</v>
      </c>
      <c r="F9" s="26" t="s">
        <v>8</v>
      </c>
      <c r="G9" s="26" t="s">
        <v>9</v>
      </c>
      <c r="H9" s="26" t="s">
        <v>10</v>
      </c>
      <c r="I9" s="27" t="s">
        <v>11</v>
      </c>
      <c r="J9" s="1"/>
      <c r="K9" s="1"/>
      <c r="L9" s="1"/>
      <c r="M9" s="1"/>
      <c r="N9" s="1"/>
      <c r="O9" s="1"/>
      <c r="P9" s="21"/>
      <c r="Q9" s="1"/>
      <c r="R9" s="1"/>
    </row>
    <row r="10" spans="1:18" x14ac:dyDescent="0.3">
      <c r="A10" s="16" t="s">
        <v>12</v>
      </c>
      <c r="B10" s="28" t="s">
        <v>13</v>
      </c>
      <c r="C10" s="28" t="s">
        <v>14</v>
      </c>
      <c r="D10" s="29" t="s">
        <v>15</v>
      </c>
      <c r="E10" s="28"/>
      <c r="F10" s="18">
        <v>2</v>
      </c>
      <c r="G10" s="19">
        <v>1234</v>
      </c>
      <c r="H10" s="20">
        <f t="shared" ref="H10:H73" si="0">G10*F10</f>
        <v>2468</v>
      </c>
      <c r="I10" s="23"/>
    </row>
    <row r="11" spans="1:18" x14ac:dyDescent="0.3">
      <c r="A11" s="16" t="s">
        <v>16</v>
      </c>
      <c r="B11" s="28" t="s">
        <v>13</v>
      </c>
      <c r="C11" s="28" t="s">
        <v>17</v>
      </c>
      <c r="D11" s="29" t="s">
        <v>15</v>
      </c>
      <c r="E11" s="28"/>
      <c r="F11" s="18">
        <v>3</v>
      </c>
      <c r="G11" s="19">
        <v>1234</v>
      </c>
      <c r="H11" s="20">
        <f t="shared" si="0"/>
        <v>3702</v>
      </c>
      <c r="I11" s="23"/>
    </row>
    <row r="12" spans="1:18" x14ac:dyDescent="0.3">
      <c r="A12" s="16" t="s">
        <v>18</v>
      </c>
      <c r="B12" s="28" t="s">
        <v>13</v>
      </c>
      <c r="C12" s="28" t="s">
        <v>14</v>
      </c>
      <c r="D12" s="29" t="s">
        <v>15</v>
      </c>
      <c r="E12" s="28" t="s">
        <v>19</v>
      </c>
      <c r="F12" s="18">
        <v>2</v>
      </c>
      <c r="G12" s="19">
        <v>1234</v>
      </c>
      <c r="H12" s="20">
        <f t="shared" si="0"/>
        <v>2468</v>
      </c>
      <c r="I12" s="23"/>
    </row>
    <row r="13" spans="1:18" x14ac:dyDescent="0.3">
      <c r="A13" s="16" t="s">
        <v>20</v>
      </c>
      <c r="B13" s="28" t="s">
        <v>21</v>
      </c>
      <c r="C13" s="28" t="s">
        <v>14</v>
      </c>
      <c r="D13" s="28" t="s">
        <v>22</v>
      </c>
      <c r="E13" s="28"/>
      <c r="F13" s="18">
        <v>2</v>
      </c>
      <c r="G13" s="19">
        <v>1234</v>
      </c>
      <c r="H13" s="20">
        <f t="shared" si="0"/>
        <v>2468</v>
      </c>
      <c r="I13" s="23"/>
    </row>
    <row r="14" spans="1:18" x14ac:dyDescent="0.3">
      <c r="A14" s="16" t="s">
        <v>23</v>
      </c>
      <c r="B14" s="28" t="s">
        <v>21</v>
      </c>
      <c r="C14" s="28" t="s">
        <v>17</v>
      </c>
      <c r="D14" s="28" t="s">
        <v>22</v>
      </c>
      <c r="E14" s="17"/>
      <c r="F14" s="18">
        <v>3</v>
      </c>
      <c r="G14" s="19">
        <v>1234</v>
      </c>
      <c r="H14" s="20">
        <f t="shared" si="0"/>
        <v>3702</v>
      </c>
      <c r="I14" s="23"/>
    </row>
    <row r="15" spans="1:18" x14ac:dyDescent="0.3">
      <c r="A15" s="16" t="s">
        <v>24</v>
      </c>
      <c r="B15" s="28" t="s">
        <v>21</v>
      </c>
      <c r="C15" s="28" t="s">
        <v>14</v>
      </c>
      <c r="D15" s="28" t="s">
        <v>22</v>
      </c>
      <c r="E15" s="28" t="s">
        <v>19</v>
      </c>
      <c r="F15" s="18">
        <v>2</v>
      </c>
      <c r="G15" s="19">
        <v>1234</v>
      </c>
      <c r="H15" s="20">
        <f t="shared" si="0"/>
        <v>2468</v>
      </c>
      <c r="I15" s="23"/>
    </row>
    <row r="16" spans="1:18" x14ac:dyDescent="0.3">
      <c r="A16" s="16" t="s">
        <v>25</v>
      </c>
      <c r="B16" s="17" t="s">
        <v>26</v>
      </c>
      <c r="C16" s="28" t="s">
        <v>14</v>
      </c>
      <c r="D16" s="17" t="s">
        <v>27</v>
      </c>
      <c r="E16" s="17"/>
      <c r="F16" s="18">
        <v>4</v>
      </c>
      <c r="G16" s="19">
        <v>1234</v>
      </c>
      <c r="H16" s="20">
        <f t="shared" si="0"/>
        <v>4936</v>
      </c>
      <c r="I16" s="23"/>
    </row>
    <row r="17" spans="1:9" x14ac:dyDescent="0.3">
      <c r="A17" s="16" t="s">
        <v>28</v>
      </c>
      <c r="B17" s="17" t="s">
        <v>26</v>
      </c>
      <c r="C17" s="28" t="s">
        <v>17</v>
      </c>
      <c r="D17" s="17" t="s">
        <v>27</v>
      </c>
      <c r="E17" s="17"/>
      <c r="F17" s="18">
        <v>2</v>
      </c>
      <c r="G17" s="19">
        <v>1234</v>
      </c>
      <c r="H17" s="20">
        <f t="shared" si="0"/>
        <v>2468</v>
      </c>
      <c r="I17" s="23"/>
    </row>
    <row r="18" spans="1:9" x14ac:dyDescent="0.3">
      <c r="A18" s="16" t="s">
        <v>29</v>
      </c>
      <c r="B18" s="17" t="s">
        <v>26</v>
      </c>
      <c r="C18" s="28" t="s">
        <v>14</v>
      </c>
      <c r="D18" s="17" t="s">
        <v>27</v>
      </c>
      <c r="E18" s="28" t="s">
        <v>19</v>
      </c>
      <c r="F18" s="18">
        <v>4</v>
      </c>
      <c r="G18" s="19">
        <v>1234</v>
      </c>
      <c r="H18" s="20">
        <f t="shared" si="0"/>
        <v>4936</v>
      </c>
      <c r="I18" s="23"/>
    </row>
    <row r="19" spans="1:9" x14ac:dyDescent="0.3">
      <c r="A19" s="16" t="s">
        <v>30</v>
      </c>
      <c r="B19" s="17" t="s">
        <v>31</v>
      </c>
      <c r="C19" s="28" t="s">
        <v>14</v>
      </c>
      <c r="D19" s="17" t="s">
        <v>32</v>
      </c>
      <c r="E19" s="17"/>
      <c r="F19" s="18">
        <v>2</v>
      </c>
      <c r="G19" s="19">
        <v>1234</v>
      </c>
      <c r="H19" s="20">
        <f t="shared" si="0"/>
        <v>2468</v>
      </c>
      <c r="I19" s="23"/>
    </row>
    <row r="20" spans="1:9" x14ac:dyDescent="0.3">
      <c r="A20" s="16" t="s">
        <v>33</v>
      </c>
      <c r="B20" s="17" t="s">
        <v>31</v>
      </c>
      <c r="C20" s="28" t="s">
        <v>17</v>
      </c>
      <c r="D20" s="17" t="s">
        <v>32</v>
      </c>
      <c r="E20" s="17"/>
      <c r="F20" s="18">
        <v>2</v>
      </c>
      <c r="G20" s="19">
        <v>1234</v>
      </c>
      <c r="H20" s="20">
        <f t="shared" si="0"/>
        <v>2468</v>
      </c>
      <c r="I20" s="23"/>
    </row>
    <row r="21" spans="1:9" x14ac:dyDescent="0.3">
      <c r="A21" s="16" t="s">
        <v>34</v>
      </c>
      <c r="B21" s="17" t="s">
        <v>31</v>
      </c>
      <c r="C21" s="28" t="s">
        <v>14</v>
      </c>
      <c r="D21" s="17" t="s">
        <v>32</v>
      </c>
      <c r="E21" s="28" t="s">
        <v>19</v>
      </c>
      <c r="F21" s="18">
        <v>2</v>
      </c>
      <c r="G21" s="19">
        <v>1234</v>
      </c>
      <c r="H21" s="20">
        <f t="shared" si="0"/>
        <v>2468</v>
      </c>
      <c r="I21" s="23"/>
    </row>
    <row r="22" spans="1:9" x14ac:dyDescent="0.3">
      <c r="A22" s="16" t="s">
        <v>35</v>
      </c>
      <c r="B22" s="17" t="s">
        <v>36</v>
      </c>
      <c r="C22" s="28" t="s">
        <v>14</v>
      </c>
      <c r="D22" s="17" t="s">
        <v>37</v>
      </c>
      <c r="E22" s="5"/>
      <c r="F22" s="18">
        <v>2</v>
      </c>
      <c r="G22" s="19">
        <v>1234</v>
      </c>
      <c r="H22" s="20">
        <f t="shared" si="0"/>
        <v>2468</v>
      </c>
      <c r="I22" s="23"/>
    </row>
    <row r="23" spans="1:9" x14ac:dyDescent="0.3">
      <c r="A23" s="16" t="s">
        <v>38</v>
      </c>
      <c r="B23" s="17" t="s">
        <v>36</v>
      </c>
      <c r="C23" s="5" t="s">
        <v>17</v>
      </c>
      <c r="D23" s="17" t="s">
        <v>37</v>
      </c>
      <c r="E23" s="17"/>
      <c r="F23" s="18">
        <v>2</v>
      </c>
      <c r="G23" s="19">
        <v>1234</v>
      </c>
      <c r="H23" s="20">
        <f t="shared" si="0"/>
        <v>2468</v>
      </c>
      <c r="I23" s="23"/>
    </row>
    <row r="24" spans="1:9" x14ac:dyDescent="0.3">
      <c r="A24" s="16" t="s">
        <v>39</v>
      </c>
      <c r="B24" s="17" t="s">
        <v>36</v>
      </c>
      <c r="C24" s="28" t="s">
        <v>14</v>
      </c>
      <c r="D24" s="17" t="s">
        <v>37</v>
      </c>
      <c r="E24" s="28" t="s">
        <v>19</v>
      </c>
      <c r="F24" s="18">
        <v>2</v>
      </c>
      <c r="G24" s="19">
        <v>1234</v>
      </c>
      <c r="H24" s="20">
        <f t="shared" si="0"/>
        <v>2468</v>
      </c>
      <c r="I24" s="23"/>
    </row>
    <row r="25" spans="1:9" x14ac:dyDescent="0.3">
      <c r="A25" s="16" t="s">
        <v>40</v>
      </c>
      <c r="B25" s="17" t="s">
        <v>41</v>
      </c>
      <c r="C25" s="28" t="s">
        <v>14</v>
      </c>
      <c r="D25" s="17" t="s">
        <v>42</v>
      </c>
      <c r="E25" s="17"/>
      <c r="F25" s="18">
        <v>2</v>
      </c>
      <c r="G25" s="19">
        <v>1234</v>
      </c>
      <c r="H25" s="20">
        <f t="shared" si="0"/>
        <v>2468</v>
      </c>
      <c r="I25" s="23"/>
    </row>
    <row r="26" spans="1:9" x14ac:dyDescent="0.3">
      <c r="A26" s="16" t="s">
        <v>43</v>
      </c>
      <c r="B26" s="17" t="s">
        <v>41</v>
      </c>
      <c r="C26" s="28" t="s">
        <v>17</v>
      </c>
      <c r="D26" s="17" t="s">
        <v>42</v>
      </c>
      <c r="E26" s="17"/>
      <c r="F26" s="18">
        <v>2</v>
      </c>
      <c r="G26" s="19">
        <v>1234</v>
      </c>
      <c r="H26" s="20">
        <f t="shared" si="0"/>
        <v>2468</v>
      </c>
      <c r="I26" s="23"/>
    </row>
    <row r="27" spans="1:9" x14ac:dyDescent="0.3">
      <c r="A27" s="16" t="s">
        <v>44</v>
      </c>
      <c r="B27" s="17" t="s">
        <v>41</v>
      </c>
      <c r="C27" s="28" t="s">
        <v>14</v>
      </c>
      <c r="D27" s="17" t="s">
        <v>42</v>
      </c>
      <c r="E27" s="28" t="s">
        <v>19</v>
      </c>
      <c r="F27" s="18">
        <v>2</v>
      </c>
      <c r="G27" s="19">
        <v>1234</v>
      </c>
      <c r="H27" s="20">
        <f t="shared" si="0"/>
        <v>2468</v>
      </c>
      <c r="I27" s="23"/>
    </row>
    <row r="28" spans="1:9" x14ac:dyDescent="0.3">
      <c r="A28" s="16" t="s">
        <v>45</v>
      </c>
      <c r="B28" s="17" t="s">
        <v>46</v>
      </c>
      <c r="C28" s="28" t="s">
        <v>14</v>
      </c>
      <c r="D28" s="17" t="s">
        <v>47</v>
      </c>
      <c r="E28" s="17"/>
      <c r="F28" s="18">
        <v>2</v>
      </c>
      <c r="G28" s="19">
        <v>1234</v>
      </c>
      <c r="H28" s="20">
        <f t="shared" si="0"/>
        <v>2468</v>
      </c>
      <c r="I28" s="23"/>
    </row>
    <row r="29" spans="1:9" x14ac:dyDescent="0.3">
      <c r="A29" s="16" t="s">
        <v>48</v>
      </c>
      <c r="B29" s="17" t="s">
        <v>46</v>
      </c>
      <c r="C29" s="28" t="s">
        <v>17</v>
      </c>
      <c r="D29" s="17" t="s">
        <v>47</v>
      </c>
      <c r="E29" s="17"/>
      <c r="F29" s="18">
        <v>2</v>
      </c>
      <c r="G29" s="19">
        <v>1234</v>
      </c>
      <c r="H29" s="20">
        <f t="shared" si="0"/>
        <v>2468</v>
      </c>
      <c r="I29" s="23"/>
    </row>
    <row r="30" spans="1:9" x14ac:dyDescent="0.3">
      <c r="A30" s="16" t="s">
        <v>49</v>
      </c>
      <c r="B30" s="17" t="s">
        <v>46</v>
      </c>
      <c r="C30" s="28" t="s">
        <v>14</v>
      </c>
      <c r="D30" s="17" t="s">
        <v>47</v>
      </c>
      <c r="E30" s="28" t="s">
        <v>19</v>
      </c>
      <c r="F30" s="18">
        <v>2</v>
      </c>
      <c r="G30" s="19">
        <v>1234</v>
      </c>
      <c r="H30" s="20">
        <f t="shared" si="0"/>
        <v>2468</v>
      </c>
      <c r="I30" s="23"/>
    </row>
    <row r="31" spans="1:9" x14ac:dyDescent="0.3">
      <c r="A31" s="16" t="s">
        <v>50</v>
      </c>
      <c r="B31" s="17" t="s">
        <v>51</v>
      </c>
      <c r="C31" s="28" t="s">
        <v>14</v>
      </c>
      <c r="D31" s="17" t="s">
        <v>52</v>
      </c>
      <c r="E31" s="17"/>
      <c r="F31" s="18">
        <v>2</v>
      </c>
      <c r="G31" s="19">
        <v>1234</v>
      </c>
      <c r="H31" s="20">
        <f t="shared" si="0"/>
        <v>2468</v>
      </c>
      <c r="I31" s="23"/>
    </row>
    <row r="32" spans="1:9" x14ac:dyDescent="0.3">
      <c r="A32" s="16" t="s">
        <v>53</v>
      </c>
      <c r="B32" s="17" t="s">
        <v>51</v>
      </c>
      <c r="C32" s="28" t="s">
        <v>17</v>
      </c>
      <c r="D32" s="17" t="s">
        <v>52</v>
      </c>
      <c r="E32" s="17"/>
      <c r="F32" s="18">
        <v>2</v>
      </c>
      <c r="G32" s="19">
        <v>1234</v>
      </c>
      <c r="H32" s="20">
        <f t="shared" si="0"/>
        <v>2468</v>
      </c>
      <c r="I32" s="23"/>
    </row>
    <row r="33" spans="1:11" x14ac:dyDescent="0.3">
      <c r="A33" s="16" t="s">
        <v>54</v>
      </c>
      <c r="B33" s="17" t="s">
        <v>51</v>
      </c>
      <c r="C33" s="28" t="s">
        <v>14</v>
      </c>
      <c r="D33" s="17" t="s">
        <v>52</v>
      </c>
      <c r="E33" s="28" t="s">
        <v>19</v>
      </c>
      <c r="F33" s="18">
        <v>2</v>
      </c>
      <c r="G33" s="19">
        <v>1234</v>
      </c>
      <c r="H33" s="20">
        <f t="shared" si="0"/>
        <v>2468</v>
      </c>
      <c r="I33" s="23"/>
    </row>
    <row r="34" spans="1:11" x14ac:dyDescent="0.3">
      <c r="A34" s="16" t="s">
        <v>55</v>
      </c>
      <c r="B34" s="17" t="s">
        <v>56</v>
      </c>
      <c r="C34" s="28" t="s">
        <v>14</v>
      </c>
      <c r="D34" s="17" t="s">
        <v>57</v>
      </c>
      <c r="E34" s="17"/>
      <c r="F34" s="18">
        <v>2</v>
      </c>
      <c r="G34" s="19">
        <v>1234</v>
      </c>
      <c r="H34" s="20">
        <f t="shared" si="0"/>
        <v>2468</v>
      </c>
      <c r="I34" s="23"/>
    </row>
    <row r="35" spans="1:11" x14ac:dyDescent="0.3">
      <c r="A35" s="16" t="s">
        <v>58</v>
      </c>
      <c r="B35" s="17" t="s">
        <v>56</v>
      </c>
      <c r="C35" s="28" t="s">
        <v>17</v>
      </c>
      <c r="D35" s="17" t="s">
        <v>57</v>
      </c>
      <c r="E35" s="17"/>
      <c r="F35" s="18">
        <v>1</v>
      </c>
      <c r="G35" s="19">
        <v>1234</v>
      </c>
      <c r="H35" s="20">
        <f t="shared" si="0"/>
        <v>1234</v>
      </c>
      <c r="I35" s="23"/>
    </row>
    <row r="36" spans="1:11" x14ac:dyDescent="0.3">
      <c r="A36" s="16" t="s">
        <v>59</v>
      </c>
      <c r="B36" s="17" t="s">
        <v>56</v>
      </c>
      <c r="C36" s="28" t="s">
        <v>14</v>
      </c>
      <c r="D36" s="17" t="s">
        <v>57</v>
      </c>
      <c r="E36" s="28" t="s">
        <v>19</v>
      </c>
      <c r="F36" s="18">
        <v>2</v>
      </c>
      <c r="G36" s="19">
        <v>1234</v>
      </c>
      <c r="H36" s="20">
        <f t="shared" si="0"/>
        <v>2468</v>
      </c>
      <c r="I36" s="23"/>
    </row>
    <row r="37" spans="1:11" s="3" customFormat="1" x14ac:dyDescent="0.3">
      <c r="A37" s="16" t="s">
        <v>60</v>
      </c>
      <c r="B37" s="17" t="s">
        <v>61</v>
      </c>
      <c r="C37" s="28" t="s">
        <v>14</v>
      </c>
      <c r="D37" s="17" t="s">
        <v>62</v>
      </c>
      <c r="E37" s="17"/>
      <c r="F37" s="18">
        <v>4</v>
      </c>
      <c r="G37" s="19">
        <v>1234</v>
      </c>
      <c r="H37" s="20">
        <f t="shared" si="0"/>
        <v>4936</v>
      </c>
      <c r="I37" s="23"/>
      <c r="J37" s="6"/>
      <c r="K37" s="7"/>
    </row>
    <row r="38" spans="1:11" s="3" customFormat="1" x14ac:dyDescent="0.3">
      <c r="A38" s="16" t="s">
        <v>63</v>
      </c>
      <c r="B38" s="17" t="s">
        <v>61</v>
      </c>
      <c r="C38" s="28" t="s">
        <v>17</v>
      </c>
      <c r="D38" s="17" t="s">
        <v>62</v>
      </c>
      <c r="E38" s="17"/>
      <c r="F38" s="18">
        <v>4</v>
      </c>
      <c r="G38" s="19">
        <v>1234</v>
      </c>
      <c r="H38" s="20">
        <f t="shared" si="0"/>
        <v>4936</v>
      </c>
      <c r="I38" s="23"/>
      <c r="J38" s="6"/>
      <c r="K38" s="7"/>
    </row>
    <row r="39" spans="1:11" s="3" customFormat="1" x14ac:dyDescent="0.3">
      <c r="A39" s="16" t="s">
        <v>64</v>
      </c>
      <c r="B39" s="17" t="s">
        <v>61</v>
      </c>
      <c r="C39" s="28" t="s">
        <v>14</v>
      </c>
      <c r="D39" s="17" t="s">
        <v>62</v>
      </c>
      <c r="E39" s="28" t="s">
        <v>19</v>
      </c>
      <c r="F39" s="18">
        <v>4</v>
      </c>
      <c r="G39" s="19">
        <v>1234</v>
      </c>
      <c r="H39" s="20">
        <f t="shared" si="0"/>
        <v>4936</v>
      </c>
      <c r="I39" s="23"/>
      <c r="J39" s="6"/>
      <c r="K39" s="7"/>
    </row>
    <row r="40" spans="1:11" s="3" customFormat="1" x14ac:dyDescent="0.3">
      <c r="A40" s="16" t="s">
        <v>65</v>
      </c>
      <c r="B40" s="17" t="s">
        <v>66</v>
      </c>
      <c r="C40" s="28" t="s">
        <v>14</v>
      </c>
      <c r="D40" s="17" t="s">
        <v>67</v>
      </c>
      <c r="E40" s="28"/>
      <c r="F40" s="18">
        <v>2</v>
      </c>
      <c r="G40" s="19">
        <v>1234</v>
      </c>
      <c r="H40" s="20">
        <f t="shared" si="0"/>
        <v>2468</v>
      </c>
      <c r="I40" s="23"/>
      <c r="J40" s="6"/>
      <c r="K40" s="7"/>
    </row>
    <row r="41" spans="1:11" s="3" customFormat="1" x14ac:dyDescent="0.3">
      <c r="A41" s="16" t="s">
        <v>68</v>
      </c>
      <c r="B41" s="17" t="s">
        <v>66</v>
      </c>
      <c r="C41" s="28" t="s">
        <v>17</v>
      </c>
      <c r="D41" s="17" t="s">
        <v>67</v>
      </c>
      <c r="E41" s="17"/>
      <c r="F41" s="18">
        <v>2</v>
      </c>
      <c r="G41" s="19">
        <v>1234</v>
      </c>
      <c r="H41" s="20">
        <f t="shared" si="0"/>
        <v>2468</v>
      </c>
      <c r="I41" s="23"/>
      <c r="J41" s="6"/>
      <c r="K41" s="7"/>
    </row>
    <row r="42" spans="1:11" s="3" customFormat="1" x14ac:dyDescent="0.3">
      <c r="A42" s="16" t="s">
        <v>69</v>
      </c>
      <c r="B42" s="17" t="s">
        <v>66</v>
      </c>
      <c r="C42" s="28" t="s">
        <v>14</v>
      </c>
      <c r="D42" s="17" t="s">
        <v>67</v>
      </c>
      <c r="E42" s="17" t="s">
        <v>19</v>
      </c>
      <c r="F42" s="18">
        <v>2</v>
      </c>
      <c r="G42" s="19">
        <v>1234</v>
      </c>
      <c r="H42" s="20">
        <f t="shared" si="0"/>
        <v>2468</v>
      </c>
      <c r="I42" s="23"/>
      <c r="J42" s="6"/>
      <c r="K42" s="7"/>
    </row>
    <row r="43" spans="1:11" s="3" customFormat="1" x14ac:dyDescent="0.3">
      <c r="A43" s="16" t="s">
        <v>70</v>
      </c>
      <c r="B43" s="17" t="s">
        <v>71</v>
      </c>
      <c r="C43" s="28" t="s">
        <v>14</v>
      </c>
      <c r="D43" s="17" t="s">
        <v>72</v>
      </c>
      <c r="E43" s="28"/>
      <c r="F43" s="18">
        <v>2</v>
      </c>
      <c r="G43" s="19">
        <v>1234</v>
      </c>
      <c r="H43" s="20">
        <f t="shared" si="0"/>
        <v>2468</v>
      </c>
      <c r="I43" s="23"/>
      <c r="J43" s="6"/>
      <c r="K43" s="7"/>
    </row>
    <row r="44" spans="1:11" s="3" customFormat="1" x14ac:dyDescent="0.3">
      <c r="A44" s="16" t="s">
        <v>73</v>
      </c>
      <c r="B44" s="17" t="s">
        <v>71</v>
      </c>
      <c r="C44" s="28" t="s">
        <v>17</v>
      </c>
      <c r="D44" s="17" t="s">
        <v>72</v>
      </c>
      <c r="E44" s="17"/>
      <c r="F44" s="18">
        <v>2</v>
      </c>
      <c r="G44" s="19">
        <v>1234</v>
      </c>
      <c r="H44" s="20">
        <f t="shared" si="0"/>
        <v>2468</v>
      </c>
      <c r="I44" s="23"/>
      <c r="J44" s="6"/>
      <c r="K44" s="7"/>
    </row>
    <row r="45" spans="1:11" s="3" customFormat="1" x14ac:dyDescent="0.3">
      <c r="A45" s="16" t="s">
        <v>74</v>
      </c>
      <c r="B45" s="17" t="s">
        <v>71</v>
      </c>
      <c r="C45" s="28" t="s">
        <v>14</v>
      </c>
      <c r="D45" s="17" t="s">
        <v>72</v>
      </c>
      <c r="E45" s="17" t="s">
        <v>19</v>
      </c>
      <c r="F45" s="18">
        <v>2</v>
      </c>
      <c r="G45" s="19">
        <v>1234</v>
      </c>
      <c r="H45" s="20">
        <f t="shared" si="0"/>
        <v>2468</v>
      </c>
      <c r="I45" s="23"/>
      <c r="J45" s="6"/>
      <c r="K45" s="7"/>
    </row>
    <row r="46" spans="1:11" s="3" customFormat="1" x14ac:dyDescent="0.3">
      <c r="A46" s="16" t="s">
        <v>75</v>
      </c>
      <c r="B46" s="17" t="s">
        <v>76</v>
      </c>
      <c r="C46" s="28" t="s">
        <v>14</v>
      </c>
      <c r="D46" s="17" t="s">
        <v>77</v>
      </c>
      <c r="E46" s="28"/>
      <c r="F46" s="18">
        <v>2</v>
      </c>
      <c r="G46" s="19">
        <v>1234</v>
      </c>
      <c r="H46" s="20">
        <f t="shared" si="0"/>
        <v>2468</v>
      </c>
      <c r="I46" s="23"/>
      <c r="J46" s="6"/>
      <c r="K46" s="7"/>
    </row>
    <row r="47" spans="1:11" s="3" customFormat="1" x14ac:dyDescent="0.3">
      <c r="A47" s="16" t="s">
        <v>78</v>
      </c>
      <c r="B47" s="17" t="s">
        <v>76</v>
      </c>
      <c r="C47" s="28" t="s">
        <v>17</v>
      </c>
      <c r="D47" s="17" t="s">
        <v>77</v>
      </c>
      <c r="E47" s="28"/>
      <c r="F47" s="18">
        <v>2</v>
      </c>
      <c r="G47" s="19">
        <v>1234</v>
      </c>
      <c r="H47" s="20">
        <f t="shared" si="0"/>
        <v>2468</v>
      </c>
      <c r="I47" s="23"/>
      <c r="J47" s="6"/>
      <c r="K47" s="7"/>
    </row>
    <row r="48" spans="1:11" s="3" customFormat="1" x14ac:dyDescent="0.3">
      <c r="A48" s="16" t="s">
        <v>79</v>
      </c>
      <c r="B48" s="17" t="s">
        <v>76</v>
      </c>
      <c r="C48" s="28" t="s">
        <v>14</v>
      </c>
      <c r="D48" s="17" t="s">
        <v>77</v>
      </c>
      <c r="E48" s="17" t="s">
        <v>19</v>
      </c>
      <c r="F48" s="18">
        <v>2</v>
      </c>
      <c r="G48" s="19">
        <v>1234</v>
      </c>
      <c r="H48" s="20">
        <f t="shared" si="0"/>
        <v>2468</v>
      </c>
      <c r="I48" s="23"/>
      <c r="J48" s="6"/>
      <c r="K48" s="7"/>
    </row>
    <row r="49" spans="1:11" s="3" customFormat="1" x14ac:dyDescent="0.3">
      <c r="A49" s="16" t="s">
        <v>80</v>
      </c>
      <c r="B49" s="17" t="s">
        <v>81</v>
      </c>
      <c r="C49" s="28" t="s">
        <v>14</v>
      </c>
      <c r="D49" s="17" t="s">
        <v>82</v>
      </c>
      <c r="E49" s="17"/>
      <c r="F49" s="18">
        <v>2</v>
      </c>
      <c r="G49" s="19">
        <v>1234</v>
      </c>
      <c r="H49" s="20">
        <f t="shared" si="0"/>
        <v>2468</v>
      </c>
      <c r="I49" s="23"/>
      <c r="J49" s="6"/>
      <c r="K49" s="7"/>
    </row>
    <row r="50" spans="1:11" s="3" customFormat="1" x14ac:dyDescent="0.3">
      <c r="A50" s="16" t="s">
        <v>83</v>
      </c>
      <c r="B50" s="17" t="s">
        <v>81</v>
      </c>
      <c r="C50" s="28" t="s">
        <v>17</v>
      </c>
      <c r="D50" s="17" t="s">
        <v>82</v>
      </c>
      <c r="E50" s="28"/>
      <c r="F50" s="18">
        <v>2</v>
      </c>
      <c r="G50" s="19">
        <v>1234</v>
      </c>
      <c r="H50" s="20">
        <f t="shared" si="0"/>
        <v>2468</v>
      </c>
      <c r="I50" s="23"/>
      <c r="J50" s="6"/>
      <c r="K50" s="7"/>
    </row>
    <row r="51" spans="1:11" s="3" customFormat="1" x14ac:dyDescent="0.3">
      <c r="A51" s="16" t="s">
        <v>84</v>
      </c>
      <c r="B51" s="17" t="s">
        <v>81</v>
      </c>
      <c r="C51" s="28" t="s">
        <v>14</v>
      </c>
      <c r="D51" s="17" t="s">
        <v>82</v>
      </c>
      <c r="E51" s="17" t="s">
        <v>19</v>
      </c>
      <c r="F51" s="18">
        <v>2</v>
      </c>
      <c r="G51" s="19">
        <v>1234</v>
      </c>
      <c r="H51" s="20">
        <f t="shared" si="0"/>
        <v>2468</v>
      </c>
      <c r="I51" s="23"/>
      <c r="J51" s="6"/>
      <c r="K51" s="7"/>
    </row>
    <row r="52" spans="1:11" s="3" customFormat="1" x14ac:dyDescent="0.3">
      <c r="A52" s="16" t="s">
        <v>85</v>
      </c>
      <c r="B52" s="17" t="s">
        <v>86</v>
      </c>
      <c r="C52" s="28" t="s">
        <v>14</v>
      </c>
      <c r="D52" s="17" t="s">
        <v>87</v>
      </c>
      <c r="E52" s="17"/>
      <c r="F52" s="18">
        <v>2</v>
      </c>
      <c r="G52" s="19">
        <v>1234</v>
      </c>
      <c r="H52" s="20">
        <f t="shared" si="0"/>
        <v>2468</v>
      </c>
      <c r="I52" s="23"/>
      <c r="J52" s="6"/>
      <c r="K52" s="7"/>
    </row>
    <row r="53" spans="1:11" s="3" customFormat="1" x14ac:dyDescent="0.3">
      <c r="A53" s="16" t="s">
        <v>88</v>
      </c>
      <c r="B53" s="17" t="s">
        <v>86</v>
      </c>
      <c r="C53" s="28" t="s">
        <v>17</v>
      </c>
      <c r="D53" s="17" t="s">
        <v>87</v>
      </c>
      <c r="E53" s="28"/>
      <c r="F53" s="18">
        <v>1</v>
      </c>
      <c r="G53" s="19">
        <v>1234</v>
      </c>
      <c r="H53" s="20">
        <f t="shared" si="0"/>
        <v>1234</v>
      </c>
      <c r="I53" s="23"/>
      <c r="J53" s="6"/>
      <c r="K53" s="7"/>
    </row>
    <row r="54" spans="1:11" s="3" customFormat="1" x14ac:dyDescent="0.3">
      <c r="A54" s="16" t="s">
        <v>89</v>
      </c>
      <c r="B54" s="17" t="s">
        <v>86</v>
      </c>
      <c r="C54" s="28" t="s">
        <v>14</v>
      </c>
      <c r="D54" s="17" t="s">
        <v>87</v>
      </c>
      <c r="E54" s="28" t="s">
        <v>19</v>
      </c>
      <c r="F54" s="18">
        <v>2</v>
      </c>
      <c r="G54" s="19">
        <v>1234</v>
      </c>
      <c r="H54" s="20">
        <f t="shared" si="0"/>
        <v>2468</v>
      </c>
      <c r="I54" s="23"/>
      <c r="J54" s="6"/>
      <c r="K54" s="7"/>
    </row>
    <row r="55" spans="1:11" s="3" customFormat="1" x14ac:dyDescent="0.3">
      <c r="A55" s="16" t="s">
        <v>90</v>
      </c>
      <c r="B55" s="17" t="s">
        <v>91</v>
      </c>
      <c r="C55" s="28" t="s">
        <v>14</v>
      </c>
      <c r="D55" s="17" t="s">
        <v>92</v>
      </c>
      <c r="E55" s="17"/>
      <c r="F55" s="18">
        <v>2</v>
      </c>
      <c r="G55" s="19">
        <v>1234</v>
      </c>
      <c r="H55" s="20">
        <f t="shared" si="0"/>
        <v>2468</v>
      </c>
      <c r="I55" s="23"/>
      <c r="J55" s="6"/>
      <c r="K55" s="7"/>
    </row>
    <row r="56" spans="1:11" s="3" customFormat="1" x14ac:dyDescent="0.3">
      <c r="A56" s="16" t="s">
        <v>93</v>
      </c>
      <c r="B56" s="17" t="s">
        <v>91</v>
      </c>
      <c r="C56" s="28" t="s">
        <v>17</v>
      </c>
      <c r="D56" s="17" t="s">
        <v>92</v>
      </c>
      <c r="E56" s="17"/>
      <c r="F56" s="18">
        <v>2</v>
      </c>
      <c r="G56" s="19">
        <v>1234</v>
      </c>
      <c r="H56" s="20">
        <f t="shared" si="0"/>
        <v>2468</v>
      </c>
      <c r="I56" s="23"/>
      <c r="J56" s="6"/>
      <c r="K56" s="7"/>
    </row>
    <row r="57" spans="1:11" s="3" customFormat="1" x14ac:dyDescent="0.3">
      <c r="A57" s="16" t="s">
        <v>94</v>
      </c>
      <c r="B57" s="17" t="s">
        <v>91</v>
      </c>
      <c r="C57" s="28" t="s">
        <v>14</v>
      </c>
      <c r="D57" s="17" t="s">
        <v>92</v>
      </c>
      <c r="E57" s="28" t="s">
        <v>19</v>
      </c>
      <c r="F57" s="18">
        <v>2</v>
      </c>
      <c r="G57" s="19">
        <v>1234</v>
      </c>
      <c r="H57" s="20">
        <f t="shared" si="0"/>
        <v>2468</v>
      </c>
      <c r="I57" s="23"/>
      <c r="J57" s="6"/>
      <c r="K57" s="7"/>
    </row>
    <row r="58" spans="1:11" s="3" customFormat="1" x14ac:dyDescent="0.3">
      <c r="A58" s="16" t="s">
        <v>95</v>
      </c>
      <c r="B58" s="17" t="s">
        <v>96</v>
      </c>
      <c r="C58" s="28" t="s">
        <v>14</v>
      </c>
      <c r="D58" s="17" t="s">
        <v>97</v>
      </c>
      <c r="E58" s="17"/>
      <c r="F58" s="18">
        <v>8</v>
      </c>
      <c r="G58" s="19">
        <v>1234</v>
      </c>
      <c r="H58" s="20">
        <f t="shared" si="0"/>
        <v>9872</v>
      </c>
      <c r="I58" s="23"/>
      <c r="J58" s="6"/>
      <c r="K58" s="7"/>
    </row>
    <row r="59" spans="1:11" s="3" customFormat="1" x14ac:dyDescent="0.3">
      <c r="A59" s="16" t="s">
        <v>98</v>
      </c>
      <c r="B59" s="17" t="s">
        <v>96</v>
      </c>
      <c r="C59" s="28" t="s">
        <v>17</v>
      </c>
      <c r="D59" s="17" t="s">
        <v>97</v>
      </c>
      <c r="E59" s="17"/>
      <c r="F59" s="18">
        <v>6</v>
      </c>
      <c r="G59" s="19">
        <v>1234</v>
      </c>
      <c r="H59" s="20">
        <f t="shared" si="0"/>
        <v>7404</v>
      </c>
      <c r="I59" s="23"/>
      <c r="J59" s="6"/>
      <c r="K59" s="7"/>
    </row>
    <row r="60" spans="1:11" s="3" customFormat="1" x14ac:dyDescent="0.3">
      <c r="A60" s="16" t="s">
        <v>99</v>
      </c>
      <c r="B60" s="17" t="s">
        <v>96</v>
      </c>
      <c r="C60" s="28" t="s">
        <v>14</v>
      </c>
      <c r="D60" s="17" t="s">
        <v>97</v>
      </c>
      <c r="E60" s="28" t="s">
        <v>19</v>
      </c>
      <c r="F60" s="18">
        <v>8</v>
      </c>
      <c r="G60" s="19">
        <v>1234</v>
      </c>
      <c r="H60" s="20">
        <f t="shared" si="0"/>
        <v>9872</v>
      </c>
      <c r="I60" s="23"/>
      <c r="J60" s="6"/>
      <c r="K60" s="7"/>
    </row>
    <row r="61" spans="1:11" s="3" customFormat="1" x14ac:dyDescent="0.3">
      <c r="A61" s="16" t="s">
        <v>100</v>
      </c>
      <c r="B61" s="17" t="s">
        <v>101</v>
      </c>
      <c r="C61" s="28" t="s">
        <v>14</v>
      </c>
      <c r="D61" s="17" t="s">
        <v>102</v>
      </c>
      <c r="E61" s="28"/>
      <c r="F61" s="18">
        <v>4</v>
      </c>
      <c r="G61" s="19">
        <v>1234</v>
      </c>
      <c r="H61" s="20">
        <f t="shared" si="0"/>
        <v>4936</v>
      </c>
      <c r="I61" s="23"/>
      <c r="J61" s="6"/>
      <c r="K61" s="7"/>
    </row>
    <row r="62" spans="1:11" s="3" customFormat="1" x14ac:dyDescent="0.3">
      <c r="A62" s="16" t="s">
        <v>103</v>
      </c>
      <c r="B62" s="17" t="s">
        <v>101</v>
      </c>
      <c r="C62" s="28" t="s">
        <v>17</v>
      </c>
      <c r="D62" s="17" t="s">
        <v>102</v>
      </c>
      <c r="E62" s="17"/>
      <c r="F62" s="18">
        <v>2</v>
      </c>
      <c r="G62" s="19">
        <v>1234</v>
      </c>
      <c r="H62" s="20">
        <f t="shared" si="0"/>
        <v>2468</v>
      </c>
      <c r="I62" s="23"/>
      <c r="J62" s="6"/>
      <c r="K62" s="7"/>
    </row>
    <row r="63" spans="1:11" s="3" customFormat="1" x14ac:dyDescent="0.3">
      <c r="A63" s="16" t="s">
        <v>104</v>
      </c>
      <c r="B63" s="17" t="s">
        <v>101</v>
      </c>
      <c r="C63" s="28" t="s">
        <v>14</v>
      </c>
      <c r="D63" s="17" t="s">
        <v>102</v>
      </c>
      <c r="E63" s="17" t="s">
        <v>19</v>
      </c>
      <c r="F63" s="18">
        <v>4</v>
      </c>
      <c r="G63" s="19">
        <v>1234</v>
      </c>
      <c r="H63" s="20">
        <f t="shared" si="0"/>
        <v>4936</v>
      </c>
      <c r="I63" s="23"/>
      <c r="J63" s="6"/>
      <c r="K63" s="7"/>
    </row>
    <row r="64" spans="1:11" s="3" customFormat="1" x14ac:dyDescent="0.3">
      <c r="A64" s="16" t="s">
        <v>105</v>
      </c>
      <c r="B64" s="17" t="s">
        <v>106</v>
      </c>
      <c r="C64" s="28" t="s">
        <v>14</v>
      </c>
      <c r="D64" s="17" t="s">
        <v>107</v>
      </c>
      <c r="E64" s="28"/>
      <c r="F64" s="18">
        <v>2</v>
      </c>
      <c r="G64" s="19">
        <v>1234</v>
      </c>
      <c r="H64" s="20">
        <f t="shared" si="0"/>
        <v>2468</v>
      </c>
      <c r="I64" s="23"/>
      <c r="J64" s="6"/>
      <c r="K64" s="7"/>
    </row>
    <row r="65" spans="1:11" s="3" customFormat="1" x14ac:dyDescent="0.3">
      <c r="A65" s="16" t="s">
        <v>108</v>
      </c>
      <c r="B65" s="17" t="s">
        <v>106</v>
      </c>
      <c r="C65" s="28" t="s">
        <v>17</v>
      </c>
      <c r="D65" s="17" t="s">
        <v>107</v>
      </c>
      <c r="E65" s="17"/>
      <c r="F65" s="18">
        <v>2</v>
      </c>
      <c r="G65" s="19">
        <v>1234</v>
      </c>
      <c r="H65" s="20">
        <f t="shared" si="0"/>
        <v>2468</v>
      </c>
      <c r="I65" s="23"/>
      <c r="J65" s="6"/>
      <c r="K65" s="7"/>
    </row>
    <row r="66" spans="1:11" s="3" customFormat="1" x14ac:dyDescent="0.3">
      <c r="A66" s="16" t="s">
        <v>109</v>
      </c>
      <c r="B66" s="17" t="s">
        <v>106</v>
      </c>
      <c r="C66" s="28" t="s">
        <v>14</v>
      </c>
      <c r="D66" s="17" t="s">
        <v>107</v>
      </c>
      <c r="E66" s="17" t="s">
        <v>19</v>
      </c>
      <c r="F66" s="18">
        <v>2</v>
      </c>
      <c r="G66" s="19">
        <v>1234</v>
      </c>
      <c r="H66" s="20">
        <f t="shared" si="0"/>
        <v>2468</v>
      </c>
      <c r="I66" s="23"/>
      <c r="J66" s="6"/>
      <c r="K66" s="7"/>
    </row>
    <row r="67" spans="1:11" s="3" customFormat="1" x14ac:dyDescent="0.3">
      <c r="A67" s="16" t="s">
        <v>110</v>
      </c>
      <c r="B67" s="17" t="s">
        <v>111</v>
      </c>
      <c r="C67" s="28" t="s">
        <v>14</v>
      </c>
      <c r="D67" s="17" t="s">
        <v>112</v>
      </c>
      <c r="E67" s="28"/>
      <c r="F67" s="18">
        <v>2</v>
      </c>
      <c r="G67" s="19">
        <v>1234</v>
      </c>
      <c r="H67" s="20">
        <f t="shared" si="0"/>
        <v>2468</v>
      </c>
      <c r="I67" s="23"/>
      <c r="J67" s="6"/>
      <c r="K67" s="7"/>
    </row>
    <row r="68" spans="1:11" s="3" customFormat="1" x14ac:dyDescent="0.3">
      <c r="A68" s="16" t="s">
        <v>113</v>
      </c>
      <c r="B68" s="17" t="s">
        <v>111</v>
      </c>
      <c r="C68" s="28" t="s">
        <v>17</v>
      </c>
      <c r="D68" s="17" t="s">
        <v>112</v>
      </c>
      <c r="E68" s="28"/>
      <c r="F68" s="18">
        <v>2</v>
      </c>
      <c r="G68" s="19">
        <v>1234</v>
      </c>
      <c r="H68" s="20">
        <f t="shared" si="0"/>
        <v>2468</v>
      </c>
      <c r="I68" s="23"/>
      <c r="J68" s="6"/>
      <c r="K68" s="7"/>
    </row>
    <row r="69" spans="1:11" s="3" customFormat="1" x14ac:dyDescent="0.3">
      <c r="A69" s="16" t="s">
        <v>114</v>
      </c>
      <c r="B69" s="17" t="s">
        <v>111</v>
      </c>
      <c r="C69" s="28" t="s">
        <v>14</v>
      </c>
      <c r="D69" s="17" t="s">
        <v>112</v>
      </c>
      <c r="E69" s="17" t="s">
        <v>19</v>
      </c>
      <c r="F69" s="18">
        <v>2</v>
      </c>
      <c r="G69" s="19">
        <v>1234</v>
      </c>
      <c r="H69" s="20">
        <f t="shared" si="0"/>
        <v>2468</v>
      </c>
      <c r="I69" s="23"/>
      <c r="J69" s="6"/>
      <c r="K69" s="7"/>
    </row>
    <row r="70" spans="1:11" s="3" customFormat="1" x14ac:dyDescent="0.3">
      <c r="A70" s="16" t="s">
        <v>115</v>
      </c>
      <c r="B70" s="17" t="s">
        <v>116</v>
      </c>
      <c r="C70" s="28" t="s">
        <v>14</v>
      </c>
      <c r="D70" s="17" t="s">
        <v>117</v>
      </c>
      <c r="E70" s="17"/>
      <c r="F70" s="18">
        <v>2</v>
      </c>
      <c r="G70" s="19">
        <v>1234</v>
      </c>
      <c r="H70" s="20">
        <f t="shared" si="0"/>
        <v>2468</v>
      </c>
      <c r="I70" s="23"/>
      <c r="J70" s="6"/>
      <c r="K70" s="7"/>
    </row>
    <row r="71" spans="1:11" s="3" customFormat="1" x14ac:dyDescent="0.3">
      <c r="A71" s="16" t="s">
        <v>118</v>
      </c>
      <c r="B71" s="17" t="s">
        <v>116</v>
      </c>
      <c r="C71" s="28" t="s">
        <v>17</v>
      </c>
      <c r="D71" s="17" t="s">
        <v>117</v>
      </c>
      <c r="E71" s="28"/>
      <c r="F71" s="18">
        <v>2</v>
      </c>
      <c r="G71" s="19">
        <v>1234</v>
      </c>
      <c r="H71" s="20">
        <f t="shared" si="0"/>
        <v>2468</v>
      </c>
      <c r="I71" s="23"/>
      <c r="J71" s="6"/>
      <c r="K71" s="7"/>
    </row>
    <row r="72" spans="1:11" x14ac:dyDescent="0.3">
      <c r="A72" s="16" t="s">
        <v>119</v>
      </c>
      <c r="B72" s="17" t="s">
        <v>116</v>
      </c>
      <c r="C72" s="28" t="s">
        <v>14</v>
      </c>
      <c r="D72" s="17" t="s">
        <v>117</v>
      </c>
      <c r="E72" s="17" t="s">
        <v>19</v>
      </c>
      <c r="F72" s="18">
        <v>2</v>
      </c>
      <c r="G72" s="19">
        <v>1234</v>
      </c>
      <c r="H72" s="20">
        <f t="shared" si="0"/>
        <v>2468</v>
      </c>
      <c r="I72" s="23"/>
    </row>
    <row r="73" spans="1:11" x14ac:dyDescent="0.3">
      <c r="A73" s="16" t="s">
        <v>120</v>
      </c>
      <c r="B73" s="17" t="s">
        <v>121</v>
      </c>
      <c r="C73" s="28" t="s">
        <v>14</v>
      </c>
      <c r="D73" s="33" t="s">
        <v>122</v>
      </c>
      <c r="E73" s="17"/>
      <c r="F73" s="18">
        <v>2</v>
      </c>
      <c r="G73" s="19">
        <v>1234</v>
      </c>
      <c r="H73" s="20">
        <f t="shared" si="0"/>
        <v>2468</v>
      </c>
      <c r="I73" s="23"/>
    </row>
    <row r="74" spans="1:11" x14ac:dyDescent="0.3">
      <c r="A74" s="16" t="s">
        <v>123</v>
      </c>
      <c r="B74" s="17" t="s">
        <v>121</v>
      </c>
      <c r="C74" s="28" t="s">
        <v>17</v>
      </c>
      <c r="D74" s="33" t="s">
        <v>122</v>
      </c>
      <c r="E74" s="28"/>
      <c r="F74" s="18">
        <v>2</v>
      </c>
      <c r="G74" s="19">
        <v>1234</v>
      </c>
      <c r="H74" s="20">
        <f t="shared" ref="H74:H75" si="1">G74*F74</f>
        <v>2468</v>
      </c>
      <c r="I74" s="23"/>
    </row>
    <row r="75" spans="1:11" x14ac:dyDescent="0.3">
      <c r="A75" s="16" t="s">
        <v>124</v>
      </c>
      <c r="B75" s="17" t="s">
        <v>121</v>
      </c>
      <c r="C75" s="28" t="s">
        <v>14</v>
      </c>
      <c r="D75" s="33" t="s">
        <v>122</v>
      </c>
      <c r="E75" s="28" t="s">
        <v>19</v>
      </c>
      <c r="F75" s="18">
        <v>2</v>
      </c>
      <c r="G75" s="19">
        <v>1234</v>
      </c>
      <c r="H75" s="20">
        <f t="shared" si="1"/>
        <v>2468</v>
      </c>
      <c r="I75" s="23"/>
    </row>
    <row r="76" spans="1:11" x14ac:dyDescent="0.3">
      <c r="A76" s="16" t="s">
        <v>125</v>
      </c>
      <c r="B76" s="17" t="s">
        <v>126</v>
      </c>
      <c r="C76" s="28" t="s">
        <v>14</v>
      </c>
      <c r="D76" s="17" t="s">
        <v>172</v>
      </c>
      <c r="E76" s="17"/>
      <c r="F76" s="18">
        <v>2</v>
      </c>
      <c r="G76" s="19">
        <v>1234</v>
      </c>
      <c r="H76" s="30">
        <f>SUM(H17:H75)</f>
        <v>177696</v>
      </c>
      <c r="I76" s="23"/>
    </row>
    <row r="77" spans="1:11" x14ac:dyDescent="0.3">
      <c r="A77" s="16" t="s">
        <v>127</v>
      </c>
      <c r="B77" s="17" t="s">
        <v>126</v>
      </c>
      <c r="C77" s="28" t="s">
        <v>17</v>
      </c>
      <c r="D77" s="17" t="s">
        <v>172</v>
      </c>
      <c r="E77" s="28"/>
      <c r="F77" s="18">
        <v>2</v>
      </c>
      <c r="G77" s="19">
        <v>1234</v>
      </c>
      <c r="H77" s="30">
        <f t="shared" ref="H77:H90" si="2">SUM(H18:H76)</f>
        <v>352924</v>
      </c>
      <c r="I77" s="23"/>
    </row>
    <row r="78" spans="1:11" x14ac:dyDescent="0.3">
      <c r="A78" s="16" t="s">
        <v>128</v>
      </c>
      <c r="B78" s="17" t="s">
        <v>126</v>
      </c>
      <c r="C78" s="28" t="s">
        <v>14</v>
      </c>
      <c r="D78" s="17" t="s">
        <v>172</v>
      </c>
      <c r="E78" s="28" t="s">
        <v>19</v>
      </c>
      <c r="F78" s="18">
        <v>2</v>
      </c>
      <c r="G78" s="19">
        <v>1234</v>
      </c>
      <c r="H78" s="30">
        <f t="shared" si="2"/>
        <v>700912</v>
      </c>
      <c r="I78" s="23"/>
    </row>
    <row r="79" spans="1:11" x14ac:dyDescent="0.3">
      <c r="A79" s="16" t="s">
        <v>129</v>
      </c>
      <c r="B79" s="17" t="s">
        <v>130</v>
      </c>
      <c r="C79" s="28" t="s">
        <v>14</v>
      </c>
      <c r="D79" s="17" t="s">
        <v>131</v>
      </c>
      <c r="E79" s="17"/>
      <c r="F79" s="18">
        <v>2</v>
      </c>
      <c r="G79" s="19">
        <v>1234</v>
      </c>
      <c r="H79" s="30">
        <f t="shared" si="2"/>
        <v>1399356</v>
      </c>
      <c r="I79" s="23"/>
    </row>
    <row r="80" spans="1:11" x14ac:dyDescent="0.3">
      <c r="A80" s="16" t="s">
        <v>132</v>
      </c>
      <c r="B80" s="17" t="s">
        <v>130</v>
      </c>
      <c r="C80" s="28" t="s">
        <v>17</v>
      </c>
      <c r="D80" s="17" t="s">
        <v>131</v>
      </c>
      <c r="E80" s="28"/>
      <c r="F80" s="18">
        <v>2</v>
      </c>
      <c r="G80" s="19">
        <v>1234</v>
      </c>
      <c r="H80" s="30">
        <f t="shared" si="2"/>
        <v>2796244</v>
      </c>
      <c r="I80" s="23"/>
    </row>
    <row r="81" spans="1:10" x14ac:dyDescent="0.3">
      <c r="A81" s="16" t="s">
        <v>133</v>
      </c>
      <c r="B81" s="17" t="s">
        <v>130</v>
      </c>
      <c r="C81" s="28" t="s">
        <v>14</v>
      </c>
      <c r="D81" s="17" t="s">
        <v>131</v>
      </c>
      <c r="E81" s="28" t="s">
        <v>19</v>
      </c>
      <c r="F81" s="18">
        <v>2</v>
      </c>
      <c r="G81" s="19">
        <v>1234</v>
      </c>
      <c r="H81" s="30">
        <f t="shared" si="2"/>
        <v>5590020</v>
      </c>
      <c r="I81" s="23"/>
    </row>
    <row r="82" spans="1:10" x14ac:dyDescent="0.3">
      <c r="A82" s="16" t="s">
        <v>134</v>
      </c>
      <c r="B82" s="17" t="s">
        <v>135</v>
      </c>
      <c r="C82" s="28" t="s">
        <v>14</v>
      </c>
      <c r="D82" s="17" t="s">
        <v>136</v>
      </c>
      <c r="E82" s="17"/>
      <c r="F82" s="18">
        <v>2</v>
      </c>
      <c r="G82" s="19">
        <v>1234</v>
      </c>
      <c r="H82" s="30">
        <f t="shared" si="2"/>
        <v>11177572</v>
      </c>
      <c r="I82" s="23"/>
    </row>
    <row r="83" spans="1:10" x14ac:dyDescent="0.3">
      <c r="A83" s="16" t="s">
        <v>137</v>
      </c>
      <c r="B83" s="17" t="s">
        <v>135</v>
      </c>
      <c r="C83" s="28" t="s">
        <v>17</v>
      </c>
      <c r="D83" s="17" t="s">
        <v>136</v>
      </c>
      <c r="E83" s="28"/>
      <c r="F83" s="18">
        <v>2</v>
      </c>
      <c r="G83" s="19">
        <v>1234</v>
      </c>
      <c r="H83" s="30">
        <f t="shared" si="2"/>
        <v>22352676</v>
      </c>
      <c r="I83" s="23"/>
    </row>
    <row r="84" spans="1:10" x14ac:dyDescent="0.3">
      <c r="A84" s="16" t="s">
        <v>138</v>
      </c>
      <c r="B84" s="17" t="s">
        <v>135</v>
      </c>
      <c r="C84" s="28" t="s">
        <v>14</v>
      </c>
      <c r="D84" s="17" t="s">
        <v>136</v>
      </c>
      <c r="E84" s="28" t="s">
        <v>19</v>
      </c>
      <c r="F84" s="18">
        <v>2</v>
      </c>
      <c r="G84" s="19">
        <v>1234</v>
      </c>
      <c r="H84" s="30">
        <f t="shared" si="2"/>
        <v>44702884</v>
      </c>
      <c r="I84" s="23"/>
    </row>
    <row r="85" spans="1:10" x14ac:dyDescent="0.3">
      <c r="A85" s="16" t="s">
        <v>139</v>
      </c>
      <c r="B85" s="17" t="s">
        <v>140</v>
      </c>
      <c r="C85" s="28" t="s">
        <v>14</v>
      </c>
      <c r="D85" s="17" t="s">
        <v>141</v>
      </c>
      <c r="E85" s="17"/>
      <c r="F85" s="18">
        <v>2</v>
      </c>
      <c r="G85" s="19">
        <v>1234</v>
      </c>
      <c r="H85" s="30">
        <f t="shared" si="2"/>
        <v>89403300</v>
      </c>
      <c r="I85" s="23"/>
    </row>
    <row r="86" spans="1:10" x14ac:dyDescent="0.3">
      <c r="A86" s="16" t="s">
        <v>142</v>
      </c>
      <c r="B86" s="17" t="s">
        <v>140</v>
      </c>
      <c r="C86" s="28" t="s">
        <v>17</v>
      </c>
      <c r="D86" s="17" t="s">
        <v>141</v>
      </c>
      <c r="E86" s="28"/>
      <c r="F86" s="18">
        <v>2</v>
      </c>
      <c r="G86" s="19">
        <v>1234</v>
      </c>
      <c r="H86" s="30">
        <f t="shared" si="2"/>
        <v>178804132</v>
      </c>
      <c r="I86" s="23"/>
    </row>
    <row r="87" spans="1:10" x14ac:dyDescent="0.3">
      <c r="A87" s="16" t="s">
        <v>143</v>
      </c>
      <c r="B87" s="17" t="s">
        <v>140</v>
      </c>
      <c r="C87" s="28" t="s">
        <v>14</v>
      </c>
      <c r="D87" s="17" t="s">
        <v>141</v>
      </c>
      <c r="E87" s="28" t="s">
        <v>19</v>
      </c>
      <c r="F87" s="18">
        <v>2</v>
      </c>
      <c r="G87" s="19">
        <v>1234</v>
      </c>
      <c r="H87" s="30">
        <f t="shared" si="2"/>
        <v>357605796</v>
      </c>
      <c r="I87" s="23"/>
    </row>
    <row r="88" spans="1:10" x14ac:dyDescent="0.3">
      <c r="A88" s="16" t="s">
        <v>144</v>
      </c>
      <c r="B88" s="17" t="s">
        <v>145</v>
      </c>
      <c r="C88" s="28" t="s">
        <v>14</v>
      </c>
      <c r="D88" s="17" t="s">
        <v>146</v>
      </c>
      <c r="E88" s="17"/>
      <c r="F88" s="18">
        <v>2</v>
      </c>
      <c r="G88" s="19">
        <v>1234</v>
      </c>
      <c r="H88" s="30">
        <f t="shared" si="2"/>
        <v>715209124</v>
      </c>
      <c r="I88" s="23"/>
    </row>
    <row r="89" spans="1:10" x14ac:dyDescent="0.3">
      <c r="A89" s="16" t="s">
        <v>147</v>
      </c>
      <c r="B89" s="17" t="s">
        <v>145</v>
      </c>
      <c r="C89" s="28" t="s">
        <v>17</v>
      </c>
      <c r="D89" s="17" t="s">
        <v>146</v>
      </c>
      <c r="E89" s="28"/>
      <c r="F89" s="18">
        <v>2</v>
      </c>
      <c r="G89" s="19">
        <v>1234</v>
      </c>
      <c r="H89" s="30">
        <f t="shared" si="2"/>
        <v>1430415780</v>
      </c>
      <c r="I89" s="23"/>
    </row>
    <row r="90" spans="1:10" x14ac:dyDescent="0.3">
      <c r="A90" s="34" t="s">
        <v>148</v>
      </c>
      <c r="B90" s="35" t="s">
        <v>145</v>
      </c>
      <c r="C90" s="36" t="s">
        <v>14</v>
      </c>
      <c r="D90" s="35" t="s">
        <v>146</v>
      </c>
      <c r="E90" s="36" t="s">
        <v>19</v>
      </c>
      <c r="F90" s="37">
        <v>2</v>
      </c>
      <c r="G90" s="19">
        <v>1234</v>
      </c>
      <c r="H90" s="38">
        <f t="shared" si="2"/>
        <v>2860829092</v>
      </c>
      <c r="I90" s="39"/>
    </row>
    <row r="91" spans="1:10" x14ac:dyDescent="0.3">
      <c r="A91" s="16" t="s">
        <v>163</v>
      </c>
      <c r="B91" s="17" t="s">
        <v>166</v>
      </c>
      <c r="C91" s="28" t="s">
        <v>14</v>
      </c>
      <c r="D91" s="17" t="s">
        <v>169</v>
      </c>
      <c r="E91" s="23"/>
      <c r="F91" s="23"/>
      <c r="G91" s="23" t="s">
        <v>170</v>
      </c>
      <c r="H91" s="40">
        <f>SUM(H10:H90)</f>
        <v>5721717416</v>
      </c>
      <c r="I91" s="23"/>
    </row>
    <row r="92" spans="1:10" x14ac:dyDescent="0.3">
      <c r="A92" s="16" t="s">
        <v>164</v>
      </c>
      <c r="B92" s="17" t="s">
        <v>167</v>
      </c>
      <c r="C92" s="28" t="s">
        <v>17</v>
      </c>
      <c r="D92" s="17" t="s">
        <v>169</v>
      </c>
      <c r="E92" s="23"/>
      <c r="F92" s="23"/>
      <c r="G92" s="23" t="s">
        <v>170</v>
      </c>
      <c r="H92" s="23"/>
      <c r="I92" s="23"/>
    </row>
    <row r="93" spans="1:10" x14ac:dyDescent="0.3">
      <c r="A93" s="16" t="s">
        <v>165</v>
      </c>
      <c r="B93" s="17" t="s">
        <v>168</v>
      </c>
      <c r="C93" s="28" t="s">
        <v>14</v>
      </c>
      <c r="D93" s="17" t="s">
        <v>169</v>
      </c>
      <c r="E93" s="23" t="s">
        <v>19</v>
      </c>
      <c r="F93" s="23"/>
      <c r="G93" s="23" t="s">
        <v>170</v>
      </c>
      <c r="H93" s="23"/>
      <c r="I93" s="23"/>
    </row>
    <row r="96" spans="1:10" s="3" customFormat="1" x14ac:dyDescent="0.3">
      <c r="A96"/>
      <c r="B96"/>
      <c r="C96"/>
      <c r="D96"/>
      <c r="E96"/>
      <c r="F96"/>
      <c r="G96"/>
      <c r="H96"/>
      <c r="I96"/>
      <c r="J96" s="6"/>
    </row>
    <row r="97" spans="10:10" x14ac:dyDescent="0.3">
      <c r="J97" s="6"/>
    </row>
    <row r="144" spans="1:10" s="3" customFormat="1" x14ac:dyDescent="0.3">
      <c r="A144"/>
      <c r="B144"/>
      <c r="C144"/>
      <c r="D144"/>
      <c r="E144"/>
      <c r="F144"/>
      <c r="G144"/>
      <c r="H144"/>
      <c r="I144"/>
      <c r="J144" s="6"/>
    </row>
    <row r="145" spans="10:10" x14ac:dyDescent="0.3">
      <c r="J145" s="6"/>
    </row>
    <row r="192" spans="1:10" s="3" customFormat="1" x14ac:dyDescent="0.3">
      <c r="A192"/>
      <c r="B192"/>
      <c r="C192"/>
      <c r="D192"/>
      <c r="E192"/>
      <c r="F192"/>
      <c r="G192"/>
      <c r="H192"/>
      <c r="I192"/>
      <c r="J192" s="6"/>
    </row>
    <row r="193" spans="10:10" x14ac:dyDescent="0.3">
      <c r="J193" s="6"/>
    </row>
    <row r="240" spans="1:10" s="3" customFormat="1" x14ac:dyDescent="0.3">
      <c r="A240"/>
      <c r="B240"/>
      <c r="C240"/>
      <c r="D240"/>
      <c r="E240"/>
      <c r="F240"/>
      <c r="G240"/>
      <c r="H240"/>
      <c r="I240"/>
      <c r="J240" s="6"/>
    </row>
    <row r="241" spans="10:10" x14ac:dyDescent="0.3">
      <c r="J241" s="6"/>
    </row>
    <row r="288" spans="1:10" s="3" customFormat="1" x14ac:dyDescent="0.3">
      <c r="A288"/>
      <c r="B288"/>
      <c r="C288"/>
      <c r="D288"/>
      <c r="E288"/>
      <c r="F288"/>
      <c r="G288"/>
      <c r="H288"/>
      <c r="I288"/>
      <c r="J288" s="6"/>
    </row>
    <row r="289" spans="10:10" x14ac:dyDescent="0.3">
      <c r="J289" s="6"/>
    </row>
    <row r="336" spans="1:10" s="3" customFormat="1" x14ac:dyDescent="0.3">
      <c r="A336"/>
      <c r="B336"/>
      <c r="C336"/>
      <c r="D336"/>
      <c r="E336"/>
      <c r="F336"/>
      <c r="G336"/>
      <c r="H336"/>
      <c r="I336"/>
      <c r="J336" s="6"/>
    </row>
    <row r="337" spans="10:10" x14ac:dyDescent="0.3">
      <c r="J337" s="6"/>
    </row>
    <row r="384" spans="1:10" s="3" customFormat="1" x14ac:dyDescent="0.3">
      <c r="A384"/>
      <c r="B384"/>
      <c r="C384"/>
      <c r="D384"/>
      <c r="E384"/>
      <c r="F384"/>
      <c r="G384"/>
      <c r="H384"/>
      <c r="I384"/>
      <c r="J384" s="6"/>
    </row>
    <row r="385" spans="10:10" x14ac:dyDescent="0.3">
      <c r="J385" s="6"/>
    </row>
    <row r="432" spans="1:10" s="3" customFormat="1" x14ac:dyDescent="0.3">
      <c r="A432"/>
      <c r="B432"/>
      <c r="C432"/>
      <c r="D432"/>
      <c r="E432"/>
      <c r="F432"/>
      <c r="G432"/>
      <c r="H432"/>
      <c r="I432"/>
      <c r="J432" s="6"/>
    </row>
    <row r="433" spans="10:10" x14ac:dyDescent="0.3">
      <c r="J433" s="6"/>
    </row>
    <row r="480" spans="1:10" s="3" customFormat="1" x14ac:dyDescent="0.3">
      <c r="A480"/>
      <c r="B480"/>
      <c r="C480"/>
      <c r="D480"/>
      <c r="E480"/>
      <c r="F480"/>
      <c r="G480"/>
      <c r="H480"/>
      <c r="I480"/>
      <c r="J480" s="6"/>
    </row>
    <row r="481" spans="10:10" x14ac:dyDescent="0.3">
      <c r="J481" s="6"/>
    </row>
    <row r="512" spans="10:10" x14ac:dyDescent="0.3">
      <c r="J512" s="8"/>
    </row>
    <row r="528" spans="10:10" x14ac:dyDescent="0.3">
      <c r="J528" s="9"/>
    </row>
    <row r="534" spans="10:10" x14ac:dyDescent="0.3">
      <c r="J534" s="9"/>
    </row>
    <row r="537" spans="10:10" x14ac:dyDescent="0.3">
      <c r="J537" s="10"/>
    </row>
    <row r="584" spans="10:11" x14ac:dyDescent="0.3">
      <c r="J584" s="9"/>
      <c r="K584" s="8"/>
    </row>
    <row r="631" spans="1:11" x14ac:dyDescent="0.3">
      <c r="J631" s="9"/>
    </row>
    <row r="632" spans="1:11" x14ac:dyDescent="0.3">
      <c r="J632" s="9"/>
      <c r="K632" s="8"/>
    </row>
    <row r="635" spans="1:11" x14ac:dyDescent="0.3">
      <c r="J635" s="9"/>
    </row>
    <row r="639" spans="1:11" s="22" customFormat="1" x14ac:dyDescent="0.3">
      <c r="A639"/>
      <c r="B639"/>
      <c r="C639"/>
      <c r="D639"/>
      <c r="E639"/>
      <c r="F639"/>
      <c r="G639"/>
      <c r="H639"/>
      <c r="I639"/>
      <c r="J639" s="9"/>
    </row>
    <row r="640" spans="1:11" s="22" customFormat="1" x14ac:dyDescent="0.3">
      <c r="A640"/>
      <c r="B640"/>
      <c r="C640"/>
      <c r="D640"/>
      <c r="E640"/>
      <c r="F640"/>
      <c r="G640"/>
      <c r="H640"/>
      <c r="I640"/>
    </row>
    <row r="643" spans="10:10" x14ac:dyDescent="0.3">
      <c r="J643" s="9"/>
    </row>
    <row r="647" spans="10:10" x14ac:dyDescent="0.3">
      <c r="J647" s="9"/>
    </row>
    <row r="651" spans="10:10" x14ac:dyDescent="0.3">
      <c r="J651" s="9"/>
    </row>
    <row r="655" spans="10:10" x14ac:dyDescent="0.3">
      <c r="J655" s="9"/>
    </row>
    <row r="659" spans="10:10" x14ac:dyDescent="0.3">
      <c r="J659" s="9"/>
    </row>
    <row r="664" spans="10:10" x14ac:dyDescent="0.3">
      <c r="J664" s="9"/>
    </row>
    <row r="671" spans="10:10" x14ac:dyDescent="0.3">
      <c r="J671" s="9"/>
    </row>
    <row r="672" spans="10:10" x14ac:dyDescent="0.3">
      <c r="J672" s="9"/>
    </row>
    <row r="675" spans="10:10" x14ac:dyDescent="0.3">
      <c r="J675" s="9"/>
    </row>
    <row r="676" spans="10:10" x14ac:dyDescent="0.3">
      <c r="J676" s="9"/>
    </row>
    <row r="679" spans="10:10" x14ac:dyDescent="0.3">
      <c r="J679" s="9"/>
    </row>
    <row r="680" spans="10:10" x14ac:dyDescent="0.3">
      <c r="J680" s="9"/>
    </row>
    <row r="683" spans="10:10" x14ac:dyDescent="0.3">
      <c r="J683" s="9"/>
    </row>
    <row r="684" spans="10:10" x14ac:dyDescent="0.3">
      <c r="J684" s="9"/>
    </row>
    <row r="687" spans="10:10" x14ac:dyDescent="0.3">
      <c r="J687" s="9"/>
    </row>
    <row r="709" spans="1:10" x14ac:dyDescent="0.3">
      <c r="J709" s="10"/>
    </row>
    <row r="712" spans="1:10" s="3" customFormat="1" x14ac:dyDescent="0.3">
      <c r="A712"/>
      <c r="B712"/>
      <c r="C712"/>
      <c r="D712"/>
      <c r="E712"/>
      <c r="F712"/>
      <c r="G712"/>
      <c r="H712"/>
      <c r="I712"/>
    </row>
    <row r="714" spans="1:10" x14ac:dyDescent="0.3">
      <c r="J714" s="9"/>
    </row>
    <row r="717" spans="1:10" s="3" customFormat="1" x14ac:dyDescent="0.3">
      <c r="A717"/>
      <c r="B717"/>
      <c r="C717"/>
      <c r="D717"/>
      <c r="E717"/>
      <c r="F717"/>
      <c r="G717"/>
      <c r="H717"/>
      <c r="I717"/>
    </row>
    <row r="726" spans="1:10" x14ac:dyDescent="0.3">
      <c r="J726" s="9"/>
    </row>
    <row r="731" spans="1:10" s="3" customFormat="1" x14ac:dyDescent="0.3">
      <c r="A731"/>
      <c r="B731"/>
      <c r="C731"/>
      <c r="D731"/>
      <c r="E731"/>
      <c r="F731"/>
      <c r="G731"/>
      <c r="H731"/>
      <c r="I731"/>
    </row>
    <row r="755" spans="1:10" x14ac:dyDescent="0.3">
      <c r="J755" s="9"/>
    </row>
    <row r="758" spans="1:10" s="3" customFormat="1" x14ac:dyDescent="0.3">
      <c r="A758"/>
      <c r="B758"/>
      <c r="C758"/>
      <c r="D758"/>
      <c r="E758"/>
      <c r="F758"/>
      <c r="G758"/>
      <c r="H758"/>
      <c r="I758"/>
    </row>
    <row r="799" spans="1:9" s="3" customFormat="1" x14ac:dyDescent="0.3">
      <c r="A799"/>
      <c r="B799"/>
      <c r="C799"/>
      <c r="D799"/>
      <c r="E799"/>
      <c r="F799"/>
      <c r="G799"/>
      <c r="H799"/>
      <c r="I799"/>
    </row>
    <row r="802" spans="1:10" x14ac:dyDescent="0.3">
      <c r="J802" s="9"/>
    </row>
    <row r="805" spans="1:10" s="3" customFormat="1" x14ac:dyDescent="0.3">
      <c r="A805"/>
      <c r="B805"/>
      <c r="C805"/>
      <c r="D805"/>
      <c r="E805"/>
      <c r="F805"/>
      <c r="G805"/>
      <c r="H805"/>
      <c r="I805"/>
    </row>
    <row r="808" spans="1:10" x14ac:dyDescent="0.3">
      <c r="J808" s="9"/>
    </row>
    <row r="811" spans="1:10" s="3" customFormat="1" x14ac:dyDescent="0.3">
      <c r="A811"/>
      <c r="B811"/>
      <c r="C811"/>
      <c r="D811"/>
      <c r="E811"/>
      <c r="F811"/>
      <c r="G811"/>
      <c r="H811"/>
      <c r="I811"/>
    </row>
    <row r="814" spans="1:10" x14ac:dyDescent="0.3">
      <c r="J814" s="9"/>
    </row>
    <row r="817" spans="1:10" s="3" customFormat="1" x14ac:dyDescent="0.3">
      <c r="A817"/>
      <c r="B817"/>
      <c r="C817"/>
      <c r="D817"/>
      <c r="E817"/>
      <c r="F817"/>
      <c r="G817"/>
      <c r="H817"/>
      <c r="I817"/>
    </row>
    <row r="820" spans="1:10" x14ac:dyDescent="0.3">
      <c r="J820" s="9"/>
    </row>
    <row r="823" spans="1:10" s="3" customFormat="1" x14ac:dyDescent="0.3">
      <c r="A823"/>
      <c r="B823"/>
      <c r="C823"/>
      <c r="D823"/>
      <c r="E823"/>
      <c r="F823"/>
      <c r="G823"/>
      <c r="H823"/>
      <c r="I823"/>
    </row>
    <row r="826" spans="1:10" x14ac:dyDescent="0.3">
      <c r="J826" s="9"/>
    </row>
    <row r="829" spans="1:10" s="3" customFormat="1" x14ac:dyDescent="0.3">
      <c r="A829"/>
      <c r="B829"/>
      <c r="C829"/>
      <c r="D829"/>
      <c r="E829"/>
      <c r="F829"/>
      <c r="G829"/>
      <c r="H829"/>
      <c r="I829"/>
    </row>
    <row r="832" spans="1:10" x14ac:dyDescent="0.3">
      <c r="J832" s="9"/>
    </row>
    <row r="835" spans="1:10" s="3" customFormat="1" x14ac:dyDescent="0.3">
      <c r="A835"/>
      <c r="B835"/>
      <c r="C835"/>
      <c r="D835"/>
      <c r="E835"/>
      <c r="F835"/>
      <c r="G835"/>
      <c r="H835"/>
      <c r="I835"/>
    </row>
    <row r="838" spans="1:10" x14ac:dyDescent="0.3">
      <c r="J838" s="9"/>
    </row>
    <row r="841" spans="1:10" s="3" customFormat="1" x14ac:dyDescent="0.3">
      <c r="A841"/>
      <c r="B841"/>
      <c r="C841"/>
      <c r="D841"/>
      <c r="E841"/>
      <c r="F841"/>
      <c r="G841"/>
      <c r="H841"/>
      <c r="I841"/>
    </row>
    <row r="844" spans="1:10" x14ac:dyDescent="0.3">
      <c r="J844" s="9"/>
    </row>
    <row r="847" spans="1:10" s="3" customFormat="1" x14ac:dyDescent="0.3">
      <c r="A847"/>
      <c r="B847"/>
      <c r="C847"/>
      <c r="D847"/>
      <c r="E847"/>
      <c r="F847"/>
      <c r="G847"/>
      <c r="H847"/>
      <c r="I847"/>
    </row>
    <row r="850" spans="1:10" x14ac:dyDescent="0.3">
      <c r="J850" s="9"/>
    </row>
    <row r="853" spans="1:10" s="3" customFormat="1" x14ac:dyDescent="0.3">
      <c r="A853"/>
      <c r="B853"/>
      <c r="C853"/>
      <c r="D853"/>
      <c r="E853"/>
      <c r="F853"/>
      <c r="G853"/>
      <c r="H853"/>
      <c r="I853"/>
    </row>
    <row r="856" spans="1:10" x14ac:dyDescent="0.3">
      <c r="J856" s="9"/>
    </row>
    <row r="859" spans="1:10" s="3" customFormat="1" x14ac:dyDescent="0.3">
      <c r="A859"/>
      <c r="B859"/>
      <c r="C859"/>
      <c r="D859"/>
      <c r="E859"/>
      <c r="F859"/>
      <c r="G859"/>
      <c r="H859"/>
      <c r="I859"/>
    </row>
    <row r="862" spans="1:10" x14ac:dyDescent="0.3">
      <c r="J862" s="9"/>
    </row>
    <row r="865" spans="1:10" s="3" customFormat="1" x14ac:dyDescent="0.3">
      <c r="A865"/>
      <c r="B865"/>
      <c r="C865"/>
      <c r="D865"/>
      <c r="E865"/>
      <c r="F865"/>
      <c r="G865"/>
      <c r="H865"/>
      <c r="I865"/>
    </row>
    <row r="868" spans="1:10" x14ac:dyDescent="0.3">
      <c r="J868" s="9"/>
    </row>
    <row r="871" spans="1:10" s="3" customFormat="1" x14ac:dyDescent="0.3">
      <c r="A871"/>
      <c r="B871"/>
      <c r="C871"/>
      <c r="D871"/>
      <c r="E871"/>
      <c r="F871"/>
      <c r="G871"/>
      <c r="H871"/>
      <c r="I871"/>
    </row>
    <row r="874" spans="1:10" x14ac:dyDescent="0.3">
      <c r="J874" s="9"/>
    </row>
    <row r="877" spans="1:10" s="3" customFormat="1" x14ac:dyDescent="0.3">
      <c r="A877"/>
      <c r="B877"/>
      <c r="C877"/>
      <c r="D877"/>
      <c r="E877"/>
      <c r="F877"/>
      <c r="G877"/>
      <c r="H877"/>
      <c r="I877"/>
    </row>
    <row r="880" spans="1:10" x14ac:dyDescent="0.3">
      <c r="J880" s="9"/>
    </row>
    <row r="883" spans="1:10" s="3" customFormat="1" x14ac:dyDescent="0.3">
      <c r="A883"/>
      <c r="B883"/>
      <c r="C883"/>
      <c r="D883"/>
      <c r="E883"/>
      <c r="F883"/>
      <c r="G883"/>
      <c r="H883"/>
      <c r="I883"/>
    </row>
    <row r="886" spans="1:10" x14ac:dyDescent="0.3">
      <c r="J886" s="9"/>
    </row>
    <row r="892" spans="1:10" x14ac:dyDescent="0.3">
      <c r="J892" s="9"/>
    </row>
    <row r="895" spans="1:10" x14ac:dyDescent="0.3">
      <c r="J895" s="3"/>
    </row>
    <row r="898" spans="10:10" x14ac:dyDescent="0.3">
      <c r="J898" s="9"/>
    </row>
    <row r="901" spans="10:10" x14ac:dyDescent="0.3">
      <c r="J901" s="3"/>
    </row>
    <row r="904" spans="10:10" x14ac:dyDescent="0.3">
      <c r="J904" s="9"/>
    </row>
    <row r="910" spans="10:10" x14ac:dyDescent="0.3">
      <c r="J910" s="9"/>
    </row>
    <row r="916" spans="10:10" x14ac:dyDescent="0.3">
      <c r="J916" s="9"/>
    </row>
    <row r="922" spans="10:10" x14ac:dyDescent="0.3">
      <c r="J922" s="9"/>
    </row>
    <row r="928" spans="10:10" x14ac:dyDescent="0.3">
      <c r="J928" s="9"/>
    </row>
    <row r="934" spans="10:10" x14ac:dyDescent="0.3">
      <c r="J934" s="9"/>
    </row>
    <row r="937" spans="10:10" x14ac:dyDescent="0.3">
      <c r="J937" s="3"/>
    </row>
    <row r="940" spans="10:10" x14ac:dyDescent="0.3">
      <c r="J940" s="9"/>
    </row>
    <row r="946" spans="10:10" x14ac:dyDescent="0.3">
      <c r="J946" s="9"/>
    </row>
    <row r="952" spans="10:10" x14ac:dyDescent="0.3">
      <c r="J952" s="9"/>
    </row>
    <row r="958" spans="10:10" x14ac:dyDescent="0.3">
      <c r="J958" s="9"/>
    </row>
    <row r="964" spans="10:10" x14ac:dyDescent="0.3">
      <c r="J964" s="9"/>
    </row>
    <row r="970" spans="10:10" x14ac:dyDescent="0.3">
      <c r="J970" s="9"/>
    </row>
    <row r="976" spans="10:10" x14ac:dyDescent="0.3">
      <c r="J976" s="9"/>
    </row>
    <row r="981" spans="10:10" x14ac:dyDescent="0.3">
      <c r="J981" s="9"/>
    </row>
    <row r="987" spans="10:10" x14ac:dyDescent="0.3">
      <c r="J987" s="9"/>
    </row>
    <row r="993" spans="10:10" x14ac:dyDescent="0.3">
      <c r="J993" s="9"/>
    </row>
    <row r="999" spans="10:10" x14ac:dyDescent="0.3">
      <c r="J999" s="9"/>
    </row>
    <row r="1005" spans="10:10" x14ac:dyDescent="0.3">
      <c r="J1005" s="9"/>
    </row>
    <row r="1011" spans="10:10" x14ac:dyDescent="0.3">
      <c r="J1011" s="9"/>
    </row>
    <row r="1017" spans="10:10" x14ac:dyDescent="0.3">
      <c r="J1017" s="9"/>
    </row>
    <row r="1023" spans="10:10" x14ac:dyDescent="0.3">
      <c r="J1023" s="9"/>
    </row>
  </sheetData>
  <mergeCells count="2">
    <mergeCell ref="A2:F2"/>
    <mergeCell ref="A1:I1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39.6640625" bestFit="1" customWidth="1"/>
    <col min="2" max="2" width="60.6640625" customWidth="1"/>
  </cols>
  <sheetData>
    <row r="1" spans="1:2" ht="18" x14ac:dyDescent="0.35">
      <c r="A1" s="11" t="s">
        <v>149</v>
      </c>
      <c r="B1" s="12"/>
    </row>
    <row r="2" spans="1:2" x14ac:dyDescent="0.3">
      <c r="A2" s="13" t="s">
        <v>150</v>
      </c>
      <c r="B2" s="14"/>
    </row>
    <row r="3" spans="1:2" x14ac:dyDescent="0.3">
      <c r="A3" s="13" t="s">
        <v>151</v>
      </c>
      <c r="B3" s="14"/>
    </row>
    <row r="4" spans="1:2" x14ac:dyDescent="0.3">
      <c r="A4" s="13" t="s">
        <v>152</v>
      </c>
      <c r="B4" s="14"/>
    </row>
    <row r="5" spans="1:2" x14ac:dyDescent="0.3">
      <c r="A5" s="13" t="s">
        <v>153</v>
      </c>
      <c r="B5" s="14"/>
    </row>
    <row r="6" spans="1:2" x14ac:dyDescent="0.3">
      <c r="A6" s="13" t="s">
        <v>154</v>
      </c>
      <c r="B6" s="14"/>
    </row>
    <row r="7" spans="1:2" x14ac:dyDescent="0.3">
      <c r="A7" s="13" t="s">
        <v>155</v>
      </c>
      <c r="B7" s="14"/>
    </row>
    <row r="8" spans="1:2" x14ac:dyDescent="0.3">
      <c r="A8" s="13" t="s">
        <v>156</v>
      </c>
      <c r="B8" s="14"/>
    </row>
    <row r="9" spans="1:2" x14ac:dyDescent="0.3">
      <c r="A9" s="13" t="s">
        <v>157</v>
      </c>
      <c r="B9" s="14"/>
    </row>
    <row r="10" spans="1:2" x14ac:dyDescent="0.3">
      <c r="A10" s="13" t="s">
        <v>158</v>
      </c>
      <c r="B10" s="14"/>
    </row>
    <row r="11" spans="1:2" x14ac:dyDescent="0.3">
      <c r="A11" s="13" t="s">
        <v>159</v>
      </c>
      <c r="B11" s="14"/>
    </row>
    <row r="12" spans="1:2" x14ac:dyDescent="0.3">
      <c r="A12" s="13" t="s">
        <v>160</v>
      </c>
      <c r="B12" s="14"/>
    </row>
    <row r="13" spans="1:2" x14ac:dyDescent="0.3">
      <c r="A13" s="13" t="s">
        <v>161</v>
      </c>
      <c r="B13" s="14"/>
    </row>
    <row r="14" spans="1:2" x14ac:dyDescent="0.3">
      <c r="A14" s="13" t="s">
        <v>162</v>
      </c>
      <c r="B1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1"/>
  <sheetViews>
    <sheetView tabSelected="1" topLeftCell="A30" zoomScale="85" zoomScaleNormal="85" workbookViewId="0">
      <selection activeCell="D70" sqref="D70"/>
    </sheetView>
  </sheetViews>
  <sheetFormatPr defaultColWidth="9.109375" defaultRowHeight="14.4" x14ac:dyDescent="0.3"/>
  <cols>
    <col min="1" max="1" width="12.6640625" bestFit="1" customWidth="1"/>
    <col min="2" max="2" width="75.33203125" customWidth="1"/>
    <col min="3" max="3" width="13.44140625" bestFit="1" customWidth="1"/>
    <col min="4" max="4" width="14.5546875" bestFit="1" customWidth="1"/>
    <col min="5" max="5" width="13.5546875" customWidth="1"/>
    <col min="6" max="6" width="16.5546875" bestFit="1" customWidth="1"/>
    <col min="7" max="7" width="15.6640625" customWidth="1"/>
    <col min="8" max="8" width="17.6640625" customWidth="1"/>
    <col min="9" max="9" width="19.6640625" customWidth="1"/>
    <col min="10" max="10" width="16.44140625" style="4" bestFit="1" customWidth="1"/>
    <col min="11" max="11" width="13.5546875" style="4" bestFit="1" customWidth="1"/>
    <col min="12" max="16384" width="9.109375" style="4"/>
  </cols>
  <sheetData>
    <row r="1" spans="1:18" s="2" customFormat="1" ht="28.2" customHeight="1" x14ac:dyDescent="0.3">
      <c r="A1" s="24" t="s">
        <v>4</v>
      </c>
      <c r="B1" s="25" t="s">
        <v>5</v>
      </c>
      <c r="C1" s="25"/>
      <c r="D1" s="25" t="s">
        <v>6</v>
      </c>
      <c r="E1" s="25" t="s">
        <v>7</v>
      </c>
      <c r="F1" s="26" t="s">
        <v>8</v>
      </c>
      <c r="G1" s="26" t="s">
        <v>9</v>
      </c>
      <c r="H1" s="26" t="s">
        <v>10</v>
      </c>
      <c r="I1" s="27" t="s">
        <v>11</v>
      </c>
      <c r="J1" s="1"/>
      <c r="K1" s="1"/>
      <c r="L1" s="1"/>
      <c r="M1" s="1"/>
      <c r="N1" s="1"/>
      <c r="O1" s="1"/>
      <c r="P1" s="21"/>
      <c r="Q1" s="1"/>
      <c r="R1" s="1"/>
    </row>
    <row r="2" spans="1:18" x14ac:dyDescent="0.3">
      <c r="A2" s="16" t="s">
        <v>12</v>
      </c>
      <c r="B2" s="28" t="s">
        <v>13</v>
      </c>
      <c r="C2" s="28" t="s">
        <v>14</v>
      </c>
      <c r="D2" s="29" t="s">
        <v>15</v>
      </c>
      <c r="E2" s="28"/>
      <c r="F2" s="18">
        <v>2</v>
      </c>
      <c r="G2" s="19"/>
      <c r="H2" s="20">
        <f t="shared" ref="H2" si="0">G2*F2</f>
        <v>0</v>
      </c>
      <c r="I2" s="23"/>
    </row>
    <row r="3" spans="1:18" x14ac:dyDescent="0.3">
      <c r="A3" s="16" t="s">
        <v>16</v>
      </c>
      <c r="B3" s="28" t="s">
        <v>13</v>
      </c>
      <c r="C3" s="28" t="s">
        <v>17</v>
      </c>
      <c r="D3" s="29" t="s">
        <v>15</v>
      </c>
      <c r="E3" s="28"/>
      <c r="F3" s="18">
        <v>3</v>
      </c>
      <c r="G3" s="19"/>
      <c r="H3" s="20">
        <f t="shared" ref="H3:H25" si="1">G3*F3</f>
        <v>0</v>
      </c>
      <c r="I3" s="23"/>
    </row>
    <row r="4" spans="1:18" x14ac:dyDescent="0.3">
      <c r="A4" s="16" t="s">
        <v>18</v>
      </c>
      <c r="B4" s="28" t="s">
        <v>13</v>
      </c>
      <c r="C4" s="28" t="s">
        <v>14</v>
      </c>
      <c r="D4" s="29" t="s">
        <v>15</v>
      </c>
      <c r="E4" s="28" t="s">
        <v>19</v>
      </c>
      <c r="F4" s="18">
        <v>2</v>
      </c>
      <c r="G4" s="19"/>
      <c r="H4" s="20">
        <f t="shared" si="1"/>
        <v>0</v>
      </c>
      <c r="I4" s="23"/>
    </row>
    <row r="5" spans="1:18" x14ac:dyDescent="0.3">
      <c r="A5" s="16" t="s">
        <v>20</v>
      </c>
      <c r="B5" s="28" t="s">
        <v>21</v>
      </c>
      <c r="C5" s="28" t="s">
        <v>14</v>
      </c>
      <c r="D5" s="28" t="s">
        <v>22</v>
      </c>
      <c r="E5" s="28"/>
      <c r="F5" s="18">
        <v>2</v>
      </c>
      <c r="G5" s="19"/>
      <c r="H5" s="20">
        <f t="shared" si="1"/>
        <v>0</v>
      </c>
      <c r="I5" s="23"/>
    </row>
    <row r="6" spans="1:18" x14ac:dyDescent="0.3">
      <c r="A6" s="16" t="s">
        <v>23</v>
      </c>
      <c r="B6" s="28" t="s">
        <v>21</v>
      </c>
      <c r="C6" s="28" t="s">
        <v>17</v>
      </c>
      <c r="D6" s="28" t="s">
        <v>22</v>
      </c>
      <c r="E6" s="17"/>
      <c r="F6" s="18">
        <v>3</v>
      </c>
      <c r="G6" s="19"/>
      <c r="H6" s="20">
        <f t="shared" si="1"/>
        <v>0</v>
      </c>
      <c r="I6" s="23"/>
    </row>
    <row r="7" spans="1:18" x14ac:dyDescent="0.3">
      <c r="A7" s="16" t="s">
        <v>24</v>
      </c>
      <c r="B7" s="28" t="s">
        <v>21</v>
      </c>
      <c r="C7" s="28" t="s">
        <v>14</v>
      </c>
      <c r="D7" s="28" t="s">
        <v>22</v>
      </c>
      <c r="E7" s="28" t="s">
        <v>19</v>
      </c>
      <c r="F7" s="18">
        <v>2</v>
      </c>
      <c r="G7" s="19"/>
      <c r="H7" s="20">
        <f t="shared" si="1"/>
        <v>0</v>
      </c>
      <c r="I7" s="23"/>
    </row>
    <row r="8" spans="1:18" x14ac:dyDescent="0.3">
      <c r="A8" s="16" t="s">
        <v>25</v>
      </c>
      <c r="B8" s="17" t="s">
        <v>26</v>
      </c>
      <c r="C8" s="28" t="s">
        <v>14</v>
      </c>
      <c r="D8" s="17" t="s">
        <v>27</v>
      </c>
      <c r="E8" s="17"/>
      <c r="F8" s="18">
        <v>4</v>
      </c>
      <c r="G8" s="19"/>
      <c r="H8" s="20">
        <f t="shared" si="1"/>
        <v>0</v>
      </c>
      <c r="I8" s="23"/>
    </row>
    <row r="9" spans="1:18" x14ac:dyDescent="0.3">
      <c r="A9" s="16" t="s">
        <v>28</v>
      </c>
      <c r="B9" s="17" t="s">
        <v>26</v>
      </c>
      <c r="C9" s="28" t="s">
        <v>17</v>
      </c>
      <c r="D9" s="17" t="s">
        <v>27</v>
      </c>
      <c r="E9" s="17"/>
      <c r="F9" s="18">
        <v>2</v>
      </c>
      <c r="G9" s="19"/>
      <c r="H9" s="20">
        <f t="shared" si="1"/>
        <v>0</v>
      </c>
      <c r="I9" s="23"/>
    </row>
    <row r="10" spans="1:18" x14ac:dyDescent="0.3">
      <c r="A10" s="16" t="s">
        <v>29</v>
      </c>
      <c r="B10" s="17" t="s">
        <v>26</v>
      </c>
      <c r="C10" s="28" t="s">
        <v>14</v>
      </c>
      <c r="D10" s="17" t="s">
        <v>27</v>
      </c>
      <c r="E10" s="28" t="s">
        <v>19</v>
      </c>
      <c r="F10" s="18">
        <v>4</v>
      </c>
      <c r="G10" s="19"/>
      <c r="H10" s="20">
        <f t="shared" si="1"/>
        <v>0</v>
      </c>
      <c r="I10" s="23"/>
    </row>
    <row r="11" spans="1:18" x14ac:dyDescent="0.3">
      <c r="A11" s="16" t="s">
        <v>30</v>
      </c>
      <c r="B11" s="17" t="s">
        <v>31</v>
      </c>
      <c r="C11" s="28" t="s">
        <v>14</v>
      </c>
      <c r="D11" s="17" t="s">
        <v>32</v>
      </c>
      <c r="E11" s="17"/>
      <c r="F11" s="18">
        <v>2</v>
      </c>
      <c r="G11" s="19"/>
      <c r="H11" s="20">
        <f t="shared" si="1"/>
        <v>0</v>
      </c>
      <c r="I11" s="23"/>
    </row>
    <row r="12" spans="1:18" x14ac:dyDescent="0.3">
      <c r="A12" s="16" t="s">
        <v>33</v>
      </c>
      <c r="B12" s="17" t="s">
        <v>31</v>
      </c>
      <c r="C12" s="28" t="s">
        <v>17</v>
      </c>
      <c r="D12" s="17" t="s">
        <v>32</v>
      </c>
      <c r="E12" s="17"/>
      <c r="F12" s="18">
        <v>2</v>
      </c>
      <c r="G12" s="19"/>
      <c r="H12" s="20">
        <f t="shared" si="1"/>
        <v>0</v>
      </c>
      <c r="I12" s="23"/>
    </row>
    <row r="13" spans="1:18" x14ac:dyDescent="0.3">
      <c r="A13" s="16" t="s">
        <v>34</v>
      </c>
      <c r="B13" s="17" t="s">
        <v>31</v>
      </c>
      <c r="C13" s="28" t="s">
        <v>14</v>
      </c>
      <c r="D13" s="17" t="s">
        <v>32</v>
      </c>
      <c r="E13" s="28" t="s">
        <v>19</v>
      </c>
      <c r="F13" s="18">
        <v>2</v>
      </c>
      <c r="G13" s="19"/>
      <c r="H13" s="20">
        <f t="shared" si="1"/>
        <v>0</v>
      </c>
      <c r="I13" s="23"/>
    </row>
    <row r="14" spans="1:18" x14ac:dyDescent="0.3">
      <c r="A14" s="16" t="s">
        <v>35</v>
      </c>
      <c r="B14" s="17" t="s">
        <v>36</v>
      </c>
      <c r="C14" s="28" t="s">
        <v>14</v>
      </c>
      <c r="D14" s="17" t="s">
        <v>37</v>
      </c>
      <c r="E14" s="5"/>
      <c r="F14" s="18">
        <v>2</v>
      </c>
      <c r="G14" s="19"/>
      <c r="H14" s="20">
        <f t="shared" si="1"/>
        <v>0</v>
      </c>
      <c r="I14" s="23"/>
    </row>
    <row r="15" spans="1:18" x14ac:dyDescent="0.3">
      <c r="A15" s="16" t="s">
        <v>38</v>
      </c>
      <c r="B15" s="17" t="s">
        <v>36</v>
      </c>
      <c r="C15" s="5" t="s">
        <v>17</v>
      </c>
      <c r="D15" s="17" t="s">
        <v>37</v>
      </c>
      <c r="E15" s="17"/>
      <c r="F15" s="18">
        <v>2</v>
      </c>
      <c r="G15" s="19"/>
      <c r="H15" s="20">
        <f t="shared" si="1"/>
        <v>0</v>
      </c>
      <c r="I15" s="23"/>
    </row>
    <row r="16" spans="1:18" x14ac:dyDescent="0.3">
      <c r="A16" s="16" t="s">
        <v>39</v>
      </c>
      <c r="B16" s="17" t="s">
        <v>36</v>
      </c>
      <c r="C16" s="28" t="s">
        <v>14</v>
      </c>
      <c r="D16" s="17" t="s">
        <v>37</v>
      </c>
      <c r="E16" s="28" t="s">
        <v>19</v>
      </c>
      <c r="F16" s="18">
        <v>2</v>
      </c>
      <c r="G16" s="19"/>
      <c r="H16" s="20">
        <f t="shared" si="1"/>
        <v>0</v>
      </c>
      <c r="I16" s="23"/>
    </row>
    <row r="17" spans="1:19" x14ac:dyDescent="0.3">
      <c r="A17" s="16" t="s">
        <v>40</v>
      </c>
      <c r="B17" s="17" t="s">
        <v>41</v>
      </c>
      <c r="C17" s="28" t="s">
        <v>14</v>
      </c>
      <c r="D17" s="17" t="s">
        <v>42</v>
      </c>
      <c r="E17" s="17"/>
      <c r="F17" s="18">
        <v>2</v>
      </c>
      <c r="G17" s="19"/>
      <c r="H17" s="20">
        <f t="shared" si="1"/>
        <v>0</v>
      </c>
      <c r="I17" s="23"/>
    </row>
    <row r="18" spans="1:19" x14ac:dyDescent="0.3">
      <c r="A18" s="16" t="s">
        <v>43</v>
      </c>
      <c r="B18" s="17" t="s">
        <v>41</v>
      </c>
      <c r="C18" s="28" t="s">
        <v>17</v>
      </c>
      <c r="D18" s="17" t="s">
        <v>42</v>
      </c>
      <c r="E18" s="17"/>
      <c r="F18" s="18">
        <v>2</v>
      </c>
      <c r="G18" s="19"/>
      <c r="H18" s="20">
        <f t="shared" si="1"/>
        <v>0</v>
      </c>
      <c r="I18" s="23"/>
    </row>
    <row r="19" spans="1:19" x14ac:dyDescent="0.3">
      <c r="A19" s="16" t="s">
        <v>44</v>
      </c>
      <c r="B19" s="17" t="s">
        <v>41</v>
      </c>
      <c r="C19" s="28" t="s">
        <v>14</v>
      </c>
      <c r="D19" s="17" t="s">
        <v>42</v>
      </c>
      <c r="E19" s="28" t="s">
        <v>19</v>
      </c>
      <c r="F19" s="18">
        <v>2</v>
      </c>
      <c r="G19" s="19"/>
      <c r="H19" s="20">
        <f t="shared" si="1"/>
        <v>0</v>
      </c>
      <c r="I19" s="23"/>
    </row>
    <row r="20" spans="1:19" x14ac:dyDescent="0.3">
      <c r="A20" s="16" t="s">
        <v>45</v>
      </c>
      <c r="B20" s="17" t="s">
        <v>46</v>
      </c>
      <c r="C20" s="28" t="s">
        <v>14</v>
      </c>
      <c r="D20" s="17" t="s">
        <v>47</v>
      </c>
      <c r="E20" s="17"/>
      <c r="F20" s="18">
        <v>2</v>
      </c>
      <c r="G20" s="19"/>
      <c r="H20" s="20">
        <f t="shared" si="1"/>
        <v>0</v>
      </c>
      <c r="I20" s="23"/>
    </row>
    <row r="21" spans="1:19" x14ac:dyDescent="0.3">
      <c r="A21" s="16" t="s">
        <v>48</v>
      </c>
      <c r="B21" s="17" t="s">
        <v>46</v>
      </c>
      <c r="C21" s="28" t="s">
        <v>17</v>
      </c>
      <c r="D21" s="17" t="s">
        <v>47</v>
      </c>
      <c r="E21" s="17"/>
      <c r="F21" s="18">
        <v>2</v>
      </c>
      <c r="G21" s="19"/>
      <c r="H21" s="20">
        <f t="shared" si="1"/>
        <v>0</v>
      </c>
      <c r="I21" s="23"/>
    </row>
    <row r="22" spans="1:19" x14ac:dyDescent="0.3">
      <c r="A22" s="16" t="s">
        <v>49</v>
      </c>
      <c r="B22" s="17" t="s">
        <v>46</v>
      </c>
      <c r="C22" s="28" t="s">
        <v>14</v>
      </c>
      <c r="D22" s="17" t="s">
        <v>47</v>
      </c>
      <c r="E22" s="28" t="s">
        <v>19</v>
      </c>
      <c r="F22" s="18">
        <v>2</v>
      </c>
      <c r="G22" s="19"/>
      <c r="H22" s="20">
        <f t="shared" si="1"/>
        <v>0</v>
      </c>
      <c r="I22" s="23"/>
    </row>
    <row r="23" spans="1:19" x14ac:dyDescent="0.3">
      <c r="A23" s="16" t="s">
        <v>50</v>
      </c>
      <c r="B23" s="17" t="s">
        <v>51</v>
      </c>
      <c r="C23" s="28" t="s">
        <v>14</v>
      </c>
      <c r="D23" s="17" t="s">
        <v>52</v>
      </c>
      <c r="E23" s="17"/>
      <c r="F23" s="18">
        <v>2</v>
      </c>
      <c r="G23" s="19"/>
      <c r="H23" s="20">
        <f t="shared" si="1"/>
        <v>0</v>
      </c>
      <c r="I23" s="23"/>
    </row>
    <row r="24" spans="1:19" x14ac:dyDescent="0.3">
      <c r="A24" s="16" t="s">
        <v>53</v>
      </c>
      <c r="B24" s="17" t="s">
        <v>51</v>
      </c>
      <c r="C24" s="28" t="s">
        <v>17</v>
      </c>
      <c r="D24" s="17" t="s">
        <v>52</v>
      </c>
      <c r="E24" s="17"/>
      <c r="F24" s="18">
        <v>2</v>
      </c>
      <c r="G24" s="19"/>
      <c r="H24" s="20">
        <f t="shared" si="1"/>
        <v>0</v>
      </c>
      <c r="I24" s="23"/>
    </row>
    <row r="25" spans="1:19" x14ac:dyDescent="0.3">
      <c r="A25" s="16" t="s">
        <v>54</v>
      </c>
      <c r="B25" s="17" t="s">
        <v>51</v>
      </c>
      <c r="C25" s="28" t="s">
        <v>14</v>
      </c>
      <c r="D25" s="17" t="s">
        <v>52</v>
      </c>
      <c r="E25" s="28" t="s">
        <v>19</v>
      </c>
      <c r="F25" s="18">
        <v>2</v>
      </c>
      <c r="G25" s="19"/>
      <c r="H25" s="20">
        <f t="shared" si="1"/>
        <v>0</v>
      </c>
      <c r="I25" s="23"/>
    </row>
    <row r="26" spans="1:19" x14ac:dyDescent="0.3">
      <c r="A26" s="16" t="s">
        <v>55</v>
      </c>
      <c r="B26" s="17" t="s">
        <v>56</v>
      </c>
      <c r="C26" s="28" t="s">
        <v>14</v>
      </c>
      <c r="D26" s="17" t="s">
        <v>57</v>
      </c>
      <c r="E26" s="17"/>
      <c r="F26" s="18">
        <v>2</v>
      </c>
      <c r="G26" s="19"/>
      <c r="H26" s="20">
        <f t="shared" ref="H26:H28" si="2">G26*F26</f>
        <v>0</v>
      </c>
      <c r="I26" s="23"/>
    </row>
    <row r="27" spans="1:19" x14ac:dyDescent="0.3">
      <c r="A27" s="16" t="s">
        <v>58</v>
      </c>
      <c r="B27" s="17" t="s">
        <v>56</v>
      </c>
      <c r="C27" s="28" t="s">
        <v>17</v>
      </c>
      <c r="D27" s="17" t="s">
        <v>57</v>
      </c>
      <c r="E27" s="17"/>
      <c r="F27" s="18">
        <v>1</v>
      </c>
      <c r="G27" s="19"/>
      <c r="H27" s="20">
        <f t="shared" si="2"/>
        <v>0</v>
      </c>
      <c r="I27" s="23"/>
    </row>
    <row r="28" spans="1:19" x14ac:dyDescent="0.3">
      <c r="A28" s="16" t="s">
        <v>59</v>
      </c>
      <c r="B28" s="17" t="s">
        <v>56</v>
      </c>
      <c r="C28" s="28" t="s">
        <v>14</v>
      </c>
      <c r="D28" s="17" t="s">
        <v>57</v>
      </c>
      <c r="E28" s="28" t="s">
        <v>19</v>
      </c>
      <c r="F28" s="18">
        <v>2</v>
      </c>
      <c r="G28" s="19"/>
      <c r="H28" s="20">
        <f t="shared" si="2"/>
        <v>0</v>
      </c>
      <c r="I28" s="23"/>
      <c r="K28" s="16"/>
      <c r="L28" s="17"/>
      <c r="M28" s="28"/>
      <c r="N28" s="17"/>
      <c r="O28" s="28"/>
      <c r="P28" s="18"/>
      <c r="Q28" s="19"/>
      <c r="R28" s="20"/>
      <c r="S28" s="23"/>
    </row>
    <row r="29" spans="1:19" x14ac:dyDescent="0.3">
      <c r="A29" s="16" t="s">
        <v>60</v>
      </c>
      <c r="B29" s="17" t="s">
        <v>61</v>
      </c>
      <c r="C29" s="28" t="s">
        <v>14</v>
      </c>
      <c r="D29" s="17" t="s">
        <v>62</v>
      </c>
      <c r="E29" s="17"/>
      <c r="F29" s="18">
        <v>4</v>
      </c>
      <c r="G29" s="19"/>
      <c r="H29" s="20">
        <f t="shared" ref="H29:H67" si="3">G29*F29</f>
        <v>0</v>
      </c>
      <c r="I29" s="23"/>
    </row>
    <row r="30" spans="1:19" x14ac:dyDescent="0.3">
      <c r="A30" s="16" t="s">
        <v>63</v>
      </c>
      <c r="B30" s="17" t="s">
        <v>61</v>
      </c>
      <c r="C30" s="28" t="s">
        <v>17</v>
      </c>
      <c r="D30" s="17" t="s">
        <v>62</v>
      </c>
      <c r="E30" s="17"/>
      <c r="F30" s="18">
        <v>4</v>
      </c>
      <c r="G30" s="19"/>
      <c r="H30" s="20">
        <f t="shared" si="3"/>
        <v>0</v>
      </c>
      <c r="I30" s="23"/>
    </row>
    <row r="31" spans="1:19" s="3" customFormat="1" x14ac:dyDescent="0.3">
      <c r="A31" s="16" t="s">
        <v>64</v>
      </c>
      <c r="B31" s="17" t="s">
        <v>61</v>
      </c>
      <c r="C31" s="28" t="s">
        <v>14</v>
      </c>
      <c r="D31" s="17" t="s">
        <v>62</v>
      </c>
      <c r="E31" s="28" t="s">
        <v>19</v>
      </c>
      <c r="F31" s="18">
        <v>4</v>
      </c>
      <c r="G31" s="19"/>
      <c r="H31" s="20">
        <f t="shared" si="3"/>
        <v>0</v>
      </c>
      <c r="I31" s="23"/>
      <c r="J31" s="6"/>
      <c r="K31" s="7"/>
    </row>
    <row r="32" spans="1:19" s="3" customFormat="1" x14ac:dyDescent="0.3">
      <c r="A32" s="16" t="s">
        <v>65</v>
      </c>
      <c r="B32" s="17" t="s">
        <v>66</v>
      </c>
      <c r="C32" s="28" t="s">
        <v>14</v>
      </c>
      <c r="D32" s="17" t="s">
        <v>67</v>
      </c>
      <c r="E32" s="28"/>
      <c r="F32" s="18">
        <v>2</v>
      </c>
      <c r="G32" s="19"/>
      <c r="H32" s="20">
        <f t="shared" si="3"/>
        <v>0</v>
      </c>
      <c r="I32" s="23"/>
      <c r="J32" s="6"/>
      <c r="K32" s="7"/>
    </row>
    <row r="33" spans="1:19" s="3" customFormat="1" x14ac:dyDescent="0.3">
      <c r="A33" s="16" t="s">
        <v>68</v>
      </c>
      <c r="B33" s="17" t="s">
        <v>66</v>
      </c>
      <c r="C33" s="28" t="s">
        <v>17</v>
      </c>
      <c r="D33" s="17" t="s">
        <v>67</v>
      </c>
      <c r="E33" s="17"/>
      <c r="F33" s="18">
        <v>2</v>
      </c>
      <c r="G33" s="19"/>
      <c r="H33" s="20">
        <f t="shared" si="3"/>
        <v>0</v>
      </c>
      <c r="I33" s="23"/>
      <c r="J33" s="6"/>
      <c r="K33" s="7"/>
    </row>
    <row r="34" spans="1:19" s="3" customFormat="1" x14ac:dyDescent="0.3">
      <c r="A34" s="16" t="s">
        <v>69</v>
      </c>
      <c r="B34" s="17" t="s">
        <v>66</v>
      </c>
      <c r="C34" s="28" t="s">
        <v>14</v>
      </c>
      <c r="D34" s="17" t="s">
        <v>67</v>
      </c>
      <c r="E34" s="17" t="s">
        <v>19</v>
      </c>
      <c r="F34" s="18">
        <v>2</v>
      </c>
      <c r="G34" s="19"/>
      <c r="H34" s="20">
        <f t="shared" si="3"/>
        <v>0</v>
      </c>
      <c r="I34" s="23"/>
      <c r="J34" s="6"/>
      <c r="K34" s="7"/>
    </row>
    <row r="35" spans="1:19" s="3" customFormat="1" x14ac:dyDescent="0.3">
      <c r="A35" s="16" t="s">
        <v>70</v>
      </c>
      <c r="B35" s="17" t="s">
        <v>71</v>
      </c>
      <c r="C35" s="28" t="s">
        <v>14</v>
      </c>
      <c r="D35" s="17" t="s">
        <v>72</v>
      </c>
      <c r="E35" s="28"/>
      <c r="F35" s="18">
        <v>2</v>
      </c>
      <c r="G35" s="19"/>
      <c r="H35" s="20">
        <f t="shared" si="3"/>
        <v>0</v>
      </c>
      <c r="I35" s="23"/>
      <c r="J35" s="6"/>
      <c r="K35" s="7"/>
    </row>
    <row r="36" spans="1:19" s="3" customFormat="1" x14ac:dyDescent="0.3">
      <c r="A36" s="16" t="s">
        <v>73</v>
      </c>
      <c r="B36" s="17" t="s">
        <v>71</v>
      </c>
      <c r="C36" s="28" t="s">
        <v>17</v>
      </c>
      <c r="D36" s="17" t="s">
        <v>72</v>
      </c>
      <c r="E36" s="17"/>
      <c r="F36" s="18">
        <v>2</v>
      </c>
      <c r="G36" s="19"/>
      <c r="H36" s="20">
        <f t="shared" si="3"/>
        <v>0</v>
      </c>
      <c r="I36" s="23"/>
      <c r="J36" s="6"/>
      <c r="K36" s="7"/>
    </row>
    <row r="37" spans="1:19" s="3" customFormat="1" x14ac:dyDescent="0.3">
      <c r="A37" s="16" t="s">
        <v>74</v>
      </c>
      <c r="B37" s="17" t="s">
        <v>71</v>
      </c>
      <c r="C37" s="28" t="s">
        <v>14</v>
      </c>
      <c r="D37" s="17" t="s">
        <v>72</v>
      </c>
      <c r="E37" s="17" t="s">
        <v>19</v>
      </c>
      <c r="F37" s="18">
        <v>2</v>
      </c>
      <c r="G37" s="19"/>
      <c r="H37" s="20">
        <f t="shared" si="3"/>
        <v>0</v>
      </c>
      <c r="I37" s="23"/>
      <c r="J37" s="6"/>
      <c r="K37" s="7"/>
    </row>
    <row r="38" spans="1:19" s="3" customFormat="1" x14ac:dyDescent="0.3">
      <c r="A38" s="16" t="s">
        <v>75</v>
      </c>
      <c r="B38" s="17" t="s">
        <v>76</v>
      </c>
      <c r="C38" s="28" t="s">
        <v>14</v>
      </c>
      <c r="D38" s="17" t="s">
        <v>77</v>
      </c>
      <c r="E38" s="28"/>
      <c r="F38" s="18">
        <v>2</v>
      </c>
      <c r="G38" s="19"/>
      <c r="H38" s="20">
        <f t="shared" si="3"/>
        <v>0</v>
      </c>
      <c r="I38" s="23"/>
      <c r="J38" s="6"/>
      <c r="K38" s="7"/>
    </row>
    <row r="39" spans="1:19" s="3" customFormat="1" x14ac:dyDescent="0.3">
      <c r="A39" s="16" t="s">
        <v>78</v>
      </c>
      <c r="B39" s="17" t="s">
        <v>76</v>
      </c>
      <c r="C39" s="28" t="s">
        <v>17</v>
      </c>
      <c r="D39" s="17" t="s">
        <v>77</v>
      </c>
      <c r="E39" s="28"/>
      <c r="F39" s="18">
        <v>2</v>
      </c>
      <c r="G39" s="19"/>
      <c r="H39" s="20">
        <f t="shared" si="3"/>
        <v>0</v>
      </c>
      <c r="I39" s="23"/>
      <c r="J39" s="6"/>
      <c r="K39" s="7"/>
    </row>
    <row r="40" spans="1:19" s="3" customFormat="1" x14ac:dyDescent="0.3">
      <c r="A40" s="16" t="s">
        <v>79</v>
      </c>
      <c r="B40" s="17" t="s">
        <v>76</v>
      </c>
      <c r="C40" s="28" t="s">
        <v>14</v>
      </c>
      <c r="D40" s="17" t="s">
        <v>77</v>
      </c>
      <c r="E40" s="17" t="s">
        <v>19</v>
      </c>
      <c r="F40" s="18">
        <v>2</v>
      </c>
      <c r="G40" s="19"/>
      <c r="H40" s="20">
        <f t="shared" si="3"/>
        <v>0</v>
      </c>
      <c r="I40" s="23"/>
      <c r="J40" s="6"/>
      <c r="K40" s="7"/>
    </row>
    <row r="41" spans="1:19" s="3" customFormat="1" x14ac:dyDescent="0.3">
      <c r="A41" s="16" t="s">
        <v>80</v>
      </c>
      <c r="B41" s="17" t="s">
        <v>81</v>
      </c>
      <c r="C41" s="28" t="s">
        <v>14</v>
      </c>
      <c r="D41" s="17" t="s">
        <v>82</v>
      </c>
      <c r="E41" s="17"/>
      <c r="F41" s="18">
        <v>2</v>
      </c>
      <c r="G41" s="19"/>
      <c r="H41" s="20">
        <f t="shared" si="3"/>
        <v>0</v>
      </c>
      <c r="I41" s="23"/>
      <c r="J41" s="6"/>
      <c r="K41" s="7"/>
    </row>
    <row r="42" spans="1:19" s="3" customFormat="1" x14ac:dyDescent="0.3">
      <c r="A42" s="16" t="s">
        <v>83</v>
      </c>
      <c r="B42" s="17" t="s">
        <v>81</v>
      </c>
      <c r="C42" s="28" t="s">
        <v>17</v>
      </c>
      <c r="D42" s="17" t="s">
        <v>82</v>
      </c>
      <c r="E42" s="28"/>
      <c r="F42" s="18">
        <v>2</v>
      </c>
      <c r="G42" s="19"/>
      <c r="H42" s="20">
        <f t="shared" si="3"/>
        <v>0</v>
      </c>
      <c r="I42" s="23"/>
      <c r="J42" s="6"/>
      <c r="K42" s="7"/>
    </row>
    <row r="43" spans="1:19" s="3" customFormat="1" x14ac:dyDescent="0.3">
      <c r="A43" s="16" t="s">
        <v>84</v>
      </c>
      <c r="B43" s="17" t="s">
        <v>81</v>
      </c>
      <c r="C43" s="28" t="s">
        <v>14</v>
      </c>
      <c r="D43" s="17" t="s">
        <v>82</v>
      </c>
      <c r="E43" s="17" t="s">
        <v>19</v>
      </c>
      <c r="F43" s="18">
        <v>2</v>
      </c>
      <c r="G43" s="19"/>
      <c r="H43" s="20">
        <f t="shared" si="3"/>
        <v>0</v>
      </c>
      <c r="I43" s="23"/>
      <c r="J43" s="6"/>
      <c r="K43" s="7"/>
    </row>
    <row r="44" spans="1:19" s="3" customFormat="1" x14ac:dyDescent="0.3">
      <c r="A44" s="16" t="s">
        <v>85</v>
      </c>
      <c r="B44" s="17" t="s">
        <v>86</v>
      </c>
      <c r="C44" s="28" t="s">
        <v>14</v>
      </c>
      <c r="D44" s="17" t="s">
        <v>87</v>
      </c>
      <c r="E44" s="17"/>
      <c r="F44" s="18">
        <v>2</v>
      </c>
      <c r="G44" s="19"/>
      <c r="H44" s="20">
        <f t="shared" si="3"/>
        <v>0</v>
      </c>
      <c r="I44" s="23"/>
      <c r="J44" s="6"/>
      <c r="K44" s="16"/>
      <c r="L44" s="17"/>
      <c r="M44" s="28"/>
      <c r="N44" s="17"/>
      <c r="O44" s="28"/>
      <c r="P44" s="18"/>
      <c r="Q44" s="19"/>
      <c r="R44" s="20"/>
      <c r="S44" s="23"/>
    </row>
    <row r="45" spans="1:19" s="3" customFormat="1" x14ac:dyDescent="0.3">
      <c r="A45" s="16" t="s">
        <v>88</v>
      </c>
      <c r="B45" s="17" t="s">
        <v>86</v>
      </c>
      <c r="C45" s="28" t="s">
        <v>17</v>
      </c>
      <c r="D45" s="17" t="s">
        <v>87</v>
      </c>
      <c r="E45" s="28"/>
      <c r="F45" s="18">
        <v>1</v>
      </c>
      <c r="G45" s="19"/>
      <c r="H45" s="20">
        <f t="shared" si="3"/>
        <v>0</v>
      </c>
      <c r="I45" s="23"/>
      <c r="J45" s="6"/>
      <c r="K45" s="7"/>
    </row>
    <row r="46" spans="1:19" s="3" customFormat="1" x14ac:dyDescent="0.3">
      <c r="A46" s="16" t="s">
        <v>89</v>
      </c>
      <c r="B46" s="17" t="s">
        <v>86</v>
      </c>
      <c r="C46" s="28" t="s">
        <v>14</v>
      </c>
      <c r="D46" s="17" t="s">
        <v>87</v>
      </c>
      <c r="E46" s="28" t="s">
        <v>19</v>
      </c>
      <c r="F46" s="18">
        <v>2</v>
      </c>
      <c r="G46" s="19"/>
      <c r="H46" s="20">
        <f t="shared" si="3"/>
        <v>0</v>
      </c>
      <c r="I46" s="23"/>
      <c r="J46" s="6"/>
      <c r="K46" s="7"/>
    </row>
    <row r="47" spans="1:19" s="3" customFormat="1" x14ac:dyDescent="0.3">
      <c r="A47" s="16" t="s">
        <v>90</v>
      </c>
      <c r="B47" s="17" t="s">
        <v>91</v>
      </c>
      <c r="C47" s="28" t="s">
        <v>14</v>
      </c>
      <c r="D47" s="17" t="s">
        <v>92</v>
      </c>
      <c r="E47" s="17"/>
      <c r="F47" s="18">
        <v>2</v>
      </c>
      <c r="G47" s="19"/>
      <c r="H47" s="20">
        <f t="shared" si="3"/>
        <v>0</v>
      </c>
      <c r="I47" s="23"/>
      <c r="J47" s="6"/>
      <c r="K47" s="7"/>
    </row>
    <row r="48" spans="1:19" s="3" customFormat="1" x14ac:dyDescent="0.3">
      <c r="A48" s="16" t="s">
        <v>93</v>
      </c>
      <c r="B48" s="17" t="s">
        <v>91</v>
      </c>
      <c r="C48" s="28" t="s">
        <v>17</v>
      </c>
      <c r="D48" s="17" t="s">
        <v>92</v>
      </c>
      <c r="E48" s="17"/>
      <c r="F48" s="18">
        <v>2</v>
      </c>
      <c r="G48" s="19"/>
      <c r="H48" s="20">
        <f t="shared" si="3"/>
        <v>0</v>
      </c>
      <c r="I48" s="23"/>
      <c r="J48" s="6"/>
      <c r="K48" s="7"/>
    </row>
    <row r="49" spans="1:11" s="3" customFormat="1" x14ac:dyDescent="0.3">
      <c r="A49" s="16" t="s">
        <v>94</v>
      </c>
      <c r="B49" s="17" t="s">
        <v>91</v>
      </c>
      <c r="C49" s="28" t="s">
        <v>14</v>
      </c>
      <c r="D49" s="17" t="s">
        <v>92</v>
      </c>
      <c r="E49" s="28" t="s">
        <v>19</v>
      </c>
      <c r="F49" s="18">
        <v>2</v>
      </c>
      <c r="G49" s="19"/>
      <c r="H49" s="20">
        <f t="shared" si="3"/>
        <v>0</v>
      </c>
      <c r="I49" s="23"/>
      <c r="J49" s="6"/>
      <c r="K49" s="7"/>
    </row>
    <row r="50" spans="1:11" s="3" customFormat="1" x14ac:dyDescent="0.3">
      <c r="A50" s="16" t="s">
        <v>95</v>
      </c>
      <c r="B50" s="17" t="s">
        <v>96</v>
      </c>
      <c r="C50" s="28" t="s">
        <v>14</v>
      </c>
      <c r="D50" s="17" t="s">
        <v>97</v>
      </c>
      <c r="E50" s="17"/>
      <c r="F50" s="18">
        <v>8</v>
      </c>
      <c r="G50" s="19"/>
      <c r="H50" s="20">
        <f t="shared" si="3"/>
        <v>0</v>
      </c>
      <c r="I50" s="23"/>
      <c r="J50" s="6"/>
      <c r="K50" s="7"/>
    </row>
    <row r="51" spans="1:11" s="3" customFormat="1" x14ac:dyDescent="0.3">
      <c r="A51" s="16" t="s">
        <v>98</v>
      </c>
      <c r="B51" s="17" t="s">
        <v>96</v>
      </c>
      <c r="C51" s="28" t="s">
        <v>17</v>
      </c>
      <c r="D51" s="17" t="s">
        <v>97</v>
      </c>
      <c r="E51" s="17"/>
      <c r="F51" s="18">
        <v>6</v>
      </c>
      <c r="G51" s="19"/>
      <c r="H51" s="20">
        <f t="shared" si="3"/>
        <v>0</v>
      </c>
      <c r="I51" s="23"/>
      <c r="J51" s="6"/>
      <c r="K51" s="7"/>
    </row>
    <row r="52" spans="1:11" s="3" customFormat="1" x14ac:dyDescent="0.3">
      <c r="A52" s="16" t="s">
        <v>99</v>
      </c>
      <c r="B52" s="17" t="s">
        <v>96</v>
      </c>
      <c r="C52" s="28" t="s">
        <v>14</v>
      </c>
      <c r="D52" s="17" t="s">
        <v>97</v>
      </c>
      <c r="E52" s="28" t="s">
        <v>19</v>
      </c>
      <c r="F52" s="18">
        <v>8</v>
      </c>
      <c r="G52" s="19"/>
      <c r="H52" s="20">
        <f t="shared" si="3"/>
        <v>0</v>
      </c>
      <c r="I52" s="23"/>
      <c r="J52" s="6"/>
      <c r="K52" s="7"/>
    </row>
    <row r="53" spans="1:11" s="3" customFormat="1" x14ac:dyDescent="0.3">
      <c r="A53" s="16" t="s">
        <v>100</v>
      </c>
      <c r="B53" s="17" t="s">
        <v>101</v>
      </c>
      <c r="C53" s="28" t="s">
        <v>14</v>
      </c>
      <c r="D53" s="17" t="s">
        <v>102</v>
      </c>
      <c r="E53" s="28"/>
      <c r="F53" s="18">
        <v>4</v>
      </c>
      <c r="G53" s="19"/>
      <c r="H53" s="20">
        <f t="shared" si="3"/>
        <v>0</v>
      </c>
      <c r="I53" s="23"/>
      <c r="J53" s="6"/>
      <c r="K53" s="7"/>
    </row>
    <row r="54" spans="1:11" s="3" customFormat="1" x14ac:dyDescent="0.3">
      <c r="A54" s="16" t="s">
        <v>103</v>
      </c>
      <c r="B54" s="17" t="s">
        <v>101</v>
      </c>
      <c r="C54" s="28" t="s">
        <v>17</v>
      </c>
      <c r="D54" s="17" t="s">
        <v>102</v>
      </c>
      <c r="E54" s="17"/>
      <c r="F54" s="18">
        <v>2</v>
      </c>
      <c r="G54" s="19"/>
      <c r="H54" s="20">
        <f t="shared" si="3"/>
        <v>0</v>
      </c>
      <c r="I54" s="23"/>
      <c r="J54" s="6"/>
      <c r="K54" s="7"/>
    </row>
    <row r="55" spans="1:11" s="3" customFormat="1" x14ac:dyDescent="0.3">
      <c r="A55" s="16" t="s">
        <v>104</v>
      </c>
      <c r="B55" s="17" t="s">
        <v>101</v>
      </c>
      <c r="C55" s="28" t="s">
        <v>14</v>
      </c>
      <c r="D55" s="17" t="s">
        <v>102</v>
      </c>
      <c r="E55" s="17" t="s">
        <v>19</v>
      </c>
      <c r="F55" s="18">
        <v>4</v>
      </c>
      <c r="G55" s="19"/>
      <c r="H55" s="20">
        <f t="shared" si="3"/>
        <v>0</v>
      </c>
      <c r="I55" s="23"/>
      <c r="J55" s="6"/>
      <c r="K55" s="7"/>
    </row>
    <row r="56" spans="1:11" s="3" customFormat="1" x14ac:dyDescent="0.3">
      <c r="A56" s="16" t="s">
        <v>105</v>
      </c>
      <c r="B56" s="17" t="s">
        <v>106</v>
      </c>
      <c r="C56" s="28" t="s">
        <v>14</v>
      </c>
      <c r="D56" s="17" t="s">
        <v>107</v>
      </c>
      <c r="E56" s="28"/>
      <c r="F56" s="18">
        <v>2</v>
      </c>
      <c r="G56" s="19"/>
      <c r="H56" s="20">
        <f t="shared" si="3"/>
        <v>0</v>
      </c>
      <c r="I56" s="23"/>
      <c r="J56" s="6"/>
      <c r="K56" s="7"/>
    </row>
    <row r="57" spans="1:11" s="3" customFormat="1" x14ac:dyDescent="0.3">
      <c r="A57" s="16" t="s">
        <v>108</v>
      </c>
      <c r="B57" s="17" t="s">
        <v>106</v>
      </c>
      <c r="C57" s="28" t="s">
        <v>17</v>
      </c>
      <c r="D57" s="17" t="s">
        <v>107</v>
      </c>
      <c r="E57" s="17"/>
      <c r="F57" s="18">
        <v>2</v>
      </c>
      <c r="G57" s="19"/>
      <c r="H57" s="20">
        <f t="shared" si="3"/>
        <v>0</v>
      </c>
      <c r="I57" s="23"/>
      <c r="J57" s="6"/>
      <c r="K57" s="7"/>
    </row>
    <row r="58" spans="1:11" s="3" customFormat="1" x14ac:dyDescent="0.3">
      <c r="A58" s="16" t="s">
        <v>109</v>
      </c>
      <c r="B58" s="17" t="s">
        <v>106</v>
      </c>
      <c r="C58" s="28" t="s">
        <v>14</v>
      </c>
      <c r="D58" s="17" t="s">
        <v>107</v>
      </c>
      <c r="E58" s="17" t="s">
        <v>19</v>
      </c>
      <c r="F58" s="18">
        <v>2</v>
      </c>
      <c r="G58" s="19"/>
      <c r="H58" s="20">
        <f t="shared" si="3"/>
        <v>0</v>
      </c>
      <c r="I58" s="23"/>
      <c r="J58" s="6"/>
      <c r="K58" s="7"/>
    </row>
    <row r="59" spans="1:11" s="3" customFormat="1" x14ac:dyDescent="0.3">
      <c r="A59" s="16" t="s">
        <v>110</v>
      </c>
      <c r="B59" s="17" t="s">
        <v>111</v>
      </c>
      <c r="C59" s="28" t="s">
        <v>14</v>
      </c>
      <c r="D59" s="17" t="s">
        <v>112</v>
      </c>
      <c r="E59" s="28"/>
      <c r="F59" s="18">
        <v>2</v>
      </c>
      <c r="G59" s="19"/>
      <c r="H59" s="20">
        <f t="shared" si="3"/>
        <v>0</v>
      </c>
      <c r="I59" s="23"/>
      <c r="J59" s="6"/>
      <c r="K59" s="7"/>
    </row>
    <row r="60" spans="1:11" s="3" customFormat="1" x14ac:dyDescent="0.3">
      <c r="A60" s="16" t="s">
        <v>113</v>
      </c>
      <c r="B60" s="17" t="s">
        <v>111</v>
      </c>
      <c r="C60" s="28" t="s">
        <v>17</v>
      </c>
      <c r="D60" s="17" t="s">
        <v>112</v>
      </c>
      <c r="E60" s="28"/>
      <c r="F60" s="18">
        <v>2</v>
      </c>
      <c r="G60" s="19"/>
      <c r="H60" s="20">
        <f t="shared" si="3"/>
        <v>0</v>
      </c>
      <c r="I60" s="23"/>
      <c r="J60" s="6"/>
      <c r="K60" s="7"/>
    </row>
    <row r="61" spans="1:11" s="3" customFormat="1" x14ac:dyDescent="0.3">
      <c r="A61" s="16" t="s">
        <v>114</v>
      </c>
      <c r="B61" s="17" t="s">
        <v>111</v>
      </c>
      <c r="C61" s="28" t="s">
        <v>14</v>
      </c>
      <c r="D61" s="17" t="s">
        <v>112</v>
      </c>
      <c r="E61" s="17" t="s">
        <v>19</v>
      </c>
      <c r="F61" s="18">
        <v>2</v>
      </c>
      <c r="G61" s="19"/>
      <c r="H61" s="20">
        <f t="shared" si="3"/>
        <v>0</v>
      </c>
      <c r="I61" s="23"/>
      <c r="J61" s="6"/>
      <c r="K61" s="7"/>
    </row>
    <row r="62" spans="1:11" s="3" customFormat="1" x14ac:dyDescent="0.3">
      <c r="A62" s="16" t="s">
        <v>115</v>
      </c>
      <c r="B62" s="17" t="s">
        <v>116</v>
      </c>
      <c r="C62" s="28" t="s">
        <v>14</v>
      </c>
      <c r="D62" s="17" t="s">
        <v>117</v>
      </c>
      <c r="E62" s="17"/>
      <c r="F62" s="18">
        <v>2</v>
      </c>
      <c r="G62" s="19"/>
      <c r="H62" s="20">
        <f t="shared" si="3"/>
        <v>0</v>
      </c>
      <c r="I62" s="23"/>
      <c r="J62" s="6"/>
      <c r="K62" s="7"/>
    </row>
    <row r="63" spans="1:11" s="3" customFormat="1" x14ac:dyDescent="0.3">
      <c r="A63" s="16" t="s">
        <v>118</v>
      </c>
      <c r="B63" s="17" t="s">
        <v>116</v>
      </c>
      <c r="C63" s="28" t="s">
        <v>17</v>
      </c>
      <c r="D63" s="17" t="s">
        <v>117</v>
      </c>
      <c r="E63" s="28"/>
      <c r="F63" s="18">
        <v>2</v>
      </c>
      <c r="G63" s="19"/>
      <c r="H63" s="20">
        <f t="shared" si="3"/>
        <v>0</v>
      </c>
      <c r="I63" s="23"/>
      <c r="J63" s="6"/>
      <c r="K63" s="7"/>
    </row>
    <row r="64" spans="1:11" s="3" customFormat="1" x14ac:dyDescent="0.3">
      <c r="A64" s="16" t="s">
        <v>119</v>
      </c>
      <c r="B64" s="17" t="s">
        <v>116</v>
      </c>
      <c r="C64" s="28" t="s">
        <v>14</v>
      </c>
      <c r="D64" s="17" t="s">
        <v>117</v>
      </c>
      <c r="E64" s="17" t="s">
        <v>19</v>
      </c>
      <c r="F64" s="18">
        <v>2</v>
      </c>
      <c r="G64" s="19"/>
      <c r="H64" s="20">
        <f t="shared" si="3"/>
        <v>0</v>
      </c>
      <c r="I64" s="23"/>
      <c r="J64" s="6"/>
      <c r="K64" s="7"/>
    </row>
    <row r="65" spans="1:11" s="3" customFormat="1" x14ac:dyDescent="0.3">
      <c r="A65" s="16" t="s">
        <v>120</v>
      </c>
      <c r="B65" s="17" t="s">
        <v>121</v>
      </c>
      <c r="C65" s="28" t="s">
        <v>14</v>
      </c>
      <c r="D65" s="33" t="s">
        <v>122</v>
      </c>
      <c r="E65" s="17"/>
      <c r="F65" s="18">
        <v>2</v>
      </c>
      <c r="G65" s="19"/>
      <c r="H65" s="20">
        <f t="shared" si="3"/>
        <v>0</v>
      </c>
      <c r="I65" s="23"/>
      <c r="J65" s="6"/>
      <c r="K65" s="7"/>
    </row>
    <row r="66" spans="1:11" s="3" customFormat="1" x14ac:dyDescent="0.3">
      <c r="A66" s="16" t="s">
        <v>123</v>
      </c>
      <c r="B66" s="17" t="s">
        <v>121</v>
      </c>
      <c r="C66" s="28" t="s">
        <v>17</v>
      </c>
      <c r="D66" s="33" t="s">
        <v>122</v>
      </c>
      <c r="E66" s="28"/>
      <c r="F66" s="18">
        <v>2</v>
      </c>
      <c r="G66" s="19"/>
      <c r="H66" s="20">
        <f t="shared" si="3"/>
        <v>0</v>
      </c>
      <c r="I66" s="23"/>
      <c r="J66" s="6"/>
      <c r="K66" s="7"/>
    </row>
    <row r="67" spans="1:11" s="3" customFormat="1" x14ac:dyDescent="0.3">
      <c r="A67" s="16" t="s">
        <v>124</v>
      </c>
      <c r="B67" s="17" t="s">
        <v>121</v>
      </c>
      <c r="C67" s="28" t="s">
        <v>14</v>
      </c>
      <c r="D67" s="33" t="s">
        <v>122</v>
      </c>
      <c r="E67" s="28" t="s">
        <v>19</v>
      </c>
      <c r="F67" s="18">
        <v>2</v>
      </c>
      <c r="G67" s="19"/>
      <c r="H67" s="20">
        <f t="shared" si="3"/>
        <v>0</v>
      </c>
      <c r="I67" s="23"/>
      <c r="J67" s="6"/>
      <c r="K67" s="7"/>
    </row>
    <row r="68" spans="1:11" ht="15" thickBot="1" x14ac:dyDescent="0.35">
      <c r="A68" s="16" t="s">
        <v>125</v>
      </c>
      <c r="B68" s="17" t="s">
        <v>126</v>
      </c>
      <c r="C68" s="28" t="s">
        <v>14</v>
      </c>
      <c r="D68" s="17" t="s">
        <v>172</v>
      </c>
      <c r="E68" s="17"/>
      <c r="F68" s="18">
        <v>2</v>
      </c>
      <c r="G68" s="19"/>
      <c r="H68" s="30">
        <f>SUM(H9:H67)</f>
        <v>0</v>
      </c>
      <c r="I68" s="23"/>
    </row>
    <row r="69" spans="1:11" ht="15" thickBot="1" x14ac:dyDescent="0.35">
      <c r="A69" s="16" t="s">
        <v>127</v>
      </c>
      <c r="B69" s="17" t="s">
        <v>126</v>
      </c>
      <c r="C69" s="28" t="s">
        <v>17</v>
      </c>
      <c r="D69" s="17" t="s">
        <v>172</v>
      </c>
      <c r="E69" s="28"/>
      <c r="F69" s="18">
        <v>2</v>
      </c>
      <c r="G69" s="19"/>
      <c r="H69" s="30">
        <f t="shared" ref="H69:H82" si="4">SUM(H10:H68)</f>
        <v>0</v>
      </c>
      <c r="I69" s="23"/>
    </row>
    <row r="70" spans="1:11" ht="15" thickBot="1" x14ac:dyDescent="0.35">
      <c r="A70" s="16" t="s">
        <v>128</v>
      </c>
      <c r="B70" s="17" t="s">
        <v>126</v>
      </c>
      <c r="C70" s="28" t="s">
        <v>14</v>
      </c>
      <c r="D70" s="17" t="s">
        <v>172</v>
      </c>
      <c r="E70" s="28" t="s">
        <v>19</v>
      </c>
      <c r="F70" s="18">
        <v>2</v>
      </c>
      <c r="G70" s="19"/>
      <c r="H70" s="30">
        <f t="shared" si="4"/>
        <v>0</v>
      </c>
      <c r="I70" s="23"/>
    </row>
    <row r="71" spans="1:11" ht="15" thickBot="1" x14ac:dyDescent="0.35">
      <c r="A71" s="16" t="s">
        <v>129</v>
      </c>
      <c r="B71" s="17" t="s">
        <v>130</v>
      </c>
      <c r="C71" s="28" t="s">
        <v>14</v>
      </c>
      <c r="D71" s="17" t="s">
        <v>131</v>
      </c>
      <c r="E71" s="17"/>
      <c r="F71" s="18">
        <v>2</v>
      </c>
      <c r="G71" s="19"/>
      <c r="H71" s="30">
        <f t="shared" si="4"/>
        <v>0</v>
      </c>
      <c r="I71" s="23"/>
    </row>
    <row r="72" spans="1:11" ht="15" thickBot="1" x14ac:dyDescent="0.35">
      <c r="A72" s="16" t="s">
        <v>132</v>
      </c>
      <c r="B72" s="17" t="s">
        <v>130</v>
      </c>
      <c r="C72" s="28" t="s">
        <v>17</v>
      </c>
      <c r="D72" s="17" t="s">
        <v>131</v>
      </c>
      <c r="E72" s="28"/>
      <c r="F72" s="18">
        <v>2</v>
      </c>
      <c r="G72" s="19"/>
      <c r="H72" s="30">
        <f t="shared" si="4"/>
        <v>0</v>
      </c>
      <c r="I72" s="23"/>
    </row>
    <row r="73" spans="1:11" ht="15" thickBot="1" x14ac:dyDescent="0.35">
      <c r="A73" s="16" t="s">
        <v>133</v>
      </c>
      <c r="B73" s="17" t="s">
        <v>130</v>
      </c>
      <c r="C73" s="28" t="s">
        <v>14</v>
      </c>
      <c r="D73" s="17" t="s">
        <v>131</v>
      </c>
      <c r="E73" s="28" t="s">
        <v>19</v>
      </c>
      <c r="F73" s="18">
        <v>2</v>
      </c>
      <c r="G73" s="19"/>
      <c r="H73" s="30">
        <f t="shared" si="4"/>
        <v>0</v>
      </c>
      <c r="I73" s="23"/>
    </row>
    <row r="74" spans="1:11" ht="15" thickBot="1" x14ac:dyDescent="0.35">
      <c r="A74" s="16" t="s">
        <v>134</v>
      </c>
      <c r="B74" s="17" t="s">
        <v>135</v>
      </c>
      <c r="C74" s="28" t="s">
        <v>14</v>
      </c>
      <c r="D74" s="17" t="s">
        <v>136</v>
      </c>
      <c r="E74" s="17"/>
      <c r="F74" s="18">
        <v>2</v>
      </c>
      <c r="G74" s="19"/>
      <c r="H74" s="30">
        <f t="shared" si="4"/>
        <v>0</v>
      </c>
      <c r="I74" s="23"/>
    </row>
    <row r="75" spans="1:11" ht="15" thickBot="1" x14ac:dyDescent="0.35">
      <c r="A75" s="16" t="s">
        <v>137</v>
      </c>
      <c r="B75" s="17" t="s">
        <v>135</v>
      </c>
      <c r="C75" s="28" t="s">
        <v>17</v>
      </c>
      <c r="D75" s="17" t="s">
        <v>136</v>
      </c>
      <c r="E75" s="28"/>
      <c r="F75" s="18">
        <v>2</v>
      </c>
      <c r="G75" s="19"/>
      <c r="H75" s="30">
        <f t="shared" si="4"/>
        <v>0</v>
      </c>
      <c r="I75" s="23"/>
    </row>
    <row r="76" spans="1:11" ht="15" thickBot="1" x14ac:dyDescent="0.35">
      <c r="A76" s="16" t="s">
        <v>138</v>
      </c>
      <c r="B76" s="17" t="s">
        <v>135</v>
      </c>
      <c r="C76" s="28" t="s">
        <v>14</v>
      </c>
      <c r="D76" s="17" t="s">
        <v>136</v>
      </c>
      <c r="E76" s="28" t="s">
        <v>19</v>
      </c>
      <c r="F76" s="18">
        <v>2</v>
      </c>
      <c r="G76" s="19"/>
      <c r="H76" s="30">
        <f t="shared" si="4"/>
        <v>0</v>
      </c>
      <c r="I76" s="23"/>
    </row>
    <row r="77" spans="1:11" ht="15" thickBot="1" x14ac:dyDescent="0.35">
      <c r="A77" s="16" t="s">
        <v>139</v>
      </c>
      <c r="B77" s="17" t="s">
        <v>140</v>
      </c>
      <c r="C77" s="28" t="s">
        <v>14</v>
      </c>
      <c r="D77" s="17" t="s">
        <v>141</v>
      </c>
      <c r="E77" s="17"/>
      <c r="F77" s="18">
        <v>2</v>
      </c>
      <c r="G77" s="19"/>
      <c r="H77" s="30">
        <f t="shared" si="4"/>
        <v>0</v>
      </c>
      <c r="I77" s="23"/>
    </row>
    <row r="78" spans="1:11" ht="15" thickBot="1" x14ac:dyDescent="0.35">
      <c r="A78" s="16" t="s">
        <v>142</v>
      </c>
      <c r="B78" s="17" t="s">
        <v>140</v>
      </c>
      <c r="C78" s="28" t="s">
        <v>17</v>
      </c>
      <c r="D78" s="17" t="s">
        <v>141</v>
      </c>
      <c r="E78" s="28"/>
      <c r="F78" s="18">
        <v>2</v>
      </c>
      <c r="G78" s="19"/>
      <c r="H78" s="30">
        <f t="shared" si="4"/>
        <v>0</v>
      </c>
      <c r="I78" s="23"/>
    </row>
    <row r="79" spans="1:11" ht="15" thickBot="1" x14ac:dyDescent="0.35">
      <c r="A79" s="16" t="s">
        <v>143</v>
      </c>
      <c r="B79" s="17" t="s">
        <v>140</v>
      </c>
      <c r="C79" s="28" t="s">
        <v>14</v>
      </c>
      <c r="D79" s="17" t="s">
        <v>141</v>
      </c>
      <c r="E79" s="28" t="s">
        <v>19</v>
      </c>
      <c r="F79" s="18">
        <v>2</v>
      </c>
      <c r="G79" s="19"/>
      <c r="H79" s="30">
        <f t="shared" si="4"/>
        <v>0</v>
      </c>
      <c r="I79" s="23"/>
    </row>
    <row r="80" spans="1:11" ht="15" thickBot="1" x14ac:dyDescent="0.35">
      <c r="A80" s="16" t="s">
        <v>144</v>
      </c>
      <c r="B80" s="17" t="s">
        <v>145</v>
      </c>
      <c r="C80" s="28" t="s">
        <v>14</v>
      </c>
      <c r="D80" s="17" t="s">
        <v>146</v>
      </c>
      <c r="E80" s="17"/>
      <c r="F80" s="18">
        <v>2</v>
      </c>
      <c r="G80" s="19"/>
      <c r="H80" s="30">
        <f t="shared" si="4"/>
        <v>0</v>
      </c>
      <c r="I80" s="23"/>
    </row>
    <row r="81" spans="1:10" ht="15" thickBot="1" x14ac:dyDescent="0.35">
      <c r="A81" s="16" t="s">
        <v>147</v>
      </c>
      <c r="B81" s="17" t="s">
        <v>145</v>
      </c>
      <c r="C81" s="28" t="s">
        <v>17</v>
      </c>
      <c r="D81" s="17" t="s">
        <v>146</v>
      </c>
      <c r="E81" s="28"/>
      <c r="F81" s="18">
        <v>2</v>
      </c>
      <c r="G81" s="19"/>
      <c r="H81" s="30">
        <f t="shared" si="4"/>
        <v>0</v>
      </c>
      <c r="I81" s="23"/>
    </row>
    <row r="82" spans="1:10" ht="15" thickBot="1" x14ac:dyDescent="0.35">
      <c r="A82" s="16" t="s">
        <v>148</v>
      </c>
      <c r="B82" s="17" t="s">
        <v>145</v>
      </c>
      <c r="C82" s="28" t="s">
        <v>14</v>
      </c>
      <c r="D82" s="17" t="s">
        <v>146</v>
      </c>
      <c r="E82" s="28" t="s">
        <v>19</v>
      </c>
      <c r="F82" s="18">
        <v>2</v>
      </c>
      <c r="G82" s="19"/>
      <c r="H82" s="30">
        <f t="shared" si="4"/>
        <v>0</v>
      </c>
      <c r="I82" s="23"/>
    </row>
    <row r="83" spans="1:10" x14ac:dyDescent="0.3">
      <c r="A83" s="16" t="s">
        <v>163</v>
      </c>
      <c r="B83" s="17" t="s">
        <v>166</v>
      </c>
      <c r="C83" s="28" t="s">
        <v>14</v>
      </c>
      <c r="D83" s="17" t="s">
        <v>169</v>
      </c>
      <c r="E83" s="23"/>
      <c r="F83" s="23"/>
      <c r="G83" s="23" t="s">
        <v>170</v>
      </c>
      <c r="H83" s="40">
        <f>SUM(H2:H82)</f>
        <v>0</v>
      </c>
      <c r="I83" s="23"/>
    </row>
    <row r="84" spans="1:10" x14ac:dyDescent="0.3">
      <c r="A84" s="16" t="s">
        <v>164</v>
      </c>
      <c r="B84" s="17" t="s">
        <v>167</v>
      </c>
      <c r="C84" s="28" t="s">
        <v>17</v>
      </c>
      <c r="D84" s="17" t="s">
        <v>169</v>
      </c>
      <c r="E84" s="23"/>
      <c r="F84" s="23"/>
      <c r="G84" s="23" t="s">
        <v>170</v>
      </c>
      <c r="H84" s="23"/>
      <c r="I84" s="23"/>
    </row>
    <row r="85" spans="1:10" x14ac:dyDescent="0.3">
      <c r="A85" s="16" t="s">
        <v>165</v>
      </c>
      <c r="B85" s="17" t="s">
        <v>168</v>
      </c>
      <c r="C85" s="28" t="s">
        <v>14</v>
      </c>
      <c r="D85" s="17" t="s">
        <v>169</v>
      </c>
      <c r="E85" s="23" t="s">
        <v>19</v>
      </c>
      <c r="F85" s="23"/>
      <c r="G85" s="23" t="s">
        <v>170</v>
      </c>
      <c r="H85" s="23"/>
      <c r="I85" s="23"/>
    </row>
    <row r="94" spans="1:10" s="3" customFormat="1" x14ac:dyDescent="0.3">
      <c r="A94"/>
      <c r="B94"/>
      <c r="C94"/>
      <c r="D94"/>
      <c r="E94"/>
      <c r="F94"/>
      <c r="G94"/>
      <c r="H94"/>
      <c r="I94"/>
      <c r="J94" s="6"/>
    </row>
    <row r="95" spans="1:10" x14ac:dyDescent="0.3">
      <c r="J95" s="6"/>
    </row>
    <row r="142" spans="1:10" s="3" customFormat="1" x14ac:dyDescent="0.3">
      <c r="A142"/>
      <c r="B142"/>
      <c r="C142"/>
      <c r="D142"/>
      <c r="E142"/>
      <c r="F142"/>
      <c r="G142"/>
      <c r="H142"/>
      <c r="I142"/>
      <c r="J142" s="6"/>
    </row>
    <row r="143" spans="1:10" x14ac:dyDescent="0.3">
      <c r="J143" s="6"/>
    </row>
    <row r="190" spans="1:10" s="3" customFormat="1" x14ac:dyDescent="0.3">
      <c r="A190"/>
      <c r="B190"/>
      <c r="C190"/>
      <c r="D190"/>
      <c r="E190"/>
      <c r="F190"/>
      <c r="G190"/>
      <c r="H190"/>
      <c r="I190"/>
      <c r="J190" s="6"/>
    </row>
    <row r="191" spans="1:10" x14ac:dyDescent="0.3">
      <c r="J191" s="6"/>
    </row>
    <row r="238" spans="1:10" s="3" customFormat="1" x14ac:dyDescent="0.3">
      <c r="A238"/>
      <c r="B238"/>
      <c r="C238"/>
      <c r="D238"/>
      <c r="E238"/>
      <c r="F238"/>
      <c r="G238"/>
      <c r="H238"/>
      <c r="I238"/>
      <c r="J238" s="6"/>
    </row>
    <row r="239" spans="1:10" x14ac:dyDescent="0.3">
      <c r="J239" s="6"/>
    </row>
    <row r="286" spans="1:10" s="3" customFormat="1" x14ac:dyDescent="0.3">
      <c r="A286"/>
      <c r="B286"/>
      <c r="C286"/>
      <c r="D286"/>
      <c r="E286"/>
      <c r="F286"/>
      <c r="G286"/>
      <c r="H286"/>
      <c r="I286"/>
      <c r="J286" s="6"/>
    </row>
    <row r="287" spans="1:10" x14ac:dyDescent="0.3">
      <c r="J287" s="6"/>
    </row>
    <row r="334" spans="1:10" s="3" customFormat="1" x14ac:dyDescent="0.3">
      <c r="A334"/>
      <c r="B334"/>
      <c r="C334"/>
      <c r="D334"/>
      <c r="E334"/>
      <c r="F334"/>
      <c r="G334"/>
      <c r="H334"/>
      <c r="I334"/>
      <c r="J334" s="6"/>
    </row>
    <row r="335" spans="1:10" x14ac:dyDescent="0.3">
      <c r="J335" s="6"/>
    </row>
    <row r="382" spans="1:10" s="3" customFormat="1" x14ac:dyDescent="0.3">
      <c r="A382"/>
      <c r="B382"/>
      <c r="C382"/>
      <c r="D382"/>
      <c r="E382"/>
      <c r="F382"/>
      <c r="G382"/>
      <c r="H382"/>
      <c r="I382"/>
      <c r="J382" s="6"/>
    </row>
    <row r="383" spans="1:10" x14ac:dyDescent="0.3">
      <c r="J383" s="6"/>
    </row>
    <row r="430" spans="1:10" s="3" customFormat="1" x14ac:dyDescent="0.3">
      <c r="A430"/>
      <c r="B430"/>
      <c r="C430"/>
      <c r="D430"/>
      <c r="E430"/>
      <c r="F430"/>
      <c r="G430"/>
      <c r="H430"/>
      <c r="I430"/>
      <c r="J430" s="6"/>
    </row>
    <row r="431" spans="1:10" x14ac:dyDescent="0.3">
      <c r="J431" s="6"/>
    </row>
    <row r="478" spans="1:10" s="3" customFormat="1" x14ac:dyDescent="0.3">
      <c r="A478"/>
      <c r="B478"/>
      <c r="C478"/>
      <c r="D478"/>
      <c r="E478"/>
      <c r="F478"/>
      <c r="G478"/>
      <c r="H478"/>
      <c r="I478"/>
      <c r="J478" s="6"/>
    </row>
    <row r="479" spans="1:10" x14ac:dyDescent="0.3">
      <c r="J479" s="6"/>
    </row>
    <row r="510" spans="10:10" x14ac:dyDescent="0.3">
      <c r="J510" s="8"/>
    </row>
    <row r="526" spans="10:10" x14ac:dyDescent="0.3">
      <c r="J526" s="9"/>
    </row>
    <row r="532" spans="10:10" x14ac:dyDescent="0.3">
      <c r="J532" s="9"/>
    </row>
    <row r="535" spans="10:10" x14ac:dyDescent="0.3">
      <c r="J535" s="10"/>
    </row>
    <row r="582" spans="10:11" x14ac:dyDescent="0.3">
      <c r="J582" s="9"/>
      <c r="K582" s="8"/>
    </row>
    <row r="629" spans="1:11" x14ac:dyDescent="0.3">
      <c r="J629" s="9"/>
    </row>
    <row r="630" spans="1:11" x14ac:dyDescent="0.3">
      <c r="J630" s="9"/>
      <c r="K630" s="8"/>
    </row>
    <row r="633" spans="1:11" x14ac:dyDescent="0.3">
      <c r="J633" s="9"/>
    </row>
    <row r="637" spans="1:11" s="22" customFormat="1" x14ac:dyDescent="0.3">
      <c r="A637"/>
      <c r="B637"/>
      <c r="C637"/>
      <c r="D637"/>
      <c r="E637"/>
      <c r="F637"/>
      <c r="G637"/>
      <c r="H637"/>
      <c r="I637"/>
      <c r="J637" s="9"/>
    </row>
    <row r="638" spans="1:11" s="22" customFormat="1" x14ac:dyDescent="0.3">
      <c r="A638"/>
      <c r="B638"/>
      <c r="C638"/>
      <c r="D638"/>
      <c r="E638"/>
      <c r="F638"/>
      <c r="G638"/>
      <c r="H638"/>
      <c r="I638"/>
    </row>
    <row r="641" spans="10:10" x14ac:dyDescent="0.3">
      <c r="J641" s="9"/>
    </row>
    <row r="645" spans="10:10" x14ac:dyDescent="0.3">
      <c r="J645" s="9"/>
    </row>
    <row r="649" spans="10:10" x14ac:dyDescent="0.3">
      <c r="J649" s="9"/>
    </row>
    <row r="653" spans="10:10" x14ac:dyDescent="0.3">
      <c r="J653" s="9"/>
    </row>
    <row r="657" spans="10:10" x14ac:dyDescent="0.3">
      <c r="J657" s="9"/>
    </row>
    <row r="662" spans="10:10" x14ac:dyDescent="0.3">
      <c r="J662" s="9"/>
    </row>
    <row r="669" spans="10:10" x14ac:dyDescent="0.3">
      <c r="J669" s="9"/>
    </row>
    <row r="670" spans="10:10" x14ac:dyDescent="0.3">
      <c r="J670" s="9"/>
    </row>
    <row r="673" spans="10:10" x14ac:dyDescent="0.3">
      <c r="J673" s="9"/>
    </row>
    <row r="674" spans="10:10" x14ac:dyDescent="0.3">
      <c r="J674" s="9"/>
    </row>
    <row r="677" spans="10:10" x14ac:dyDescent="0.3">
      <c r="J677" s="9"/>
    </row>
    <row r="678" spans="10:10" x14ac:dyDescent="0.3">
      <c r="J678" s="9"/>
    </row>
    <row r="681" spans="10:10" x14ac:dyDescent="0.3">
      <c r="J681" s="9"/>
    </row>
    <row r="682" spans="10:10" x14ac:dyDescent="0.3">
      <c r="J682" s="9"/>
    </row>
    <row r="685" spans="10:10" x14ac:dyDescent="0.3">
      <c r="J685" s="9"/>
    </row>
    <row r="707" spans="1:10" x14ac:dyDescent="0.3">
      <c r="J707" s="10"/>
    </row>
    <row r="710" spans="1:10" s="3" customFormat="1" x14ac:dyDescent="0.3">
      <c r="A710"/>
      <c r="B710"/>
      <c r="C710"/>
      <c r="D710"/>
      <c r="E710"/>
      <c r="F710"/>
      <c r="G710"/>
      <c r="H710"/>
      <c r="I710"/>
    </row>
    <row r="712" spans="1:10" x14ac:dyDescent="0.3">
      <c r="J712" s="9"/>
    </row>
    <row r="715" spans="1:10" s="3" customFormat="1" x14ac:dyDescent="0.3">
      <c r="A715"/>
      <c r="B715"/>
      <c r="C715"/>
      <c r="D715"/>
      <c r="E715"/>
      <c r="F715"/>
      <c r="G715"/>
      <c r="H715"/>
      <c r="I715"/>
    </row>
    <row r="724" spans="1:10" x14ac:dyDescent="0.3">
      <c r="J724" s="9"/>
    </row>
    <row r="729" spans="1:10" s="3" customFormat="1" x14ac:dyDescent="0.3">
      <c r="A729"/>
      <c r="B729"/>
      <c r="C729"/>
      <c r="D729"/>
      <c r="E729"/>
      <c r="F729"/>
      <c r="G729"/>
      <c r="H729"/>
      <c r="I729"/>
    </row>
    <row r="753" spans="1:10" x14ac:dyDescent="0.3">
      <c r="J753" s="9"/>
    </row>
    <row r="756" spans="1:10" s="3" customFormat="1" x14ac:dyDescent="0.3">
      <c r="A756"/>
      <c r="B756"/>
      <c r="C756"/>
      <c r="D756"/>
      <c r="E756"/>
      <c r="F756"/>
      <c r="G756"/>
      <c r="H756"/>
      <c r="I756"/>
    </row>
    <row r="797" spans="1:10" s="3" customFormat="1" x14ac:dyDescent="0.3">
      <c r="A797"/>
      <c r="B797"/>
      <c r="C797"/>
      <c r="D797"/>
      <c r="E797"/>
      <c r="F797"/>
      <c r="G797"/>
      <c r="H797"/>
      <c r="I797"/>
    </row>
    <row r="800" spans="1:10" x14ac:dyDescent="0.3">
      <c r="J800" s="9"/>
    </row>
    <row r="803" spans="1:10" s="3" customFormat="1" x14ac:dyDescent="0.3">
      <c r="A803"/>
      <c r="B803"/>
      <c r="C803"/>
      <c r="D803"/>
      <c r="E803"/>
      <c r="F803"/>
      <c r="G803"/>
      <c r="H803"/>
      <c r="I803"/>
    </row>
    <row r="806" spans="1:10" x14ac:dyDescent="0.3">
      <c r="J806" s="9"/>
    </row>
    <row r="809" spans="1:10" s="3" customFormat="1" x14ac:dyDescent="0.3">
      <c r="A809"/>
      <c r="B809"/>
      <c r="C809"/>
      <c r="D809"/>
      <c r="E809"/>
      <c r="F809"/>
      <c r="G809"/>
      <c r="H809"/>
      <c r="I809"/>
    </row>
    <row r="812" spans="1:10" x14ac:dyDescent="0.3">
      <c r="J812" s="9"/>
    </row>
    <row r="815" spans="1:10" s="3" customFormat="1" x14ac:dyDescent="0.3">
      <c r="A815"/>
      <c r="B815"/>
      <c r="C815"/>
      <c r="D815"/>
      <c r="E815"/>
      <c r="F815"/>
      <c r="G815"/>
      <c r="H815"/>
      <c r="I815"/>
    </row>
    <row r="818" spans="1:10" x14ac:dyDescent="0.3">
      <c r="J818" s="9"/>
    </row>
    <row r="821" spans="1:10" s="3" customFormat="1" x14ac:dyDescent="0.3">
      <c r="A821"/>
      <c r="B821"/>
      <c r="C821"/>
      <c r="D821"/>
      <c r="E821"/>
      <c r="F821"/>
      <c r="G821"/>
      <c r="H821"/>
      <c r="I821"/>
    </row>
    <row r="824" spans="1:10" x14ac:dyDescent="0.3">
      <c r="J824" s="9"/>
    </row>
    <row r="827" spans="1:10" s="3" customFormat="1" x14ac:dyDescent="0.3">
      <c r="A827"/>
      <c r="B827"/>
      <c r="C827"/>
      <c r="D827"/>
      <c r="E827"/>
      <c r="F827"/>
      <c r="G827"/>
      <c r="H827"/>
      <c r="I827"/>
    </row>
    <row r="830" spans="1:10" x14ac:dyDescent="0.3">
      <c r="J830" s="9"/>
    </row>
    <row r="833" spans="1:10" s="3" customFormat="1" x14ac:dyDescent="0.3">
      <c r="A833"/>
      <c r="B833"/>
      <c r="C833"/>
      <c r="D833"/>
      <c r="E833"/>
      <c r="F833"/>
      <c r="G833"/>
      <c r="H833"/>
      <c r="I833"/>
    </row>
    <row r="836" spans="1:10" x14ac:dyDescent="0.3">
      <c r="J836" s="9"/>
    </row>
    <row r="839" spans="1:10" s="3" customFormat="1" x14ac:dyDescent="0.3">
      <c r="A839"/>
      <c r="B839"/>
      <c r="C839"/>
      <c r="D839"/>
      <c r="E839"/>
      <c r="F839"/>
      <c r="G839"/>
      <c r="H839"/>
      <c r="I839"/>
    </row>
    <row r="842" spans="1:10" x14ac:dyDescent="0.3">
      <c r="J842" s="9"/>
    </row>
    <row r="845" spans="1:10" s="3" customFormat="1" x14ac:dyDescent="0.3">
      <c r="A845"/>
      <c r="B845"/>
      <c r="C845"/>
      <c r="D845"/>
      <c r="E845"/>
      <c r="F845"/>
      <c r="G845"/>
      <c r="H845"/>
      <c r="I845"/>
    </row>
    <row r="848" spans="1:10" x14ac:dyDescent="0.3">
      <c r="J848" s="9"/>
    </row>
    <row r="851" spans="1:10" s="3" customFormat="1" x14ac:dyDescent="0.3">
      <c r="A851"/>
      <c r="B851"/>
      <c r="C851"/>
      <c r="D851"/>
      <c r="E851"/>
      <c r="F851"/>
      <c r="G851"/>
      <c r="H851"/>
      <c r="I851"/>
    </row>
    <row r="854" spans="1:10" x14ac:dyDescent="0.3">
      <c r="J854" s="9"/>
    </row>
    <row r="857" spans="1:10" s="3" customFormat="1" x14ac:dyDescent="0.3">
      <c r="A857"/>
      <c r="B857"/>
      <c r="C857"/>
      <c r="D857"/>
      <c r="E857"/>
      <c r="F857"/>
      <c r="G857"/>
      <c r="H857"/>
      <c r="I857"/>
    </row>
    <row r="860" spans="1:10" x14ac:dyDescent="0.3">
      <c r="J860" s="9"/>
    </row>
    <row r="863" spans="1:10" s="3" customFormat="1" x14ac:dyDescent="0.3">
      <c r="A863"/>
      <c r="B863"/>
      <c r="C863"/>
      <c r="D863"/>
      <c r="E863"/>
      <c r="F863"/>
      <c r="G863"/>
      <c r="H863"/>
      <c r="I863"/>
    </row>
    <row r="866" spans="1:10" x14ac:dyDescent="0.3">
      <c r="J866" s="9"/>
    </row>
    <row r="869" spans="1:10" s="3" customFormat="1" x14ac:dyDescent="0.3">
      <c r="A869"/>
      <c r="B869"/>
      <c r="C869"/>
      <c r="D869"/>
      <c r="E869"/>
      <c r="F869"/>
      <c r="G869"/>
      <c r="H869"/>
      <c r="I869"/>
    </row>
    <row r="872" spans="1:10" x14ac:dyDescent="0.3">
      <c r="J872" s="9"/>
    </row>
    <row r="875" spans="1:10" s="3" customFormat="1" x14ac:dyDescent="0.3">
      <c r="A875"/>
      <c r="B875"/>
      <c r="C875"/>
      <c r="D875"/>
      <c r="E875"/>
      <c r="F875"/>
      <c r="G875"/>
      <c r="H875"/>
      <c r="I875"/>
    </row>
    <row r="878" spans="1:10" x14ac:dyDescent="0.3">
      <c r="J878" s="9"/>
    </row>
    <row r="881" spans="1:10" s="3" customFormat="1" x14ac:dyDescent="0.3">
      <c r="A881"/>
      <c r="B881"/>
      <c r="C881"/>
      <c r="D881"/>
      <c r="E881"/>
      <c r="F881"/>
      <c r="G881"/>
      <c r="H881"/>
      <c r="I881"/>
    </row>
    <row r="884" spans="1:10" x14ac:dyDescent="0.3">
      <c r="J884" s="9"/>
    </row>
    <row r="890" spans="1:10" x14ac:dyDescent="0.3">
      <c r="J890" s="9"/>
    </row>
    <row r="893" spans="1:10" x14ac:dyDescent="0.3">
      <c r="J893" s="3"/>
    </row>
    <row r="896" spans="1:10" x14ac:dyDescent="0.3">
      <c r="J896" s="9"/>
    </row>
    <row r="899" spans="10:10" x14ac:dyDescent="0.3">
      <c r="J899" s="3"/>
    </row>
    <row r="902" spans="10:10" x14ac:dyDescent="0.3">
      <c r="J902" s="9"/>
    </row>
    <row r="908" spans="10:10" x14ac:dyDescent="0.3">
      <c r="J908" s="9"/>
    </row>
    <row r="914" spans="10:10" x14ac:dyDescent="0.3">
      <c r="J914" s="9"/>
    </row>
    <row r="920" spans="10:10" x14ac:dyDescent="0.3">
      <c r="J920" s="9"/>
    </row>
    <row r="926" spans="10:10" x14ac:dyDescent="0.3">
      <c r="J926" s="9"/>
    </row>
    <row r="932" spans="10:10" x14ac:dyDescent="0.3">
      <c r="J932" s="9"/>
    </row>
    <row r="935" spans="10:10" x14ac:dyDescent="0.3">
      <c r="J935" s="3"/>
    </row>
    <row r="938" spans="10:10" x14ac:dyDescent="0.3">
      <c r="J938" s="9"/>
    </row>
    <row r="944" spans="10:10" x14ac:dyDescent="0.3">
      <c r="J944" s="9"/>
    </row>
    <row r="950" spans="10:10" x14ac:dyDescent="0.3">
      <c r="J950" s="9"/>
    </row>
    <row r="956" spans="10:10" x14ac:dyDescent="0.3">
      <c r="J956" s="9"/>
    </row>
    <row r="962" spans="10:10" x14ac:dyDescent="0.3">
      <c r="J962" s="9"/>
    </row>
    <row r="968" spans="10:10" x14ac:dyDescent="0.3">
      <c r="J968" s="9"/>
    </row>
    <row r="974" spans="10:10" x14ac:dyDescent="0.3">
      <c r="J974" s="9"/>
    </row>
    <row r="979" spans="10:10" x14ac:dyDescent="0.3">
      <c r="J979" s="9"/>
    </row>
    <row r="985" spans="10:10" x14ac:dyDescent="0.3">
      <c r="J985" s="9"/>
    </row>
    <row r="991" spans="10:10" x14ac:dyDescent="0.3">
      <c r="J991" s="9"/>
    </row>
    <row r="997" spans="10:10" x14ac:dyDescent="0.3">
      <c r="J997" s="9"/>
    </row>
    <row r="1003" spans="10:10" x14ac:dyDescent="0.3">
      <c r="J1003" s="9"/>
    </row>
    <row r="1009" spans="10:10" x14ac:dyDescent="0.3">
      <c r="J1009" s="9"/>
    </row>
    <row r="1015" spans="10:10" x14ac:dyDescent="0.3">
      <c r="J1015" s="9"/>
    </row>
    <row r="1021" spans="10:10" x14ac:dyDescent="0.3">
      <c r="J1021" s="9"/>
    </row>
  </sheetData>
  <phoneticPr fontId="13" type="noConversion"/>
  <pageMargins left="0.7" right="0.7" top="0.75" bottom="0.75" header="0.3" footer="0.3"/>
  <pageSetup orientation="portrait" r:id="rId1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Instructions-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Brake, Christopher D CIV (USA)</cp:lastModifiedBy>
  <cp:revision/>
  <dcterms:created xsi:type="dcterms:W3CDTF">2022-01-11T19:59:58Z</dcterms:created>
  <dcterms:modified xsi:type="dcterms:W3CDTF">2026-04-16T13:57:42Z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