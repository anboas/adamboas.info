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jennifer_coleman4_va_gov/Documents/CONTRACTING/$$$ FY 2026 - SUPPLY/765 - HINES/Q0112 - OY 4 - CIPROFLOXACIN - 765-26-2-715-0040 - 765 EPS/"/>
    </mc:Choice>
  </mc:AlternateContent>
  <xr:revisionPtr revIDLastSave="0" documentId="8_{15700EE9-BFBF-435D-873B-EFA55B328F61}" xr6:coauthVersionLast="47" xr6:coauthVersionMax="47" xr10:uidLastSave="{00000000-0000-0000-0000-000000000000}"/>
  <bookViews>
    <workbookView xWindow="14985" yWindow="225" windowWidth="26715" windowHeight="13995" xr2:uid="{00000000-000D-0000-FFFF-FFFF00000000}"/>
  </bookViews>
  <sheets>
    <sheet name="Quote Sprea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0" i="1" l="1"/>
  <c r="M41" i="1" s="1"/>
  <c r="M34" i="1"/>
  <c r="M35" i="1" s="1"/>
  <c r="M22" i="1"/>
  <c r="M23" i="1" s="1"/>
  <c r="M28" i="1"/>
  <c r="M29" i="1" s="1"/>
  <c r="M14" i="1" l="1"/>
  <c r="M15" i="1" s="1"/>
</calcChain>
</file>

<file path=xl/sharedStrings.xml><?xml version="1.0" encoding="utf-8"?>
<sst xmlns="http://schemas.openxmlformats.org/spreadsheetml/2006/main" count="143" uniqueCount="62">
  <si>
    <t>Vendor Name:</t>
  </si>
  <si>
    <t>Description</t>
  </si>
  <si>
    <t>POC E-Mail:</t>
  </si>
  <si>
    <t>POC Name:</t>
  </si>
  <si>
    <t>Posted Date:</t>
  </si>
  <si>
    <t>Closing Date:</t>
  </si>
  <si>
    <t>Phone:</t>
  </si>
  <si>
    <t>Unit</t>
  </si>
  <si>
    <t>Closing Time:</t>
  </si>
  <si>
    <t>QTY</t>
  </si>
  <si>
    <t>QTY shall be adjusted for that count and this should be noted in "Vendor Comments"</t>
  </si>
  <si>
    <t>Required documents:</t>
  </si>
  <si>
    <t>Solicitation - Quote Spreadsheet</t>
  </si>
  <si>
    <t>Vendor shall complete all areas in orange</t>
  </si>
  <si>
    <t>shall be no less than  one (1) year of date of delivery.  Please provide expiration in "Vendor Comments" if short-dated</t>
  </si>
  <si>
    <t xml:space="preserve">*  If vendor is proposing NDC with count other than CMOP listed NDC, </t>
  </si>
  <si>
    <t>0001</t>
  </si>
  <si>
    <t>ueiSAM:</t>
  </si>
  <si>
    <t>1.  SF1449 - Solicitation cover page (signed)</t>
  </si>
  <si>
    <t>*  Per the Statement of Requirements, expiration dates of all pharmaceuticals and/or medical surgical supplies</t>
  </si>
  <si>
    <t xml:space="preserve">3.  State Wholesale Distributor License, valid and unexpired </t>
  </si>
  <si>
    <t>Line
Item</t>
  </si>
  <si>
    <t>File
Number</t>
  </si>
  <si>
    <t>Unit 
Price</t>
  </si>
  <si>
    <t>Total
 Price</t>
  </si>
  <si>
    <t>Approved 
NDCs</t>
  </si>
  <si>
    <t xml:space="preserve"> Proposed
 NDC</t>
  </si>
  <si>
    <t>Packaging
 Multiple</t>
  </si>
  <si>
    <t>CMOP 
Facility</t>
  </si>
  <si>
    <t>Example 
NDCs</t>
  </si>
  <si>
    <t>Proposed 
 NDC</t>
  </si>
  <si>
    <t>1001</t>
  </si>
  <si>
    <t>2001</t>
  </si>
  <si>
    <t>2002</t>
  </si>
  <si>
    <t>2004</t>
  </si>
  <si>
    <t>BX</t>
  </si>
  <si>
    <t>EPS APPROVAL OF ALL ALTERNATES IS MANDATORY</t>
  </si>
  <si>
    <t>Manufactuer</t>
  </si>
  <si>
    <t>2.  Quote - excel spreadsheet - including Place of Manufacture</t>
  </si>
  <si>
    <t>Email quotes to: Jennifer.Coleman4@va.gov</t>
  </si>
  <si>
    <t>3:00PM Central Time (CT)</t>
  </si>
  <si>
    <t>CMOP - Hines EPS</t>
  </si>
  <si>
    <t>VA CMOP HINES EPS 765</t>
  </si>
  <si>
    <t xml:space="preserve">NOTE: 24 BAGS PER CARTON ONLY / 16-18 MONTH EXPIRATION DATING </t>
  </si>
  <si>
    <t>RFQ:  36C77026Q0112</t>
  </si>
  <si>
    <t>Delivery and/or
Vendor Comments</t>
  </si>
  <si>
    <t>Place of Manufacture</t>
  </si>
  <si>
    <t>25021-0114-87</t>
  </si>
  <si>
    <r>
      <t>NOTE: 24 BAGS PER CARTON/BOX ONLY</t>
    </r>
    <r>
      <rPr>
        <b/>
        <sz val="14"/>
        <color rgb="FFFF0000"/>
        <rFont val="Calibri"/>
        <family val="2"/>
        <scheme val="minor"/>
      </rPr>
      <t xml:space="preserve"> /</t>
    </r>
    <r>
      <rPr>
        <sz val="14"/>
        <color rgb="FFFF0000"/>
        <rFont val="Calibri"/>
        <family val="2"/>
        <scheme val="minor"/>
      </rPr>
      <t xml:space="preserve"> 16-18 MONTH EXPIRATION DATING</t>
    </r>
  </si>
  <si>
    <r>
      <t>NOTE: 24 BAGS PER CARTON/BOX ONLY</t>
    </r>
    <r>
      <rPr>
        <b/>
        <sz val="14"/>
        <color rgb="FFFF0000"/>
        <rFont val="Calibri"/>
        <family val="2"/>
        <scheme val="minor"/>
      </rPr>
      <t xml:space="preserve"> / </t>
    </r>
    <r>
      <rPr>
        <sz val="14"/>
        <color rgb="FFFF0000"/>
        <rFont val="Calibri"/>
        <family val="2"/>
        <scheme val="minor"/>
      </rPr>
      <t>16-18 MONTH EXPIRATION DATING</t>
    </r>
  </si>
  <si>
    <r>
      <t xml:space="preserve">NOTE: 24 BAGS PER CARTON/BOX ONLY </t>
    </r>
    <r>
      <rPr>
        <b/>
        <sz val="14"/>
        <color rgb="FFFF0000"/>
        <rFont val="Calibri"/>
        <family val="2"/>
        <scheme val="minor"/>
      </rPr>
      <t>/</t>
    </r>
    <r>
      <rPr>
        <sz val="14"/>
        <color rgb="FFFF0000"/>
        <rFont val="Calibri"/>
        <family val="2"/>
        <scheme val="minor"/>
      </rPr>
      <t xml:space="preserve"> 16-18 MONTH EXPIRATION DATING</t>
    </r>
  </si>
  <si>
    <t>CIPROFLOXACIN 400 MG/200ML-D5W</t>
  </si>
  <si>
    <t xml:space="preserve">4.  Trade Agreement Act (TAA) Certificate </t>
  </si>
  <si>
    <t>4.14.2026</t>
  </si>
  <si>
    <t>Delivery: TBD</t>
  </si>
  <si>
    <t>Trade Agreement Act
 (TAA) Certificate</t>
  </si>
  <si>
    <t xml:space="preserve">Base Contract Delivery 6.1.2026 Estimated </t>
  </si>
  <si>
    <r>
      <t xml:space="preserve">Option: 1, if exercised </t>
    </r>
    <r>
      <rPr>
        <b/>
        <sz val="22"/>
        <color rgb="FFFF0000"/>
        <rFont val="Calibri"/>
        <family val="2"/>
        <scheme val="minor"/>
      </rPr>
      <t>(6.3.2027 DATES MAY CHANGE AT TIME OF AWARD)</t>
    </r>
  </si>
  <si>
    <r>
      <t xml:space="preserve">Option: 2, if exercised </t>
    </r>
    <r>
      <rPr>
        <b/>
        <sz val="22"/>
        <color rgb="FFFF0000"/>
        <rFont val="Calibri"/>
        <family val="2"/>
        <scheme val="minor"/>
      </rPr>
      <t>(6.1.2028 DATES MAY CHANGE AT TIME OF AWARD)</t>
    </r>
  </si>
  <si>
    <r>
      <t xml:space="preserve">Option: 3, if exercised </t>
    </r>
    <r>
      <rPr>
        <b/>
        <sz val="22"/>
        <color rgb="FFFF0000"/>
        <rFont val="Calibri"/>
        <family val="2"/>
        <scheme val="minor"/>
      </rPr>
      <t>(6.1.2029 DATES MAY CHANGE AT TIME OF AWARD)</t>
    </r>
  </si>
  <si>
    <r>
      <t xml:space="preserve">Option: 4, if exercised </t>
    </r>
    <r>
      <rPr>
        <b/>
        <sz val="22"/>
        <color rgb="FFFF0000"/>
        <rFont val="Calibri"/>
        <family val="2"/>
        <scheme val="minor"/>
      </rPr>
      <t>(6.1.2030 DATES MAY CHANGE AT TIME OF AWARD)</t>
    </r>
  </si>
  <si>
    <t>5.8.2026 -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</si>
</sst>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</cellStyleXfs>
  <cellXfs count="113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44" fontId="9" fillId="0" borderId="0" xfId="1" applyFont="1" applyFill="1" applyBorder="1" applyAlignment="1" applyProtection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 applyProtection="1">
      <alignment horizontal="center" vertical="center" wrapText="1"/>
      <protection locked="0"/>
    </xf>
    <xf numFmtId="49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6" fillId="5" borderId="1" xfId="0" applyNumberFormat="1" applyFont="1" applyFill="1" applyBorder="1" applyAlignment="1" applyProtection="1">
      <alignment horizontal="center" vertical="center" wrapText="1"/>
      <protection locked="0"/>
    </xf>
    <xf numFmtId="44" fontId="12" fillId="5" borderId="1" xfId="1" applyFont="1" applyFill="1" applyBorder="1" applyAlignment="1" applyProtection="1">
      <alignment horizontal="center" vertical="center" wrapText="1"/>
    </xf>
    <xf numFmtId="0" fontId="13" fillId="5" borderId="14" xfId="0" applyFont="1" applyFill="1" applyBorder="1" applyAlignment="1" applyProtection="1">
      <alignment horizontal="center" vertical="center"/>
      <protection locked="0"/>
    </xf>
    <xf numFmtId="164" fontId="5" fillId="2" borderId="17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49" fontId="17" fillId="4" borderId="10" xfId="0" applyNumberFormat="1" applyFont="1" applyFill="1" applyBorder="1" applyAlignment="1" applyProtection="1">
      <alignment horizontal="center" wrapText="1"/>
      <protection locked="0"/>
    </xf>
    <xf numFmtId="49" fontId="17" fillId="4" borderId="11" xfId="0" applyNumberFormat="1" applyFont="1" applyFill="1" applyBorder="1" applyAlignment="1" applyProtection="1">
      <alignment horizontal="center" wrapText="1"/>
      <protection locked="0"/>
    </xf>
    <xf numFmtId="49" fontId="17" fillId="4" borderId="24" xfId="0" applyNumberFormat="1" applyFont="1" applyFill="1" applyBorder="1" applyAlignment="1" applyProtection="1">
      <alignment horizontal="center" wrapText="1"/>
      <protection locked="0"/>
    </xf>
    <xf numFmtId="49" fontId="17" fillId="4" borderId="24" xfId="0" applyNumberFormat="1" applyFont="1" applyFill="1" applyBorder="1" applyAlignment="1" applyProtection="1">
      <alignment horizontal="center"/>
      <protection locked="0"/>
    </xf>
    <xf numFmtId="164" fontId="17" fillId="4" borderId="24" xfId="0" applyNumberFormat="1" applyFont="1" applyFill="1" applyBorder="1" applyAlignment="1" applyProtection="1">
      <alignment horizontal="center" wrapText="1"/>
      <protection locked="0"/>
    </xf>
    <xf numFmtId="0" fontId="5" fillId="4" borderId="25" xfId="0" applyFont="1" applyFill="1" applyBorder="1" applyAlignment="1" applyProtection="1">
      <alignment horizontal="center" wrapText="1"/>
      <protection locked="0"/>
    </xf>
    <xf numFmtId="0" fontId="3" fillId="0" borderId="21" xfId="0" applyFont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6" borderId="21" xfId="0" applyFont="1" applyFill="1" applyBorder="1" applyAlignment="1" applyProtection="1">
      <alignment horizontal="center"/>
      <protection locked="0"/>
    </xf>
    <xf numFmtId="0" fontId="3" fillId="6" borderId="0" xfId="0" applyFont="1" applyFill="1" applyProtection="1">
      <protection locked="0"/>
    </xf>
    <xf numFmtId="0" fontId="4" fillId="6" borderId="0" xfId="0" applyFont="1" applyFill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left"/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3" fillId="6" borderId="18" xfId="0" applyFont="1" applyFill="1" applyBorder="1" applyProtection="1"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18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0" borderId="21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18" xfId="0" applyFont="1" applyBorder="1" applyProtection="1">
      <protection locked="0"/>
    </xf>
    <xf numFmtId="0" fontId="4" fillId="7" borderId="0" xfId="0" applyFont="1" applyFill="1" applyAlignment="1" applyProtection="1">
      <alignment horizontal="center"/>
      <protection locked="0"/>
    </xf>
    <xf numFmtId="0" fontId="3" fillId="7" borderId="0" xfId="0" applyFont="1" applyFill="1" applyAlignment="1" applyProtection="1">
      <alignment horizontal="left"/>
      <protection locked="0"/>
    </xf>
    <xf numFmtId="0" fontId="20" fillId="8" borderId="0" xfId="0" applyFont="1" applyFill="1" applyProtection="1">
      <protection locked="0"/>
    </xf>
    <xf numFmtId="0" fontId="20" fillId="8" borderId="0" xfId="0" applyFont="1" applyFill="1" applyAlignment="1" applyProtection="1">
      <alignment horizontal="center"/>
      <protection locked="0"/>
    </xf>
    <xf numFmtId="0" fontId="20" fillId="8" borderId="0" xfId="0" applyFont="1" applyFill="1" applyAlignment="1" applyProtection="1">
      <alignment horizontal="left"/>
      <protection locked="0"/>
    </xf>
    <xf numFmtId="0" fontId="19" fillId="7" borderId="0" xfId="0" applyFont="1" applyFill="1" applyProtection="1">
      <protection locked="0"/>
    </xf>
    <xf numFmtId="0" fontId="13" fillId="7" borderId="0" xfId="0" applyFont="1" applyFill="1" applyAlignment="1" applyProtection="1">
      <alignment horizontal="center"/>
      <protection locked="0"/>
    </xf>
    <xf numFmtId="0" fontId="13" fillId="7" borderId="0" xfId="0" applyFont="1" applyFill="1" applyAlignment="1" applyProtection="1">
      <alignment horizontal="left"/>
      <protection locked="0"/>
    </xf>
    <xf numFmtId="0" fontId="19" fillId="8" borderId="0" xfId="0" applyFont="1" applyFill="1" applyProtection="1">
      <protection locked="0"/>
    </xf>
    <xf numFmtId="0" fontId="19" fillId="8" borderId="0" xfId="0" applyFont="1" applyFill="1" applyAlignment="1" applyProtection="1">
      <alignment horizontal="center"/>
      <protection locked="0"/>
    </xf>
    <xf numFmtId="0" fontId="19" fillId="8" borderId="0" xfId="0" applyFont="1" applyFill="1" applyAlignment="1" applyProtection="1">
      <alignment horizontal="left"/>
      <protection locked="0"/>
    </xf>
    <xf numFmtId="0" fontId="23" fillId="7" borderId="0" xfId="0" applyFont="1" applyFill="1" applyProtection="1">
      <protection locked="0"/>
    </xf>
    <xf numFmtId="49" fontId="17" fillId="7" borderId="24" xfId="0" applyNumberFormat="1" applyFont="1" applyFill="1" applyBorder="1" applyAlignment="1" applyProtection="1">
      <alignment horizontal="center" wrapText="1"/>
      <protection locked="0"/>
    </xf>
    <xf numFmtId="3" fontId="15" fillId="0" borderId="1" xfId="0" applyNumberFormat="1" applyFont="1" applyBorder="1" applyAlignment="1">
      <alignment horizontal="center" vertical="center" wrapText="1"/>
    </xf>
    <xf numFmtId="0" fontId="5" fillId="4" borderId="33" xfId="0" applyFont="1" applyFill="1" applyBorder="1" applyAlignment="1" applyProtection="1">
      <alignment horizontal="center" wrapText="1"/>
      <protection locked="0"/>
    </xf>
    <xf numFmtId="0" fontId="5" fillId="4" borderId="29" xfId="0" applyFont="1" applyFill="1" applyBorder="1" applyAlignment="1" applyProtection="1">
      <alignment horizontal="center" wrapText="1"/>
      <protection locked="0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8" fillId="0" borderId="30" xfId="0" applyFont="1" applyBorder="1" applyAlignment="1" applyProtection="1">
      <alignment horizontal="left"/>
      <protection locked="0"/>
    </xf>
    <xf numFmtId="0" fontId="18" fillId="0" borderId="31" xfId="0" applyFont="1" applyBorder="1" applyAlignment="1" applyProtection="1">
      <alignment horizontal="left"/>
      <protection locked="0"/>
    </xf>
    <xf numFmtId="0" fontId="18" fillId="0" borderId="32" xfId="0" applyFont="1" applyBorder="1" applyAlignment="1" applyProtection="1">
      <alignment horizontal="left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4" fillId="5" borderId="2" xfId="0" applyFont="1" applyFill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6" borderId="19" xfId="0" applyFont="1" applyFill="1" applyBorder="1" applyAlignment="1" applyProtection="1">
      <alignment horizontal="center"/>
      <protection locked="0"/>
    </xf>
    <xf numFmtId="0" fontId="8" fillId="6" borderId="16" xfId="0" applyFont="1" applyFill="1" applyBorder="1" applyAlignment="1" applyProtection="1">
      <alignment horizontal="center"/>
      <protection locked="0"/>
    </xf>
    <xf numFmtId="0" fontId="8" fillId="6" borderId="21" xfId="0" applyFont="1" applyFill="1" applyBorder="1" applyAlignment="1" applyProtection="1">
      <alignment horizontal="center"/>
      <protection locked="0"/>
    </xf>
    <xf numFmtId="0" fontId="8" fillId="6" borderId="0" xfId="0" applyFont="1" applyFill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21" fillId="0" borderId="2" xfId="0" applyFont="1" applyBorder="1" applyAlignment="1" applyProtection="1">
      <alignment horizontal="left"/>
      <protection locked="0"/>
    </xf>
    <xf numFmtId="0" fontId="21" fillId="0" borderId="4" xfId="0" applyFont="1" applyBorder="1" applyAlignment="1" applyProtection="1">
      <alignment horizontal="left"/>
      <protection locked="0"/>
    </xf>
    <xf numFmtId="0" fontId="3" fillId="6" borderId="22" xfId="0" applyFont="1" applyFill="1" applyBorder="1" applyAlignment="1" applyProtection="1">
      <alignment horizontal="center"/>
      <protection locked="0"/>
    </xf>
    <xf numFmtId="0" fontId="3" fillId="6" borderId="18" xfId="0" applyFont="1" applyFill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5" fillId="7" borderId="15" xfId="0" applyFont="1" applyFill="1" applyBorder="1" applyAlignment="1" applyProtection="1">
      <alignment horizontal="center"/>
      <protection locked="0"/>
    </xf>
    <xf numFmtId="0" fontId="5" fillId="7" borderId="3" xfId="0" applyFont="1" applyFill="1" applyBorder="1" applyAlignment="1" applyProtection="1">
      <alignment horizontal="center"/>
      <protection locked="0"/>
    </xf>
    <xf numFmtId="0" fontId="5" fillId="7" borderId="4" xfId="0" applyFont="1" applyFill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20" xfId="0" applyFont="1" applyBorder="1" applyAlignment="1" applyProtection="1">
      <alignment horizontal="center"/>
      <protection locked="0"/>
    </xf>
    <xf numFmtId="49" fontId="4" fillId="0" borderId="1" xfId="0" applyNumberFormat="1" applyFont="1" applyBorder="1" applyAlignment="1" applyProtection="1">
      <alignment horizontal="center"/>
      <protection locked="0"/>
    </xf>
    <xf numFmtId="49" fontId="8" fillId="0" borderId="13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4" xfId="0" applyFont="1" applyBorder="1" applyAlignment="1" applyProtection="1">
      <alignment horizontal="center"/>
      <protection locked="0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zoomScale="80" zoomScaleNormal="80" workbookViewId="0">
      <selection activeCell="G5" sqref="G5:L5"/>
    </sheetView>
  </sheetViews>
  <sheetFormatPr defaultColWidth="9.140625" defaultRowHeight="15.75" x14ac:dyDescent="0.25"/>
  <cols>
    <col min="1" max="1" width="7.140625" style="2" bestFit="1" customWidth="1"/>
    <col min="2" max="2" width="12" style="1" customWidth="1"/>
    <col min="3" max="3" width="35.42578125" style="3" bestFit="1" customWidth="1"/>
    <col min="4" max="4" width="59.85546875" style="4" customWidth="1"/>
    <col min="5" max="5" width="20.42578125" style="2" bestFit="1" customWidth="1"/>
    <col min="6" max="6" width="29.140625" style="2" bestFit="1" customWidth="1"/>
    <col min="7" max="7" width="37.42578125" style="2" customWidth="1"/>
    <col min="8" max="8" width="17.42578125" style="2" customWidth="1"/>
    <col min="9" max="9" width="12.42578125" style="2" bestFit="1" customWidth="1"/>
    <col min="10" max="10" width="10.140625" style="2" customWidth="1"/>
    <col min="11" max="11" width="8.5703125" style="2" customWidth="1"/>
    <col min="12" max="12" width="15.85546875" style="2" customWidth="1"/>
    <col min="13" max="13" width="20.85546875" style="2" customWidth="1"/>
    <col min="14" max="14" width="58.85546875" style="37" customWidth="1"/>
    <col min="15" max="16384" width="9.140625" style="1"/>
  </cols>
  <sheetData>
    <row r="1" spans="1:14" ht="27" customHeight="1" x14ac:dyDescent="0.25">
      <c r="A1" s="96" t="s">
        <v>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</row>
    <row r="2" spans="1:14" ht="21" x14ac:dyDescent="0.35">
      <c r="A2" s="102" t="s">
        <v>44</v>
      </c>
      <c r="B2" s="103"/>
      <c r="C2" s="103"/>
      <c r="D2" s="103"/>
      <c r="E2" s="103" t="s">
        <v>54</v>
      </c>
      <c r="F2" s="103"/>
      <c r="G2" s="103"/>
      <c r="H2" s="103"/>
      <c r="I2" s="103"/>
      <c r="J2" s="103"/>
      <c r="K2" s="103"/>
      <c r="L2" s="103"/>
      <c r="M2" s="103" t="s">
        <v>11</v>
      </c>
      <c r="N2" s="112"/>
    </row>
    <row r="3" spans="1:14" ht="18.75" x14ac:dyDescent="0.3">
      <c r="A3" s="84" t="s">
        <v>12</v>
      </c>
      <c r="B3" s="85"/>
      <c r="C3" s="85"/>
      <c r="D3" s="85"/>
      <c r="E3" s="86" t="s">
        <v>4</v>
      </c>
      <c r="F3" s="87"/>
      <c r="G3" s="108" t="s">
        <v>53</v>
      </c>
      <c r="H3" s="109"/>
      <c r="I3" s="109"/>
      <c r="J3" s="109"/>
      <c r="K3" s="109"/>
      <c r="L3" s="109"/>
      <c r="M3" s="80" t="s">
        <v>18</v>
      </c>
      <c r="N3" s="81"/>
    </row>
    <row r="4" spans="1:14" ht="18.75" x14ac:dyDescent="0.3">
      <c r="A4" s="99" t="s">
        <v>13</v>
      </c>
      <c r="B4" s="100"/>
      <c r="C4" s="100"/>
      <c r="D4" s="101"/>
      <c r="E4" s="88" t="s">
        <v>5</v>
      </c>
      <c r="F4" s="88"/>
      <c r="G4" s="108" t="s">
        <v>61</v>
      </c>
      <c r="H4" s="109"/>
      <c r="I4" s="109"/>
      <c r="J4" s="109"/>
      <c r="K4" s="109"/>
      <c r="L4" s="109"/>
      <c r="M4" s="80" t="s">
        <v>38</v>
      </c>
      <c r="N4" s="81"/>
    </row>
    <row r="5" spans="1:14" x14ac:dyDescent="0.25">
      <c r="A5" s="110" t="s">
        <v>0</v>
      </c>
      <c r="B5" s="111"/>
      <c r="C5" s="63"/>
      <c r="D5" s="63"/>
      <c r="E5" s="69" t="s">
        <v>8</v>
      </c>
      <c r="F5" s="69"/>
      <c r="G5" s="105" t="s">
        <v>40</v>
      </c>
      <c r="H5" s="105"/>
      <c r="I5" s="105"/>
      <c r="J5" s="105"/>
      <c r="K5" s="105"/>
      <c r="L5" s="105"/>
      <c r="M5" s="80" t="s">
        <v>20</v>
      </c>
      <c r="N5" s="81"/>
    </row>
    <row r="6" spans="1:14" x14ac:dyDescent="0.25">
      <c r="A6" s="106" t="s">
        <v>17</v>
      </c>
      <c r="B6" s="107"/>
      <c r="C6" s="63"/>
      <c r="D6" s="63"/>
      <c r="E6" s="104"/>
      <c r="F6" s="104"/>
      <c r="G6" s="104"/>
      <c r="H6" s="104"/>
      <c r="I6" s="104"/>
      <c r="J6" s="104"/>
      <c r="K6" s="104"/>
      <c r="L6" s="104"/>
      <c r="M6" s="82" t="s">
        <v>52</v>
      </c>
      <c r="N6" s="89"/>
    </row>
    <row r="7" spans="1:14" ht="18" customHeight="1" x14ac:dyDescent="0.25">
      <c r="A7" s="68" t="s">
        <v>3</v>
      </c>
      <c r="B7" s="69"/>
      <c r="C7" s="63"/>
      <c r="D7" s="64"/>
      <c r="E7" s="69"/>
      <c r="F7" s="69"/>
      <c r="G7" s="69"/>
      <c r="H7" s="69"/>
      <c r="I7" s="69"/>
      <c r="J7" s="69"/>
      <c r="K7" s="69"/>
      <c r="L7" s="69"/>
      <c r="M7" s="82"/>
      <c r="N7" s="83"/>
    </row>
    <row r="8" spans="1:14" ht="18" customHeight="1" x14ac:dyDescent="0.25">
      <c r="A8" s="68" t="s">
        <v>2</v>
      </c>
      <c r="B8" s="69"/>
      <c r="C8" s="63"/>
      <c r="D8" s="64"/>
      <c r="E8" s="70" t="s">
        <v>15</v>
      </c>
      <c r="F8" s="71"/>
      <c r="G8" s="71"/>
      <c r="H8" s="71"/>
      <c r="I8" s="71"/>
      <c r="J8" s="71"/>
      <c r="K8" s="71"/>
      <c r="L8" s="71"/>
      <c r="M8" s="90"/>
      <c r="N8" s="91"/>
    </row>
    <row r="9" spans="1:14" ht="21.75" customHeight="1" x14ac:dyDescent="0.3">
      <c r="A9" s="68" t="s">
        <v>6</v>
      </c>
      <c r="B9" s="69"/>
      <c r="C9" s="63"/>
      <c r="D9" s="64"/>
      <c r="E9" s="65" t="s">
        <v>10</v>
      </c>
      <c r="F9" s="66"/>
      <c r="G9" s="66"/>
      <c r="H9" s="66"/>
      <c r="I9" s="66"/>
      <c r="J9" s="66"/>
      <c r="K9" s="66"/>
      <c r="L9" s="67"/>
      <c r="M9" s="92" t="s">
        <v>39</v>
      </c>
      <c r="N9" s="93"/>
    </row>
    <row r="10" spans="1:14" ht="18" customHeight="1" x14ac:dyDescent="0.25">
      <c r="A10" s="73"/>
      <c r="B10" s="74"/>
      <c r="C10" s="74"/>
      <c r="D10" s="74"/>
      <c r="E10" s="70" t="s">
        <v>19</v>
      </c>
      <c r="F10" s="71"/>
      <c r="G10" s="71"/>
      <c r="H10" s="71"/>
      <c r="I10" s="71"/>
      <c r="J10" s="71"/>
      <c r="K10" s="71"/>
      <c r="L10" s="72"/>
      <c r="M10" s="94"/>
      <c r="N10" s="95"/>
    </row>
    <row r="11" spans="1:14" ht="18" customHeight="1" thickBot="1" x14ac:dyDescent="0.3">
      <c r="A11" s="75"/>
      <c r="B11" s="76"/>
      <c r="C11" s="76"/>
      <c r="D11" s="76"/>
      <c r="E11" s="77" t="s">
        <v>14</v>
      </c>
      <c r="F11" s="78"/>
      <c r="G11" s="78"/>
      <c r="H11" s="78"/>
      <c r="I11" s="78"/>
      <c r="J11" s="78"/>
      <c r="K11" s="78"/>
      <c r="L11" s="79"/>
      <c r="M11" s="94"/>
      <c r="N11" s="95"/>
    </row>
    <row r="12" spans="1:14" ht="29.25" thickBot="1" x14ac:dyDescent="0.5">
      <c r="A12" s="60" t="s">
        <v>56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2"/>
    </row>
    <row r="13" spans="1:14" ht="36" customHeight="1" x14ac:dyDescent="0.3">
      <c r="A13" s="17" t="s">
        <v>21</v>
      </c>
      <c r="B13" s="18" t="s">
        <v>22</v>
      </c>
      <c r="C13" s="19" t="s">
        <v>28</v>
      </c>
      <c r="D13" s="20" t="s">
        <v>1</v>
      </c>
      <c r="E13" s="19" t="s">
        <v>25</v>
      </c>
      <c r="F13" s="19" t="s">
        <v>26</v>
      </c>
      <c r="G13" s="20" t="s">
        <v>37</v>
      </c>
      <c r="H13" s="19" t="s">
        <v>46</v>
      </c>
      <c r="I13" s="54" t="s">
        <v>27</v>
      </c>
      <c r="J13" s="19" t="s">
        <v>7</v>
      </c>
      <c r="K13" s="19" t="s">
        <v>9</v>
      </c>
      <c r="L13" s="19" t="s">
        <v>23</v>
      </c>
      <c r="M13" s="21" t="s">
        <v>24</v>
      </c>
      <c r="N13" s="22" t="s">
        <v>45</v>
      </c>
    </row>
    <row r="14" spans="1:14" ht="19.5" thickBot="1" x14ac:dyDescent="0.3">
      <c r="A14" s="14" t="s">
        <v>16</v>
      </c>
      <c r="B14" s="15"/>
      <c r="C14" s="7" t="s">
        <v>42</v>
      </c>
      <c r="D14" s="7" t="s">
        <v>51</v>
      </c>
      <c r="E14" s="13" t="s">
        <v>47</v>
      </c>
      <c r="F14" s="9"/>
      <c r="G14" s="9"/>
      <c r="H14" s="9"/>
      <c r="I14" s="16">
        <v>24</v>
      </c>
      <c r="J14" s="8" t="s">
        <v>35</v>
      </c>
      <c r="K14" s="55">
        <v>3062</v>
      </c>
      <c r="L14" s="10">
        <v>0</v>
      </c>
      <c r="M14" s="6">
        <f t="shared" ref="M14" si="0">K14*L14</f>
        <v>0</v>
      </c>
      <c r="N14" s="11"/>
    </row>
    <row r="15" spans="1:14" ht="19.5" customHeight="1" thickBot="1" x14ac:dyDescent="0.3">
      <c r="A15" s="23"/>
      <c r="C15" s="1"/>
      <c r="D15" s="56" t="s">
        <v>55</v>
      </c>
      <c r="E15" s="1"/>
      <c r="F15" s="24"/>
      <c r="G15" s="24"/>
      <c r="H15" s="24"/>
      <c r="I15" s="24"/>
      <c r="J15" s="24"/>
      <c r="K15" s="58"/>
      <c r="L15" s="59"/>
      <c r="M15" s="12">
        <f>SUM(M14:M14)</f>
        <v>0</v>
      </c>
      <c r="N15" s="25"/>
    </row>
    <row r="16" spans="1:14" ht="16.5" customHeight="1" thickBot="1" x14ac:dyDescent="0.35">
      <c r="A16" s="26"/>
      <c r="B16" s="24"/>
      <c r="C16" s="27"/>
      <c r="D16" s="57"/>
      <c r="E16" s="47" t="s">
        <v>48</v>
      </c>
      <c r="F16" s="48"/>
      <c r="G16" s="49"/>
      <c r="H16" s="24"/>
      <c r="I16" s="24"/>
      <c r="J16" s="24"/>
      <c r="K16" s="28"/>
      <c r="L16" s="5"/>
      <c r="M16" s="29"/>
      <c r="N16" s="25"/>
    </row>
    <row r="17" spans="1:14" ht="18.75" x14ac:dyDescent="0.3">
      <c r="E17" s="50" t="s">
        <v>36</v>
      </c>
      <c r="F17" s="51"/>
      <c r="G17" s="52"/>
    </row>
    <row r="19" spans="1:14" ht="16.5" thickBot="1" x14ac:dyDescent="0.3">
      <c r="A19" s="30"/>
      <c r="B19" s="31"/>
      <c r="C19" s="32"/>
      <c r="D19" s="33"/>
      <c r="E19" s="34"/>
      <c r="F19" s="34"/>
      <c r="G19" s="34"/>
      <c r="H19" s="34"/>
      <c r="I19" s="34"/>
      <c r="J19" s="34"/>
      <c r="K19" s="34"/>
      <c r="L19" s="34"/>
      <c r="M19" s="34"/>
      <c r="N19" s="35"/>
    </row>
    <row r="20" spans="1:14" ht="29.25" thickBot="1" x14ac:dyDescent="0.5">
      <c r="A20" s="60" t="s">
        <v>57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</row>
    <row r="21" spans="1:14" ht="56.25" x14ac:dyDescent="0.3">
      <c r="A21" s="17" t="s">
        <v>21</v>
      </c>
      <c r="B21" s="18" t="s">
        <v>22</v>
      </c>
      <c r="C21" s="19" t="s">
        <v>28</v>
      </c>
      <c r="D21" s="20" t="s">
        <v>1</v>
      </c>
      <c r="E21" s="19" t="s">
        <v>29</v>
      </c>
      <c r="F21" s="19" t="s">
        <v>30</v>
      </c>
      <c r="G21" s="20" t="s">
        <v>37</v>
      </c>
      <c r="H21" s="19" t="s">
        <v>46</v>
      </c>
      <c r="I21" s="54" t="s">
        <v>27</v>
      </c>
      <c r="J21" s="19" t="s">
        <v>7</v>
      </c>
      <c r="K21" s="19" t="s">
        <v>9</v>
      </c>
      <c r="L21" s="19" t="s">
        <v>23</v>
      </c>
      <c r="M21" s="21" t="s">
        <v>24</v>
      </c>
      <c r="N21" s="22" t="s">
        <v>45</v>
      </c>
    </row>
    <row r="22" spans="1:14" ht="19.5" thickBot="1" x14ac:dyDescent="0.3">
      <c r="A22" s="14" t="s">
        <v>31</v>
      </c>
      <c r="B22" s="15"/>
      <c r="C22" s="7" t="s">
        <v>42</v>
      </c>
      <c r="D22" s="7" t="s">
        <v>51</v>
      </c>
      <c r="E22" s="13" t="s">
        <v>47</v>
      </c>
      <c r="F22" s="9"/>
      <c r="G22" s="9"/>
      <c r="H22" s="9"/>
      <c r="I22" s="16">
        <v>24</v>
      </c>
      <c r="J22" s="8" t="s">
        <v>35</v>
      </c>
      <c r="K22" s="55">
        <v>3062</v>
      </c>
      <c r="L22" s="10">
        <v>0</v>
      </c>
      <c r="M22" s="6">
        <f t="shared" ref="M22" si="1">K22*L22</f>
        <v>0</v>
      </c>
      <c r="N22" s="11"/>
    </row>
    <row r="23" spans="1:14" ht="19.5" customHeight="1" thickBot="1" x14ac:dyDescent="0.3">
      <c r="A23" s="23"/>
      <c r="C23" s="1"/>
      <c r="D23" s="56" t="s">
        <v>55</v>
      </c>
      <c r="E23" s="1"/>
      <c r="F23" s="24"/>
      <c r="G23" s="24"/>
      <c r="H23" s="24"/>
      <c r="I23" s="24"/>
      <c r="J23" s="24"/>
      <c r="K23" s="58"/>
      <c r="L23" s="59"/>
      <c r="M23" s="12">
        <f>SUM(M22:M22)</f>
        <v>0</v>
      </c>
      <c r="N23" s="25"/>
    </row>
    <row r="24" spans="1:14" ht="16.5" customHeight="1" thickBot="1" x14ac:dyDescent="0.35">
      <c r="A24" s="26"/>
      <c r="B24" s="24"/>
      <c r="C24" s="27"/>
      <c r="D24" s="57"/>
      <c r="E24" s="47" t="s">
        <v>48</v>
      </c>
      <c r="F24" s="48"/>
      <c r="G24" s="49"/>
      <c r="H24" s="24"/>
      <c r="I24" s="24"/>
      <c r="J24" s="24"/>
      <c r="K24" s="28"/>
      <c r="L24" s="5"/>
      <c r="M24" s="29"/>
      <c r="N24" s="25"/>
    </row>
    <row r="25" spans="1:14" ht="19.5" thickBot="1" x14ac:dyDescent="0.35">
      <c r="E25" s="50" t="s">
        <v>36</v>
      </c>
      <c r="F25" s="51"/>
      <c r="G25" s="52"/>
    </row>
    <row r="26" spans="1:14" ht="29.25" thickBot="1" x14ac:dyDescent="0.5">
      <c r="A26" s="60" t="s">
        <v>58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2"/>
    </row>
    <row r="27" spans="1:14" ht="36" customHeight="1" x14ac:dyDescent="0.3">
      <c r="A27" s="17" t="s">
        <v>21</v>
      </c>
      <c r="B27" s="18" t="s">
        <v>22</v>
      </c>
      <c r="C27" s="19" t="s">
        <v>28</v>
      </c>
      <c r="D27" s="20" t="s">
        <v>1</v>
      </c>
      <c r="E27" s="19" t="s">
        <v>25</v>
      </c>
      <c r="F27" s="19" t="s">
        <v>26</v>
      </c>
      <c r="G27" s="20" t="s">
        <v>37</v>
      </c>
      <c r="H27" s="19" t="s">
        <v>46</v>
      </c>
      <c r="I27" s="54" t="s">
        <v>27</v>
      </c>
      <c r="J27" s="19" t="s">
        <v>7</v>
      </c>
      <c r="K27" s="19" t="s">
        <v>9</v>
      </c>
      <c r="L27" s="19" t="s">
        <v>23</v>
      </c>
      <c r="M27" s="21" t="s">
        <v>24</v>
      </c>
      <c r="N27" s="22" t="s">
        <v>45</v>
      </c>
    </row>
    <row r="28" spans="1:14" ht="19.5" thickBot="1" x14ac:dyDescent="0.3">
      <c r="A28" s="14" t="s">
        <v>32</v>
      </c>
      <c r="B28" s="15"/>
      <c r="C28" s="7" t="s">
        <v>42</v>
      </c>
      <c r="D28" s="7" t="s">
        <v>51</v>
      </c>
      <c r="E28" s="13" t="s">
        <v>47</v>
      </c>
      <c r="F28" s="9"/>
      <c r="G28" s="9"/>
      <c r="H28" s="9"/>
      <c r="I28" s="16">
        <v>24</v>
      </c>
      <c r="J28" s="8" t="s">
        <v>35</v>
      </c>
      <c r="K28" s="55">
        <v>3062</v>
      </c>
      <c r="L28" s="10">
        <v>0</v>
      </c>
      <c r="M28" s="6">
        <f t="shared" ref="M28" si="2">K28*L28</f>
        <v>0</v>
      </c>
      <c r="N28" s="11"/>
    </row>
    <row r="29" spans="1:14" ht="19.5" customHeight="1" thickBot="1" x14ac:dyDescent="0.3">
      <c r="A29" s="23"/>
      <c r="C29" s="1"/>
      <c r="D29" s="56" t="s">
        <v>55</v>
      </c>
      <c r="E29" s="1"/>
      <c r="F29" s="24"/>
      <c r="G29" s="24"/>
      <c r="H29" s="24"/>
      <c r="I29" s="24"/>
      <c r="J29" s="24"/>
      <c r="K29" s="58"/>
      <c r="L29" s="59"/>
      <c r="M29" s="12">
        <f>SUM(M28:M28)</f>
        <v>0</v>
      </c>
      <c r="N29" s="25"/>
    </row>
    <row r="30" spans="1:14" ht="16.5" customHeight="1" thickBot="1" x14ac:dyDescent="0.35">
      <c r="A30" s="26"/>
      <c r="B30" s="24"/>
      <c r="C30" s="27"/>
      <c r="D30" s="57"/>
      <c r="E30" s="47" t="s">
        <v>49</v>
      </c>
      <c r="F30" s="48"/>
      <c r="G30" s="49"/>
      <c r="H30" s="24"/>
      <c r="I30" s="24"/>
      <c r="J30" s="24"/>
      <c r="K30" s="28"/>
      <c r="L30" s="5"/>
      <c r="M30" s="29"/>
      <c r="N30" s="25"/>
    </row>
    <row r="31" spans="1:14" ht="19.5" thickBot="1" x14ac:dyDescent="0.35">
      <c r="E31" s="50" t="s">
        <v>36</v>
      </c>
      <c r="F31" s="51"/>
      <c r="G31" s="52"/>
    </row>
    <row r="32" spans="1:14" ht="29.25" thickBot="1" x14ac:dyDescent="0.5">
      <c r="A32" s="60" t="s">
        <v>59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2"/>
    </row>
    <row r="33" spans="1:14" ht="36" customHeight="1" x14ac:dyDescent="0.3">
      <c r="A33" s="17" t="s">
        <v>21</v>
      </c>
      <c r="B33" s="18" t="s">
        <v>22</v>
      </c>
      <c r="C33" s="19" t="s">
        <v>28</v>
      </c>
      <c r="D33" s="20" t="s">
        <v>1</v>
      </c>
      <c r="E33" s="19" t="s">
        <v>25</v>
      </c>
      <c r="F33" s="19" t="s">
        <v>26</v>
      </c>
      <c r="G33" s="20" t="s">
        <v>37</v>
      </c>
      <c r="H33" s="19" t="s">
        <v>46</v>
      </c>
      <c r="I33" s="54" t="s">
        <v>27</v>
      </c>
      <c r="J33" s="19" t="s">
        <v>7</v>
      </c>
      <c r="K33" s="19" t="s">
        <v>9</v>
      </c>
      <c r="L33" s="19" t="s">
        <v>23</v>
      </c>
      <c r="M33" s="21" t="s">
        <v>24</v>
      </c>
      <c r="N33" s="22" t="s">
        <v>45</v>
      </c>
    </row>
    <row r="34" spans="1:14" ht="19.5" thickBot="1" x14ac:dyDescent="0.3">
      <c r="A34" s="14" t="s">
        <v>33</v>
      </c>
      <c r="B34" s="15"/>
      <c r="C34" s="7" t="s">
        <v>42</v>
      </c>
      <c r="D34" s="7" t="s">
        <v>51</v>
      </c>
      <c r="E34" s="13" t="s">
        <v>47</v>
      </c>
      <c r="F34" s="9"/>
      <c r="G34" s="9"/>
      <c r="H34" s="9"/>
      <c r="I34" s="16">
        <v>24</v>
      </c>
      <c r="J34" s="8" t="s">
        <v>35</v>
      </c>
      <c r="K34" s="55">
        <v>3062</v>
      </c>
      <c r="L34" s="10">
        <v>0</v>
      </c>
      <c r="M34" s="6">
        <f t="shared" ref="M34" si="3">K34*L34</f>
        <v>0</v>
      </c>
      <c r="N34" s="11"/>
    </row>
    <row r="35" spans="1:14" ht="19.5" customHeight="1" thickBot="1" x14ac:dyDescent="0.3">
      <c r="A35" s="23"/>
      <c r="C35" s="1"/>
      <c r="D35" s="56" t="s">
        <v>55</v>
      </c>
      <c r="E35" s="1"/>
      <c r="F35" s="24"/>
      <c r="G35" s="24"/>
      <c r="H35" s="24"/>
      <c r="I35" s="24"/>
      <c r="J35" s="24"/>
      <c r="K35" s="58"/>
      <c r="L35" s="59"/>
      <c r="M35" s="12">
        <f>SUM(M34:M34)</f>
        <v>0</v>
      </c>
      <c r="N35" s="25"/>
    </row>
    <row r="36" spans="1:14" ht="16.5" customHeight="1" thickBot="1" x14ac:dyDescent="0.35">
      <c r="A36" s="26"/>
      <c r="B36" s="24"/>
      <c r="C36" s="27"/>
      <c r="D36" s="57"/>
      <c r="E36" s="47" t="s">
        <v>49</v>
      </c>
      <c r="F36" s="48"/>
      <c r="G36" s="49"/>
      <c r="H36" s="24"/>
      <c r="I36" s="24"/>
      <c r="J36" s="24"/>
      <c r="K36" s="28"/>
      <c r="L36" s="5"/>
      <c r="M36" s="29"/>
      <c r="N36" s="25"/>
    </row>
    <row r="37" spans="1:14" ht="19.5" thickBot="1" x14ac:dyDescent="0.35">
      <c r="E37" s="50" t="s">
        <v>36</v>
      </c>
      <c r="F37" s="51"/>
      <c r="G37" s="52"/>
    </row>
    <row r="38" spans="1:14" ht="29.25" thickBot="1" x14ac:dyDescent="0.5">
      <c r="A38" s="60" t="s">
        <v>60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2"/>
    </row>
    <row r="39" spans="1:14" ht="36" customHeight="1" x14ac:dyDescent="0.3">
      <c r="A39" s="17" t="s">
        <v>21</v>
      </c>
      <c r="B39" s="18" t="s">
        <v>22</v>
      </c>
      <c r="C39" s="19" t="s">
        <v>28</v>
      </c>
      <c r="D39" s="20" t="s">
        <v>1</v>
      </c>
      <c r="E39" s="19" t="s">
        <v>25</v>
      </c>
      <c r="F39" s="19" t="s">
        <v>26</v>
      </c>
      <c r="G39" s="20" t="s">
        <v>37</v>
      </c>
      <c r="H39" s="19" t="s">
        <v>46</v>
      </c>
      <c r="I39" s="54" t="s">
        <v>27</v>
      </c>
      <c r="J39" s="19" t="s">
        <v>7</v>
      </c>
      <c r="K39" s="19" t="s">
        <v>9</v>
      </c>
      <c r="L39" s="19" t="s">
        <v>23</v>
      </c>
      <c r="M39" s="21" t="s">
        <v>24</v>
      </c>
      <c r="N39" s="22" t="s">
        <v>45</v>
      </c>
    </row>
    <row r="40" spans="1:14" ht="19.5" thickBot="1" x14ac:dyDescent="0.3">
      <c r="A40" s="14" t="s">
        <v>34</v>
      </c>
      <c r="B40" s="15"/>
      <c r="C40" s="7" t="s">
        <v>42</v>
      </c>
      <c r="D40" s="7" t="s">
        <v>51</v>
      </c>
      <c r="E40" s="13" t="s">
        <v>47</v>
      </c>
      <c r="F40" s="9"/>
      <c r="G40" s="9"/>
      <c r="H40" s="9"/>
      <c r="I40" s="16">
        <v>24</v>
      </c>
      <c r="J40" s="8" t="s">
        <v>35</v>
      </c>
      <c r="K40" s="55">
        <v>3062</v>
      </c>
      <c r="L40" s="10">
        <v>0</v>
      </c>
      <c r="M40" s="6">
        <f t="shared" ref="M40" si="4">K40*L40</f>
        <v>0</v>
      </c>
      <c r="N40" s="11"/>
    </row>
    <row r="41" spans="1:14" ht="19.5" customHeight="1" thickBot="1" x14ac:dyDescent="0.3">
      <c r="A41" s="23"/>
      <c r="C41" s="1"/>
      <c r="D41" s="56" t="s">
        <v>55</v>
      </c>
      <c r="E41" s="1"/>
      <c r="F41" s="24"/>
      <c r="G41" s="24"/>
      <c r="H41" s="24"/>
      <c r="I41" s="24"/>
      <c r="J41" s="24"/>
      <c r="K41" s="58"/>
      <c r="L41" s="59"/>
      <c r="M41" s="12">
        <f>SUM(M40:M40)</f>
        <v>0</v>
      </c>
      <c r="N41" s="25"/>
    </row>
    <row r="42" spans="1:14" ht="16.5" customHeight="1" thickBot="1" x14ac:dyDescent="0.35">
      <c r="A42" s="26"/>
      <c r="B42" s="24"/>
      <c r="C42" s="27"/>
      <c r="D42" s="57"/>
      <c r="E42" s="47" t="s">
        <v>50</v>
      </c>
      <c r="F42" s="48"/>
      <c r="G42" s="49"/>
      <c r="H42" s="24"/>
      <c r="I42" s="24"/>
      <c r="J42" s="24"/>
      <c r="K42" s="28"/>
      <c r="L42" s="5"/>
      <c r="M42" s="29"/>
      <c r="N42" s="25"/>
    </row>
    <row r="43" spans="1:14" ht="18.75" customHeight="1" x14ac:dyDescent="0.3">
      <c r="E43" s="50" t="s">
        <v>36</v>
      </c>
      <c r="F43" s="51"/>
      <c r="G43" s="52"/>
    </row>
    <row r="48" spans="1:14" s="38" customFormat="1" ht="25.5" customHeight="1" x14ac:dyDescent="0.4">
      <c r="A48" s="36"/>
      <c r="B48" s="53" t="s">
        <v>43</v>
      </c>
      <c r="C48" s="42"/>
      <c r="D48" s="43"/>
      <c r="E48" s="2"/>
      <c r="F48" s="40"/>
      <c r="G48" s="40"/>
      <c r="H48" s="40"/>
      <c r="I48" s="40"/>
      <c r="J48" s="40"/>
      <c r="K48" s="40"/>
      <c r="L48" s="40"/>
      <c r="M48" s="40"/>
      <c r="N48" s="41"/>
    </row>
    <row r="49" spans="1:5" x14ac:dyDescent="0.25">
      <c r="A49" s="36"/>
    </row>
    <row r="50" spans="1:5" ht="26.25" x14ac:dyDescent="0.4">
      <c r="A50" s="39"/>
      <c r="B50" s="44" t="s">
        <v>36</v>
      </c>
      <c r="C50" s="45"/>
      <c r="D50" s="46"/>
      <c r="E50" s="40"/>
    </row>
  </sheetData>
  <sheetProtection formatCells="0" formatColumns="0" formatRows="0"/>
  <mergeCells count="52">
    <mergeCell ref="A1:N1"/>
    <mergeCell ref="A4:D4"/>
    <mergeCell ref="A8:B8"/>
    <mergeCell ref="E7:L7"/>
    <mergeCell ref="A2:D2"/>
    <mergeCell ref="E6:L6"/>
    <mergeCell ref="G5:L5"/>
    <mergeCell ref="A6:B6"/>
    <mergeCell ref="C6:D6"/>
    <mergeCell ref="E2:L2"/>
    <mergeCell ref="G3:L3"/>
    <mergeCell ref="G4:L4"/>
    <mergeCell ref="A5:B5"/>
    <mergeCell ref="M2:N2"/>
    <mergeCell ref="M3:N3"/>
    <mergeCell ref="M4:N4"/>
    <mergeCell ref="M5:N5"/>
    <mergeCell ref="A20:N20"/>
    <mergeCell ref="M7:N7"/>
    <mergeCell ref="A3:D3"/>
    <mergeCell ref="E3:F3"/>
    <mergeCell ref="E4:F4"/>
    <mergeCell ref="E5:F5"/>
    <mergeCell ref="C7:D7"/>
    <mergeCell ref="A7:B7"/>
    <mergeCell ref="M6:N6"/>
    <mergeCell ref="C5:D5"/>
    <mergeCell ref="E8:L8"/>
    <mergeCell ref="M8:N8"/>
    <mergeCell ref="M9:N9"/>
    <mergeCell ref="M10:N11"/>
    <mergeCell ref="D15:D16"/>
    <mergeCell ref="C8:D8"/>
    <mergeCell ref="A26:N26"/>
    <mergeCell ref="D29:D30"/>
    <mergeCell ref="K29:L29"/>
    <mergeCell ref="K15:L15"/>
    <mergeCell ref="C9:D9"/>
    <mergeCell ref="E9:L9"/>
    <mergeCell ref="D23:D24"/>
    <mergeCell ref="K23:L23"/>
    <mergeCell ref="A12:N12"/>
    <mergeCell ref="A9:B9"/>
    <mergeCell ref="E10:L10"/>
    <mergeCell ref="A10:D11"/>
    <mergeCell ref="E11:L11"/>
    <mergeCell ref="D35:D36"/>
    <mergeCell ref="K35:L35"/>
    <mergeCell ref="A32:N32"/>
    <mergeCell ref="A38:N38"/>
    <mergeCell ref="D41:D42"/>
    <mergeCell ref="K41:L41"/>
  </mergeCells>
  <dataValidations count="1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4 A28 A22 A34 A40" xr:uid="{75B50247-ECF4-4F7D-94D1-FFA1BFDF8CC8}">
      <formula1>20</formula1>
    </dataValidation>
  </dataValidations>
  <pageMargins left="0.25" right="0.25" top="0.75" bottom="0.75" header="0.3" footer="0.3"/>
  <pageSetup scale="53" fitToHeight="0" orientation="landscape" r:id="rId1"/>
  <ignoredErrors>
    <ignoredError sqref="A15:B15" numberStoredAsText="1"/>
  </ignoredError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Spreadsheet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ammhinrhodek</dc:creator>
  <cp:lastModifiedBy>Coleman, Jennifer</cp:lastModifiedBy>
  <cp:lastPrinted>2020-08-17T20:22:42Z</cp:lastPrinted>
  <dcterms:created xsi:type="dcterms:W3CDTF">2010-03-17T16:46:03Z</dcterms:created>
  <dcterms:modified xsi:type="dcterms:W3CDTF">2026-04-24T18:14:42Z</dcterms:modified>
</cp:coreProperties>
</file>