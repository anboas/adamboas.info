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https://flankspeed-my.sharepoint-mil.us/personal/naima_yelda_civ_us_navy_mil/Documents/1.0  My Contracts/12.  FY 2026 Contracts/1301335236 20260000089 MOTT/IDC Over SAT_MOTT Training/Section 1 Pre-Award/2. Solicitation Attachments/"/>
    </mc:Choice>
  </mc:AlternateContent>
  <xr:revisionPtr revIDLastSave="166" documentId="13_ncr:1_{749E11A0-FAB9-41D6-9FB8-B9C84E7E761C}" xr6:coauthVersionLast="47" xr6:coauthVersionMax="47" xr10:uidLastSave="{7969DD41-1894-41DF-97EE-D88D2430300F}"/>
  <bookViews>
    <workbookView xWindow="28680" yWindow="90" windowWidth="29040" windowHeight="15510" xr2:uid="{00000000-000D-0000-FFFF-FFFF00000000}"/>
  </bookViews>
  <sheets>
    <sheet name="Cost Breakdown" sheetId="26" r:id="rId1"/>
    <sheet name="Lbr Rates" sheetId="39" r:id="rId2"/>
    <sheet name="Lbr Allocation" sheetId="40" r:id="rId3"/>
    <sheet name="Sheet1" sheetId="3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4" i="26" l="1"/>
  <c r="F23" i="26"/>
  <c r="F22" i="26"/>
  <c r="F21" i="26"/>
  <c r="F20" i="26"/>
  <c r="F19" i="26"/>
  <c r="F18" i="26"/>
  <c r="F17" i="26"/>
  <c r="F16" i="26"/>
  <c r="F15" i="26"/>
  <c r="I24" i="26" l="1"/>
  <c r="L24" i="26" s="1"/>
  <c r="O24" i="26" s="1"/>
  <c r="R24" i="26" s="1"/>
  <c r="I23" i="26"/>
  <c r="L23" i="26" s="1"/>
  <c r="O23" i="26" s="1"/>
  <c r="R23" i="26" s="1"/>
  <c r="I19" i="26"/>
  <c r="L19" i="26" s="1"/>
  <c r="O19" i="26" s="1"/>
  <c r="R19" i="26" s="1"/>
  <c r="I17" i="26"/>
  <c r="L17" i="26" s="1"/>
  <c r="O17" i="26" s="1"/>
  <c r="R17" i="26" s="1"/>
  <c r="I16" i="26"/>
  <c r="L16" i="26" s="1"/>
  <c r="O16" i="26" s="1"/>
  <c r="R16" i="26" s="1"/>
  <c r="T40" i="26"/>
  <c r="Q40" i="26"/>
  <c r="N40" i="26"/>
  <c r="K40" i="26"/>
  <c r="H40" i="26"/>
  <c r="H39" i="26"/>
  <c r="S26" i="26"/>
  <c r="S44" i="26" s="1"/>
  <c r="P26" i="26"/>
  <c r="P44" i="26" s="1"/>
  <c r="M26" i="26"/>
  <c r="M44" i="26" s="1"/>
  <c r="J26" i="26"/>
  <c r="J44" i="26" s="1"/>
  <c r="G26" i="26"/>
  <c r="G44" i="26" s="1"/>
  <c r="I15" i="26"/>
  <c r="L15" i="26" s="1"/>
  <c r="O15" i="26" s="1"/>
  <c r="R15" i="26" s="1"/>
  <c r="I20" i="26"/>
  <c r="L20" i="26" s="1"/>
  <c r="O20" i="26" s="1"/>
  <c r="R20" i="26" s="1"/>
  <c r="I21" i="26"/>
  <c r="L21" i="26" s="1"/>
  <c r="O21" i="26" s="1"/>
  <c r="R21" i="26" s="1"/>
  <c r="I14" i="26"/>
  <c r="L14" i="26" s="1"/>
  <c r="O14" i="26" s="1"/>
  <c r="R14" i="26" s="1"/>
  <c r="I22" i="26" l="1"/>
  <c r="L22" i="26" s="1"/>
  <c r="O22" i="26" s="1"/>
  <c r="R22" i="26" s="1"/>
  <c r="I18" i="26"/>
  <c r="L18" i="26" s="1"/>
  <c r="O18" i="26" s="1"/>
  <c r="R18" i="26" s="1"/>
  <c r="D15" i="26"/>
  <c r="D16" i="26"/>
  <c r="D17" i="26"/>
  <c r="D18" i="26"/>
  <c r="D19" i="26"/>
  <c r="D20" i="26"/>
  <c r="D21" i="26"/>
  <c r="D22" i="26"/>
  <c r="D23" i="26"/>
  <c r="D24" i="26"/>
  <c r="D14" i="26" l="1"/>
  <c r="D26" i="26" s="1"/>
  <c r="T39" i="26" l="1"/>
  <c r="Q39" i="26"/>
  <c r="N39" i="26"/>
  <c r="K39" i="26"/>
  <c r="K41" i="26" l="1"/>
  <c r="E37" i="26"/>
  <c r="E56" i="26" l="1"/>
  <c r="E55" i="26"/>
  <c r="E39" i="26"/>
  <c r="G13" i="40" l="1"/>
  <c r="F13" i="40"/>
  <c r="E13" i="40"/>
  <c r="D13" i="40"/>
  <c r="C13" i="40"/>
  <c r="H22" i="40"/>
  <c r="H21" i="40"/>
  <c r="H20" i="40"/>
  <c r="H19" i="40"/>
  <c r="H18" i="40"/>
  <c r="H17" i="40"/>
  <c r="H16" i="40"/>
  <c r="H15" i="40"/>
  <c r="H14" i="40"/>
  <c r="H12" i="40"/>
  <c r="H16" i="26"/>
  <c r="H14" i="26"/>
  <c r="Q41" i="26"/>
  <c r="Q42" i="26" s="1"/>
  <c r="Q48" i="26" s="1"/>
  <c r="N41" i="26"/>
  <c r="N42" i="26" s="1"/>
  <c r="N48" i="26" s="1"/>
  <c r="T41" i="26"/>
  <c r="T42" i="26" s="1"/>
  <c r="T48" i="26" s="1"/>
  <c r="H13" i="40" l="1"/>
  <c r="K42" i="26"/>
  <c r="K48" i="26" s="1"/>
  <c r="E40" i="26"/>
  <c r="H41" i="26"/>
  <c r="H15" i="26"/>
  <c r="H17" i="26"/>
  <c r="H18" i="26"/>
  <c r="H19" i="26"/>
  <c r="H20" i="26"/>
  <c r="H21" i="26"/>
  <c r="H22" i="26"/>
  <c r="H23" i="26"/>
  <c r="H24" i="26"/>
  <c r="K23" i="26"/>
  <c r="K24" i="26"/>
  <c r="K22" i="26"/>
  <c r="K21" i="26"/>
  <c r="K17" i="26"/>
  <c r="K15" i="26"/>
  <c r="H57" i="26"/>
  <c r="H58" i="26" s="1"/>
  <c r="T57" i="26"/>
  <c r="T58" i="26" s="1"/>
  <c r="Q57" i="26"/>
  <c r="Q58" i="26" s="1"/>
  <c r="N57" i="26"/>
  <c r="N58" i="26" s="1"/>
  <c r="K57" i="26"/>
  <c r="H26" i="26" l="1"/>
  <c r="H42" i="26"/>
  <c r="H48" i="26" s="1"/>
  <c r="E41" i="26"/>
  <c r="K58" i="26"/>
  <c r="E58" i="26" s="1"/>
  <c r="E57" i="26"/>
  <c r="N17" i="26"/>
  <c r="N24" i="26"/>
  <c r="N22" i="26"/>
  <c r="N21" i="26"/>
  <c r="K20" i="26"/>
  <c r="N18" i="26"/>
  <c r="K18" i="26"/>
  <c r="N15" i="26"/>
  <c r="K14" i="26"/>
  <c r="N23" i="26"/>
  <c r="K16" i="26"/>
  <c r="N20" i="26"/>
  <c r="K19" i="26"/>
  <c r="N14" i="26"/>
  <c r="K26" i="26" l="1"/>
  <c r="D44" i="26"/>
  <c r="H28" i="26"/>
  <c r="Q24" i="26"/>
  <c r="Q18" i="26"/>
  <c r="T18" i="26"/>
  <c r="T17" i="26"/>
  <c r="Q17" i="26"/>
  <c r="Q15" i="26"/>
  <c r="T15" i="26"/>
  <c r="E48" i="26"/>
  <c r="N16" i="26"/>
  <c r="T23" i="26"/>
  <c r="Q23" i="26"/>
  <c r="T14" i="26"/>
  <c r="Q14" i="26"/>
  <c r="Q21" i="26"/>
  <c r="T21" i="26"/>
  <c r="N19" i="26"/>
  <c r="T20" i="26"/>
  <c r="Q20" i="26"/>
  <c r="N26" i="26" l="1"/>
  <c r="E20" i="26"/>
  <c r="E17" i="26"/>
  <c r="E23" i="26"/>
  <c r="E15" i="26"/>
  <c r="E21" i="26"/>
  <c r="E18" i="26"/>
  <c r="E14" i="26"/>
  <c r="H29" i="26"/>
  <c r="H30" i="26" s="1"/>
  <c r="T24" i="26"/>
  <c r="E24" i="26" s="1"/>
  <c r="Q22" i="26"/>
  <c r="T22" i="26"/>
  <c r="K28" i="26"/>
  <c r="T16" i="26"/>
  <c r="Q16" i="26"/>
  <c r="T19" i="26"/>
  <c r="Q19" i="26"/>
  <c r="Q26" i="26" l="1"/>
  <c r="T26" i="26"/>
  <c r="E16" i="26"/>
  <c r="E19" i="26"/>
  <c r="E22" i="26"/>
  <c r="N28" i="26"/>
  <c r="N29" i="26" s="1"/>
  <c r="N30" i="26" s="1"/>
  <c r="K29" i="26"/>
  <c r="H31" i="26" l="1"/>
  <c r="Q28" i="26"/>
  <c r="N31" i="26"/>
  <c r="N33" i="26" s="1"/>
  <c r="N44" i="26" s="1"/>
  <c r="K30" i="26"/>
  <c r="H33" i="26" l="1"/>
  <c r="Q29" i="26"/>
  <c r="N47" i="26"/>
  <c r="N49" i="26" s="1"/>
  <c r="K31" i="26"/>
  <c r="Q30" i="26" l="1"/>
  <c r="H47" i="26"/>
  <c r="H49" i="26" s="1"/>
  <c r="H44" i="26"/>
  <c r="N51" i="26"/>
  <c r="N60" i="26" s="1"/>
  <c r="K33" i="26"/>
  <c r="H51" i="26" l="1"/>
  <c r="H60" i="26" s="1"/>
  <c r="Q31" i="26"/>
  <c r="K47" i="26"/>
  <c r="K44" i="26"/>
  <c r="Q33" i="26" l="1"/>
  <c r="K49" i="26"/>
  <c r="Q44" i="26" l="1"/>
  <c r="Q47" i="26"/>
  <c r="K51" i="26"/>
  <c r="Q49" i="26" l="1"/>
  <c r="K60" i="26"/>
  <c r="Q51" i="26" l="1"/>
  <c r="Q60" i="26" l="1"/>
  <c r="T28" i="26"/>
  <c r="E26" i="26"/>
  <c r="T29" i="26" l="1"/>
  <c r="T30" i="26" s="1"/>
  <c r="E28" i="26"/>
  <c r="E29" i="26" l="1"/>
  <c r="E30" i="26"/>
  <c r="T31" i="26"/>
  <c r="T33" i="26" s="1"/>
  <c r="E31" i="26" l="1"/>
  <c r="E33" i="26"/>
  <c r="T47" i="26"/>
  <c r="T44" i="26"/>
  <c r="E44" i="26" s="1"/>
  <c r="E47" i="26" l="1"/>
  <c r="T49" i="26"/>
  <c r="E49" i="26" l="1"/>
  <c r="T51" i="26"/>
  <c r="T60" i="26" l="1"/>
  <c r="E60" i="26" s="1"/>
  <c r="E51" i="26"/>
</calcChain>
</file>

<file path=xl/sharedStrings.xml><?xml version="1.0" encoding="utf-8"?>
<sst xmlns="http://schemas.openxmlformats.org/spreadsheetml/2006/main" count="135" uniqueCount="83">
  <si>
    <t>Labor Category</t>
  </si>
  <si>
    <t>Hours</t>
  </si>
  <si>
    <t>Amount</t>
  </si>
  <si>
    <t>Cost Elements</t>
  </si>
  <si>
    <t>G&amp;A</t>
  </si>
  <si>
    <t>Total Prime Contractor Labor Cost</t>
  </si>
  <si>
    <t>Prime Contractor Labor Cost</t>
  </si>
  <si>
    <t>Subcontractor Labor Cost</t>
  </si>
  <si>
    <t>Fixed Fee</t>
  </si>
  <si>
    <t>Prime Contractor Indirect Labor Cost</t>
  </si>
  <si>
    <t>Total Direct Labor Cost</t>
  </si>
  <si>
    <t>Total Indirect Labor Cost</t>
  </si>
  <si>
    <t>Total Labor Cost Plus Fixed Fee (CPFF)</t>
  </si>
  <si>
    <t>Other Direct Costs</t>
  </si>
  <si>
    <t>Total ODCs</t>
  </si>
  <si>
    <t>Total Subcontractor Cost including pass through</t>
  </si>
  <si>
    <t>Any adders to ODCs such as G&amp;A (cost only - no fee)</t>
  </si>
  <si>
    <t>Total pass through (not including fee)</t>
  </si>
  <si>
    <t>Travel</t>
  </si>
  <si>
    <t>escalation</t>
  </si>
  <si>
    <t>Employee Name</t>
  </si>
  <si>
    <t>Fringe Benefits</t>
  </si>
  <si>
    <t>Overhead - Government</t>
  </si>
  <si>
    <t xml:space="preserve"> </t>
  </si>
  <si>
    <t>Materials and Subcontracts</t>
  </si>
  <si>
    <t>Total Labor Cost (Prime and Subcontractor Labor)</t>
  </si>
  <si>
    <t xml:space="preserve">Prime Contractor Fixed  Fee for Prime Contractor Labor </t>
  </si>
  <si>
    <t>Prime Contractor Fixed  Fee for Subcontractor Labor *</t>
  </si>
  <si>
    <t>Total Fixed  Fee (for Prime and Subcontractor Labor)</t>
  </si>
  <si>
    <t>Total CPFF all CLINs (Labor and ODCs)</t>
  </si>
  <si>
    <t xml:space="preserve">Prime Contractor Direct Labor </t>
  </si>
  <si>
    <t>Instructions to Offerors:</t>
  </si>
  <si>
    <t>(3) Offeror shall not enter amounts into cells with no highlight.  These cells are calculated automatically.</t>
  </si>
  <si>
    <t>*DLR</t>
  </si>
  <si>
    <t>(1)  Offeror shall enter, into cells highlighted in blue, all proposed Direct Labor Rates (DLR) per hour by labor category, escalation rate(s), indirect rates (percentage) , fixed fee, and travel cost  for each contract period.</t>
  </si>
  <si>
    <t>ALL CLINs</t>
  </si>
  <si>
    <t xml:space="preserve">Base Year
</t>
  </si>
  <si>
    <t xml:space="preserve">Option Year 1
</t>
  </si>
  <si>
    <t xml:space="preserve">Option Year 2
</t>
  </si>
  <si>
    <t xml:space="preserve">Option Year 3
</t>
  </si>
  <si>
    <t xml:space="preserve">Option Year 4
</t>
  </si>
  <si>
    <t xml:space="preserve">BASE YEAR </t>
  </si>
  <si>
    <t xml:space="preserve">OPTON 1 </t>
  </si>
  <si>
    <t xml:space="preserve">OPTON 2 </t>
  </si>
  <si>
    <t xml:space="preserve">OPTON 3 </t>
  </si>
  <si>
    <t>OPTON 4 -</t>
  </si>
  <si>
    <t>Material</t>
  </si>
  <si>
    <t xml:space="preserve">Total </t>
  </si>
  <si>
    <t>Prime</t>
  </si>
  <si>
    <t>Enter Unburden Labor Rates</t>
  </si>
  <si>
    <t xml:space="preserve">Total labor allocation among Prime and Subcontractor(s) </t>
  </si>
  <si>
    <t xml:space="preserve">Instruction to Offeror: </t>
  </si>
  <si>
    <t>(2)  The cells highlighted in yellow above include RFP-specified labor hours, to be proposed by labor category for each contract period.  If a prime offeror or subcontractor is proposing ONLY a portion of these total hours, the prime offeror/subcontractor shall adjust the hours in the schedule above to reflect the actual number of hours it is proposing.  However, total prime offeror and subcontractor labor hours, when combined, must equal the total number of labor hours, by labor category, as specified in the RFP.  Prime must show allocation (breakdown) of hours being proposed by the Prime and Subcontractor(s) in tab "Lbr Allocation."</t>
  </si>
  <si>
    <t xml:space="preserve">Prime offeror must show allocation of hours for Prime and Subcontractors. Total prime offeror and subcontractor labor hours, when combined, must equal the total number of labor hours, by labor category, as specified in the RFP.  </t>
  </si>
  <si>
    <t xml:space="preserve">Input Sub Name </t>
  </si>
  <si>
    <r>
      <rPr>
        <b/>
        <sz val="10"/>
        <color indexed="10"/>
        <rFont val="Calibri"/>
        <family val="2"/>
        <scheme val="minor"/>
      </rPr>
      <t xml:space="preserve">* </t>
    </r>
    <r>
      <rPr>
        <b/>
        <sz val="10"/>
        <color indexed="8"/>
        <rFont val="Calibri"/>
        <family val="2"/>
        <scheme val="minor"/>
      </rPr>
      <t>DLR = Direct Labor Rate per Hr</t>
    </r>
  </si>
  <si>
    <t>Total proposed subcontractor labor cost and fee</t>
  </si>
  <si>
    <t>Subcontractor proposed cost and fee</t>
  </si>
  <si>
    <t>Prime contractor pass through (not including fee)</t>
  </si>
  <si>
    <t>MOTT-Project Manager-CNAP</t>
  </si>
  <si>
    <t>Training Instructor Regular-CNAP</t>
  </si>
  <si>
    <t>MOTT-Training Instructor CENTCOM-Regular-CNAP</t>
  </si>
  <si>
    <t>MOTT-Training Instructor at Sea-CNAP</t>
  </si>
  <si>
    <t>MOTT-Training Instructor CENTCOM-SEA-CNAP</t>
  </si>
  <si>
    <t>MOTT-Training Instructor Overtime-CNAP</t>
  </si>
  <si>
    <t>MOTT-Training Instructor Regular-CNAL</t>
  </si>
  <si>
    <t>MOTT-Training Instructor CENTCOM-Regular-CNAL</t>
  </si>
  <si>
    <t>MOTT-Training Instructor at Sea-CNAL</t>
  </si>
  <si>
    <t>MOTT-Training Instructor CENTCOM-Sea-CNAL</t>
  </si>
  <si>
    <t>MOTT-Training Instructor Overtime-CNAL</t>
  </si>
  <si>
    <t>SMEIII</t>
  </si>
  <si>
    <t>SME III Training Instructor Regular-CNAP</t>
  </si>
  <si>
    <t>SME III MOTT-Training Instructor CENTCOM-Regular-CNAP</t>
  </si>
  <si>
    <t>SME III MOTT-Training Instructor at Sea-CNAP</t>
  </si>
  <si>
    <t>SME III MOTT-Training Instructor CENTCOM-SEA-CNAP</t>
  </si>
  <si>
    <t>SME III MOTT-Training Instructor Overtime-CNAP</t>
  </si>
  <si>
    <t>SME III MOTT-Training Instructor Regular-CNAL</t>
  </si>
  <si>
    <t>SME III MOTT-Training Instructor CENTCOM-Regular-CNAL</t>
  </si>
  <si>
    <t>SME III MOTT-Training Instructor at Sea-CNAL</t>
  </si>
  <si>
    <t>SME III MOTT-Training Instructor CENTCOM-Sea-CNAL</t>
  </si>
  <si>
    <t>SME III MOTT-Training Instructor Overtime-CNAL</t>
  </si>
  <si>
    <t xml:space="preserve">MOTT-Project Manager-CNAP </t>
  </si>
  <si>
    <t>SME III MOTT-Project Manager-CNAP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</si>
</sst>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29">
    <font>
      <sz val="10"/>
      <name val="Arial"/>
    </font>
    <font>
      <sz val="10"/>
      <name val="Arial"/>
      <family val="2"/>
    </font>
    <font>
      <b/>
      <sz val="10.5"/>
      <name val="Arial"/>
      <family val="2"/>
    </font>
    <font>
      <i/>
      <sz val="10"/>
      <name val="Arial"/>
      <family val="2"/>
    </font>
    <font>
      <sz val="12"/>
      <name val="Times New Roman"/>
      <family val="1"/>
    </font>
    <font>
      <sz val="10"/>
      <name val="Geneva"/>
    </font>
    <font>
      <sz val="11"/>
      <color theme="1"/>
      <name val="Calibri"/>
      <family val="2"/>
      <scheme val="minor"/>
    </font>
    <font>
      <sz val="12"/>
      <color theme="1"/>
      <name val="Calibri"/>
      <family val="2"/>
      <scheme val="minor"/>
    </font>
    <font>
      <sz val="10"/>
      <color theme="1"/>
      <name val="Times New Roman"/>
      <family val="2"/>
    </font>
    <font>
      <b/>
      <sz val="10"/>
      <name val="Calibri"/>
      <family val="2"/>
      <scheme val="minor"/>
    </font>
    <font>
      <sz val="10"/>
      <name val="Calibri"/>
      <family val="2"/>
      <scheme val="minor"/>
    </font>
    <font>
      <b/>
      <sz val="10.5"/>
      <name val="Calibri"/>
      <family val="2"/>
      <scheme val="minor"/>
    </font>
    <font>
      <b/>
      <sz val="16"/>
      <name val="Calibri"/>
      <family val="2"/>
      <scheme val="minor"/>
    </font>
    <font>
      <b/>
      <sz val="14"/>
      <name val="Calibri"/>
      <family val="2"/>
      <scheme val="minor"/>
    </font>
    <font>
      <b/>
      <i/>
      <sz val="10"/>
      <name val="Calibri"/>
      <family val="2"/>
      <scheme val="minor"/>
    </font>
    <font>
      <b/>
      <sz val="12"/>
      <color rgb="FF0000FF"/>
      <name val="Times New Roman"/>
      <family val="1"/>
    </font>
    <font>
      <sz val="10"/>
      <color theme="1"/>
      <name val="Calibri"/>
      <family val="2"/>
      <scheme val="minor"/>
    </font>
    <font>
      <b/>
      <sz val="10"/>
      <color rgb="FF0000FF"/>
      <name val="Calibri"/>
      <family val="2"/>
      <scheme val="minor"/>
    </font>
    <font>
      <b/>
      <sz val="10"/>
      <color rgb="FF000000"/>
      <name val="Calibri"/>
      <family val="2"/>
      <scheme val="minor"/>
    </font>
    <font>
      <b/>
      <sz val="10"/>
      <color indexed="10"/>
      <name val="Calibri"/>
      <family val="2"/>
      <scheme val="minor"/>
    </font>
    <font>
      <b/>
      <sz val="10"/>
      <color indexed="8"/>
      <name val="Calibri"/>
      <family val="2"/>
      <scheme val="minor"/>
    </font>
    <font>
      <b/>
      <sz val="11"/>
      <name val="Calibri"/>
      <family val="2"/>
      <scheme val="minor"/>
    </font>
    <font>
      <b/>
      <sz val="11"/>
      <name val="Arial"/>
      <family val="2"/>
    </font>
    <font>
      <sz val="11"/>
      <name val="Arial"/>
      <family val="2"/>
    </font>
    <font>
      <sz val="11"/>
      <name val="Calibri"/>
      <family val="2"/>
      <scheme val="minor"/>
    </font>
    <font>
      <i/>
      <sz val="11"/>
      <name val="Arial"/>
      <family val="2"/>
    </font>
    <font>
      <i/>
      <sz val="11"/>
      <name val="Calibri"/>
      <family val="2"/>
      <scheme val="minor"/>
    </font>
    <font>
      <sz val="10"/>
      <color theme="1"/>
      <name val="Consolas"/>
      <family val="3"/>
    </font>
    <font>
      <sz val="10"/>
      <name val="Consolas"/>
      <family val="3"/>
    </font>
  </fonts>
  <fills count="9">
    <fill>
      <patternFill patternType="none"/>
    </fill>
    <fill>
      <patternFill patternType="gray125"/>
    </fill>
    <fill>
      <patternFill patternType="solid">
        <fgColor indexed="22"/>
        <bgColor indexed="64"/>
      </patternFill>
    </fill>
    <fill>
      <patternFill patternType="solid">
        <fgColor rgb="FF66FFFF"/>
        <bgColor indexed="64"/>
      </patternFill>
    </fill>
    <fill>
      <patternFill patternType="solid">
        <fgColor theme="0"/>
        <bgColor indexed="64"/>
      </patternFill>
    </fill>
    <fill>
      <patternFill patternType="solid">
        <fgColor rgb="FFFFFFCC"/>
        <bgColor indexed="64"/>
      </patternFill>
    </fill>
    <fill>
      <patternFill patternType="solid">
        <fgColor rgb="FFCCFFFF"/>
        <bgColor indexed="64"/>
      </patternFill>
    </fill>
    <fill>
      <patternFill patternType="solid">
        <fgColor theme="8" tint="0.59999389629810485"/>
        <bgColor indexed="64"/>
      </patternFill>
    </fill>
    <fill>
      <patternFill patternType="solid">
        <fgColor theme="0" tint="-0.14999847407452621"/>
        <bgColor indexed="64"/>
      </patternFill>
    </fill>
  </fills>
  <borders count="24">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s>
  <cellStyleXfs count="21">
    <xf numFmtId="0" fontId="0" fillId="0" borderId="0"/>
    <xf numFmtId="43" fontId="1"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6" fillId="0" borderId="0" applyFont="0" applyFill="0" applyBorder="0" applyAlignment="0" applyProtection="0"/>
    <xf numFmtId="44" fontId="1" fillId="0" borderId="0" applyFont="0" applyFill="0" applyBorder="0" applyAlignment="0" applyProtection="0"/>
    <xf numFmtId="44" fontId="7" fillId="0" borderId="0" applyFont="0" applyFill="0" applyBorder="0" applyAlignment="0" applyProtection="0"/>
    <xf numFmtId="44" fontId="6" fillId="0" borderId="0" applyFont="0" applyFill="0" applyBorder="0" applyAlignment="0" applyProtection="0"/>
    <xf numFmtId="0" fontId="1" fillId="0" borderId="0"/>
    <xf numFmtId="0" fontId="1" fillId="0" borderId="0"/>
    <xf numFmtId="0" fontId="7" fillId="0" borderId="0"/>
    <xf numFmtId="0" fontId="4" fillId="0" borderId="0"/>
    <xf numFmtId="0" fontId="6" fillId="0" borderId="0"/>
    <xf numFmtId="0" fontId="1" fillId="0" borderId="0"/>
    <xf numFmtId="0" fontId="8" fillId="0" borderId="0"/>
    <xf numFmtId="0" fontId="6"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cellStyleXfs>
  <cellXfs count="126">
    <xf numFmtId="0" fontId="0" fillId="0" borderId="0" xfId="0"/>
    <xf numFmtId="0" fontId="9" fillId="0" borderId="0" xfId="0" applyFont="1"/>
    <xf numFmtId="0" fontId="10" fillId="0" borderId="0" xfId="0" applyFont="1"/>
    <xf numFmtId="0" fontId="9" fillId="2" borderId="0" xfId="0" applyFont="1" applyFill="1"/>
    <xf numFmtId="44" fontId="10" fillId="0" borderId="0" xfId="0" applyNumberFormat="1" applyFont="1"/>
    <xf numFmtId="0" fontId="10" fillId="2" borderId="0" xfId="0" applyFont="1" applyFill="1"/>
    <xf numFmtId="0" fontId="10" fillId="0" borderId="0" xfId="0" applyFont="1" applyAlignment="1">
      <alignment horizontal="right"/>
    </xf>
    <xf numFmtId="10" fontId="10" fillId="3" borderId="0" xfId="0" applyNumberFormat="1" applyFont="1" applyFill="1"/>
    <xf numFmtId="2" fontId="9" fillId="0" borderId="0" xfId="0" applyNumberFormat="1" applyFont="1" applyAlignment="1">
      <alignment horizontal="center"/>
    </xf>
    <xf numFmtId="0" fontId="9" fillId="0" borderId="1" xfId="0" applyFont="1" applyBorder="1"/>
    <xf numFmtId="0" fontId="9"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9" fillId="0" borderId="5" xfId="0" applyFont="1" applyBorder="1" applyAlignment="1">
      <alignment horizontal="center"/>
    </xf>
    <xf numFmtId="0" fontId="9" fillId="0" borderId="6" xfId="0" applyFont="1" applyBorder="1"/>
    <xf numFmtId="0" fontId="10" fillId="0" borderId="7" xfId="0" applyFont="1" applyBorder="1"/>
    <xf numFmtId="0" fontId="9" fillId="0" borderId="9" xfId="0" applyFont="1" applyBorder="1" applyAlignment="1">
      <alignment horizontal="left" indent="1"/>
    </xf>
    <xf numFmtId="0" fontId="10" fillId="0" borderId="10" xfId="0" applyFont="1" applyBorder="1"/>
    <xf numFmtId="0" fontId="10" fillId="0" borderId="9" xfId="0" applyFont="1" applyBorder="1"/>
    <xf numFmtId="0" fontId="10" fillId="0" borderId="11" xfId="0" applyFont="1" applyBorder="1"/>
    <xf numFmtId="0" fontId="10" fillId="0" borderId="9" xfId="0" applyFont="1" applyBorder="1" applyAlignment="1">
      <alignment horizontal="left" indent="1"/>
    </xf>
    <xf numFmtId="44" fontId="10" fillId="3" borderId="9" xfId="0" applyNumberFormat="1" applyFont="1" applyFill="1" applyBorder="1"/>
    <xf numFmtId="0" fontId="10" fillId="0" borderId="12" xfId="0" applyFont="1" applyBorder="1"/>
    <xf numFmtId="0" fontId="9" fillId="4" borderId="9" xfId="0" applyFont="1" applyFill="1" applyBorder="1" applyAlignment="1">
      <alignment horizontal="left" indent="3"/>
    </xf>
    <xf numFmtId="0" fontId="9" fillId="4" borderId="10" xfId="0" applyFont="1" applyFill="1" applyBorder="1"/>
    <xf numFmtId="37" fontId="9" fillId="4" borderId="13" xfId="0" applyNumberFormat="1" applyFont="1" applyFill="1" applyBorder="1"/>
    <xf numFmtId="0" fontId="10" fillId="4" borderId="9" xfId="0" applyFont="1" applyFill="1" applyBorder="1" applyAlignment="1">
      <alignment horizontal="left" indent="1"/>
    </xf>
    <xf numFmtId="0" fontId="10" fillId="4" borderId="10" xfId="0" applyFont="1" applyFill="1" applyBorder="1"/>
    <xf numFmtId="0" fontId="10" fillId="4" borderId="9" xfId="0" applyFont="1" applyFill="1" applyBorder="1" applyAlignment="1">
      <alignment horizontal="left" indent="3"/>
    </xf>
    <xf numFmtId="10" fontId="10" fillId="3" borderId="9" xfId="16" applyNumberFormat="1" applyFont="1" applyFill="1" applyBorder="1"/>
    <xf numFmtId="44" fontId="10" fillId="0" borderId="11" xfId="0" applyNumberFormat="1" applyFont="1" applyBorder="1"/>
    <xf numFmtId="0" fontId="9" fillId="0" borderId="10" xfId="0" applyFont="1" applyBorder="1"/>
    <xf numFmtId="0" fontId="9" fillId="0" borderId="9" xfId="0" applyFont="1" applyBorder="1"/>
    <xf numFmtId="0" fontId="9" fillId="0" borderId="11" xfId="0" applyFont="1" applyBorder="1"/>
    <xf numFmtId="43" fontId="9" fillId="0" borderId="11" xfId="1" applyFont="1" applyBorder="1"/>
    <xf numFmtId="43" fontId="9" fillId="0" borderId="11" xfId="0" applyNumberFormat="1" applyFont="1" applyBorder="1"/>
    <xf numFmtId="0" fontId="9" fillId="0" borderId="9" xfId="0" applyFont="1" applyBorder="1" applyAlignment="1">
      <alignment horizontal="left"/>
    </xf>
    <xf numFmtId="0" fontId="9" fillId="0" borderId="3" xfId="0" applyFont="1" applyBorder="1" applyAlignment="1">
      <alignment horizontal="left"/>
    </xf>
    <xf numFmtId="0" fontId="9" fillId="0" borderId="4" xfId="0" applyFont="1" applyBorder="1"/>
    <xf numFmtId="0" fontId="9" fillId="0" borderId="3" xfId="0" applyFont="1" applyBorder="1"/>
    <xf numFmtId="37" fontId="9" fillId="4" borderId="14" xfId="0" applyNumberFormat="1" applyFont="1" applyFill="1" applyBorder="1"/>
    <xf numFmtId="43" fontId="10" fillId="0" borderId="0" xfId="0" applyNumberFormat="1" applyFont="1"/>
    <xf numFmtId="37" fontId="9" fillId="0" borderId="13" xfId="0" applyNumberFormat="1" applyFont="1" applyBorder="1"/>
    <xf numFmtId="37" fontId="10" fillId="0" borderId="9" xfId="0" applyNumberFormat="1" applyFont="1" applyBorder="1"/>
    <xf numFmtId="44" fontId="10" fillId="0" borderId="10" xfId="0" applyNumberFormat="1" applyFont="1" applyBorder="1"/>
    <xf numFmtId="37" fontId="9" fillId="0" borderId="9" xfId="0" applyNumberFormat="1" applyFont="1" applyBorder="1"/>
    <xf numFmtId="44" fontId="9" fillId="0" borderId="10" xfId="0" applyNumberFormat="1" applyFont="1" applyBorder="1"/>
    <xf numFmtId="10" fontId="10" fillId="0" borderId="9" xfId="16" applyNumberFormat="1" applyFont="1" applyFill="1" applyBorder="1"/>
    <xf numFmtId="43" fontId="9" fillId="0" borderId="9" xfId="0" applyNumberFormat="1" applyFont="1" applyBorder="1"/>
    <xf numFmtId="37" fontId="9" fillId="0" borderId="3" xfId="0" applyNumberFormat="1" applyFont="1" applyBorder="1"/>
    <xf numFmtId="44" fontId="9" fillId="0" borderId="4" xfId="0" applyNumberFormat="1" applyFont="1" applyBorder="1"/>
    <xf numFmtId="44" fontId="9" fillId="0" borderId="10" xfId="5" applyFont="1" applyFill="1" applyBorder="1"/>
    <xf numFmtId="44" fontId="10" fillId="0" borderId="10" xfId="5" applyFont="1" applyFill="1" applyBorder="1"/>
    <xf numFmtId="44" fontId="10" fillId="3" borderId="10" xfId="0" applyNumberFormat="1" applyFont="1" applyFill="1" applyBorder="1"/>
    <xf numFmtId="43" fontId="10" fillId="0" borderId="11" xfId="1" applyFont="1" applyFill="1" applyBorder="1"/>
    <xf numFmtId="0" fontId="10" fillId="0" borderId="0" xfId="13" applyFont="1"/>
    <xf numFmtId="0" fontId="9" fillId="2" borderId="0" xfId="13" applyFont="1" applyFill="1"/>
    <xf numFmtId="0" fontId="10" fillId="2" borderId="0" xfId="13" applyFont="1" applyFill="1"/>
    <xf numFmtId="0" fontId="1" fillId="0" borderId="0" xfId="13"/>
    <xf numFmtId="0" fontId="11" fillId="0" borderId="11" xfId="13" applyFont="1" applyBorder="1" applyAlignment="1">
      <alignment horizontal="center"/>
    </xf>
    <xf numFmtId="0" fontId="9" fillId="0" borderId="11" xfId="13" applyFont="1" applyBorder="1" applyAlignment="1">
      <alignment horizontal="center" vertical="center"/>
    </xf>
    <xf numFmtId="0" fontId="9" fillId="0" borderId="11" xfId="13" applyFont="1" applyBorder="1" applyAlignment="1">
      <alignment horizontal="center" vertical="center" wrapText="1"/>
    </xf>
    <xf numFmtId="44" fontId="10" fillId="0" borderId="13" xfId="5" applyFont="1" applyBorder="1"/>
    <xf numFmtId="0" fontId="3" fillId="0" borderId="0" xfId="13" applyFont="1"/>
    <xf numFmtId="0" fontId="10" fillId="0" borderId="0" xfId="8" applyFont="1"/>
    <xf numFmtId="0" fontId="1" fillId="0" borderId="0" xfId="8"/>
    <xf numFmtId="0" fontId="9" fillId="2" borderId="0" xfId="8" applyFont="1" applyFill="1"/>
    <xf numFmtId="0" fontId="10" fillId="2" borderId="0" xfId="8" applyFont="1" applyFill="1"/>
    <xf numFmtId="0" fontId="9" fillId="0" borderId="0" xfId="8" applyFont="1"/>
    <xf numFmtId="0" fontId="1" fillId="5" borderId="0" xfId="8" applyFill="1"/>
    <xf numFmtId="0" fontId="12" fillId="0" borderId="0" xfId="13" applyFont="1"/>
    <xf numFmtId="0" fontId="13" fillId="0" borderId="0" xfId="8" applyFont="1"/>
    <xf numFmtId="0" fontId="18" fillId="0" borderId="0" xfId="15" applyFont="1" applyAlignment="1">
      <alignment horizontal="left"/>
    </xf>
    <xf numFmtId="0" fontId="16" fillId="0" borderId="0" xfId="15" applyFont="1"/>
    <xf numFmtId="0" fontId="10" fillId="0" borderId="11" xfId="0" applyFont="1" applyBorder="1" applyAlignment="1">
      <alignment horizontal="left" indent="1"/>
    </xf>
    <xf numFmtId="0" fontId="10" fillId="0" borderId="11" xfId="0" applyFont="1" applyBorder="1" applyAlignment="1">
      <alignment horizontal="left" indent="3"/>
    </xf>
    <xf numFmtId="0" fontId="9" fillId="0" borderId="11" xfId="0" applyFont="1" applyBorder="1" applyAlignment="1">
      <alignment horizontal="left" indent="1"/>
    </xf>
    <xf numFmtId="0" fontId="9" fillId="0" borderId="13" xfId="0" applyFont="1" applyBorder="1" applyAlignment="1">
      <alignment horizontal="left" indent="1"/>
    </xf>
    <xf numFmtId="0" fontId="10" fillId="0" borderId="13" xfId="0" applyFont="1" applyBorder="1"/>
    <xf numFmtId="0" fontId="23" fillId="0" borderId="0" xfId="8" applyFont="1"/>
    <xf numFmtId="0" fontId="21" fillId="0" borderId="11" xfId="8" applyFont="1" applyBorder="1" applyAlignment="1">
      <alignment horizontal="center"/>
    </xf>
    <xf numFmtId="0" fontId="21" fillId="5" borderId="11" xfId="8" applyFont="1" applyFill="1" applyBorder="1" applyAlignment="1">
      <alignment horizontal="center" vertical="center" wrapText="1"/>
    </xf>
    <xf numFmtId="3" fontId="24" fillId="5" borderId="11" xfId="8" applyNumberFormat="1" applyFont="1" applyFill="1" applyBorder="1"/>
    <xf numFmtId="0" fontId="25" fillId="0" borderId="0" xfId="8" applyFont="1"/>
    <xf numFmtId="0" fontId="22" fillId="0" borderId="0" xfId="8" applyFont="1"/>
    <xf numFmtId="0" fontId="21" fillId="4" borderId="11" xfId="13" applyFont="1" applyFill="1" applyBorder="1" applyAlignment="1">
      <alignment horizontal="center" vertical="center"/>
    </xf>
    <xf numFmtId="0" fontId="21" fillId="4" borderId="11" xfId="13" applyFont="1" applyFill="1" applyBorder="1" applyAlignment="1">
      <alignment horizontal="center" vertical="center" wrapText="1"/>
    </xf>
    <xf numFmtId="0" fontId="21" fillId="4" borderId="11" xfId="8" applyFont="1" applyFill="1" applyBorder="1" applyAlignment="1">
      <alignment horizontal="center" vertical="center"/>
    </xf>
    <xf numFmtId="3" fontId="24" fillId="4" borderId="11" xfId="8" applyNumberFormat="1" applyFont="1" applyFill="1" applyBorder="1"/>
    <xf numFmtId="3" fontId="21" fillId="4" borderId="11" xfId="8" applyNumberFormat="1" applyFont="1" applyFill="1" applyBorder="1"/>
    <xf numFmtId="3" fontId="26" fillId="4" borderId="11" xfId="8" applyNumberFormat="1" applyFont="1" applyFill="1" applyBorder="1"/>
    <xf numFmtId="0" fontId="10" fillId="8" borderId="11" xfId="0" applyFont="1" applyFill="1" applyBorder="1"/>
    <xf numFmtId="0" fontId="10" fillId="8" borderId="6" xfId="0" applyFont="1" applyFill="1" applyBorder="1"/>
    <xf numFmtId="0" fontId="10" fillId="8" borderId="7" xfId="0" applyFont="1" applyFill="1" applyBorder="1"/>
    <xf numFmtId="0" fontId="10" fillId="8" borderId="8" xfId="0" applyFont="1" applyFill="1" applyBorder="1"/>
    <xf numFmtId="0" fontId="10" fillId="8" borderId="9" xfId="0" applyFont="1" applyFill="1" applyBorder="1"/>
    <xf numFmtId="0" fontId="10" fillId="8" borderId="10" xfId="0" applyFont="1" applyFill="1" applyBorder="1"/>
    <xf numFmtId="0" fontId="10" fillId="3" borderId="11" xfId="0" applyFont="1" applyFill="1" applyBorder="1"/>
    <xf numFmtId="0" fontId="27" fillId="5" borderId="11" xfId="0" applyFont="1" applyFill="1" applyBorder="1"/>
    <xf numFmtId="0" fontId="28" fillId="5" borderId="11" xfId="0" applyFont="1" applyFill="1" applyBorder="1"/>
    <xf numFmtId="0" fontId="27" fillId="0" borderId="11" xfId="0" applyFont="1" applyBorder="1" applyAlignment="1">
      <alignment wrapText="1"/>
    </xf>
    <xf numFmtId="0" fontId="28" fillId="0" borderId="11" xfId="0" applyFont="1" applyBorder="1" applyAlignment="1">
      <alignment wrapText="1"/>
    </xf>
    <xf numFmtId="0" fontId="16" fillId="0" borderId="11" xfId="0" applyFont="1" applyBorder="1" applyAlignment="1">
      <alignment wrapText="1"/>
    </xf>
    <xf numFmtId="0" fontId="10" fillId="0" borderId="11" xfId="0" applyFont="1" applyBorder="1" applyAlignment="1">
      <alignment wrapText="1"/>
    </xf>
    <xf numFmtId="0" fontId="14" fillId="0" borderId="16" xfId="0" applyFont="1" applyBorder="1" applyAlignment="1">
      <alignment horizontal="center"/>
    </xf>
    <xf numFmtId="0" fontId="14" fillId="0" borderId="15" xfId="0" applyFont="1" applyBorder="1" applyAlignment="1">
      <alignment horizontal="center"/>
    </xf>
    <xf numFmtId="0" fontId="14" fillId="0" borderId="17" xfId="0" applyFont="1" applyBorder="1" applyAlignment="1">
      <alignment horizontal="center"/>
    </xf>
    <xf numFmtId="0" fontId="9" fillId="0" borderId="18" xfId="0" applyFont="1" applyBorder="1" applyAlignment="1">
      <alignment horizontal="center" wrapText="1"/>
    </xf>
    <xf numFmtId="0" fontId="9" fillId="0" borderId="19" xfId="0" applyFont="1" applyBorder="1" applyAlignment="1">
      <alignment horizontal="center"/>
    </xf>
    <xf numFmtId="0" fontId="9" fillId="0" borderId="20" xfId="0" applyFont="1" applyBorder="1" applyAlignment="1">
      <alignment horizontal="center"/>
    </xf>
    <xf numFmtId="0" fontId="9" fillId="0" borderId="21" xfId="0" applyFont="1" applyBorder="1" applyAlignment="1">
      <alignment horizontal="center" vertical="center" wrapText="1"/>
    </xf>
    <xf numFmtId="0" fontId="9" fillId="0" borderId="22" xfId="0" applyFont="1" applyBorder="1" applyAlignment="1">
      <alignment horizontal="center" vertical="center"/>
    </xf>
    <xf numFmtId="0" fontId="9" fillId="0" borderId="23" xfId="0" applyFont="1" applyBorder="1" applyAlignment="1">
      <alignment horizontal="center" wrapText="1"/>
    </xf>
    <xf numFmtId="0" fontId="17" fillId="0" borderId="0" xfId="15" applyFont="1" applyAlignment="1">
      <alignment horizontal="left"/>
    </xf>
    <xf numFmtId="0" fontId="17" fillId="6" borderId="0" xfId="15" applyFont="1" applyFill="1" applyAlignment="1">
      <alignment horizontal="left" wrapText="1"/>
    </xf>
    <xf numFmtId="0" fontId="17" fillId="5" borderId="0" xfId="15" applyFont="1" applyFill="1" applyAlignment="1">
      <alignment horizontal="left" wrapText="1"/>
    </xf>
    <xf numFmtId="0" fontId="17" fillId="0" borderId="0" xfId="15" applyFont="1" applyAlignment="1">
      <alignment horizontal="left" wrapText="1"/>
    </xf>
    <xf numFmtId="0" fontId="11" fillId="7" borderId="12" xfId="13" applyFont="1" applyFill="1" applyBorder="1" applyAlignment="1">
      <alignment horizontal="center"/>
    </xf>
    <xf numFmtId="0" fontId="2" fillId="7" borderId="15" xfId="13" applyFont="1" applyFill="1" applyBorder="1" applyAlignment="1">
      <alignment horizontal="center"/>
    </xf>
    <xf numFmtId="0" fontId="1" fillId="0" borderId="13" xfId="13" applyBorder="1"/>
    <xf numFmtId="0" fontId="21" fillId="7" borderId="12" xfId="8" applyFont="1" applyFill="1" applyBorder="1" applyAlignment="1">
      <alignment horizontal="center"/>
    </xf>
    <xf numFmtId="0" fontId="22" fillId="7" borderId="15" xfId="8" applyFont="1" applyFill="1" applyBorder="1" applyAlignment="1">
      <alignment horizontal="center"/>
    </xf>
    <xf numFmtId="0" fontId="23" fillId="0" borderId="13" xfId="8" applyFont="1" applyBorder="1"/>
    <xf numFmtId="0" fontId="15" fillId="5" borderId="12" xfId="15" applyFont="1" applyFill="1" applyBorder="1" applyAlignment="1">
      <alignment horizontal="left" wrapText="1"/>
    </xf>
    <xf numFmtId="0" fontId="15" fillId="5" borderId="15" xfId="15" applyFont="1" applyFill="1" applyBorder="1" applyAlignment="1">
      <alignment horizontal="left" wrapText="1"/>
    </xf>
    <xf numFmtId="0" fontId="15" fillId="5" borderId="13" xfId="15" applyFont="1" applyFill="1" applyBorder="1" applyAlignment="1">
      <alignment horizontal="left" wrapText="1"/>
    </xf>
  </cellXfs>
  <cellStyles count="21">
    <cellStyle name="Comma" xfId="1" builtinId="3"/>
    <cellStyle name="Comma 10 2" xfId="2" xr:uid="{00000000-0005-0000-0000-000001000000}"/>
    <cellStyle name="Comma 2" xfId="3" xr:uid="{00000000-0005-0000-0000-000002000000}"/>
    <cellStyle name="Comma 3" xfId="4" xr:uid="{00000000-0005-0000-0000-000003000000}"/>
    <cellStyle name="Currency" xfId="5" builtinId="4"/>
    <cellStyle name="Currency 2" xfId="6" xr:uid="{00000000-0005-0000-0000-000005000000}"/>
    <cellStyle name="Currency 3" xfId="7" xr:uid="{00000000-0005-0000-0000-000006000000}"/>
    <cellStyle name="Normal" xfId="0" builtinId="0"/>
    <cellStyle name="Normal 10" xfId="8" xr:uid="{00000000-0005-0000-0000-000008000000}"/>
    <cellStyle name="Normal 10 3" xfId="9" xr:uid="{00000000-0005-0000-0000-000009000000}"/>
    <cellStyle name="Normal 2" xfId="10" xr:uid="{00000000-0005-0000-0000-00000A000000}"/>
    <cellStyle name="Normal 2 2" xfId="11" xr:uid="{00000000-0005-0000-0000-00000B000000}"/>
    <cellStyle name="Normal 23" xfId="12" xr:uid="{00000000-0005-0000-0000-00000C000000}"/>
    <cellStyle name="Normal 3" xfId="13" xr:uid="{00000000-0005-0000-0000-00000D000000}"/>
    <cellStyle name="Normal 36" xfId="14" xr:uid="{00000000-0005-0000-0000-00000E000000}"/>
    <cellStyle name="Normal 7" xfId="15" xr:uid="{00000000-0005-0000-0000-00000F000000}"/>
    <cellStyle name="Percent" xfId="16" builtinId="5"/>
    <cellStyle name="Percent 10" xfId="17" xr:uid="{00000000-0005-0000-0000-000011000000}"/>
    <cellStyle name="Percent 10 2" xfId="18" xr:uid="{00000000-0005-0000-0000-000012000000}"/>
    <cellStyle name="Percent 18" xfId="19" xr:uid="{00000000-0005-0000-0000-000013000000}"/>
    <cellStyle name="Percent 2" xfId="20" xr:uid="{00000000-0005-0000-0000-000014000000}"/>
  </cellStyles>
  <dxfs count="0"/>
  <tableStyles count="0" defaultTableStyle="TableStyleMedium9" defaultPivotStyle="PivotStyleLight16"/>
  <colors>
    <mruColors>
      <color rgb="FF66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sheetPr>
  <dimension ref="A1:IL68"/>
  <sheetViews>
    <sheetView showGridLines="0" tabSelected="1" topLeftCell="A7" zoomScale="98" zoomScaleNormal="98" workbookViewId="0">
      <pane xSplit="1" topLeftCell="B1" activePane="topRight" state="frozen"/>
      <selection pane="topRight" activeCell="B28" sqref="B28"/>
    </sheetView>
  </sheetViews>
  <sheetFormatPr defaultColWidth="47.28515625" defaultRowHeight="12.75"/>
  <cols>
    <col min="1" max="1" width="38" style="2" customWidth="1"/>
    <col min="2" max="2" width="47.85546875" style="2" customWidth="1"/>
    <col min="3" max="3" width="19.5703125" style="2" customWidth="1"/>
    <col min="4" max="4" width="9.85546875" style="2" bestFit="1" customWidth="1"/>
    <col min="5" max="5" width="14" style="2" customWidth="1"/>
    <col min="6" max="6" width="9.140625" style="2" customWidth="1"/>
    <col min="7" max="7" width="12.28515625" style="2" bestFit="1" customWidth="1"/>
    <col min="8" max="8" width="13.5703125" style="2" bestFit="1" customWidth="1"/>
    <col min="9" max="9" width="9.140625" style="2" customWidth="1"/>
    <col min="10" max="10" width="12" style="2" bestFit="1" customWidth="1"/>
    <col min="11" max="11" width="13.5703125" style="2" bestFit="1" customWidth="1"/>
    <col min="12" max="12" width="9.140625" style="2" customWidth="1"/>
    <col min="13" max="13" width="12" style="2" bestFit="1" customWidth="1"/>
    <col min="14" max="14" width="13.5703125" style="2" bestFit="1" customWidth="1"/>
    <col min="15" max="15" width="9.140625" style="2" customWidth="1"/>
    <col min="16" max="16" width="12" style="2" bestFit="1" customWidth="1"/>
    <col min="17" max="17" width="13.5703125" style="2" bestFit="1" customWidth="1"/>
    <col min="18" max="18" width="9.140625" style="2" customWidth="1"/>
    <col min="19" max="19" width="12" style="2" bestFit="1" customWidth="1"/>
    <col min="20" max="20" width="13.5703125" style="2" bestFit="1" customWidth="1"/>
    <col min="21" max="246" width="9.140625" style="2" customWidth="1"/>
    <col min="247" max="16384" width="47.28515625" style="2"/>
  </cols>
  <sheetData>
    <row r="1" spans="1:20">
      <c r="A1" s="1"/>
    </row>
    <row r="2" spans="1:20">
      <c r="A2" s="3"/>
      <c r="B2" s="5"/>
      <c r="C2" s="5"/>
      <c r="D2" s="5"/>
      <c r="E2" s="5"/>
      <c r="F2" s="5"/>
      <c r="G2" s="5"/>
      <c r="H2" s="5"/>
      <c r="I2" s="5"/>
      <c r="J2" s="5"/>
      <c r="K2" s="5"/>
      <c r="L2" s="5"/>
      <c r="M2" s="5"/>
      <c r="N2" s="5"/>
      <c r="O2" s="5"/>
      <c r="P2" s="5"/>
      <c r="Q2" s="5"/>
      <c r="R2" s="5"/>
      <c r="S2" s="5"/>
      <c r="T2" s="5"/>
    </row>
    <row r="3" spans="1:20">
      <c r="A3" s="113" t="s">
        <v>31</v>
      </c>
      <c r="B3" s="113"/>
      <c r="C3" s="113"/>
      <c r="D3" s="113"/>
      <c r="E3" s="113"/>
      <c r="F3" s="113"/>
      <c r="G3" s="113"/>
      <c r="H3" s="113"/>
      <c r="I3" s="113"/>
      <c r="J3" s="113"/>
      <c r="K3" s="113"/>
      <c r="L3" s="113"/>
      <c r="M3" s="113"/>
      <c r="N3" s="113"/>
      <c r="O3" s="113"/>
      <c r="P3" s="113"/>
    </row>
    <row r="4" spans="1:20">
      <c r="A4" s="114" t="s">
        <v>34</v>
      </c>
      <c r="B4" s="114"/>
      <c r="C4" s="114"/>
      <c r="D4" s="114"/>
      <c r="E4" s="114"/>
      <c r="F4" s="114"/>
      <c r="G4" s="114"/>
      <c r="H4" s="114"/>
      <c r="I4" s="114"/>
      <c r="J4" s="114"/>
      <c r="K4" s="114"/>
      <c r="L4" s="114"/>
      <c r="M4" s="114"/>
      <c r="N4" s="114"/>
      <c r="O4" s="114"/>
      <c r="P4" s="114"/>
    </row>
    <row r="5" spans="1:20" ht="48.75" customHeight="1">
      <c r="A5" s="115" t="s">
        <v>52</v>
      </c>
      <c r="B5" s="115"/>
      <c r="C5" s="115"/>
      <c r="D5" s="115"/>
      <c r="E5" s="115"/>
      <c r="F5" s="115"/>
      <c r="G5" s="115"/>
      <c r="H5" s="115"/>
      <c r="I5" s="115"/>
      <c r="J5" s="115"/>
      <c r="K5" s="115"/>
      <c r="L5" s="115"/>
      <c r="M5" s="115"/>
      <c r="N5" s="115"/>
      <c r="O5" s="115"/>
      <c r="P5" s="115"/>
    </row>
    <row r="6" spans="1:20">
      <c r="A6" s="116" t="s">
        <v>32</v>
      </c>
      <c r="B6" s="116"/>
      <c r="C6" s="116"/>
      <c r="D6" s="116"/>
      <c r="E6" s="116"/>
      <c r="F6" s="116"/>
      <c r="G6" s="116"/>
      <c r="H6" s="116"/>
      <c r="I6" s="116"/>
      <c r="J6" s="116"/>
      <c r="K6" s="116"/>
      <c r="L6" s="116"/>
      <c r="M6" s="116"/>
      <c r="N6" s="116"/>
      <c r="O6" s="116"/>
      <c r="P6" s="116"/>
    </row>
    <row r="8" spans="1:20">
      <c r="K8" s="6" t="s">
        <v>19</v>
      </c>
      <c r="N8" s="6" t="s">
        <v>19</v>
      </c>
      <c r="Q8" s="6" t="s">
        <v>19</v>
      </c>
      <c r="T8" s="6" t="s">
        <v>19</v>
      </c>
    </row>
    <row r="9" spans="1:20" ht="13.5" thickBot="1">
      <c r="K9" s="7"/>
      <c r="N9" s="7"/>
      <c r="Q9" s="7"/>
      <c r="T9" s="7"/>
    </row>
    <row r="10" spans="1:20" ht="29.25" customHeight="1" thickBot="1">
      <c r="A10" s="1"/>
      <c r="B10" s="8"/>
      <c r="C10" s="8"/>
      <c r="D10" s="110" t="s">
        <v>35</v>
      </c>
      <c r="E10" s="111"/>
      <c r="F10" s="112" t="s">
        <v>36</v>
      </c>
      <c r="G10" s="108"/>
      <c r="H10" s="109"/>
      <c r="I10" s="107" t="s">
        <v>37</v>
      </c>
      <c r="J10" s="108"/>
      <c r="K10" s="109"/>
      <c r="L10" s="107" t="s">
        <v>38</v>
      </c>
      <c r="M10" s="108"/>
      <c r="N10" s="109"/>
      <c r="O10" s="107" t="s">
        <v>39</v>
      </c>
      <c r="P10" s="108"/>
      <c r="Q10" s="109"/>
      <c r="R10" s="107" t="s">
        <v>40</v>
      </c>
      <c r="S10" s="108"/>
      <c r="T10" s="109"/>
    </row>
    <row r="11" spans="1:20" ht="13.5" thickBot="1">
      <c r="A11" s="9" t="s">
        <v>3</v>
      </c>
      <c r="B11" s="10" t="s">
        <v>0</v>
      </c>
      <c r="C11" s="10" t="s">
        <v>20</v>
      </c>
      <c r="D11" s="11" t="s">
        <v>1</v>
      </c>
      <c r="E11" s="12" t="s">
        <v>2</v>
      </c>
      <c r="F11" s="11" t="s">
        <v>33</v>
      </c>
      <c r="G11" s="13" t="s">
        <v>1</v>
      </c>
      <c r="H11" s="12" t="s">
        <v>2</v>
      </c>
      <c r="I11" s="11" t="s">
        <v>33</v>
      </c>
      <c r="J11" s="13" t="s">
        <v>1</v>
      </c>
      <c r="K11" s="12" t="s">
        <v>2</v>
      </c>
      <c r="L11" s="11" t="s">
        <v>33</v>
      </c>
      <c r="M11" s="13" t="s">
        <v>1</v>
      </c>
      <c r="N11" s="12" t="s">
        <v>2</v>
      </c>
      <c r="O11" s="11" t="s">
        <v>33</v>
      </c>
      <c r="P11" s="13" t="s">
        <v>1</v>
      </c>
      <c r="Q11" s="12" t="s">
        <v>2</v>
      </c>
      <c r="R11" s="11" t="s">
        <v>33</v>
      </c>
      <c r="S11" s="13" t="s">
        <v>1</v>
      </c>
      <c r="T11" s="12" t="s">
        <v>2</v>
      </c>
    </row>
    <row r="12" spans="1:20">
      <c r="A12" s="14" t="s">
        <v>6</v>
      </c>
      <c r="B12" s="15"/>
      <c r="C12" s="15"/>
      <c r="D12" s="92"/>
      <c r="E12" s="93"/>
      <c r="F12" s="92"/>
      <c r="G12" s="94"/>
      <c r="H12" s="93"/>
      <c r="I12" s="92"/>
      <c r="J12" s="94"/>
      <c r="K12" s="93"/>
      <c r="L12" s="92"/>
      <c r="M12" s="94"/>
      <c r="N12" s="93"/>
      <c r="O12" s="92"/>
      <c r="P12" s="94"/>
      <c r="Q12" s="93"/>
      <c r="R12" s="92"/>
      <c r="S12" s="94"/>
      <c r="T12" s="93"/>
    </row>
    <row r="13" spans="1:20">
      <c r="A13" s="16" t="s">
        <v>30</v>
      </c>
      <c r="B13" s="17"/>
      <c r="C13" s="17"/>
      <c r="D13" s="95"/>
      <c r="E13" s="96"/>
      <c r="F13" s="95"/>
      <c r="G13" s="91"/>
      <c r="H13" s="96"/>
      <c r="I13" s="95"/>
      <c r="J13" s="91"/>
      <c r="K13" s="96"/>
      <c r="L13" s="95"/>
      <c r="M13" s="91"/>
      <c r="N13" s="96"/>
      <c r="O13" s="95"/>
      <c r="P13" s="91"/>
      <c r="Q13" s="96"/>
      <c r="R13" s="95"/>
      <c r="S13" s="91"/>
      <c r="T13" s="96"/>
    </row>
    <row r="14" spans="1:20">
      <c r="A14" s="20"/>
      <c r="B14" s="102" t="s">
        <v>59</v>
      </c>
      <c r="C14" s="17"/>
      <c r="D14" s="43">
        <f>G14+J14+M14+P14+S14</f>
        <v>2650</v>
      </c>
      <c r="E14" s="44">
        <f>SUM(H14,K14,N14,Q14,T14)</f>
        <v>0</v>
      </c>
      <c r="F14" s="21"/>
      <c r="G14" s="98">
        <v>530</v>
      </c>
      <c r="H14" s="44">
        <f>ROUND(F14*G14,2)</f>
        <v>0</v>
      </c>
      <c r="I14" s="21">
        <f>(F14*(1+$T$9))</f>
        <v>0</v>
      </c>
      <c r="J14" s="98">
        <v>530</v>
      </c>
      <c r="K14" s="44">
        <f>ROUND(I14*J14,2)</f>
        <v>0</v>
      </c>
      <c r="L14" s="21">
        <f>(I14*(1+$T$9))</f>
        <v>0</v>
      </c>
      <c r="M14" s="98">
        <v>530</v>
      </c>
      <c r="N14" s="44">
        <f>ROUND(L14*M14,2)</f>
        <v>0</v>
      </c>
      <c r="O14" s="21">
        <f>(L14*(1+$T$9))</f>
        <v>0</v>
      </c>
      <c r="P14" s="98">
        <v>530</v>
      </c>
      <c r="Q14" s="44">
        <f>ROUND(O14*P14,2)</f>
        <v>0</v>
      </c>
      <c r="R14" s="21">
        <f>(O14*(1+$T$9))</f>
        <v>0</v>
      </c>
      <c r="S14" s="98">
        <v>530</v>
      </c>
      <c r="T14" s="44">
        <f>ROUND(R14*S14,2)</f>
        <v>0</v>
      </c>
    </row>
    <row r="15" spans="1:20">
      <c r="A15" s="20" t="s">
        <v>70</v>
      </c>
      <c r="B15" s="102" t="s">
        <v>60</v>
      </c>
      <c r="C15" s="17"/>
      <c r="D15" s="43">
        <f t="shared" ref="D15:D24" si="0">G15+J15+M15+P15+S15</f>
        <v>37000</v>
      </c>
      <c r="E15" s="44">
        <f>SUM(H15,K15,N15,Q15,T15)</f>
        <v>0</v>
      </c>
      <c r="F15" s="21">
        <f t="shared" ref="F15:F24" si="1">(C15*(1+$T$9))</f>
        <v>0</v>
      </c>
      <c r="G15" s="98">
        <v>7400</v>
      </c>
      <c r="H15" s="44">
        <f t="shared" ref="H15:H24" si="2">ROUND(F15*G15,2)</f>
        <v>0</v>
      </c>
      <c r="I15" s="21">
        <f t="shared" ref="I15:I24" si="3">(F15*(1+$T$9))</f>
        <v>0</v>
      </c>
      <c r="J15" s="98">
        <v>7400</v>
      </c>
      <c r="K15" s="44">
        <f t="shared" ref="K15:K24" si="4">ROUND(I15*J15,2)</f>
        <v>0</v>
      </c>
      <c r="L15" s="21">
        <f t="shared" ref="L15:L24" si="5">(I15*(1+$T$9))</f>
        <v>0</v>
      </c>
      <c r="M15" s="98">
        <v>7400</v>
      </c>
      <c r="N15" s="44">
        <f t="shared" ref="N15:N24" si="6">ROUND(L15*M15,2)</f>
        <v>0</v>
      </c>
      <c r="O15" s="21">
        <f t="shared" ref="O15:O24" si="7">(L15*(1+$T$9))</f>
        <v>0</v>
      </c>
      <c r="P15" s="98">
        <v>7400</v>
      </c>
      <c r="Q15" s="44">
        <f t="shared" ref="Q15:Q24" si="8">ROUND(O15*P15,2)</f>
        <v>0</v>
      </c>
      <c r="R15" s="21">
        <f t="shared" ref="R15:R24" si="9">(O15*(1+$T$9))</f>
        <v>0</v>
      </c>
      <c r="S15" s="98">
        <v>7400</v>
      </c>
      <c r="T15" s="44">
        <f t="shared" ref="T15:T24" si="10">ROUND(R15*S15,2)</f>
        <v>0</v>
      </c>
    </row>
    <row r="16" spans="1:20">
      <c r="A16" s="20" t="s">
        <v>70</v>
      </c>
      <c r="B16" s="103" t="s">
        <v>61</v>
      </c>
      <c r="C16" s="17"/>
      <c r="D16" s="43">
        <f t="shared" si="0"/>
        <v>1200</v>
      </c>
      <c r="E16" s="44">
        <f>SUM(H16,K16,N16,Q16,T16)</f>
        <v>0</v>
      </c>
      <c r="F16" s="21">
        <f t="shared" si="1"/>
        <v>0</v>
      </c>
      <c r="G16" s="99">
        <v>240</v>
      </c>
      <c r="H16" s="44">
        <f>ROUND(F16*G16,2)</f>
        <v>0</v>
      </c>
      <c r="I16" s="21">
        <f t="shared" si="3"/>
        <v>0</v>
      </c>
      <c r="J16" s="99">
        <v>240</v>
      </c>
      <c r="K16" s="44">
        <f t="shared" si="4"/>
        <v>0</v>
      </c>
      <c r="L16" s="21">
        <f t="shared" si="5"/>
        <v>0</v>
      </c>
      <c r="M16" s="99">
        <v>240</v>
      </c>
      <c r="N16" s="44">
        <f t="shared" si="6"/>
        <v>0</v>
      </c>
      <c r="O16" s="21">
        <f t="shared" si="7"/>
        <v>0</v>
      </c>
      <c r="P16" s="99">
        <v>240</v>
      </c>
      <c r="Q16" s="44">
        <f t="shared" si="8"/>
        <v>0</v>
      </c>
      <c r="R16" s="21">
        <f t="shared" si="9"/>
        <v>0</v>
      </c>
      <c r="S16" s="99">
        <v>240</v>
      </c>
      <c r="T16" s="44">
        <f t="shared" si="10"/>
        <v>0</v>
      </c>
    </row>
    <row r="17" spans="1:246">
      <c r="A17" s="20" t="s">
        <v>70</v>
      </c>
      <c r="B17" s="103" t="s">
        <v>62</v>
      </c>
      <c r="C17" s="17"/>
      <c r="D17" s="43">
        <f t="shared" si="0"/>
        <v>9500</v>
      </c>
      <c r="E17" s="44">
        <f t="shared" ref="E17:E24" si="11">SUM(H17,K17,N17,Q17,T17)</f>
        <v>0</v>
      </c>
      <c r="F17" s="21">
        <f t="shared" si="1"/>
        <v>0</v>
      </c>
      <c r="G17" s="99">
        <v>1900</v>
      </c>
      <c r="H17" s="44">
        <f t="shared" si="2"/>
        <v>0</v>
      </c>
      <c r="I17" s="21">
        <f t="shared" si="3"/>
        <v>0</v>
      </c>
      <c r="J17" s="99">
        <v>1900</v>
      </c>
      <c r="K17" s="44">
        <f t="shared" si="4"/>
        <v>0</v>
      </c>
      <c r="L17" s="21">
        <f t="shared" si="5"/>
        <v>0</v>
      </c>
      <c r="M17" s="99">
        <v>1900</v>
      </c>
      <c r="N17" s="44">
        <f t="shared" si="6"/>
        <v>0</v>
      </c>
      <c r="O17" s="21">
        <f t="shared" si="7"/>
        <v>0</v>
      </c>
      <c r="P17" s="99">
        <v>1900</v>
      </c>
      <c r="Q17" s="44">
        <f t="shared" si="8"/>
        <v>0</v>
      </c>
      <c r="R17" s="21">
        <f t="shared" si="9"/>
        <v>0</v>
      </c>
      <c r="S17" s="99">
        <v>1900</v>
      </c>
      <c r="T17" s="44">
        <f t="shared" si="10"/>
        <v>0</v>
      </c>
    </row>
    <row r="18" spans="1:246">
      <c r="A18" s="20" t="s">
        <v>70</v>
      </c>
      <c r="B18" s="103" t="s">
        <v>63</v>
      </c>
      <c r="C18" s="17"/>
      <c r="D18" s="43">
        <f t="shared" si="0"/>
        <v>1700</v>
      </c>
      <c r="E18" s="44">
        <f t="shared" si="11"/>
        <v>0</v>
      </c>
      <c r="F18" s="21">
        <f t="shared" si="1"/>
        <v>0</v>
      </c>
      <c r="G18" s="99">
        <v>340</v>
      </c>
      <c r="H18" s="44">
        <f t="shared" si="2"/>
        <v>0</v>
      </c>
      <c r="I18" s="21">
        <f t="shared" si="3"/>
        <v>0</v>
      </c>
      <c r="J18" s="99">
        <v>340</v>
      </c>
      <c r="K18" s="44">
        <f t="shared" si="4"/>
        <v>0</v>
      </c>
      <c r="L18" s="21">
        <f t="shared" si="5"/>
        <v>0</v>
      </c>
      <c r="M18" s="99">
        <v>340</v>
      </c>
      <c r="N18" s="44">
        <f t="shared" si="6"/>
        <v>0</v>
      </c>
      <c r="O18" s="21">
        <f t="shared" si="7"/>
        <v>0</v>
      </c>
      <c r="P18" s="99">
        <v>340</v>
      </c>
      <c r="Q18" s="44">
        <f t="shared" si="8"/>
        <v>0</v>
      </c>
      <c r="R18" s="21">
        <f t="shared" si="9"/>
        <v>0</v>
      </c>
      <c r="S18" s="99">
        <v>340</v>
      </c>
      <c r="T18" s="44">
        <f t="shared" si="10"/>
        <v>0</v>
      </c>
    </row>
    <row r="19" spans="1:246">
      <c r="A19" s="20" t="s">
        <v>70</v>
      </c>
      <c r="B19" s="103" t="s">
        <v>64</v>
      </c>
      <c r="C19" s="17"/>
      <c r="D19" s="43">
        <f t="shared" si="0"/>
        <v>1600</v>
      </c>
      <c r="E19" s="44">
        <f t="shared" si="11"/>
        <v>0</v>
      </c>
      <c r="F19" s="21">
        <f t="shared" si="1"/>
        <v>0</v>
      </c>
      <c r="G19" s="99">
        <v>320</v>
      </c>
      <c r="H19" s="44">
        <f t="shared" si="2"/>
        <v>0</v>
      </c>
      <c r="I19" s="21">
        <f t="shared" si="3"/>
        <v>0</v>
      </c>
      <c r="J19" s="99">
        <v>320</v>
      </c>
      <c r="K19" s="44">
        <f t="shared" si="4"/>
        <v>0</v>
      </c>
      <c r="L19" s="21">
        <f t="shared" si="5"/>
        <v>0</v>
      </c>
      <c r="M19" s="99">
        <v>320</v>
      </c>
      <c r="N19" s="44">
        <f t="shared" si="6"/>
        <v>0</v>
      </c>
      <c r="O19" s="21">
        <f t="shared" si="7"/>
        <v>0</v>
      </c>
      <c r="P19" s="99">
        <v>320</v>
      </c>
      <c r="Q19" s="44">
        <f t="shared" si="8"/>
        <v>0</v>
      </c>
      <c r="R19" s="21">
        <f t="shared" si="9"/>
        <v>0</v>
      </c>
      <c r="S19" s="99">
        <v>320</v>
      </c>
      <c r="T19" s="44">
        <f t="shared" si="10"/>
        <v>0</v>
      </c>
    </row>
    <row r="20" spans="1:246">
      <c r="A20" s="20" t="s">
        <v>70</v>
      </c>
      <c r="B20" s="103" t="s">
        <v>65</v>
      </c>
      <c r="C20" s="17"/>
      <c r="D20" s="43">
        <f t="shared" si="0"/>
        <v>38950</v>
      </c>
      <c r="E20" s="44">
        <f t="shared" si="11"/>
        <v>0</v>
      </c>
      <c r="F20" s="21">
        <f t="shared" si="1"/>
        <v>0</v>
      </c>
      <c r="G20" s="99">
        <v>7790</v>
      </c>
      <c r="H20" s="44">
        <f t="shared" si="2"/>
        <v>0</v>
      </c>
      <c r="I20" s="21">
        <f t="shared" si="3"/>
        <v>0</v>
      </c>
      <c r="J20" s="99">
        <v>7790</v>
      </c>
      <c r="K20" s="44">
        <f t="shared" si="4"/>
        <v>0</v>
      </c>
      <c r="L20" s="21">
        <f t="shared" si="5"/>
        <v>0</v>
      </c>
      <c r="M20" s="99">
        <v>7790</v>
      </c>
      <c r="N20" s="44">
        <f t="shared" si="6"/>
        <v>0</v>
      </c>
      <c r="O20" s="21">
        <f t="shared" si="7"/>
        <v>0</v>
      </c>
      <c r="P20" s="99">
        <v>7790</v>
      </c>
      <c r="Q20" s="44">
        <f t="shared" si="8"/>
        <v>0</v>
      </c>
      <c r="R20" s="21">
        <f t="shared" si="9"/>
        <v>0</v>
      </c>
      <c r="S20" s="99">
        <v>7790</v>
      </c>
      <c r="T20" s="44">
        <f t="shared" si="10"/>
        <v>0</v>
      </c>
    </row>
    <row r="21" spans="1:246">
      <c r="A21" s="20" t="s">
        <v>70</v>
      </c>
      <c r="B21" s="103" t="s">
        <v>66</v>
      </c>
      <c r="C21" s="17"/>
      <c r="D21" s="43">
        <f t="shared" si="0"/>
        <v>1200</v>
      </c>
      <c r="E21" s="44">
        <f t="shared" si="11"/>
        <v>0</v>
      </c>
      <c r="F21" s="21">
        <f t="shared" si="1"/>
        <v>0</v>
      </c>
      <c r="G21" s="99">
        <v>240</v>
      </c>
      <c r="H21" s="44">
        <f t="shared" si="2"/>
        <v>0</v>
      </c>
      <c r="I21" s="21">
        <f t="shared" si="3"/>
        <v>0</v>
      </c>
      <c r="J21" s="99">
        <v>240</v>
      </c>
      <c r="K21" s="44">
        <f t="shared" si="4"/>
        <v>0</v>
      </c>
      <c r="L21" s="21">
        <f t="shared" si="5"/>
        <v>0</v>
      </c>
      <c r="M21" s="99">
        <v>240</v>
      </c>
      <c r="N21" s="44">
        <f t="shared" si="6"/>
        <v>0</v>
      </c>
      <c r="O21" s="21">
        <f t="shared" si="7"/>
        <v>0</v>
      </c>
      <c r="P21" s="99">
        <v>240</v>
      </c>
      <c r="Q21" s="44">
        <f t="shared" si="8"/>
        <v>0</v>
      </c>
      <c r="R21" s="21">
        <f t="shared" si="9"/>
        <v>0</v>
      </c>
      <c r="S21" s="99">
        <v>240</v>
      </c>
      <c r="T21" s="44">
        <f t="shared" si="10"/>
        <v>0</v>
      </c>
    </row>
    <row r="22" spans="1:246">
      <c r="A22" s="20" t="s">
        <v>70</v>
      </c>
      <c r="B22" s="103" t="s">
        <v>67</v>
      </c>
      <c r="C22" s="17"/>
      <c r="D22" s="43">
        <f t="shared" si="0"/>
        <v>9000</v>
      </c>
      <c r="E22" s="44">
        <f t="shared" si="11"/>
        <v>0</v>
      </c>
      <c r="F22" s="21">
        <f t="shared" si="1"/>
        <v>0</v>
      </c>
      <c r="G22" s="99">
        <v>1800</v>
      </c>
      <c r="H22" s="44">
        <f t="shared" si="2"/>
        <v>0</v>
      </c>
      <c r="I22" s="21">
        <f t="shared" si="3"/>
        <v>0</v>
      </c>
      <c r="J22" s="99">
        <v>1800</v>
      </c>
      <c r="K22" s="44">
        <f t="shared" si="4"/>
        <v>0</v>
      </c>
      <c r="L22" s="21">
        <f t="shared" si="5"/>
        <v>0</v>
      </c>
      <c r="M22" s="99">
        <v>1800</v>
      </c>
      <c r="N22" s="44">
        <f t="shared" si="6"/>
        <v>0</v>
      </c>
      <c r="O22" s="21">
        <f t="shared" si="7"/>
        <v>0</v>
      </c>
      <c r="P22" s="99">
        <v>1800</v>
      </c>
      <c r="Q22" s="44">
        <f t="shared" si="8"/>
        <v>0</v>
      </c>
      <c r="R22" s="21">
        <f t="shared" si="9"/>
        <v>0</v>
      </c>
      <c r="S22" s="99">
        <v>1800</v>
      </c>
      <c r="T22" s="44">
        <f t="shared" si="10"/>
        <v>0</v>
      </c>
    </row>
    <row r="23" spans="1:246">
      <c r="A23" s="20" t="s">
        <v>70</v>
      </c>
      <c r="B23" s="103" t="s">
        <v>68</v>
      </c>
      <c r="C23" s="17"/>
      <c r="D23" s="43">
        <f t="shared" si="0"/>
        <v>1700</v>
      </c>
      <c r="E23" s="44">
        <f t="shared" si="11"/>
        <v>0</v>
      </c>
      <c r="F23" s="21">
        <f t="shared" si="1"/>
        <v>0</v>
      </c>
      <c r="G23" s="99">
        <v>340</v>
      </c>
      <c r="H23" s="44">
        <f t="shared" si="2"/>
        <v>0</v>
      </c>
      <c r="I23" s="21">
        <f t="shared" si="3"/>
        <v>0</v>
      </c>
      <c r="J23" s="99">
        <v>340</v>
      </c>
      <c r="K23" s="44">
        <f t="shared" si="4"/>
        <v>0</v>
      </c>
      <c r="L23" s="21">
        <f t="shared" si="5"/>
        <v>0</v>
      </c>
      <c r="M23" s="99">
        <v>340</v>
      </c>
      <c r="N23" s="44">
        <f t="shared" si="6"/>
        <v>0</v>
      </c>
      <c r="O23" s="21">
        <f t="shared" si="7"/>
        <v>0</v>
      </c>
      <c r="P23" s="99">
        <v>340</v>
      </c>
      <c r="Q23" s="44">
        <f t="shared" si="8"/>
        <v>0</v>
      </c>
      <c r="R23" s="21">
        <f t="shared" si="9"/>
        <v>0</v>
      </c>
      <c r="S23" s="99">
        <v>340</v>
      </c>
      <c r="T23" s="44">
        <f t="shared" si="10"/>
        <v>0</v>
      </c>
    </row>
    <row r="24" spans="1:246">
      <c r="A24" s="20" t="s">
        <v>70</v>
      </c>
      <c r="B24" s="102" t="s">
        <v>69</v>
      </c>
      <c r="C24" s="17"/>
      <c r="D24" s="43">
        <f t="shared" si="0"/>
        <v>1600</v>
      </c>
      <c r="E24" s="44">
        <f t="shared" si="11"/>
        <v>0</v>
      </c>
      <c r="F24" s="21">
        <f t="shared" si="1"/>
        <v>0</v>
      </c>
      <c r="G24" s="99">
        <v>320</v>
      </c>
      <c r="H24" s="44">
        <f t="shared" si="2"/>
        <v>0</v>
      </c>
      <c r="I24" s="21">
        <f t="shared" si="3"/>
        <v>0</v>
      </c>
      <c r="J24" s="99">
        <v>320</v>
      </c>
      <c r="K24" s="44">
        <f t="shared" si="4"/>
        <v>0</v>
      </c>
      <c r="L24" s="21">
        <f t="shared" si="5"/>
        <v>0</v>
      </c>
      <c r="M24" s="99">
        <v>320</v>
      </c>
      <c r="N24" s="44">
        <f t="shared" si="6"/>
        <v>0</v>
      </c>
      <c r="O24" s="21">
        <f t="shared" si="7"/>
        <v>0</v>
      </c>
      <c r="P24" s="99">
        <v>320</v>
      </c>
      <c r="Q24" s="44">
        <f t="shared" si="8"/>
        <v>0</v>
      </c>
      <c r="R24" s="21">
        <f t="shared" si="9"/>
        <v>0</v>
      </c>
      <c r="S24" s="99">
        <v>320</v>
      </c>
      <c r="T24" s="44">
        <f t="shared" si="10"/>
        <v>0</v>
      </c>
    </row>
    <row r="25" spans="1:246" ht="13.5" customHeight="1">
      <c r="A25" s="20"/>
      <c r="B25" s="17"/>
      <c r="C25" s="17"/>
      <c r="D25" s="18"/>
      <c r="E25" s="17"/>
      <c r="F25" s="18"/>
      <c r="G25" s="22"/>
      <c r="H25" s="44"/>
      <c r="I25" s="18"/>
      <c r="J25" s="22"/>
      <c r="K25" s="17"/>
      <c r="L25" s="18"/>
      <c r="M25" s="22"/>
      <c r="N25" s="17"/>
      <c r="O25" s="18"/>
      <c r="P25" s="22"/>
      <c r="Q25" s="17"/>
      <c r="R25" s="18"/>
      <c r="S25" s="22"/>
      <c r="T25" s="17"/>
    </row>
    <row r="26" spans="1:246">
      <c r="A26" s="23" t="s">
        <v>10</v>
      </c>
      <c r="B26" s="17"/>
      <c r="C26" s="24"/>
      <c r="D26" s="45">
        <f>SUM(D14:D24)</f>
        <v>106100</v>
      </c>
      <c r="E26" s="46">
        <f>SUM(H26,K26,N26,Q26,T26)</f>
        <v>0</v>
      </c>
      <c r="F26" s="32"/>
      <c r="G26" s="45">
        <f>SUM(G14:G24)</f>
        <v>21220</v>
      </c>
      <c r="H26" s="46">
        <f>SUM(H14:H24)</f>
        <v>0</v>
      </c>
      <c r="I26" s="32"/>
      <c r="J26" s="45">
        <f>SUM(J14:J24)</f>
        <v>21220</v>
      </c>
      <c r="K26" s="51">
        <f>SUM(K14:K24)</f>
        <v>0</v>
      </c>
      <c r="L26" s="32"/>
      <c r="M26" s="45">
        <f>SUM(M14:M24)</f>
        <v>21220</v>
      </c>
      <c r="N26" s="51">
        <f>SUM(N14:N24)</f>
        <v>0</v>
      </c>
      <c r="O26" s="32"/>
      <c r="P26" s="45">
        <f>SUM(P14:P24)</f>
        <v>21220</v>
      </c>
      <c r="Q26" s="51">
        <f>SUM(Q14:Q24)</f>
        <v>0</v>
      </c>
      <c r="R26" s="32"/>
      <c r="S26" s="45">
        <f>SUM(S14:S24)</f>
        <v>21220</v>
      </c>
      <c r="T26" s="51">
        <f>SUM(T14:T24)</f>
        <v>0</v>
      </c>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row>
    <row r="27" spans="1:246">
      <c r="A27" s="26" t="s">
        <v>9</v>
      </c>
      <c r="B27" s="17"/>
      <c r="C27" s="27"/>
      <c r="D27" s="18"/>
      <c r="E27" s="17"/>
      <c r="F27" s="18"/>
      <c r="G27" s="19"/>
      <c r="H27" s="17"/>
      <c r="I27" s="18"/>
      <c r="J27" s="19"/>
      <c r="K27" s="17"/>
      <c r="L27" s="18"/>
      <c r="M27" s="19"/>
      <c r="N27" s="17"/>
      <c r="O27" s="18"/>
      <c r="P27" s="19"/>
      <c r="Q27" s="17"/>
      <c r="R27" s="18"/>
      <c r="S27" s="19"/>
      <c r="T27" s="17"/>
    </row>
    <row r="28" spans="1:246">
      <c r="A28" s="28" t="s">
        <v>21</v>
      </c>
      <c r="B28" s="17"/>
      <c r="C28" s="27"/>
      <c r="D28" s="47"/>
      <c r="E28" s="44">
        <f>SUM(H28,K28,N28,Q28,T28)</f>
        <v>0</v>
      </c>
      <c r="F28" s="29">
        <v>0</v>
      </c>
      <c r="G28" s="30"/>
      <c r="H28" s="44">
        <f>H26*F28</f>
        <v>0</v>
      </c>
      <c r="I28" s="29">
        <v>0</v>
      </c>
      <c r="J28" s="30"/>
      <c r="K28" s="44">
        <f>K26*I28</f>
        <v>0</v>
      </c>
      <c r="L28" s="29">
        <v>0</v>
      </c>
      <c r="M28" s="30"/>
      <c r="N28" s="44">
        <f>N26*L28</f>
        <v>0</v>
      </c>
      <c r="O28" s="29">
        <v>0</v>
      </c>
      <c r="P28" s="30"/>
      <c r="Q28" s="44">
        <f>Q26*O28</f>
        <v>0</v>
      </c>
      <c r="R28" s="29">
        <v>0</v>
      </c>
      <c r="S28" s="30"/>
      <c r="T28" s="44">
        <f>T26*R28</f>
        <v>0</v>
      </c>
    </row>
    <row r="29" spans="1:246">
      <c r="A29" s="28" t="s">
        <v>22</v>
      </c>
      <c r="B29" s="17"/>
      <c r="C29" s="27"/>
      <c r="D29" s="47"/>
      <c r="E29" s="44">
        <f>SUM(H29,K29,N29,Q29,T29,)</f>
        <v>0</v>
      </c>
      <c r="F29" s="29">
        <v>0</v>
      </c>
      <c r="G29" s="30"/>
      <c r="H29" s="44">
        <f>SUM(H26:H28)*F29</f>
        <v>0</v>
      </c>
      <c r="I29" s="29">
        <v>0</v>
      </c>
      <c r="J29" s="30"/>
      <c r="K29" s="44">
        <f>SUM(K26:K28)*I29</f>
        <v>0</v>
      </c>
      <c r="L29" s="29">
        <v>0</v>
      </c>
      <c r="M29" s="30"/>
      <c r="N29" s="44">
        <f>SUM(N26:N28)*L29</f>
        <v>0</v>
      </c>
      <c r="O29" s="29">
        <v>0</v>
      </c>
      <c r="P29" s="30"/>
      <c r="Q29" s="44">
        <f>SUM(Q26:Q28)*O29</f>
        <v>0</v>
      </c>
      <c r="R29" s="29">
        <v>0</v>
      </c>
      <c r="S29" s="30"/>
      <c r="T29" s="44">
        <f>SUM(T26:T28)*R29</f>
        <v>0</v>
      </c>
    </row>
    <row r="30" spans="1:246">
      <c r="A30" s="28" t="s">
        <v>4</v>
      </c>
      <c r="B30" s="17"/>
      <c r="C30" s="27"/>
      <c r="D30" s="47"/>
      <c r="E30" s="44">
        <f>SUM(H30,K30,N30,Q30,T30)</f>
        <v>0</v>
      </c>
      <c r="F30" s="29">
        <v>0</v>
      </c>
      <c r="G30" s="30"/>
      <c r="H30" s="44">
        <f>SUM(H26:H29)*F30</f>
        <v>0</v>
      </c>
      <c r="I30" s="29">
        <v>0</v>
      </c>
      <c r="J30" s="30"/>
      <c r="K30" s="44">
        <f>SUM(K26:K29)*I30</f>
        <v>0</v>
      </c>
      <c r="L30" s="29">
        <v>0</v>
      </c>
      <c r="M30" s="30"/>
      <c r="N30" s="44">
        <f>SUM(N26:N29)*L30</f>
        <v>0</v>
      </c>
      <c r="O30" s="29">
        <v>0</v>
      </c>
      <c r="P30" s="30"/>
      <c r="Q30" s="44">
        <f>SUM(Q26:Q29)*O30</f>
        <v>0</v>
      </c>
      <c r="R30" s="29">
        <v>0</v>
      </c>
      <c r="S30" s="30"/>
      <c r="T30" s="44">
        <f>SUM(T26:T29)*R30</f>
        <v>0</v>
      </c>
    </row>
    <row r="31" spans="1:246">
      <c r="A31" s="28" t="s">
        <v>11</v>
      </c>
      <c r="B31" s="17"/>
      <c r="C31" s="27"/>
      <c r="D31" s="18"/>
      <c r="E31" s="44">
        <f>SUM(H31,K31,N31,Q31,T31)</f>
        <v>0</v>
      </c>
      <c r="F31" s="18"/>
      <c r="G31" s="19"/>
      <c r="H31" s="52">
        <f>SUM(H28:H30)</f>
        <v>0</v>
      </c>
      <c r="I31" s="18"/>
      <c r="J31" s="19"/>
      <c r="K31" s="52">
        <f>SUM(K28:K30)</f>
        <v>0</v>
      </c>
      <c r="L31" s="18"/>
      <c r="M31" s="19"/>
      <c r="N31" s="52">
        <f>SUM(N28:N30)</f>
        <v>0</v>
      </c>
      <c r="O31" s="18"/>
      <c r="P31" s="19"/>
      <c r="Q31" s="52">
        <f>SUM(Q28:Q30)</f>
        <v>0</v>
      </c>
      <c r="R31" s="18"/>
      <c r="S31" s="19"/>
      <c r="T31" s="52">
        <f>SUM(T28:T30)</f>
        <v>0</v>
      </c>
    </row>
    <row r="32" spans="1:246">
      <c r="A32" s="16"/>
      <c r="B32" s="17"/>
      <c r="C32" s="31"/>
      <c r="D32" s="32"/>
      <c r="E32" s="46"/>
      <c r="F32" s="18"/>
      <c r="G32" s="33"/>
      <c r="H32" s="46"/>
      <c r="I32" s="32"/>
      <c r="J32" s="33"/>
      <c r="K32" s="46"/>
      <c r="L32" s="32"/>
      <c r="M32" s="33"/>
      <c r="N32" s="46"/>
      <c r="O32" s="18"/>
      <c r="P32" s="25"/>
      <c r="Q32" s="46"/>
      <c r="R32" s="32"/>
      <c r="S32" s="33"/>
      <c r="T32" s="46"/>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row>
    <row r="33" spans="1:246">
      <c r="A33" s="16" t="s">
        <v>5</v>
      </c>
      <c r="B33" s="17"/>
      <c r="C33" s="31"/>
      <c r="D33" s="45"/>
      <c r="E33" s="46">
        <f>SUM(H33,K33,N33,Q33,T33)</f>
        <v>0</v>
      </c>
      <c r="F33" s="32"/>
      <c r="G33" s="42"/>
      <c r="H33" s="46">
        <f>H26+H31</f>
        <v>0</v>
      </c>
      <c r="I33" s="32"/>
      <c r="J33" s="25"/>
      <c r="K33" s="46">
        <f>K26+K31</f>
        <v>0</v>
      </c>
      <c r="L33" s="32"/>
      <c r="M33" s="25"/>
      <c r="N33" s="46">
        <f>N26+N31</f>
        <v>0</v>
      </c>
      <c r="O33" s="32"/>
      <c r="P33" s="25"/>
      <c r="Q33" s="46">
        <f>Q26+Q31</f>
        <v>0</v>
      </c>
      <c r="R33" s="32"/>
      <c r="S33" s="25"/>
      <c r="T33" s="46">
        <f>T26+T31</f>
        <v>0</v>
      </c>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row>
    <row r="34" spans="1:246">
      <c r="A34" s="16"/>
      <c r="B34" s="17"/>
      <c r="C34" s="31"/>
      <c r="D34" s="48"/>
      <c r="E34" s="46"/>
      <c r="F34" s="18"/>
      <c r="G34" s="34"/>
      <c r="H34" s="46"/>
      <c r="I34" s="32"/>
      <c r="J34" s="35"/>
      <c r="K34" s="46"/>
      <c r="L34" s="32"/>
      <c r="M34" s="35"/>
      <c r="N34" s="46"/>
      <c r="O34" s="18"/>
      <c r="P34" s="35"/>
      <c r="Q34" s="46"/>
      <c r="R34" s="32"/>
      <c r="S34" s="35"/>
      <c r="T34" s="46"/>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row>
    <row r="35" spans="1:246">
      <c r="A35" s="32" t="s">
        <v>7</v>
      </c>
      <c r="B35" s="17"/>
      <c r="C35" s="17"/>
      <c r="D35" s="18"/>
      <c r="E35" s="17"/>
      <c r="F35" s="18"/>
      <c r="G35" s="19"/>
      <c r="H35" s="44"/>
      <c r="I35" s="18"/>
      <c r="J35" s="19"/>
      <c r="K35" s="17"/>
      <c r="L35" s="18"/>
      <c r="M35" s="19"/>
      <c r="N35" s="17"/>
      <c r="O35" s="18"/>
      <c r="P35" s="19"/>
      <c r="Q35" s="17"/>
      <c r="R35" s="18"/>
      <c r="S35" s="19"/>
      <c r="T35" s="17"/>
    </row>
    <row r="36" spans="1:246">
      <c r="A36" s="74" t="s">
        <v>57</v>
      </c>
      <c r="B36" s="17"/>
      <c r="C36" s="17"/>
      <c r="D36" s="48"/>
      <c r="E36" s="46"/>
      <c r="F36" s="18" t="s">
        <v>23</v>
      </c>
      <c r="G36" s="54"/>
      <c r="H36" s="52"/>
      <c r="I36" s="18"/>
      <c r="J36" s="54"/>
      <c r="K36" s="52"/>
      <c r="L36" s="18"/>
      <c r="M36" s="54"/>
      <c r="N36" s="52"/>
      <c r="O36" s="18"/>
      <c r="P36" s="54"/>
      <c r="Q36" s="52"/>
      <c r="R36" s="18"/>
      <c r="S36" s="54"/>
      <c r="T36" s="52"/>
    </row>
    <row r="37" spans="1:246">
      <c r="A37" s="75" t="s">
        <v>56</v>
      </c>
      <c r="B37" s="17"/>
      <c r="C37" s="17"/>
      <c r="D37" s="47"/>
      <c r="E37" s="46">
        <f>SUM(H37,K37,N37,Q37,T37)</f>
        <v>0</v>
      </c>
      <c r="F37" s="47"/>
      <c r="G37" s="97"/>
      <c r="H37" s="21">
        <v>0</v>
      </c>
      <c r="I37" s="47"/>
      <c r="J37" s="97"/>
      <c r="K37" s="21">
        <v>0</v>
      </c>
      <c r="L37" s="47"/>
      <c r="M37" s="97"/>
      <c r="N37" s="21">
        <v>0</v>
      </c>
      <c r="O37" s="47"/>
      <c r="P37" s="97"/>
      <c r="Q37" s="21">
        <v>0</v>
      </c>
      <c r="R37" s="47"/>
      <c r="S37" s="97"/>
      <c r="T37" s="21">
        <v>0</v>
      </c>
    </row>
    <row r="38" spans="1:246">
      <c r="A38" s="74" t="s">
        <v>58</v>
      </c>
      <c r="B38" s="17"/>
      <c r="C38" s="17"/>
      <c r="D38" s="47"/>
      <c r="E38" s="46"/>
      <c r="F38" s="47"/>
      <c r="G38" s="19"/>
      <c r="H38" s="44"/>
      <c r="I38" s="47"/>
      <c r="J38" s="19"/>
      <c r="K38" s="44"/>
      <c r="L38" s="47"/>
      <c r="M38" s="19"/>
      <c r="N38" s="44"/>
      <c r="O38" s="47"/>
      <c r="P38" s="19"/>
      <c r="Q38" s="44"/>
      <c r="R38" s="47"/>
      <c r="S38" s="19"/>
      <c r="T38" s="44"/>
    </row>
    <row r="39" spans="1:246">
      <c r="A39" s="75" t="s">
        <v>24</v>
      </c>
      <c r="B39" s="17"/>
      <c r="C39" s="17"/>
      <c r="D39" s="47"/>
      <c r="E39" s="46">
        <f>SUM(H39,K39,N39,Q39,T39)</f>
        <v>0</v>
      </c>
      <c r="F39" s="29">
        <v>0</v>
      </c>
      <c r="G39" s="19"/>
      <c r="H39" s="44">
        <f>H37*F39</f>
        <v>0</v>
      </c>
      <c r="I39" s="29">
        <v>0</v>
      </c>
      <c r="J39" s="19"/>
      <c r="K39" s="44">
        <f>K37*I39</f>
        <v>0</v>
      </c>
      <c r="L39" s="29">
        <v>0</v>
      </c>
      <c r="M39" s="19"/>
      <c r="N39" s="44">
        <f>N37*L39</f>
        <v>0</v>
      </c>
      <c r="O39" s="29">
        <v>0</v>
      </c>
      <c r="P39" s="19"/>
      <c r="Q39" s="44">
        <f>Q37*O39</f>
        <v>0</v>
      </c>
      <c r="R39" s="29">
        <v>0</v>
      </c>
      <c r="S39" s="19"/>
      <c r="T39" s="44">
        <f>T37*R39</f>
        <v>0</v>
      </c>
    </row>
    <row r="40" spans="1:246">
      <c r="A40" s="75" t="s">
        <v>4</v>
      </c>
      <c r="B40" s="17"/>
      <c r="C40" s="17"/>
      <c r="D40" s="47"/>
      <c r="E40" s="46">
        <f>SUM(H40,K40,N40,Q40,T40)</f>
        <v>0</v>
      </c>
      <c r="F40" s="29">
        <v>0</v>
      </c>
      <c r="G40" s="19"/>
      <c r="H40" s="44">
        <f>H37*F40</f>
        <v>0</v>
      </c>
      <c r="I40" s="29">
        <v>0</v>
      </c>
      <c r="J40" s="19"/>
      <c r="K40" s="44">
        <f>K37*I40</f>
        <v>0</v>
      </c>
      <c r="L40" s="29">
        <v>0</v>
      </c>
      <c r="M40" s="19"/>
      <c r="N40" s="44">
        <f>N37*L40</f>
        <v>0</v>
      </c>
      <c r="O40" s="29">
        <v>0</v>
      </c>
      <c r="P40" s="19"/>
      <c r="Q40" s="44">
        <f>Q37*O40</f>
        <v>0</v>
      </c>
      <c r="R40" s="29">
        <v>0</v>
      </c>
      <c r="S40" s="19"/>
      <c r="T40" s="44">
        <f>T37*R40</f>
        <v>0</v>
      </c>
    </row>
    <row r="41" spans="1:246">
      <c r="A41" s="75" t="s">
        <v>17</v>
      </c>
      <c r="B41" s="31"/>
      <c r="C41" s="31"/>
      <c r="D41" s="48" t="s">
        <v>23</v>
      </c>
      <c r="E41" s="46">
        <f>SUM(H41,K41,N41,Q41,T41)</f>
        <v>0</v>
      </c>
      <c r="F41" s="32"/>
      <c r="G41" s="35"/>
      <c r="H41" s="44">
        <f>H39+H40</f>
        <v>0</v>
      </c>
      <c r="I41" s="32"/>
      <c r="J41" s="35"/>
      <c r="K41" s="44">
        <f>K39+K40</f>
        <v>0</v>
      </c>
      <c r="L41" s="32"/>
      <c r="M41" s="35"/>
      <c r="N41" s="44">
        <f>N39+N40</f>
        <v>0</v>
      </c>
      <c r="O41" s="32"/>
      <c r="P41" s="35"/>
      <c r="Q41" s="44">
        <f>Q39+Q40</f>
        <v>0</v>
      </c>
      <c r="R41" s="32"/>
      <c r="S41" s="35"/>
      <c r="T41" s="44">
        <f>T39+T40</f>
        <v>0</v>
      </c>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row>
    <row r="42" spans="1:246">
      <c r="A42" s="76" t="s">
        <v>15</v>
      </c>
      <c r="B42" s="17"/>
      <c r="C42" s="17"/>
      <c r="D42" s="18"/>
      <c r="E42" s="17"/>
      <c r="F42" s="18"/>
      <c r="G42" s="19"/>
      <c r="H42" s="46">
        <f>H37+H41</f>
        <v>0</v>
      </c>
      <c r="I42" s="18"/>
      <c r="J42" s="19"/>
      <c r="K42" s="46">
        <f>K37+K41</f>
        <v>0</v>
      </c>
      <c r="L42" s="18"/>
      <c r="M42" s="19"/>
      <c r="N42" s="46">
        <f>N37+N41</f>
        <v>0</v>
      </c>
      <c r="O42" s="18"/>
      <c r="P42" s="19"/>
      <c r="Q42" s="46">
        <f>Q37+Q41</f>
        <v>0</v>
      </c>
      <c r="R42" s="18"/>
      <c r="S42" s="19"/>
      <c r="T42" s="46">
        <f>T37+T41</f>
        <v>0</v>
      </c>
    </row>
    <row r="43" spans="1:246">
      <c r="A43" s="77"/>
      <c r="B43" s="17"/>
      <c r="C43" s="17"/>
      <c r="D43" s="18"/>
      <c r="E43" s="17"/>
      <c r="F43" s="18"/>
      <c r="G43" s="78"/>
      <c r="H43" s="44"/>
      <c r="I43" s="18"/>
      <c r="J43" s="78"/>
      <c r="K43" s="17"/>
      <c r="L43" s="18"/>
      <c r="M43" s="78"/>
      <c r="N43" s="17"/>
      <c r="O43" s="18"/>
      <c r="P43" s="78"/>
      <c r="Q43" s="17"/>
      <c r="R43" s="18"/>
      <c r="S43" s="78"/>
      <c r="T43" s="17"/>
    </row>
    <row r="44" spans="1:246">
      <c r="A44" s="36" t="s">
        <v>25</v>
      </c>
      <c r="B44" s="31"/>
      <c r="C44" s="31"/>
      <c r="D44" s="45">
        <f>SUM(G44,J44,M44,P44,S44)</f>
        <v>106100</v>
      </c>
      <c r="E44" s="46">
        <f>SUM(H44,K44,N44,Q44,T44)</f>
        <v>0</v>
      </c>
      <c r="F44" s="18"/>
      <c r="G44" s="25">
        <f>G26+G37</f>
        <v>21220</v>
      </c>
      <c r="H44" s="46">
        <f>H33+H42</f>
        <v>0</v>
      </c>
      <c r="I44" s="32"/>
      <c r="J44" s="25">
        <f>J26+J37</f>
        <v>21220</v>
      </c>
      <c r="K44" s="46">
        <f>K41+K33</f>
        <v>0</v>
      </c>
      <c r="L44" s="32"/>
      <c r="M44" s="25">
        <f>M26+M37</f>
        <v>21220</v>
      </c>
      <c r="N44" s="46">
        <f>N41+N33</f>
        <v>0</v>
      </c>
      <c r="O44" s="32"/>
      <c r="P44" s="25">
        <f>P26+P37</f>
        <v>21220</v>
      </c>
      <c r="Q44" s="46">
        <f>Q41+Q33</f>
        <v>0</v>
      </c>
      <c r="R44" s="32"/>
      <c r="S44" s="25">
        <f>S26+S37</f>
        <v>21220</v>
      </c>
      <c r="T44" s="46">
        <f>T41+T33</f>
        <v>0</v>
      </c>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row>
    <row r="45" spans="1:246">
      <c r="A45" s="18"/>
      <c r="B45" s="17"/>
      <c r="C45" s="17"/>
      <c r="D45" s="18"/>
      <c r="E45" s="17"/>
      <c r="F45" s="18"/>
      <c r="G45" s="19"/>
      <c r="H45" s="17"/>
      <c r="I45" s="18"/>
      <c r="J45" s="19"/>
      <c r="K45" s="17"/>
      <c r="L45" s="18"/>
      <c r="M45" s="19"/>
      <c r="N45" s="17"/>
      <c r="O45" s="18"/>
      <c r="P45" s="19"/>
      <c r="Q45" s="17"/>
      <c r="R45" s="18"/>
      <c r="S45" s="19"/>
      <c r="T45" s="17"/>
    </row>
    <row r="46" spans="1:246">
      <c r="A46" s="32" t="s">
        <v>8</v>
      </c>
      <c r="B46" s="17"/>
      <c r="C46" s="17"/>
      <c r="D46" s="18"/>
      <c r="E46" s="17"/>
      <c r="F46" s="18"/>
      <c r="G46" s="19"/>
      <c r="H46" s="17"/>
      <c r="I46" s="18"/>
      <c r="J46" s="19"/>
      <c r="K46" s="17"/>
      <c r="L46" s="18"/>
      <c r="M46" s="19"/>
      <c r="N46" s="17"/>
      <c r="O46" s="18"/>
      <c r="P46" s="19"/>
      <c r="Q46" s="17"/>
      <c r="R46" s="18"/>
      <c r="S46" s="19"/>
      <c r="T46" s="17"/>
    </row>
    <row r="47" spans="1:246">
      <c r="A47" s="20" t="s">
        <v>26</v>
      </c>
      <c r="B47" s="17"/>
      <c r="C47" s="17"/>
      <c r="D47" s="47"/>
      <c r="E47" s="44">
        <f>SUM(H47,K47,N47,Q47,T47)</f>
        <v>0</v>
      </c>
      <c r="F47" s="29">
        <v>0</v>
      </c>
      <c r="G47" s="19"/>
      <c r="H47" s="44">
        <f>H33*F47</f>
        <v>0</v>
      </c>
      <c r="I47" s="29">
        <v>0</v>
      </c>
      <c r="J47" s="19"/>
      <c r="K47" s="44">
        <f>K33*I47</f>
        <v>0</v>
      </c>
      <c r="L47" s="29">
        <v>0</v>
      </c>
      <c r="M47" s="19"/>
      <c r="N47" s="44">
        <f>N33*L47</f>
        <v>0</v>
      </c>
      <c r="O47" s="29">
        <v>0</v>
      </c>
      <c r="P47" s="19"/>
      <c r="Q47" s="44">
        <f>Q33*O47</f>
        <v>0</v>
      </c>
      <c r="R47" s="29">
        <v>0</v>
      </c>
      <c r="S47" s="19"/>
      <c r="T47" s="44">
        <f>T33*R47</f>
        <v>0</v>
      </c>
    </row>
    <row r="48" spans="1:246">
      <c r="A48" s="20" t="s">
        <v>27</v>
      </c>
      <c r="B48" s="17"/>
      <c r="C48" s="17"/>
      <c r="D48" s="47"/>
      <c r="E48" s="44">
        <f>SUM(H48,K48,N48,Q48,T48)</f>
        <v>0</v>
      </c>
      <c r="F48" s="29">
        <v>0</v>
      </c>
      <c r="G48" s="19"/>
      <c r="H48" s="52">
        <f>H42*F48</f>
        <v>0</v>
      </c>
      <c r="I48" s="29">
        <v>0</v>
      </c>
      <c r="J48" s="19"/>
      <c r="K48" s="52">
        <f>K42*I48</f>
        <v>0</v>
      </c>
      <c r="L48" s="29">
        <v>0</v>
      </c>
      <c r="M48" s="19"/>
      <c r="N48" s="52">
        <f>N42*L48</f>
        <v>0</v>
      </c>
      <c r="O48" s="29">
        <v>0</v>
      </c>
      <c r="P48" s="19"/>
      <c r="Q48" s="52">
        <f>Q42*O48</f>
        <v>0</v>
      </c>
      <c r="R48" s="29">
        <v>0</v>
      </c>
      <c r="S48" s="19"/>
      <c r="T48" s="52">
        <f>T42*R48</f>
        <v>0</v>
      </c>
    </row>
    <row r="49" spans="1:246">
      <c r="A49" s="20" t="s">
        <v>28</v>
      </c>
      <c r="B49" s="17"/>
      <c r="C49" s="17"/>
      <c r="D49" s="47"/>
      <c r="E49" s="44">
        <f>SUM(H49,K49,N49,Q49,T49)</f>
        <v>0</v>
      </c>
      <c r="F49" s="29">
        <v>0</v>
      </c>
      <c r="G49" s="19"/>
      <c r="H49" s="44">
        <f>SUM(H47:H48)</f>
        <v>0</v>
      </c>
      <c r="I49" s="29">
        <v>0</v>
      </c>
      <c r="J49" s="19"/>
      <c r="K49" s="44">
        <f>SUM(K47:K48)</f>
        <v>0</v>
      </c>
      <c r="L49" s="29">
        <v>0</v>
      </c>
      <c r="M49" s="19"/>
      <c r="N49" s="44">
        <f>SUM(N47:N48)</f>
        <v>0</v>
      </c>
      <c r="O49" s="29">
        <v>0</v>
      </c>
      <c r="P49" s="19"/>
      <c r="Q49" s="44">
        <f>SUM(Q47:Q48)</f>
        <v>0</v>
      </c>
      <c r="R49" s="29">
        <v>0</v>
      </c>
      <c r="S49" s="19"/>
      <c r="T49" s="44">
        <f>SUM(T47:T48)</f>
        <v>0</v>
      </c>
    </row>
    <row r="50" spans="1:246">
      <c r="A50" s="20"/>
      <c r="B50" s="17"/>
      <c r="C50" s="17"/>
      <c r="D50" s="18"/>
      <c r="E50" s="17"/>
      <c r="F50" s="18"/>
      <c r="G50" s="19"/>
      <c r="H50" s="17"/>
      <c r="I50" s="18"/>
      <c r="J50" s="19"/>
      <c r="K50" s="17"/>
      <c r="L50" s="18"/>
      <c r="M50" s="19"/>
      <c r="N50" s="17"/>
      <c r="O50" s="18"/>
      <c r="P50" s="19"/>
      <c r="Q50" s="17"/>
      <c r="R50" s="18"/>
      <c r="S50" s="19"/>
      <c r="T50" s="17"/>
    </row>
    <row r="51" spans="1:246">
      <c r="A51" s="36" t="s">
        <v>12</v>
      </c>
      <c r="B51" s="31"/>
      <c r="C51" s="31"/>
      <c r="D51" s="45"/>
      <c r="E51" s="46">
        <f>SUM(H51,K51,N51,Q51,T51)</f>
        <v>0</v>
      </c>
      <c r="F51" s="32"/>
      <c r="G51" s="25"/>
      <c r="H51" s="46">
        <f>H49+H44</f>
        <v>0</v>
      </c>
      <c r="I51" s="32"/>
      <c r="J51" s="25"/>
      <c r="K51" s="46">
        <f>K49+K44</f>
        <v>0</v>
      </c>
      <c r="L51" s="32"/>
      <c r="M51" s="25"/>
      <c r="N51" s="46">
        <f>N49+N44</f>
        <v>0</v>
      </c>
      <c r="O51" s="32"/>
      <c r="P51" s="35"/>
      <c r="Q51" s="46">
        <f>Q49+Q44</f>
        <v>0</v>
      </c>
      <c r="R51" s="32"/>
      <c r="S51" s="25"/>
      <c r="T51" s="46">
        <f>T49+T44</f>
        <v>0</v>
      </c>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row>
    <row r="52" spans="1:246">
      <c r="A52" s="20"/>
      <c r="B52" s="17"/>
      <c r="C52" s="17"/>
      <c r="D52" s="18"/>
      <c r="E52" s="46"/>
      <c r="F52" s="18"/>
      <c r="G52" s="19"/>
      <c r="H52" s="17"/>
      <c r="I52" s="18"/>
      <c r="J52" s="19"/>
      <c r="K52" s="17"/>
      <c r="L52" s="18"/>
      <c r="M52" s="19"/>
      <c r="N52" s="17"/>
      <c r="O52" s="18"/>
      <c r="P52" s="19"/>
      <c r="Q52" s="17"/>
      <c r="R52" s="18"/>
      <c r="S52" s="19"/>
      <c r="T52" s="17"/>
    </row>
    <row r="53" spans="1:246">
      <c r="A53" s="20"/>
      <c r="B53" s="17"/>
      <c r="C53" s="17"/>
      <c r="D53" s="18"/>
      <c r="E53" s="46"/>
      <c r="F53" s="104" t="s">
        <v>41</v>
      </c>
      <c r="G53" s="105"/>
      <c r="H53" s="106"/>
      <c r="I53" s="104" t="s">
        <v>42</v>
      </c>
      <c r="J53" s="105"/>
      <c r="K53" s="106"/>
      <c r="L53" s="104" t="s">
        <v>43</v>
      </c>
      <c r="M53" s="105"/>
      <c r="N53" s="106"/>
      <c r="O53" s="104" t="s">
        <v>44</v>
      </c>
      <c r="P53" s="105"/>
      <c r="Q53" s="106"/>
      <c r="R53" s="104" t="s">
        <v>45</v>
      </c>
      <c r="S53" s="105"/>
      <c r="T53" s="106"/>
    </row>
    <row r="54" spans="1:246">
      <c r="A54" s="36" t="s">
        <v>13</v>
      </c>
      <c r="B54" s="17"/>
      <c r="C54" s="17"/>
      <c r="D54" s="18"/>
      <c r="E54" s="46"/>
      <c r="F54" s="18"/>
      <c r="G54" s="19"/>
      <c r="H54" s="17"/>
      <c r="I54" s="18"/>
      <c r="J54" s="19"/>
      <c r="K54" s="17"/>
      <c r="L54" s="18"/>
      <c r="M54" s="19"/>
      <c r="N54" s="17"/>
      <c r="O54" s="18"/>
      <c r="P54" s="19"/>
      <c r="Q54" s="17"/>
      <c r="R54" s="18"/>
      <c r="S54" s="19"/>
      <c r="T54" s="17"/>
    </row>
    <row r="55" spans="1:246">
      <c r="A55" s="20" t="s">
        <v>18</v>
      </c>
      <c r="B55" s="17"/>
      <c r="C55" s="17"/>
      <c r="D55" s="47"/>
      <c r="E55" s="46">
        <f>SUM(H55,K55,N55,Q55,T55)</f>
        <v>472600</v>
      </c>
      <c r="F55" s="47"/>
      <c r="G55" s="19"/>
      <c r="H55" s="53">
        <v>94520</v>
      </c>
      <c r="I55" s="47"/>
      <c r="J55" s="19"/>
      <c r="K55" s="53">
        <v>94520</v>
      </c>
      <c r="L55" s="47"/>
      <c r="M55" s="19"/>
      <c r="N55" s="53">
        <v>94520</v>
      </c>
      <c r="O55" s="47"/>
      <c r="P55" s="19"/>
      <c r="Q55" s="53">
        <v>94520</v>
      </c>
      <c r="R55" s="47"/>
      <c r="S55" s="19"/>
      <c r="T55" s="53">
        <v>94520</v>
      </c>
    </row>
    <row r="56" spans="1:246">
      <c r="A56" s="20" t="s">
        <v>46</v>
      </c>
      <c r="B56" s="17"/>
      <c r="C56" s="17"/>
      <c r="D56" s="47"/>
      <c r="E56" s="46">
        <f>SUM(H56,K56,N56,Q56,T56)</f>
        <v>15020</v>
      </c>
      <c r="F56" s="47"/>
      <c r="G56" s="19"/>
      <c r="H56" s="53">
        <v>13820</v>
      </c>
      <c r="I56" s="47"/>
      <c r="J56" s="19"/>
      <c r="K56" s="53">
        <v>300</v>
      </c>
      <c r="L56" s="47"/>
      <c r="M56" s="19"/>
      <c r="N56" s="53">
        <v>300</v>
      </c>
      <c r="O56" s="47"/>
      <c r="P56" s="19"/>
      <c r="Q56" s="53">
        <v>300</v>
      </c>
      <c r="R56" s="47"/>
      <c r="S56" s="19"/>
      <c r="T56" s="53">
        <v>300</v>
      </c>
    </row>
    <row r="57" spans="1:246">
      <c r="A57" s="20" t="s">
        <v>16</v>
      </c>
      <c r="B57" s="17"/>
      <c r="C57" s="17"/>
      <c r="D57" s="47"/>
      <c r="E57" s="46">
        <f>SUM(H57,K57,N57,Q57,T57)</f>
        <v>0</v>
      </c>
      <c r="F57" s="29">
        <v>0</v>
      </c>
      <c r="G57" s="19"/>
      <c r="H57" s="44">
        <f>H56*F57</f>
        <v>0</v>
      </c>
      <c r="I57" s="29">
        <v>0</v>
      </c>
      <c r="J57" s="19"/>
      <c r="K57" s="44">
        <f>K56*I57</f>
        <v>0</v>
      </c>
      <c r="L57" s="29">
        <v>0</v>
      </c>
      <c r="M57" s="19"/>
      <c r="N57" s="44">
        <f>N56*L57</f>
        <v>0</v>
      </c>
      <c r="O57" s="29">
        <v>0</v>
      </c>
      <c r="P57" s="19"/>
      <c r="Q57" s="44">
        <f>Q56*O57</f>
        <v>0</v>
      </c>
      <c r="R57" s="29">
        <v>0</v>
      </c>
      <c r="S57" s="19"/>
      <c r="T57" s="44">
        <f>T56*R57</f>
        <v>0</v>
      </c>
    </row>
    <row r="58" spans="1:246">
      <c r="A58" s="20" t="s">
        <v>14</v>
      </c>
      <c r="B58" s="17"/>
      <c r="C58" s="17"/>
      <c r="D58" s="47"/>
      <c r="E58" s="46">
        <f>SUM(H58,K58,N58,Q58,T58)</f>
        <v>487620</v>
      </c>
      <c r="F58" s="47"/>
      <c r="G58" s="19"/>
      <c r="H58" s="44">
        <f>SUM(H55:H57)</f>
        <v>108340</v>
      </c>
      <c r="I58" s="47"/>
      <c r="J58" s="19"/>
      <c r="K58" s="44">
        <f>SUM(K55:K57)</f>
        <v>94820</v>
      </c>
      <c r="L58" s="47"/>
      <c r="M58" s="19"/>
      <c r="N58" s="44">
        <f>SUM(N55:N57)</f>
        <v>94820</v>
      </c>
      <c r="O58" s="47"/>
      <c r="P58" s="19"/>
      <c r="Q58" s="44">
        <f>SUM(Q55:Q57)</f>
        <v>94820</v>
      </c>
      <c r="R58" s="47"/>
      <c r="S58" s="19"/>
      <c r="T58" s="44">
        <f>SUM(T55:T57)</f>
        <v>94820</v>
      </c>
    </row>
    <row r="59" spans="1:246">
      <c r="A59" s="20"/>
      <c r="B59" s="17"/>
      <c r="C59" s="17"/>
      <c r="D59" s="18"/>
      <c r="E59" s="46"/>
      <c r="F59" s="18"/>
      <c r="G59" s="19"/>
      <c r="H59" s="17"/>
      <c r="I59" s="18"/>
      <c r="J59" s="19"/>
      <c r="K59" s="17"/>
      <c r="L59" s="18"/>
      <c r="M59" s="19"/>
      <c r="N59" s="17"/>
      <c r="O59" s="18"/>
      <c r="P59" s="19"/>
      <c r="Q59" s="17"/>
      <c r="R59" s="18"/>
      <c r="S59" s="19"/>
      <c r="T59" s="17"/>
    </row>
    <row r="60" spans="1:246" ht="13.5" thickBot="1">
      <c r="A60" s="37" t="s">
        <v>29</v>
      </c>
      <c r="B60" s="38"/>
      <c r="C60" s="38"/>
      <c r="D60" s="49"/>
      <c r="E60" s="50">
        <f>SUM(H60,K60,N60,Q60,T60)</f>
        <v>487620</v>
      </c>
      <c r="F60" s="39"/>
      <c r="G60" s="40"/>
      <c r="H60" s="50">
        <f>H58+H51</f>
        <v>108340</v>
      </c>
      <c r="I60" s="39"/>
      <c r="J60" s="40"/>
      <c r="K60" s="50">
        <f>K58+K51</f>
        <v>94820</v>
      </c>
      <c r="L60" s="39"/>
      <c r="M60" s="40"/>
      <c r="N60" s="50">
        <f>N58+N51</f>
        <v>94820</v>
      </c>
      <c r="O60" s="39"/>
      <c r="P60" s="40"/>
      <c r="Q60" s="50">
        <f>Q58+Q51</f>
        <v>94820</v>
      </c>
      <c r="R60" s="39"/>
      <c r="S60" s="40"/>
      <c r="T60" s="50">
        <f>T58+T51</f>
        <v>94820</v>
      </c>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row>
    <row r="62" spans="1:246">
      <c r="D62" s="41"/>
      <c r="E62" s="41"/>
      <c r="H62" s="4"/>
      <c r="K62" s="4"/>
      <c r="N62" s="4"/>
      <c r="Q62" s="4"/>
      <c r="T62" s="4"/>
    </row>
    <row r="63" spans="1:246">
      <c r="Q63" s="4"/>
      <c r="T63" s="4"/>
    </row>
    <row r="65" spans="1:16" ht="47.25" customHeight="1"/>
    <row r="67" spans="1:16" ht="47.25" customHeight="1">
      <c r="A67" s="72" t="s">
        <v>55</v>
      </c>
      <c r="B67" s="73"/>
      <c r="C67" s="73"/>
      <c r="D67" s="73"/>
      <c r="E67" s="73"/>
      <c r="F67" s="73"/>
      <c r="G67" s="73"/>
      <c r="H67" s="73"/>
      <c r="I67" s="73"/>
      <c r="J67" s="73"/>
      <c r="K67" s="73"/>
      <c r="L67" s="73"/>
      <c r="M67" s="73"/>
      <c r="N67" s="73"/>
      <c r="O67" s="73"/>
      <c r="P67" s="73"/>
    </row>
    <row r="68" spans="1:16">
      <c r="H68" s="4"/>
    </row>
  </sheetData>
  <mergeCells count="15">
    <mergeCell ref="A3:P3"/>
    <mergeCell ref="O10:Q10"/>
    <mergeCell ref="A4:P4"/>
    <mergeCell ref="A5:P5"/>
    <mergeCell ref="A6:P6"/>
    <mergeCell ref="R53:T53"/>
    <mergeCell ref="R10:T10"/>
    <mergeCell ref="D10:E10"/>
    <mergeCell ref="F10:H10"/>
    <mergeCell ref="I10:K10"/>
    <mergeCell ref="L10:N10"/>
    <mergeCell ref="F53:H53"/>
    <mergeCell ref="I53:K53"/>
    <mergeCell ref="L53:N53"/>
    <mergeCell ref="O53:Q5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B1:T17"/>
  <sheetViews>
    <sheetView zoomScaleNormal="100" workbookViewId="0">
      <selection activeCell="C28" sqref="C28"/>
    </sheetView>
  </sheetViews>
  <sheetFormatPr defaultColWidth="9.140625" defaultRowHeight="12.75"/>
  <cols>
    <col min="1" max="1" width="3.28515625" style="58" customWidth="1"/>
    <col min="2" max="2" width="57.85546875" style="58" customWidth="1"/>
    <col min="3" max="3" width="14.5703125" style="58" customWidth="1"/>
    <col min="4" max="4" width="13.42578125" style="58" customWidth="1"/>
    <col min="5" max="5" width="13.5703125" style="58" customWidth="1"/>
    <col min="6" max="6" width="13.85546875" style="58" customWidth="1"/>
    <col min="7" max="7" width="15" style="58" customWidth="1"/>
    <col min="8" max="8" width="14.85546875" style="58" customWidth="1"/>
    <col min="9" max="9" width="13.85546875" style="58" customWidth="1"/>
    <col min="10" max="10" width="13.42578125" style="58" customWidth="1"/>
    <col min="11" max="11" width="34.140625" style="58" customWidth="1"/>
    <col min="12" max="16384" width="9.140625" style="58"/>
  </cols>
  <sheetData>
    <row r="1" spans="2:20" s="55" customFormat="1" ht="21">
      <c r="B1" s="70" t="s">
        <v>49</v>
      </c>
    </row>
    <row r="2" spans="2:20" s="55" customFormat="1">
      <c r="B2" s="56"/>
      <c r="C2" s="57"/>
      <c r="D2" s="57"/>
      <c r="E2" s="57"/>
      <c r="F2" s="57"/>
      <c r="G2" s="57"/>
      <c r="H2" s="57"/>
      <c r="I2" s="57"/>
      <c r="J2" s="57"/>
      <c r="K2" s="57"/>
      <c r="L2" s="57"/>
      <c r="M2" s="57"/>
      <c r="N2" s="57"/>
      <c r="O2" s="57"/>
      <c r="P2" s="57"/>
      <c r="Q2" s="57"/>
      <c r="R2" s="57"/>
      <c r="S2" s="57"/>
      <c r="T2" s="57"/>
    </row>
    <row r="4" spans="2:20" ht="14.25">
      <c r="B4" s="117"/>
      <c r="C4" s="118"/>
      <c r="D4" s="118"/>
      <c r="E4" s="118"/>
      <c r="F4" s="118"/>
      <c r="G4" s="118"/>
      <c r="H4" s="118"/>
      <c r="I4" s="118"/>
      <c r="J4" s="119"/>
    </row>
    <row r="5" spans="2:20" ht="38.25" customHeight="1">
      <c r="B5" s="59" t="s">
        <v>0</v>
      </c>
      <c r="C5" s="60" t="s">
        <v>48</v>
      </c>
      <c r="D5" s="61" t="s">
        <v>54</v>
      </c>
      <c r="E5" s="61" t="s">
        <v>54</v>
      </c>
      <c r="F5" s="61" t="s">
        <v>54</v>
      </c>
      <c r="G5" s="61" t="s">
        <v>54</v>
      </c>
      <c r="H5" s="61" t="s">
        <v>54</v>
      </c>
      <c r="I5" s="61" t="s">
        <v>54</v>
      </c>
      <c r="J5" s="61" t="s">
        <v>54</v>
      </c>
    </row>
    <row r="6" spans="2:20">
      <c r="B6" s="17"/>
      <c r="C6" s="62">
        <v>0</v>
      </c>
      <c r="D6" s="62">
        <v>0</v>
      </c>
      <c r="E6" s="62">
        <v>0</v>
      </c>
      <c r="F6" s="62">
        <v>0</v>
      </c>
      <c r="G6" s="62">
        <v>0</v>
      </c>
      <c r="H6" s="62">
        <v>0</v>
      </c>
      <c r="I6" s="62">
        <v>0</v>
      </c>
      <c r="J6" s="62">
        <v>0</v>
      </c>
      <c r="L6" s="63"/>
    </row>
    <row r="7" spans="2:20">
      <c r="B7" s="100" t="s">
        <v>81</v>
      </c>
      <c r="C7" s="62">
        <v>0</v>
      </c>
      <c r="D7" s="62">
        <v>0</v>
      </c>
      <c r="E7" s="62">
        <v>0</v>
      </c>
      <c r="F7" s="62">
        <v>0</v>
      </c>
      <c r="G7" s="62">
        <v>0</v>
      </c>
      <c r="H7" s="62">
        <v>0</v>
      </c>
      <c r="I7" s="62">
        <v>0</v>
      </c>
      <c r="J7" s="62">
        <v>0</v>
      </c>
      <c r="L7" s="63"/>
    </row>
    <row r="8" spans="2:20">
      <c r="B8" s="100" t="s">
        <v>71</v>
      </c>
      <c r="C8" s="62">
        <v>0</v>
      </c>
      <c r="D8" s="62">
        <v>0</v>
      </c>
      <c r="E8" s="62">
        <v>0</v>
      </c>
      <c r="F8" s="62">
        <v>0</v>
      </c>
      <c r="G8" s="62">
        <v>0</v>
      </c>
      <c r="H8" s="62">
        <v>0</v>
      </c>
      <c r="I8" s="62">
        <v>0</v>
      </c>
      <c r="J8" s="62">
        <v>0</v>
      </c>
      <c r="L8" s="63"/>
    </row>
    <row r="9" spans="2:20">
      <c r="B9" s="101" t="s">
        <v>72</v>
      </c>
      <c r="C9" s="62">
        <v>0</v>
      </c>
      <c r="D9" s="62">
        <v>0</v>
      </c>
      <c r="E9" s="62">
        <v>0</v>
      </c>
      <c r="F9" s="62">
        <v>0</v>
      </c>
      <c r="G9" s="62">
        <v>0</v>
      </c>
      <c r="H9" s="62">
        <v>0</v>
      </c>
      <c r="I9" s="62">
        <v>0</v>
      </c>
      <c r="J9" s="62">
        <v>0</v>
      </c>
      <c r="L9" s="63"/>
    </row>
    <row r="10" spans="2:20">
      <c r="B10" s="101" t="s">
        <v>73</v>
      </c>
      <c r="C10" s="62">
        <v>0</v>
      </c>
      <c r="D10" s="62">
        <v>0</v>
      </c>
      <c r="E10" s="62">
        <v>0</v>
      </c>
      <c r="F10" s="62">
        <v>0</v>
      </c>
      <c r="G10" s="62">
        <v>0</v>
      </c>
      <c r="H10" s="62">
        <v>0</v>
      </c>
      <c r="I10" s="62">
        <v>0</v>
      </c>
      <c r="J10" s="62">
        <v>0</v>
      </c>
      <c r="L10" s="63"/>
    </row>
    <row r="11" spans="2:20">
      <c r="B11" s="101" t="s">
        <v>74</v>
      </c>
      <c r="C11" s="62">
        <v>0</v>
      </c>
      <c r="D11" s="62">
        <v>0</v>
      </c>
      <c r="E11" s="62">
        <v>0</v>
      </c>
      <c r="F11" s="62">
        <v>0</v>
      </c>
      <c r="G11" s="62">
        <v>0</v>
      </c>
      <c r="H11" s="62">
        <v>0</v>
      </c>
      <c r="I11" s="62">
        <v>0</v>
      </c>
      <c r="J11" s="62">
        <v>0</v>
      </c>
      <c r="L11" s="63"/>
    </row>
    <row r="12" spans="2:20">
      <c r="B12" s="101" t="s">
        <v>75</v>
      </c>
      <c r="C12" s="62">
        <v>0</v>
      </c>
      <c r="D12" s="62">
        <v>0</v>
      </c>
      <c r="E12" s="62">
        <v>0</v>
      </c>
      <c r="F12" s="62">
        <v>0</v>
      </c>
      <c r="G12" s="62">
        <v>0</v>
      </c>
      <c r="H12" s="62">
        <v>0</v>
      </c>
      <c r="I12" s="62">
        <v>0</v>
      </c>
      <c r="J12" s="62">
        <v>0</v>
      </c>
      <c r="L12" s="63"/>
    </row>
    <row r="13" spans="2:20">
      <c r="B13" s="101" t="s">
        <v>76</v>
      </c>
      <c r="C13" s="62">
        <v>0</v>
      </c>
      <c r="D13" s="62">
        <v>0</v>
      </c>
      <c r="E13" s="62">
        <v>0</v>
      </c>
      <c r="F13" s="62">
        <v>0</v>
      </c>
      <c r="G13" s="62">
        <v>0</v>
      </c>
      <c r="H13" s="62">
        <v>0</v>
      </c>
      <c r="I13" s="62">
        <v>0</v>
      </c>
      <c r="J13" s="62">
        <v>0</v>
      </c>
      <c r="L13" s="63"/>
    </row>
    <row r="14" spans="2:20">
      <c r="B14" s="101" t="s">
        <v>77</v>
      </c>
      <c r="C14" s="62">
        <v>0</v>
      </c>
      <c r="D14" s="62">
        <v>0</v>
      </c>
      <c r="E14" s="62">
        <v>0</v>
      </c>
      <c r="F14" s="62">
        <v>0</v>
      </c>
      <c r="G14" s="62">
        <v>0</v>
      </c>
      <c r="H14" s="62">
        <v>0</v>
      </c>
      <c r="I14" s="62">
        <v>0</v>
      </c>
      <c r="J14" s="62">
        <v>0</v>
      </c>
      <c r="L14" s="63"/>
    </row>
    <row r="15" spans="2:20">
      <c r="B15" s="101" t="s">
        <v>78</v>
      </c>
      <c r="C15" s="62">
        <v>0</v>
      </c>
      <c r="D15" s="62">
        <v>0</v>
      </c>
      <c r="E15" s="62">
        <v>0</v>
      </c>
      <c r="F15" s="62">
        <v>0</v>
      </c>
      <c r="G15" s="62">
        <v>0</v>
      </c>
      <c r="H15" s="62">
        <v>0</v>
      </c>
      <c r="I15" s="62">
        <v>0</v>
      </c>
      <c r="J15" s="62">
        <v>0</v>
      </c>
      <c r="L15" s="63"/>
    </row>
    <row r="16" spans="2:20">
      <c r="B16" s="101" t="s">
        <v>79</v>
      </c>
      <c r="C16" s="62">
        <v>0</v>
      </c>
      <c r="D16" s="62">
        <v>0</v>
      </c>
      <c r="E16" s="62">
        <v>0</v>
      </c>
      <c r="F16" s="62">
        <v>0</v>
      </c>
      <c r="G16" s="62">
        <v>0</v>
      </c>
      <c r="H16" s="62">
        <v>0</v>
      </c>
      <c r="I16" s="62">
        <v>0</v>
      </c>
      <c r="J16" s="62">
        <v>0</v>
      </c>
      <c r="L16" s="63"/>
    </row>
    <row r="17" spans="2:12">
      <c r="B17" s="100" t="s">
        <v>80</v>
      </c>
      <c r="C17" s="62">
        <v>0</v>
      </c>
      <c r="D17" s="62">
        <v>0</v>
      </c>
      <c r="E17" s="62">
        <v>0</v>
      </c>
      <c r="F17" s="62">
        <v>0</v>
      </c>
      <c r="G17" s="62">
        <v>0</v>
      </c>
      <c r="H17" s="62">
        <v>0</v>
      </c>
      <c r="I17" s="62">
        <v>0</v>
      </c>
      <c r="J17" s="62">
        <v>0</v>
      </c>
      <c r="L17" s="63"/>
    </row>
  </sheetData>
  <mergeCells count="1">
    <mergeCell ref="B4:J4"/>
  </mergeCells>
  <pageMargins left="0.7" right="0.7" top="0.75" bottom="0.75" header="0.3" footer="0.3"/>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249977111117893"/>
  </sheetPr>
  <dimension ref="B1:S339"/>
  <sheetViews>
    <sheetView topLeftCell="A7" zoomScaleNormal="100" workbookViewId="0">
      <selection activeCell="B34" sqref="B34"/>
    </sheetView>
  </sheetViews>
  <sheetFormatPr defaultColWidth="9.140625" defaultRowHeight="12.75" outlineLevelCol="1"/>
  <cols>
    <col min="1" max="1" width="3.28515625" style="65" customWidth="1"/>
    <col min="2" max="2" width="39.42578125" style="65" customWidth="1"/>
    <col min="3" max="3" width="11" style="65" customWidth="1"/>
    <col min="4" max="4" width="14" style="65" customWidth="1"/>
    <col min="5" max="5" width="12.5703125" style="65" customWidth="1"/>
    <col min="6" max="6" width="15.7109375" style="65" customWidth="1"/>
    <col min="7" max="7" width="15.140625" style="65" customWidth="1"/>
    <col min="8" max="8" width="9.140625" style="65"/>
    <col min="9" max="9" width="9.42578125" style="69" customWidth="1" outlineLevel="1"/>
    <col min="10" max="10" width="16.7109375" style="65" customWidth="1"/>
    <col min="11" max="16384" width="9.140625" style="65"/>
  </cols>
  <sheetData>
    <row r="1" spans="2:19" s="64" customFormat="1" ht="18.75">
      <c r="B1" s="71" t="s">
        <v>50</v>
      </c>
      <c r="I1" s="65"/>
    </row>
    <row r="2" spans="2:19" s="64" customFormat="1">
      <c r="B2" s="66"/>
      <c r="C2" s="67"/>
      <c r="D2" s="67"/>
      <c r="E2" s="67"/>
      <c r="F2" s="67"/>
      <c r="G2" s="67"/>
      <c r="H2" s="67"/>
      <c r="I2" s="67"/>
      <c r="J2" s="67"/>
      <c r="K2" s="67"/>
      <c r="L2" s="67"/>
      <c r="M2" s="67"/>
      <c r="N2" s="67"/>
      <c r="O2" s="67"/>
      <c r="P2" s="67"/>
      <c r="Q2" s="67"/>
      <c r="R2" s="67"/>
      <c r="S2" s="67"/>
    </row>
    <row r="3" spans="2:19" s="64" customFormat="1">
      <c r="B3" s="68"/>
    </row>
    <row r="4" spans="2:19" s="64" customFormat="1" ht="18.75">
      <c r="B4" s="71" t="s">
        <v>51</v>
      </c>
    </row>
    <row r="5" spans="2:19" s="64" customFormat="1" ht="33" customHeight="1">
      <c r="B5" s="123" t="s">
        <v>53</v>
      </c>
      <c r="C5" s="124"/>
      <c r="D5" s="124"/>
      <c r="E5" s="124"/>
      <c r="F5" s="124"/>
      <c r="G5" s="124"/>
      <c r="H5" s="124"/>
      <c r="I5" s="124"/>
      <c r="J5" s="124"/>
      <c r="K5" s="124"/>
      <c r="L5" s="124"/>
      <c r="M5" s="124"/>
      <c r="N5" s="125"/>
    </row>
    <row r="6" spans="2:19" s="64" customFormat="1" ht="12" customHeight="1">
      <c r="B6" s="68"/>
    </row>
    <row r="7" spans="2:19" s="64" customFormat="1">
      <c r="B7" s="68"/>
    </row>
    <row r="8" spans="2:19" s="64" customFormat="1" ht="9" customHeight="1">
      <c r="B8" s="68"/>
    </row>
    <row r="9" spans="2:19">
      <c r="I9" s="65"/>
    </row>
    <row r="10" spans="2:19" ht="15">
      <c r="B10" s="120"/>
      <c r="C10" s="121"/>
      <c r="D10" s="121"/>
      <c r="E10" s="121"/>
      <c r="F10" s="121"/>
      <c r="G10" s="121"/>
      <c r="H10" s="122"/>
      <c r="I10" s="79"/>
      <c r="J10" s="79"/>
      <c r="K10" s="79"/>
    </row>
    <row r="11" spans="2:19" ht="47.25" customHeight="1">
      <c r="B11" s="80" t="s">
        <v>0</v>
      </c>
      <c r="C11" s="85" t="s">
        <v>48</v>
      </c>
      <c r="D11" s="86" t="s">
        <v>54</v>
      </c>
      <c r="E11" s="86" t="s">
        <v>54</v>
      </c>
      <c r="F11" s="86" t="s">
        <v>54</v>
      </c>
      <c r="G11" s="86" t="s">
        <v>54</v>
      </c>
      <c r="H11" s="87" t="s">
        <v>47</v>
      </c>
      <c r="I11" s="79"/>
      <c r="J11" s="81" t="s">
        <v>47</v>
      </c>
      <c r="K11" s="79"/>
    </row>
    <row r="12" spans="2:19" ht="15">
      <c r="B12" s="100" t="s">
        <v>82</v>
      </c>
      <c r="C12" s="88">
        <v>0</v>
      </c>
      <c r="D12" s="88">
        <v>0</v>
      </c>
      <c r="E12" s="88">
        <v>0</v>
      </c>
      <c r="F12" s="88">
        <v>0</v>
      </c>
      <c r="G12" s="88">
        <v>0</v>
      </c>
      <c r="H12" s="88">
        <f>SUM(C12:G12)</f>
        <v>0</v>
      </c>
      <c r="I12" s="79"/>
      <c r="J12" s="82"/>
      <c r="K12" s="83"/>
    </row>
    <row r="13" spans="2:19" ht="26.25">
      <c r="B13" s="100" t="s">
        <v>71</v>
      </c>
      <c r="C13" s="89">
        <f>SUM(C14:C21)</f>
        <v>0</v>
      </c>
      <c r="D13" s="89">
        <f>SUM(D14:D21)</f>
        <v>0</v>
      </c>
      <c r="E13" s="89">
        <f t="shared" ref="E13:G13" si="0">SUM(E14:E21)</f>
        <v>0</v>
      </c>
      <c r="F13" s="89">
        <f t="shared" si="0"/>
        <v>0</v>
      </c>
      <c r="G13" s="89">
        <f t="shared" si="0"/>
        <v>0</v>
      </c>
      <c r="H13" s="89">
        <f>SUM(C13:G13)</f>
        <v>0</v>
      </c>
      <c r="I13" s="84"/>
      <c r="J13" s="82"/>
      <c r="K13" s="83"/>
    </row>
    <row r="14" spans="2:19" ht="26.25">
      <c r="B14" s="101" t="s">
        <v>72</v>
      </c>
      <c r="C14" s="90">
        <v>0</v>
      </c>
      <c r="D14" s="90">
        <v>0</v>
      </c>
      <c r="E14" s="90">
        <v>0</v>
      </c>
      <c r="F14" s="90">
        <v>0</v>
      </c>
      <c r="G14" s="90">
        <v>0</v>
      </c>
      <c r="H14" s="90">
        <f t="shared" ref="H14:H21" si="1">SUM(C14:G14)</f>
        <v>0</v>
      </c>
      <c r="I14" s="79"/>
      <c r="J14" s="82"/>
      <c r="K14" s="83"/>
    </row>
    <row r="15" spans="2:19" ht="26.25">
      <c r="B15" s="101" t="s">
        <v>73</v>
      </c>
      <c r="C15" s="90">
        <v>0</v>
      </c>
      <c r="D15" s="90">
        <v>0</v>
      </c>
      <c r="E15" s="90">
        <v>0</v>
      </c>
      <c r="F15" s="90">
        <v>0</v>
      </c>
      <c r="G15" s="90">
        <v>0</v>
      </c>
      <c r="H15" s="90">
        <f t="shared" si="1"/>
        <v>0</v>
      </c>
      <c r="I15" s="79"/>
      <c r="J15" s="82"/>
      <c r="K15" s="83"/>
    </row>
    <row r="16" spans="2:19" ht="26.25">
      <c r="B16" s="101" t="s">
        <v>74</v>
      </c>
      <c r="C16" s="90">
        <v>0</v>
      </c>
      <c r="D16" s="90">
        <v>0</v>
      </c>
      <c r="E16" s="90">
        <v>0</v>
      </c>
      <c r="F16" s="90">
        <v>0</v>
      </c>
      <c r="G16" s="90">
        <v>0</v>
      </c>
      <c r="H16" s="90">
        <f t="shared" si="1"/>
        <v>0</v>
      </c>
      <c r="I16" s="79"/>
      <c r="J16" s="82"/>
      <c r="K16" s="83"/>
    </row>
    <row r="17" spans="2:11" ht="26.25">
      <c r="B17" s="101" t="s">
        <v>75</v>
      </c>
      <c r="C17" s="90">
        <v>0</v>
      </c>
      <c r="D17" s="90">
        <v>0</v>
      </c>
      <c r="E17" s="90">
        <v>0</v>
      </c>
      <c r="F17" s="90">
        <v>0</v>
      </c>
      <c r="G17" s="90">
        <v>0</v>
      </c>
      <c r="H17" s="90">
        <f t="shared" si="1"/>
        <v>0</v>
      </c>
      <c r="I17" s="79"/>
      <c r="J17" s="82"/>
      <c r="K17" s="83"/>
    </row>
    <row r="18" spans="2:11" ht="26.25">
      <c r="B18" s="101" t="s">
        <v>76</v>
      </c>
      <c r="C18" s="90">
        <v>0</v>
      </c>
      <c r="D18" s="90">
        <v>0</v>
      </c>
      <c r="E18" s="90">
        <v>0</v>
      </c>
      <c r="F18" s="90">
        <v>0</v>
      </c>
      <c r="G18" s="90">
        <v>0</v>
      </c>
      <c r="H18" s="90">
        <f t="shared" si="1"/>
        <v>0</v>
      </c>
      <c r="I18" s="79"/>
      <c r="J18" s="82"/>
      <c r="K18" s="83"/>
    </row>
    <row r="19" spans="2:11" ht="26.25">
      <c r="B19" s="101" t="s">
        <v>77</v>
      </c>
      <c r="C19" s="90">
        <v>0</v>
      </c>
      <c r="D19" s="90">
        <v>0</v>
      </c>
      <c r="E19" s="90">
        <v>0</v>
      </c>
      <c r="F19" s="90">
        <v>0</v>
      </c>
      <c r="G19" s="90">
        <v>0</v>
      </c>
      <c r="H19" s="90">
        <f t="shared" si="1"/>
        <v>0</v>
      </c>
      <c r="I19" s="79"/>
      <c r="J19" s="82"/>
      <c r="K19" s="83"/>
    </row>
    <row r="20" spans="2:11" ht="26.25">
      <c r="B20" s="101" t="s">
        <v>78</v>
      </c>
      <c r="C20" s="90">
        <v>0</v>
      </c>
      <c r="D20" s="90">
        <v>0</v>
      </c>
      <c r="E20" s="90">
        <v>0</v>
      </c>
      <c r="F20" s="90">
        <v>0</v>
      </c>
      <c r="G20" s="90">
        <v>0</v>
      </c>
      <c r="H20" s="90">
        <f t="shared" si="1"/>
        <v>0</v>
      </c>
      <c r="I20" s="79"/>
      <c r="J20" s="82"/>
      <c r="K20" s="83"/>
    </row>
    <row r="21" spans="2:11" ht="26.25">
      <c r="B21" s="101" t="s">
        <v>79</v>
      </c>
      <c r="C21" s="90">
        <v>0</v>
      </c>
      <c r="D21" s="90">
        <v>0</v>
      </c>
      <c r="E21" s="90">
        <v>0</v>
      </c>
      <c r="F21" s="90">
        <v>0</v>
      </c>
      <c r="G21" s="90">
        <v>0</v>
      </c>
      <c r="H21" s="90">
        <f t="shared" si="1"/>
        <v>0</v>
      </c>
      <c r="I21" s="79"/>
      <c r="J21" s="82"/>
      <c r="K21" s="83"/>
    </row>
    <row r="22" spans="2:11" ht="26.25">
      <c r="B22" s="100" t="s">
        <v>80</v>
      </c>
      <c r="C22" s="88">
        <v>0</v>
      </c>
      <c r="D22" s="88">
        <v>0</v>
      </c>
      <c r="E22" s="88">
        <v>0</v>
      </c>
      <c r="F22" s="88">
        <v>0</v>
      </c>
      <c r="G22" s="88">
        <v>0</v>
      </c>
      <c r="H22" s="88">
        <f t="shared" ref="H22" si="2">SUM(C22:G22)</f>
        <v>0</v>
      </c>
      <c r="I22" s="79"/>
      <c r="J22" s="82"/>
      <c r="K22" s="83"/>
    </row>
    <row r="23" spans="2:11">
      <c r="I23" s="65"/>
    </row>
    <row r="24" spans="2:11">
      <c r="I24" s="65"/>
    </row>
    <row r="25" spans="2:11">
      <c r="I25" s="65"/>
    </row>
    <row r="26" spans="2:11">
      <c r="I26" s="65"/>
    </row>
    <row r="27" spans="2:11">
      <c r="I27" s="65"/>
    </row>
    <row r="28" spans="2:11">
      <c r="I28" s="65"/>
    </row>
    <row r="29" spans="2:11">
      <c r="I29" s="65"/>
    </row>
    <row r="30" spans="2:11">
      <c r="I30" s="65"/>
    </row>
    <row r="31" spans="2:11">
      <c r="I31" s="65"/>
    </row>
    <row r="32" spans="2:11">
      <c r="I32" s="65"/>
    </row>
    <row r="33" spans="9:9">
      <c r="I33" s="65"/>
    </row>
    <row r="34" spans="9:9">
      <c r="I34" s="65"/>
    </row>
    <row r="35" spans="9:9">
      <c r="I35" s="65"/>
    </row>
    <row r="36" spans="9:9">
      <c r="I36" s="65"/>
    </row>
    <row r="37" spans="9:9">
      <c r="I37" s="65"/>
    </row>
    <row r="38" spans="9:9">
      <c r="I38" s="65"/>
    </row>
    <row r="39" spans="9:9">
      <c r="I39" s="65"/>
    </row>
    <row r="40" spans="9:9">
      <c r="I40" s="65"/>
    </row>
    <row r="41" spans="9:9">
      <c r="I41" s="65"/>
    </row>
    <row r="42" spans="9:9">
      <c r="I42" s="65"/>
    </row>
    <row r="43" spans="9:9">
      <c r="I43" s="65"/>
    </row>
    <row r="44" spans="9:9">
      <c r="I44" s="65"/>
    </row>
    <row r="45" spans="9:9">
      <c r="I45" s="65"/>
    </row>
    <row r="46" spans="9:9">
      <c r="I46" s="65"/>
    </row>
    <row r="47" spans="9:9">
      <c r="I47" s="65"/>
    </row>
    <row r="48" spans="9:9">
      <c r="I48" s="65"/>
    </row>
    <row r="49" spans="9:9">
      <c r="I49" s="65"/>
    </row>
    <row r="50" spans="9:9">
      <c r="I50" s="65"/>
    </row>
    <row r="51" spans="9:9">
      <c r="I51" s="65"/>
    </row>
    <row r="52" spans="9:9">
      <c r="I52" s="65"/>
    </row>
    <row r="53" spans="9:9">
      <c r="I53" s="65"/>
    </row>
    <row r="54" spans="9:9">
      <c r="I54" s="65"/>
    </row>
    <row r="55" spans="9:9">
      <c r="I55" s="65"/>
    </row>
    <row r="56" spans="9:9">
      <c r="I56" s="65"/>
    </row>
    <row r="57" spans="9:9">
      <c r="I57" s="65"/>
    </row>
    <row r="58" spans="9:9">
      <c r="I58" s="65"/>
    </row>
    <row r="59" spans="9:9">
      <c r="I59" s="65"/>
    </row>
    <row r="60" spans="9:9">
      <c r="I60" s="65"/>
    </row>
    <row r="61" spans="9:9">
      <c r="I61" s="65"/>
    </row>
    <row r="62" spans="9:9">
      <c r="I62" s="65"/>
    </row>
    <row r="63" spans="9:9">
      <c r="I63" s="65"/>
    </row>
    <row r="64" spans="9:9">
      <c r="I64" s="65"/>
    </row>
    <row r="65" spans="9:9">
      <c r="I65" s="65"/>
    </row>
    <row r="66" spans="9:9">
      <c r="I66" s="65"/>
    </row>
    <row r="67" spans="9:9">
      <c r="I67" s="65"/>
    </row>
    <row r="68" spans="9:9">
      <c r="I68" s="65"/>
    </row>
    <row r="69" spans="9:9">
      <c r="I69" s="65"/>
    </row>
    <row r="70" spans="9:9">
      <c r="I70" s="65"/>
    </row>
    <row r="71" spans="9:9">
      <c r="I71" s="65"/>
    </row>
    <row r="72" spans="9:9">
      <c r="I72" s="65"/>
    </row>
    <row r="73" spans="9:9">
      <c r="I73" s="65"/>
    </row>
    <row r="74" spans="9:9">
      <c r="I74" s="65"/>
    </row>
    <row r="75" spans="9:9">
      <c r="I75" s="65"/>
    </row>
    <row r="76" spans="9:9">
      <c r="I76" s="65"/>
    </row>
    <row r="77" spans="9:9">
      <c r="I77" s="65"/>
    </row>
    <row r="78" spans="9:9">
      <c r="I78" s="65"/>
    </row>
    <row r="79" spans="9:9">
      <c r="I79" s="65"/>
    </row>
    <row r="80" spans="9:9">
      <c r="I80" s="65"/>
    </row>
    <row r="81" spans="9:9">
      <c r="I81" s="65"/>
    </row>
    <row r="82" spans="9:9">
      <c r="I82" s="65"/>
    </row>
    <row r="83" spans="9:9">
      <c r="I83" s="65"/>
    </row>
    <row r="84" spans="9:9">
      <c r="I84" s="65"/>
    </row>
    <row r="85" spans="9:9">
      <c r="I85" s="65"/>
    </row>
    <row r="86" spans="9:9">
      <c r="I86" s="65"/>
    </row>
    <row r="87" spans="9:9">
      <c r="I87" s="65"/>
    </row>
    <row r="88" spans="9:9">
      <c r="I88" s="65"/>
    </row>
    <row r="89" spans="9:9">
      <c r="I89" s="65"/>
    </row>
    <row r="90" spans="9:9">
      <c r="I90" s="65"/>
    </row>
    <row r="91" spans="9:9">
      <c r="I91" s="65"/>
    </row>
    <row r="92" spans="9:9">
      <c r="I92" s="65"/>
    </row>
    <row r="93" spans="9:9">
      <c r="I93" s="65"/>
    </row>
    <row r="94" spans="9:9">
      <c r="I94" s="65"/>
    </row>
    <row r="95" spans="9:9">
      <c r="I95" s="65"/>
    </row>
    <row r="96" spans="9:9">
      <c r="I96" s="65"/>
    </row>
    <row r="97" spans="9:9">
      <c r="I97" s="65"/>
    </row>
    <row r="98" spans="9:9">
      <c r="I98" s="65"/>
    </row>
    <row r="99" spans="9:9">
      <c r="I99" s="65"/>
    </row>
    <row r="100" spans="9:9">
      <c r="I100" s="65"/>
    </row>
    <row r="101" spans="9:9">
      <c r="I101" s="65"/>
    </row>
    <row r="102" spans="9:9">
      <c r="I102" s="65"/>
    </row>
    <row r="103" spans="9:9">
      <c r="I103" s="65"/>
    </row>
    <row r="104" spans="9:9">
      <c r="I104" s="65"/>
    </row>
    <row r="105" spans="9:9">
      <c r="I105" s="65"/>
    </row>
    <row r="106" spans="9:9">
      <c r="I106" s="65"/>
    </row>
    <row r="107" spans="9:9">
      <c r="I107" s="65"/>
    </row>
    <row r="108" spans="9:9">
      <c r="I108" s="65"/>
    </row>
    <row r="109" spans="9:9">
      <c r="I109" s="65"/>
    </row>
    <row r="110" spans="9:9">
      <c r="I110" s="65"/>
    </row>
    <row r="111" spans="9:9">
      <c r="I111" s="65"/>
    </row>
    <row r="112" spans="9:9">
      <c r="I112" s="65"/>
    </row>
    <row r="113" spans="9:9">
      <c r="I113" s="65"/>
    </row>
    <row r="114" spans="9:9">
      <c r="I114" s="65"/>
    </row>
    <row r="115" spans="9:9">
      <c r="I115" s="65"/>
    </row>
    <row r="116" spans="9:9">
      <c r="I116" s="65"/>
    </row>
    <row r="117" spans="9:9">
      <c r="I117" s="65"/>
    </row>
    <row r="118" spans="9:9">
      <c r="I118" s="65"/>
    </row>
    <row r="119" spans="9:9">
      <c r="I119" s="65"/>
    </row>
    <row r="120" spans="9:9">
      <c r="I120" s="65"/>
    </row>
    <row r="121" spans="9:9">
      <c r="I121" s="65"/>
    </row>
    <row r="122" spans="9:9">
      <c r="I122" s="65"/>
    </row>
    <row r="123" spans="9:9">
      <c r="I123" s="65"/>
    </row>
    <row r="124" spans="9:9">
      <c r="I124" s="65"/>
    </row>
    <row r="125" spans="9:9">
      <c r="I125" s="65"/>
    </row>
    <row r="126" spans="9:9">
      <c r="I126" s="65"/>
    </row>
    <row r="127" spans="9:9">
      <c r="I127" s="65"/>
    </row>
    <row r="128" spans="9:9">
      <c r="I128" s="65"/>
    </row>
    <row r="129" spans="9:9">
      <c r="I129" s="65"/>
    </row>
    <row r="130" spans="9:9">
      <c r="I130" s="65"/>
    </row>
    <row r="131" spans="9:9">
      <c r="I131" s="65"/>
    </row>
    <row r="132" spans="9:9">
      <c r="I132" s="65"/>
    </row>
    <row r="133" spans="9:9">
      <c r="I133" s="65"/>
    </row>
    <row r="134" spans="9:9">
      <c r="I134" s="65"/>
    </row>
    <row r="135" spans="9:9">
      <c r="I135" s="65"/>
    </row>
    <row r="136" spans="9:9">
      <c r="I136" s="65"/>
    </row>
    <row r="137" spans="9:9">
      <c r="I137" s="65"/>
    </row>
    <row r="138" spans="9:9">
      <c r="I138" s="65"/>
    </row>
    <row r="139" spans="9:9">
      <c r="I139" s="65"/>
    </row>
    <row r="140" spans="9:9">
      <c r="I140" s="65"/>
    </row>
    <row r="141" spans="9:9">
      <c r="I141" s="65"/>
    </row>
    <row r="142" spans="9:9">
      <c r="I142" s="65"/>
    </row>
    <row r="143" spans="9:9">
      <c r="I143" s="65"/>
    </row>
    <row r="144" spans="9:9">
      <c r="I144" s="65"/>
    </row>
    <row r="145" spans="9:9">
      <c r="I145" s="65"/>
    </row>
    <row r="146" spans="9:9">
      <c r="I146" s="65"/>
    </row>
    <row r="147" spans="9:9">
      <c r="I147" s="65"/>
    </row>
    <row r="148" spans="9:9">
      <c r="I148" s="65"/>
    </row>
    <row r="149" spans="9:9">
      <c r="I149" s="65"/>
    </row>
    <row r="150" spans="9:9">
      <c r="I150" s="65"/>
    </row>
    <row r="151" spans="9:9">
      <c r="I151" s="65"/>
    </row>
    <row r="152" spans="9:9">
      <c r="I152" s="65"/>
    </row>
    <row r="153" spans="9:9">
      <c r="I153" s="65"/>
    </row>
    <row r="154" spans="9:9">
      <c r="I154" s="65"/>
    </row>
    <row r="155" spans="9:9">
      <c r="I155" s="65"/>
    </row>
    <row r="156" spans="9:9">
      <c r="I156" s="65"/>
    </row>
    <row r="157" spans="9:9">
      <c r="I157" s="65"/>
    </row>
    <row r="158" spans="9:9">
      <c r="I158" s="65"/>
    </row>
    <row r="159" spans="9:9">
      <c r="I159" s="65"/>
    </row>
    <row r="160" spans="9:9">
      <c r="I160" s="65"/>
    </row>
    <row r="161" spans="9:9">
      <c r="I161" s="65"/>
    </row>
    <row r="162" spans="9:9">
      <c r="I162" s="65"/>
    </row>
    <row r="163" spans="9:9">
      <c r="I163" s="65"/>
    </row>
    <row r="164" spans="9:9">
      <c r="I164" s="65"/>
    </row>
    <row r="165" spans="9:9">
      <c r="I165" s="65"/>
    </row>
    <row r="166" spans="9:9">
      <c r="I166" s="65"/>
    </row>
    <row r="167" spans="9:9">
      <c r="I167" s="65"/>
    </row>
    <row r="168" spans="9:9">
      <c r="I168" s="65"/>
    </row>
    <row r="169" spans="9:9">
      <c r="I169" s="65"/>
    </row>
    <row r="170" spans="9:9">
      <c r="I170" s="65"/>
    </row>
    <row r="171" spans="9:9">
      <c r="I171" s="65"/>
    </row>
    <row r="172" spans="9:9">
      <c r="I172" s="65"/>
    </row>
    <row r="173" spans="9:9">
      <c r="I173" s="65"/>
    </row>
    <row r="174" spans="9:9">
      <c r="I174" s="65"/>
    </row>
    <row r="175" spans="9:9">
      <c r="I175" s="65"/>
    </row>
    <row r="176" spans="9:9">
      <c r="I176" s="65"/>
    </row>
    <row r="177" spans="9:9">
      <c r="I177" s="65"/>
    </row>
    <row r="178" spans="9:9">
      <c r="I178" s="65"/>
    </row>
    <row r="179" spans="9:9">
      <c r="I179" s="65"/>
    </row>
    <row r="180" spans="9:9">
      <c r="I180" s="65"/>
    </row>
    <row r="181" spans="9:9">
      <c r="I181" s="65"/>
    </row>
    <row r="182" spans="9:9">
      <c r="I182" s="65"/>
    </row>
    <row r="183" spans="9:9">
      <c r="I183" s="65"/>
    </row>
    <row r="184" spans="9:9">
      <c r="I184" s="65"/>
    </row>
    <row r="185" spans="9:9">
      <c r="I185" s="65"/>
    </row>
    <row r="186" spans="9:9">
      <c r="I186" s="65"/>
    </row>
    <row r="187" spans="9:9">
      <c r="I187" s="65"/>
    </row>
    <row r="188" spans="9:9">
      <c r="I188" s="65"/>
    </row>
    <row r="189" spans="9:9">
      <c r="I189" s="65"/>
    </row>
    <row r="190" spans="9:9">
      <c r="I190" s="65"/>
    </row>
    <row r="191" spans="9:9">
      <c r="I191" s="65"/>
    </row>
    <row r="192" spans="9:9">
      <c r="I192" s="65"/>
    </row>
    <row r="193" spans="9:9">
      <c r="I193" s="65"/>
    </row>
    <row r="194" spans="9:9">
      <c r="I194" s="65"/>
    </row>
    <row r="195" spans="9:9">
      <c r="I195" s="65"/>
    </row>
    <row r="196" spans="9:9">
      <c r="I196" s="65"/>
    </row>
    <row r="197" spans="9:9">
      <c r="I197" s="65"/>
    </row>
    <row r="198" spans="9:9">
      <c r="I198" s="65"/>
    </row>
    <row r="199" spans="9:9">
      <c r="I199" s="65"/>
    </row>
    <row r="200" spans="9:9">
      <c r="I200" s="65"/>
    </row>
    <row r="201" spans="9:9">
      <c r="I201" s="65"/>
    </row>
    <row r="202" spans="9:9">
      <c r="I202" s="65"/>
    </row>
    <row r="203" spans="9:9">
      <c r="I203" s="65"/>
    </row>
    <row r="204" spans="9:9">
      <c r="I204" s="65"/>
    </row>
    <row r="205" spans="9:9">
      <c r="I205" s="65"/>
    </row>
    <row r="206" spans="9:9">
      <c r="I206" s="65"/>
    </row>
    <row r="207" spans="9:9">
      <c r="I207" s="65"/>
    </row>
    <row r="208" spans="9:9">
      <c r="I208" s="65"/>
    </row>
    <row r="209" spans="9:9">
      <c r="I209" s="65"/>
    </row>
    <row r="210" spans="9:9">
      <c r="I210" s="65"/>
    </row>
    <row r="211" spans="9:9">
      <c r="I211" s="65"/>
    </row>
    <row r="212" spans="9:9">
      <c r="I212" s="65"/>
    </row>
    <row r="213" spans="9:9">
      <c r="I213" s="65"/>
    </row>
    <row r="214" spans="9:9">
      <c r="I214" s="65"/>
    </row>
    <row r="215" spans="9:9">
      <c r="I215" s="65"/>
    </row>
    <row r="216" spans="9:9">
      <c r="I216" s="65"/>
    </row>
    <row r="217" spans="9:9">
      <c r="I217" s="65"/>
    </row>
    <row r="218" spans="9:9">
      <c r="I218" s="65"/>
    </row>
    <row r="219" spans="9:9">
      <c r="I219" s="65"/>
    </row>
    <row r="220" spans="9:9">
      <c r="I220" s="65"/>
    </row>
    <row r="221" spans="9:9">
      <c r="I221" s="65"/>
    </row>
    <row r="222" spans="9:9">
      <c r="I222" s="65"/>
    </row>
    <row r="223" spans="9:9">
      <c r="I223" s="65"/>
    </row>
    <row r="224" spans="9:9">
      <c r="I224" s="65"/>
    </row>
    <row r="225" spans="9:9">
      <c r="I225" s="65"/>
    </row>
    <row r="226" spans="9:9">
      <c r="I226" s="65"/>
    </row>
    <row r="227" spans="9:9">
      <c r="I227" s="65"/>
    </row>
    <row r="228" spans="9:9">
      <c r="I228" s="65"/>
    </row>
    <row r="229" spans="9:9">
      <c r="I229" s="65"/>
    </row>
    <row r="230" spans="9:9">
      <c r="I230" s="65"/>
    </row>
    <row r="231" spans="9:9">
      <c r="I231" s="65"/>
    </row>
    <row r="232" spans="9:9">
      <c r="I232" s="65"/>
    </row>
    <row r="233" spans="9:9">
      <c r="I233" s="65"/>
    </row>
    <row r="234" spans="9:9">
      <c r="I234" s="65"/>
    </row>
    <row r="235" spans="9:9">
      <c r="I235" s="65"/>
    </row>
    <row r="236" spans="9:9">
      <c r="I236" s="65"/>
    </row>
    <row r="237" spans="9:9">
      <c r="I237" s="65"/>
    </row>
    <row r="238" spans="9:9">
      <c r="I238" s="65"/>
    </row>
    <row r="239" spans="9:9">
      <c r="I239" s="65"/>
    </row>
    <row r="240" spans="9:9">
      <c r="I240" s="65"/>
    </row>
    <row r="241" spans="9:9">
      <c r="I241" s="65"/>
    </row>
    <row r="242" spans="9:9">
      <c r="I242" s="65"/>
    </row>
    <row r="243" spans="9:9">
      <c r="I243" s="65"/>
    </row>
    <row r="244" spans="9:9">
      <c r="I244" s="65"/>
    </row>
    <row r="245" spans="9:9">
      <c r="I245" s="65"/>
    </row>
    <row r="246" spans="9:9">
      <c r="I246" s="65"/>
    </row>
    <row r="247" spans="9:9">
      <c r="I247" s="65"/>
    </row>
    <row r="248" spans="9:9">
      <c r="I248" s="65"/>
    </row>
    <row r="249" spans="9:9">
      <c r="I249" s="65"/>
    </row>
    <row r="250" spans="9:9">
      <c r="I250" s="65"/>
    </row>
    <row r="251" spans="9:9">
      <c r="I251" s="65"/>
    </row>
    <row r="252" spans="9:9">
      <c r="I252" s="65"/>
    </row>
    <row r="253" spans="9:9">
      <c r="I253" s="65"/>
    </row>
    <row r="254" spans="9:9">
      <c r="I254" s="65"/>
    </row>
    <row r="255" spans="9:9">
      <c r="I255" s="65"/>
    </row>
    <row r="256" spans="9:9">
      <c r="I256" s="65"/>
    </row>
    <row r="257" spans="9:9">
      <c r="I257" s="65"/>
    </row>
    <row r="258" spans="9:9">
      <c r="I258" s="65"/>
    </row>
    <row r="259" spans="9:9">
      <c r="I259" s="65"/>
    </row>
    <row r="260" spans="9:9">
      <c r="I260" s="65"/>
    </row>
    <row r="261" spans="9:9">
      <c r="I261" s="65"/>
    </row>
    <row r="262" spans="9:9">
      <c r="I262" s="65"/>
    </row>
    <row r="263" spans="9:9">
      <c r="I263" s="65"/>
    </row>
    <row r="264" spans="9:9">
      <c r="I264" s="65"/>
    </row>
    <row r="265" spans="9:9">
      <c r="I265" s="65"/>
    </row>
    <row r="266" spans="9:9">
      <c r="I266" s="65"/>
    </row>
    <row r="267" spans="9:9">
      <c r="I267" s="65"/>
    </row>
    <row r="268" spans="9:9">
      <c r="I268" s="65"/>
    </row>
    <row r="269" spans="9:9">
      <c r="I269" s="65"/>
    </row>
    <row r="270" spans="9:9">
      <c r="I270" s="65"/>
    </row>
    <row r="271" spans="9:9">
      <c r="I271" s="65"/>
    </row>
    <row r="272" spans="9:9">
      <c r="I272" s="65"/>
    </row>
    <row r="273" spans="9:9">
      <c r="I273" s="65"/>
    </row>
    <row r="274" spans="9:9">
      <c r="I274" s="65"/>
    </row>
    <row r="275" spans="9:9">
      <c r="I275" s="65"/>
    </row>
    <row r="276" spans="9:9">
      <c r="I276" s="65"/>
    </row>
    <row r="277" spans="9:9">
      <c r="I277" s="65"/>
    </row>
    <row r="278" spans="9:9">
      <c r="I278" s="65"/>
    </row>
    <row r="279" spans="9:9">
      <c r="I279" s="65"/>
    </row>
    <row r="280" spans="9:9">
      <c r="I280" s="65"/>
    </row>
    <row r="281" spans="9:9">
      <c r="I281" s="65"/>
    </row>
    <row r="282" spans="9:9">
      <c r="I282" s="65"/>
    </row>
    <row r="283" spans="9:9">
      <c r="I283" s="65"/>
    </row>
    <row r="284" spans="9:9">
      <c r="I284" s="65"/>
    </row>
    <row r="285" spans="9:9">
      <c r="I285" s="65"/>
    </row>
    <row r="286" spans="9:9">
      <c r="I286" s="65"/>
    </row>
    <row r="287" spans="9:9">
      <c r="I287" s="65"/>
    </row>
    <row r="288" spans="9:9">
      <c r="I288" s="65"/>
    </row>
    <row r="289" spans="9:9">
      <c r="I289" s="65"/>
    </row>
    <row r="290" spans="9:9">
      <c r="I290" s="65"/>
    </row>
    <row r="291" spans="9:9">
      <c r="I291" s="65"/>
    </row>
    <row r="292" spans="9:9">
      <c r="I292" s="65"/>
    </row>
    <row r="293" spans="9:9">
      <c r="I293" s="65"/>
    </row>
    <row r="294" spans="9:9">
      <c r="I294" s="65"/>
    </row>
    <row r="295" spans="9:9">
      <c r="I295" s="65"/>
    </row>
    <row r="296" spans="9:9">
      <c r="I296" s="65"/>
    </row>
    <row r="297" spans="9:9">
      <c r="I297" s="65"/>
    </row>
    <row r="298" spans="9:9">
      <c r="I298" s="65"/>
    </row>
    <row r="299" spans="9:9">
      <c r="I299" s="65"/>
    </row>
    <row r="300" spans="9:9">
      <c r="I300" s="65"/>
    </row>
    <row r="301" spans="9:9">
      <c r="I301" s="65"/>
    </row>
    <row r="302" spans="9:9">
      <c r="I302" s="65"/>
    </row>
    <row r="303" spans="9:9">
      <c r="I303" s="65"/>
    </row>
    <row r="304" spans="9:9">
      <c r="I304" s="65"/>
    </row>
    <row r="305" spans="9:9">
      <c r="I305" s="65"/>
    </row>
    <row r="306" spans="9:9">
      <c r="I306" s="65"/>
    </row>
    <row r="307" spans="9:9">
      <c r="I307" s="65"/>
    </row>
    <row r="308" spans="9:9">
      <c r="I308" s="65"/>
    </row>
    <row r="309" spans="9:9">
      <c r="I309" s="65"/>
    </row>
    <row r="310" spans="9:9">
      <c r="I310" s="65"/>
    </row>
    <row r="311" spans="9:9">
      <c r="I311" s="65"/>
    </row>
    <row r="312" spans="9:9">
      <c r="I312" s="65"/>
    </row>
    <row r="313" spans="9:9">
      <c r="I313" s="65"/>
    </row>
    <row r="314" spans="9:9">
      <c r="I314" s="65"/>
    </row>
    <row r="315" spans="9:9">
      <c r="I315" s="65"/>
    </row>
    <row r="316" spans="9:9">
      <c r="I316" s="65"/>
    </row>
    <row r="317" spans="9:9">
      <c r="I317" s="65"/>
    </row>
    <row r="318" spans="9:9">
      <c r="I318" s="65"/>
    </row>
    <row r="319" spans="9:9">
      <c r="I319" s="65"/>
    </row>
    <row r="320" spans="9:9">
      <c r="I320" s="65"/>
    </row>
    <row r="321" spans="9:9">
      <c r="I321" s="65"/>
    </row>
    <row r="322" spans="9:9">
      <c r="I322" s="65"/>
    </row>
    <row r="323" spans="9:9">
      <c r="I323" s="65"/>
    </row>
    <row r="324" spans="9:9">
      <c r="I324" s="65"/>
    </row>
    <row r="325" spans="9:9">
      <c r="I325" s="65"/>
    </row>
    <row r="326" spans="9:9">
      <c r="I326" s="65"/>
    </row>
    <row r="327" spans="9:9">
      <c r="I327" s="65"/>
    </row>
    <row r="328" spans="9:9">
      <c r="I328" s="65"/>
    </row>
    <row r="329" spans="9:9">
      <c r="I329" s="65"/>
    </row>
    <row r="330" spans="9:9">
      <c r="I330" s="65"/>
    </row>
    <row r="331" spans="9:9">
      <c r="I331" s="65"/>
    </row>
    <row r="332" spans="9:9">
      <c r="I332" s="65"/>
    </row>
    <row r="333" spans="9:9">
      <c r="I333" s="65"/>
    </row>
    <row r="334" spans="9:9">
      <c r="I334" s="65"/>
    </row>
    <row r="335" spans="9:9">
      <c r="I335" s="65"/>
    </row>
    <row r="336" spans="9:9">
      <c r="I336" s="65"/>
    </row>
    <row r="337" spans="9:9">
      <c r="I337" s="65"/>
    </row>
    <row r="338" spans="9:9">
      <c r="I338" s="65"/>
    </row>
    <row r="339" spans="9:9">
      <c r="I339" s="65"/>
    </row>
  </sheetData>
  <mergeCells count="2">
    <mergeCell ref="B10:H10"/>
    <mergeCell ref="B5:N5"/>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A4" sqref="A4"/>
    </sheetView>
  </sheetViews>
  <sheetFormatPr defaultRowHeight="12.75"/>
  <cols>
    <col min="1" max="1" width="17.5703125" customWidth="1"/>
    <col min="2" max="2" width="10.5703125" customWidth="1"/>
    <col min="3" max="3" width="10.7109375" customWidth="1"/>
    <col min="4" max="4" width="11.140625" customWidth="1"/>
    <col min="5" max="5" width="10.7109375" customWidth="1"/>
    <col min="6" max="6" width="10.5703125" customWidth="1"/>
    <col min="7" max="7" width="10.140625" bestFit="1" customWidth="1"/>
  </cols>
  <sheetData/>
  <pageMargins left="0.7" right="0.7" top="0.75" bottom="0.75" header="0.3" footer="0.3"/>
  <pageSetup orientation="portrait" r:id="rId1"/>
</worksheet>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Cost Breakdown</vt:lpstr>
      <vt:lpstr>Lbr Rates</vt:lpstr>
      <vt:lpstr>Lbr Allocation</vt:lpstr>
      <vt:lpstr>Sheet1</vt:lpstr>
    </vt:vector>
  </TitlesOfParts>
  <Company>navsea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sea02</dc:creator>
  <cp:lastModifiedBy>Yelda, Naima CIV USN NAVSUP FLCSD (USA)</cp:lastModifiedBy>
  <cp:lastPrinted>2015-11-06T19:39:16Z</cp:lastPrinted>
  <dcterms:created xsi:type="dcterms:W3CDTF">2001-06-07T18:53:45Z</dcterms:created>
  <dcterms:modified xsi:type="dcterms:W3CDTF">2026-04-16T21:44:14Z</dcterms:modified>
</cp:coreProperties>
</file>