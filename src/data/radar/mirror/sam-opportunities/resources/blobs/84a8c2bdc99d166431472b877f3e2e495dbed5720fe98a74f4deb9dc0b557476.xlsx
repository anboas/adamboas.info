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S:\SDNS\new_SDNS\C200\Paperless Contracting\Code240 Divisional Working Files\Jordan (ndzcmj01)\1-Incoming\1301294837 20250009774 C240 FY26 Jordan AIRPAC N8_N40 READINESS\"/>
    </mc:Choice>
  </mc:AlternateContent>
  <xr:revisionPtr revIDLastSave="0" documentId="13_ncr:1_{138E6CEC-1C31-4813-B6C8-4E8A917C1C15}" xr6:coauthVersionLast="47" xr6:coauthVersionMax="47" xr10:uidLastSave="{00000000-0000-0000-0000-000000000000}"/>
  <bookViews>
    <workbookView xWindow="-110" yWindow="30" windowWidth="19420" windowHeight="11360" firstSheet="2" activeTab="6" xr2:uid="{00000000-000D-0000-FFFF-FFFF00000000}"/>
  </bookViews>
  <sheets>
    <sheet name="Summary" sheetId="26" r:id="rId1"/>
    <sheet name="Base Year" sheetId="35" r:id="rId2"/>
    <sheet name="Option 1" sheetId="53" r:id="rId3"/>
    <sheet name="Option 2" sheetId="54" r:id="rId4"/>
    <sheet name="Option 3" sheetId="55" r:id="rId5"/>
    <sheet name="Option 4" sheetId="56" r:id="rId6"/>
    <sheet name="Far 52.217-8 (6-Month Ext)" sheetId="5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57" l="1"/>
  <c r="D25" i="57"/>
  <c r="D25" i="56"/>
  <c r="D24" i="56"/>
  <c r="D24" i="55"/>
  <c r="D25" i="55"/>
  <c r="D24" i="54"/>
  <c r="D25" i="54"/>
  <c r="D24" i="53"/>
  <c r="D25" i="53"/>
  <c r="D25" i="35"/>
  <c r="D24" i="35"/>
  <c r="F7" i="26" l="1"/>
  <c r="F6" i="26"/>
  <c r="F5" i="26"/>
  <c r="F4" i="26"/>
  <c r="D7" i="26"/>
  <c r="D6" i="26"/>
  <c r="D5" i="26"/>
  <c r="D4" i="26"/>
  <c r="D22" i="56"/>
  <c r="D27" i="57"/>
  <c r="F27" i="57" s="1"/>
  <c r="D26" i="57"/>
  <c r="F26" i="57" s="1"/>
  <c r="E24" i="57"/>
  <c r="F24" i="57" s="1"/>
  <c r="E23" i="57"/>
  <c r="D23" i="57"/>
  <c r="F23" i="57" s="1"/>
  <c r="E22" i="57"/>
  <c r="D22" i="57"/>
  <c r="D28" i="57" s="1"/>
  <c r="F27" i="56"/>
  <c r="D27" i="56"/>
  <c r="D26" i="56"/>
  <c r="F26" i="56" s="1"/>
  <c r="E24" i="56"/>
  <c r="F24" i="56" s="1"/>
  <c r="E23" i="56"/>
  <c r="D23" i="56"/>
  <c r="F23" i="56" s="1"/>
  <c r="E22" i="56"/>
  <c r="D28" i="56"/>
  <c r="D27" i="55"/>
  <c r="F27" i="55" s="1"/>
  <c r="D26" i="55"/>
  <c r="F26" i="55" s="1"/>
  <c r="E24" i="55"/>
  <c r="F23" i="55"/>
  <c r="E23" i="55"/>
  <c r="D23" i="55"/>
  <c r="E22" i="55"/>
  <c r="D22" i="55"/>
  <c r="D28" i="55" s="1"/>
  <c r="D27" i="54"/>
  <c r="F27" i="54" s="1"/>
  <c r="D26" i="54"/>
  <c r="F26" i="54" s="1"/>
  <c r="E25" i="54"/>
  <c r="F24" i="54"/>
  <c r="E24" i="54"/>
  <c r="E23" i="54"/>
  <c r="D23" i="54"/>
  <c r="F23" i="54" s="1"/>
  <c r="E22" i="54"/>
  <c r="D22" i="54"/>
  <c r="F22" i="54" s="1"/>
  <c r="D27" i="53"/>
  <c r="F27" i="53" s="1"/>
  <c r="D26" i="53"/>
  <c r="F26" i="53" s="1"/>
  <c r="D23" i="53"/>
  <c r="F3" i="26"/>
  <c r="D27" i="35"/>
  <c r="D26" i="35"/>
  <c r="F26" i="35"/>
  <c r="J14" i="57"/>
  <c r="J15" i="57"/>
  <c r="J13" i="57"/>
  <c r="D5" i="57"/>
  <c r="D6" i="57"/>
  <c r="D8" i="57"/>
  <c r="D9" i="57"/>
  <c r="E9" i="57" s="1"/>
  <c r="D10" i="57"/>
  <c r="D4" i="57"/>
  <c r="E4" i="57" s="1"/>
  <c r="C5" i="57"/>
  <c r="C6" i="57"/>
  <c r="C8" i="57"/>
  <c r="C9" i="57"/>
  <c r="C10" i="57"/>
  <c r="C4" i="57"/>
  <c r="I2" i="57"/>
  <c r="F2" i="57"/>
  <c r="G2" i="57"/>
  <c r="E2" i="57"/>
  <c r="B17" i="57"/>
  <c r="E10" i="57"/>
  <c r="E8" i="57"/>
  <c r="E6" i="57"/>
  <c r="E5" i="57"/>
  <c r="F5" i="57" s="1"/>
  <c r="C7" i="26"/>
  <c r="C6" i="26"/>
  <c r="C5" i="26"/>
  <c r="C17" i="56"/>
  <c r="B17" i="56"/>
  <c r="E10" i="56"/>
  <c r="E9" i="56"/>
  <c r="E8" i="56"/>
  <c r="F8" i="56" s="1"/>
  <c r="E6" i="56"/>
  <c r="E5" i="56"/>
  <c r="F5" i="56" s="1"/>
  <c r="E4" i="56"/>
  <c r="C17" i="55"/>
  <c r="B17" i="55"/>
  <c r="E10" i="55"/>
  <c r="E9" i="55"/>
  <c r="E8" i="55"/>
  <c r="F8" i="55" s="1"/>
  <c r="E6" i="55"/>
  <c r="E5" i="55"/>
  <c r="E4" i="55"/>
  <c r="C17" i="54"/>
  <c r="B17" i="54"/>
  <c r="E10" i="54"/>
  <c r="E9" i="54"/>
  <c r="E8" i="54"/>
  <c r="E6" i="54"/>
  <c r="E5" i="54"/>
  <c r="E4" i="54"/>
  <c r="C17" i="53"/>
  <c r="C4" i="26" s="1"/>
  <c r="B17" i="53"/>
  <c r="E10" i="53"/>
  <c r="E9" i="53"/>
  <c r="E8" i="53"/>
  <c r="E6" i="53"/>
  <c r="E5" i="53"/>
  <c r="F5" i="53" s="1"/>
  <c r="F4" i="53"/>
  <c r="E4" i="53"/>
  <c r="E28" i="54" l="1"/>
  <c r="E25" i="57"/>
  <c r="E28" i="57" s="1"/>
  <c r="F22" i="57"/>
  <c r="E25" i="56"/>
  <c r="E28" i="56" s="1"/>
  <c r="F22" i="56"/>
  <c r="F24" i="55"/>
  <c r="E25" i="55"/>
  <c r="E28" i="55" s="1"/>
  <c r="F22" i="55"/>
  <c r="F25" i="54"/>
  <c r="D28" i="54"/>
  <c r="E25" i="53"/>
  <c r="G4" i="53"/>
  <c r="C17" i="57"/>
  <c r="F8" i="57"/>
  <c r="G8" i="57" s="1"/>
  <c r="G5" i="57"/>
  <c r="H5" i="57" s="1"/>
  <c r="F10" i="57"/>
  <c r="G10" i="57" s="1"/>
  <c r="F4" i="57"/>
  <c r="F6" i="57"/>
  <c r="F9" i="57"/>
  <c r="G9" i="57" s="1"/>
  <c r="F10" i="56"/>
  <c r="H10" i="56" s="1"/>
  <c r="G5" i="56"/>
  <c r="G8" i="56"/>
  <c r="G10" i="56"/>
  <c r="H5" i="56"/>
  <c r="H8" i="56"/>
  <c r="F4" i="56"/>
  <c r="F6" i="56"/>
  <c r="F9" i="56"/>
  <c r="G9" i="56" s="1"/>
  <c r="G6" i="55"/>
  <c r="F10" i="55"/>
  <c r="G8" i="55"/>
  <c r="H8" i="55" s="1"/>
  <c r="F5" i="55"/>
  <c r="F4" i="55"/>
  <c r="F6" i="55"/>
  <c r="F9" i="55"/>
  <c r="G6" i="54"/>
  <c r="F10" i="54"/>
  <c r="H10" i="54" s="1"/>
  <c r="G10" i="54"/>
  <c r="F8" i="54"/>
  <c r="G8" i="54" s="1"/>
  <c r="F4" i="54"/>
  <c r="F6" i="54"/>
  <c r="F9" i="54"/>
  <c r="F5" i="54"/>
  <c r="G5" i="54" s="1"/>
  <c r="H5" i="54" s="1"/>
  <c r="H4" i="53"/>
  <c r="G9" i="53"/>
  <c r="G5" i="53"/>
  <c r="H5" i="53" s="1"/>
  <c r="F10" i="53"/>
  <c r="G10" i="53" s="1"/>
  <c r="F8" i="53"/>
  <c r="F6" i="53"/>
  <c r="F9" i="53"/>
  <c r="F28" i="54" l="1"/>
  <c r="E5" i="26"/>
  <c r="D22" i="53"/>
  <c r="E24" i="53"/>
  <c r="F24" i="53" s="1"/>
  <c r="F25" i="57"/>
  <c r="F28" i="57" s="1"/>
  <c r="F25" i="56"/>
  <c r="F25" i="55"/>
  <c r="F25" i="53"/>
  <c r="E4" i="26" s="1"/>
  <c r="H10" i="57"/>
  <c r="I5" i="57"/>
  <c r="J5" i="57" s="1"/>
  <c r="H8" i="57"/>
  <c r="G6" i="57"/>
  <c r="H6" i="57" s="1"/>
  <c r="H9" i="57"/>
  <c r="G4" i="57"/>
  <c r="H4" i="57" s="1"/>
  <c r="I10" i="56"/>
  <c r="J10" i="56" s="1"/>
  <c r="I8" i="56"/>
  <c r="J8" i="56" s="1"/>
  <c r="I5" i="56"/>
  <c r="J5" i="56" s="1"/>
  <c r="G4" i="56"/>
  <c r="H4" i="56" s="1"/>
  <c r="H9" i="56"/>
  <c r="G6" i="56"/>
  <c r="H6" i="56" s="1"/>
  <c r="I8" i="55"/>
  <c r="J8" i="55" s="1"/>
  <c r="G10" i="55"/>
  <c r="H10" i="55" s="1"/>
  <c r="G5" i="55"/>
  <c r="H5" i="55" s="1"/>
  <c r="G9" i="55"/>
  <c r="H9" i="55" s="1"/>
  <c r="H6" i="55"/>
  <c r="G4" i="55"/>
  <c r="H4" i="55" s="1"/>
  <c r="I5" i="54"/>
  <c r="J5" i="54" s="1"/>
  <c r="I10" i="54"/>
  <c r="J10" i="54" s="1"/>
  <c r="H8" i="54"/>
  <c r="G9" i="54"/>
  <c r="H9" i="54" s="1"/>
  <c r="H6" i="54"/>
  <c r="G4" i="54"/>
  <c r="H4" i="54" s="1"/>
  <c r="G8" i="53"/>
  <c r="H8" i="53" s="1"/>
  <c r="H10" i="53"/>
  <c r="I5" i="53"/>
  <c r="G6" i="53"/>
  <c r="H6" i="53" s="1"/>
  <c r="H9" i="53"/>
  <c r="I4" i="53"/>
  <c r="F28" i="56" l="1"/>
  <c r="E7" i="26"/>
  <c r="G7" i="26" s="1"/>
  <c r="F28" i="55"/>
  <c r="E6" i="26"/>
  <c r="J5" i="53"/>
  <c r="E23" i="53"/>
  <c r="F23" i="53" s="1"/>
  <c r="E22" i="53"/>
  <c r="E28" i="53" s="1"/>
  <c r="F22" i="53"/>
  <c r="D28" i="53"/>
  <c r="F28" i="53"/>
  <c r="I4" i="57"/>
  <c r="I6" i="57"/>
  <c r="J6" i="57" s="1"/>
  <c r="I9" i="57"/>
  <c r="J9" i="57" s="1"/>
  <c r="I10" i="57"/>
  <c r="J10" i="57" s="1"/>
  <c r="I8" i="57"/>
  <c r="J8" i="57" s="1"/>
  <c r="I6" i="56"/>
  <c r="J6" i="56"/>
  <c r="I4" i="56"/>
  <c r="I9" i="56"/>
  <c r="J9" i="56" s="1"/>
  <c r="I4" i="55"/>
  <c r="J4" i="55"/>
  <c r="I9" i="55"/>
  <c r="J9" i="55" s="1"/>
  <c r="I5" i="55"/>
  <c r="J5" i="55" s="1"/>
  <c r="I10" i="55"/>
  <c r="J10" i="55" s="1"/>
  <c r="I6" i="55"/>
  <c r="J6" i="55" s="1"/>
  <c r="I4" i="54"/>
  <c r="I9" i="54"/>
  <c r="J9" i="54" s="1"/>
  <c r="I8" i="54"/>
  <c r="J8" i="54" s="1"/>
  <c r="I6" i="54"/>
  <c r="J6" i="54" s="1"/>
  <c r="I6" i="53"/>
  <c r="J6" i="53" s="1"/>
  <c r="I8" i="53"/>
  <c r="J8" i="53" s="1"/>
  <c r="J4" i="53"/>
  <c r="I9" i="53"/>
  <c r="I10" i="53"/>
  <c r="J10" i="53" s="1"/>
  <c r="J4" i="57" l="1"/>
  <c r="J12" i="57" s="1"/>
  <c r="J17" i="57" s="1"/>
  <c r="J4" i="56"/>
  <c r="J12" i="56" s="1"/>
  <c r="J17" i="56" s="1"/>
  <c r="J12" i="55"/>
  <c r="J17" i="55" s="1"/>
  <c r="J4" i="54"/>
  <c r="J12" i="54" s="1"/>
  <c r="J17" i="54" s="1"/>
  <c r="J9" i="53"/>
  <c r="J12" i="53"/>
  <c r="J17" i="53" s="1"/>
  <c r="B17" i="35" l="1"/>
  <c r="E4" i="35"/>
  <c r="F4" i="35" s="1"/>
  <c r="E5" i="35"/>
  <c r="F5" i="35" s="1"/>
  <c r="E6" i="35"/>
  <c r="E8" i="35"/>
  <c r="F8" i="35" s="1"/>
  <c r="E9" i="35"/>
  <c r="F9" i="35" s="1"/>
  <c r="G9" i="35" s="1"/>
  <c r="E10" i="35"/>
  <c r="F10" i="35" s="1"/>
  <c r="G10" i="35" s="1"/>
  <c r="G5" i="35" l="1"/>
  <c r="H5" i="35" s="1"/>
  <c r="H10" i="35"/>
  <c r="H9" i="35"/>
  <c r="F6" i="35"/>
  <c r="G6" i="35" s="1"/>
  <c r="G8" i="35"/>
  <c r="H8" i="35" s="1"/>
  <c r="G4" i="35"/>
  <c r="H4" i="35" s="1"/>
  <c r="I9" i="35" l="1"/>
  <c r="D23" i="35"/>
  <c r="D22" i="35"/>
  <c r="E24" i="35"/>
  <c r="I10" i="35"/>
  <c r="I5" i="35"/>
  <c r="I8" i="35"/>
  <c r="J8" i="35" s="1"/>
  <c r="H6" i="35"/>
  <c r="J9" i="35"/>
  <c r="J10" i="35"/>
  <c r="I4" i="35"/>
  <c r="E25" i="35" l="1"/>
  <c r="F25" i="35"/>
  <c r="D28" i="35"/>
  <c r="J5" i="35"/>
  <c r="E23" i="35"/>
  <c r="E22" i="35"/>
  <c r="J4" i="35"/>
  <c r="I6" i="35"/>
  <c r="F23" i="35" l="1"/>
  <c r="E28" i="35"/>
  <c r="J6" i="35"/>
  <c r="G6" i="26" l="1"/>
  <c r="C17" i="35" l="1"/>
  <c r="B13" i="26"/>
  <c r="B12" i="26"/>
  <c r="B11" i="26"/>
  <c r="B10" i="26"/>
  <c r="F27" i="35" l="1"/>
  <c r="F8" i="26" s="1"/>
  <c r="G5" i="26" l="1"/>
  <c r="C3" i="26" l="1"/>
  <c r="J12" i="35" l="1"/>
  <c r="J17" i="35" s="1"/>
  <c r="F24" i="35" l="1"/>
  <c r="F22" i="35"/>
  <c r="D3" i="26" s="1"/>
  <c r="G4" i="26"/>
  <c r="E3" i="26" l="1"/>
  <c r="E8" i="26" s="1"/>
  <c r="F28" i="35"/>
  <c r="G3" i="26" l="1"/>
  <c r="D8" i="26"/>
  <c r="G8" i="26" s="1"/>
</calcChain>
</file>

<file path=xl/sharedStrings.xml><?xml version="1.0" encoding="utf-8"?>
<sst xmlns="http://schemas.openxmlformats.org/spreadsheetml/2006/main" count="240" uniqueCount="62">
  <si>
    <t>Cost</t>
  </si>
  <si>
    <t>Fee</t>
  </si>
  <si>
    <t>Total</t>
  </si>
  <si>
    <t>Period of Performance</t>
  </si>
  <si>
    <t>Fringe</t>
  </si>
  <si>
    <t>Overhead</t>
  </si>
  <si>
    <t>Hours</t>
  </si>
  <si>
    <t>CLIN</t>
  </si>
  <si>
    <t>Subtotals</t>
  </si>
  <si>
    <t>Extended</t>
  </si>
  <si>
    <t xml:space="preserve">Fee </t>
  </si>
  <si>
    <t>Burdened Rate</t>
  </si>
  <si>
    <t xml:space="preserve">G&amp;A </t>
  </si>
  <si>
    <t xml:space="preserve">OH </t>
  </si>
  <si>
    <t xml:space="preserve">Fringe </t>
  </si>
  <si>
    <t>Labor Rate</t>
  </si>
  <si>
    <t>Labor Hours</t>
  </si>
  <si>
    <t>FTE</t>
  </si>
  <si>
    <t>Labor Category</t>
  </si>
  <si>
    <t>Base Year</t>
  </si>
  <si>
    <t>Option Year 1</t>
  </si>
  <si>
    <t>Option Year 2</t>
  </si>
  <si>
    <t>Option Year 3</t>
  </si>
  <si>
    <t>2026 - 2027</t>
  </si>
  <si>
    <t>2027 - 2028</t>
  </si>
  <si>
    <t>G&amp;A Onsite</t>
  </si>
  <si>
    <t>Escalation Year</t>
  </si>
  <si>
    <t>OY1</t>
  </si>
  <si>
    <t>OY2</t>
  </si>
  <si>
    <t>OY3</t>
  </si>
  <si>
    <t>2028 - 2029</t>
  </si>
  <si>
    <t>Total
CLINS</t>
  </si>
  <si>
    <t>Offeror is responsible for accuracy of all formulas in its submission</t>
  </si>
  <si>
    <t>Option Year 4</t>
  </si>
  <si>
    <t>2029 - 2030</t>
  </si>
  <si>
    <t>OY4</t>
  </si>
  <si>
    <t xml:space="preserve">Escalation </t>
  </si>
  <si>
    <t>FFP Labor CLINS</t>
  </si>
  <si>
    <t>TOTAL Price</t>
  </si>
  <si>
    <t>FFP Overtime CLINS</t>
  </si>
  <si>
    <t>FFP &amp; CR</t>
  </si>
  <si>
    <t xml:space="preserve"> </t>
  </si>
  <si>
    <t>NASNI San Diego</t>
  </si>
  <si>
    <t>NAS Norfolk</t>
  </si>
  <si>
    <t>Principal Analyst Task 4.1</t>
  </si>
  <si>
    <t>Principal Analyst Task 4.3</t>
  </si>
  <si>
    <t>Principal Analyst Task 4.6</t>
  </si>
  <si>
    <t>Principal Analyst Task 4.2</t>
  </si>
  <si>
    <t>Principal Analyst Task 4.4</t>
  </si>
  <si>
    <t>Principal Analyst Task 4.5</t>
  </si>
  <si>
    <t>2030 - 2031</t>
  </si>
  <si>
    <t>Other Direct Cost - Travel San Diego</t>
  </si>
  <si>
    <t>Other Direct Cost - Travel Norfolk</t>
  </si>
  <si>
    <t>Other Direct Cost - Training Materials</t>
  </si>
  <si>
    <t>*All 6 personnel are Key Personnel</t>
  </si>
  <si>
    <t>Labor - SD</t>
  </si>
  <si>
    <t>Labor - NF</t>
  </si>
  <si>
    <t>Overtime - SD</t>
  </si>
  <si>
    <t>Overtime - NF</t>
  </si>
  <si>
    <t>ODC - SD</t>
  </si>
  <si>
    <t>ODC - NF</t>
  </si>
  <si>
    <t>CR ODC CLINS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</si>
</sst>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[&lt;=9999999]###\-####;\(###\)\ ###\-####"/>
    <numFmt numFmtId="166" formatCode="0000"/>
    <numFmt numFmtId="167" formatCode="_(* #,##0.00000_);_(* \(#,##0.00000\);_(* &quot;-&quot;??_);_(@_)"/>
    <numFmt numFmtId="168" formatCode="0.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u/>
      <sz val="11"/>
      <name val="Times New Roman"/>
      <family val="1"/>
    </font>
    <font>
      <sz val="8"/>
      <name val="Calibri"/>
      <family val="2"/>
      <scheme val="minor"/>
    </font>
    <font>
      <sz val="10"/>
      <name val="Arial"/>
      <family val="2"/>
    </font>
    <font>
      <i/>
      <sz val="11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AEAAAA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>
      <alignment horizontal="left"/>
    </xf>
    <xf numFmtId="0" fontId="10" fillId="0" borderId="0"/>
  </cellStyleXfs>
  <cellXfs count="102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44" fontId="0" fillId="0" borderId="0" xfId="2" applyFont="1" applyAlignment="1">
      <alignment horizontal="center"/>
    </xf>
    <xf numFmtId="44" fontId="0" fillId="0" borderId="5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44" fontId="0" fillId="0" borderId="6" xfId="0" applyNumberFormat="1" applyBorder="1" applyAlignment="1">
      <alignment horizontal="center"/>
    </xf>
    <xf numFmtId="44" fontId="0" fillId="0" borderId="7" xfId="0" applyNumberFormat="1" applyBorder="1" applyAlignment="1">
      <alignment horizontal="center"/>
    </xf>
    <xf numFmtId="44" fontId="0" fillId="0" borderId="1" xfId="0" applyNumberFormat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/>
    <xf numFmtId="44" fontId="1" fillId="2" borderId="6" xfId="0" applyNumberFormat="1" applyFont="1" applyFill="1" applyBorder="1" applyAlignment="1">
      <alignment horizontal="center"/>
    </xf>
    <xf numFmtId="44" fontId="1" fillId="2" borderId="7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1" fillId="0" borderId="1" xfId="1" applyNumberFormat="1" applyFont="1" applyBorder="1" applyAlignment="1">
      <alignment horizontal="center"/>
    </xf>
    <xf numFmtId="0" fontId="1" fillId="0" borderId="3" xfId="0" applyFont="1" applyBorder="1"/>
    <xf numFmtId="0" fontId="0" fillId="5" borderId="3" xfId="0" applyFill="1" applyBorder="1"/>
    <xf numFmtId="44" fontId="0" fillId="0" borderId="0" xfId="2" applyFont="1"/>
    <xf numFmtId="0" fontId="1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64" fontId="0" fillId="0" borderId="0" xfId="0" applyNumberFormat="1"/>
    <xf numFmtId="0" fontId="4" fillId="0" borderId="0" xfId="0" applyFont="1"/>
    <xf numFmtId="16" fontId="0" fillId="0" borderId="0" xfId="0" applyNumberFormat="1" applyAlignment="1">
      <alignment vertical="center"/>
    </xf>
    <xf numFmtId="0" fontId="3" fillId="0" borderId="0" xfId="0" applyFont="1" applyAlignment="1">
      <alignment horizontal="left"/>
    </xf>
    <xf numFmtId="0" fontId="1" fillId="0" borderId="0" xfId="0" applyFont="1"/>
    <xf numFmtId="0" fontId="0" fillId="0" borderId="0" xfId="0" applyAlignment="1">
      <alignment vertical="center"/>
    </xf>
    <xf numFmtId="10" fontId="3" fillId="0" borderId="1" xfId="3" applyNumberFormat="1" applyFont="1" applyFill="1" applyBorder="1"/>
    <xf numFmtId="44" fontId="6" fillId="0" borderId="1" xfId="2" applyFont="1" applyBorder="1" applyAlignment="1">
      <alignment horizontal="center" vertical="center"/>
    </xf>
    <xf numFmtId="44" fontId="0" fillId="0" borderId="0" xfId="2" applyFont="1" applyFill="1" applyAlignment="1">
      <alignment horizontal="center"/>
    </xf>
    <xf numFmtId="44" fontId="0" fillId="0" borderId="5" xfId="2" applyFont="1" applyFill="1" applyBorder="1" applyAlignment="1">
      <alignment horizontal="center"/>
    </xf>
    <xf numFmtId="44" fontId="0" fillId="0" borderId="0" xfId="2" applyFont="1" applyFill="1" applyAlignment="1">
      <alignment vertical="center"/>
    </xf>
    <xf numFmtId="44" fontId="0" fillId="0" borderId="0" xfId="2" applyFont="1" applyFill="1"/>
    <xf numFmtId="4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10" fontId="1" fillId="0" borderId="1" xfId="3" applyNumberFormat="1" applyFont="1" applyBorder="1" applyAlignment="1">
      <alignment horizontal="center" vertical="center"/>
    </xf>
    <xf numFmtId="44" fontId="1" fillId="0" borderId="1" xfId="0" applyNumberFormat="1" applyFont="1" applyBorder="1" applyAlignment="1">
      <alignment horizontal="center"/>
    </xf>
    <xf numFmtId="44" fontId="0" fillId="3" borderId="1" xfId="0" applyNumberFormat="1" applyFill="1" applyBorder="1" applyAlignment="1">
      <alignment horizontal="center"/>
    </xf>
    <xf numFmtId="0" fontId="4" fillId="7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vertical="center"/>
    </xf>
    <xf numFmtId="44" fontId="6" fillId="0" borderId="1" xfId="0" applyNumberFormat="1" applyFont="1" applyBorder="1" applyAlignment="1">
      <alignment horizontal="center" vertical="center"/>
    </xf>
    <xf numFmtId="0" fontId="3" fillId="0" borderId="1" xfId="0" applyFont="1" applyBorder="1"/>
    <xf numFmtId="10" fontId="7" fillId="0" borderId="1" xfId="3" applyNumberFormat="1" applyFont="1" applyFill="1" applyBorder="1"/>
    <xf numFmtId="0" fontId="5" fillId="0" borderId="1" xfId="0" applyFont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44" fontId="7" fillId="0" borderId="1" xfId="0" applyNumberFormat="1" applyFont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top"/>
    </xf>
    <xf numFmtId="3" fontId="7" fillId="8" borderId="1" xfId="0" applyNumberFormat="1" applyFont="1" applyFill="1" applyBorder="1" applyAlignment="1">
      <alignment horizontal="center" vertical="top"/>
    </xf>
    <xf numFmtId="0" fontId="7" fillId="0" borderId="1" xfId="0" applyFont="1" applyBorder="1"/>
    <xf numFmtId="0" fontId="7" fillId="6" borderId="1" xfId="0" applyFont="1" applyFill="1" applyBorder="1" applyAlignment="1">
      <alignment horizontal="center" vertical="center"/>
    </xf>
    <xf numFmtId="0" fontId="7" fillId="8" borderId="1" xfId="0" applyFont="1" applyFill="1" applyBorder="1"/>
    <xf numFmtId="0" fontId="11" fillId="8" borderId="1" xfId="0" applyFont="1" applyFill="1" applyBorder="1" applyAlignment="1">
      <alignment horizontal="center"/>
    </xf>
    <xf numFmtId="44" fontId="7" fillId="8" borderId="1" xfId="2" applyFont="1" applyFill="1" applyBorder="1"/>
    <xf numFmtId="10" fontId="7" fillId="8" borderId="1" xfId="3" applyNumberFormat="1" applyFont="1" applyFill="1" applyBorder="1"/>
    <xf numFmtId="44" fontId="7" fillId="0" borderId="2" xfId="0" applyNumberFormat="1" applyFont="1" applyBorder="1" applyAlignment="1">
      <alignment horizontal="center" vertical="center"/>
    </xf>
    <xf numFmtId="44" fontId="7" fillId="0" borderId="12" xfId="0" applyNumberFormat="1" applyFont="1" applyBorder="1" applyAlignment="1">
      <alignment horizontal="center" vertical="center"/>
    </xf>
    <xf numFmtId="10" fontId="1" fillId="3" borderId="1" xfId="3" applyNumberFormat="1" applyFont="1" applyFill="1" applyBorder="1" applyAlignment="1">
      <alignment horizontal="center" vertical="center"/>
    </xf>
    <xf numFmtId="0" fontId="0" fillId="0" borderId="0" xfId="0" applyBorder="1"/>
    <xf numFmtId="0" fontId="12" fillId="0" borderId="0" xfId="0" applyFont="1" applyBorder="1" applyAlignment="1">
      <alignment vertical="center"/>
    </xf>
    <xf numFmtId="44" fontId="0" fillId="0" borderId="0" xfId="2" applyFont="1" applyFill="1" applyBorder="1"/>
    <xf numFmtId="3" fontId="13" fillId="0" borderId="0" xfId="0" applyNumberFormat="1" applyFont="1"/>
    <xf numFmtId="43" fontId="0" fillId="0" borderId="0" xfId="0" applyNumberFormat="1"/>
    <xf numFmtId="0" fontId="7" fillId="9" borderId="1" xfId="0" applyFont="1" applyFill="1" applyBorder="1"/>
    <xf numFmtId="44" fontId="6" fillId="0" borderId="4" xfId="2" applyFont="1" applyBorder="1" applyAlignment="1">
      <alignment horizontal="center" vertical="center"/>
    </xf>
    <xf numFmtId="44" fontId="6" fillId="0" borderId="4" xfId="0" applyNumberFormat="1" applyFont="1" applyBorder="1" applyAlignment="1">
      <alignment horizontal="center" vertical="center"/>
    </xf>
    <xf numFmtId="0" fontId="13" fillId="0" borderId="14" xfId="0" applyFont="1" applyBorder="1" applyAlignment="1">
      <alignment horizontal="left" vertical="center" wrapText="1" indent="1"/>
    </xf>
    <xf numFmtId="43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8" fontId="1" fillId="0" borderId="4" xfId="0" applyNumberFormat="1" applyFont="1" applyBorder="1" applyAlignment="1">
      <alignment horizontal="center"/>
    </xf>
    <xf numFmtId="0" fontId="3" fillId="0" borderId="0" xfId="0" applyFont="1" applyBorder="1"/>
    <xf numFmtId="0" fontId="14" fillId="0" borderId="0" xfId="0" applyFont="1"/>
    <xf numFmtId="164" fontId="15" fillId="0" borderId="1" xfId="1" applyNumberFormat="1" applyFont="1" applyBorder="1" applyAlignment="1">
      <alignment horizontal="center"/>
    </xf>
    <xf numFmtId="44" fontId="15" fillId="0" borderId="1" xfId="0" applyNumberFormat="1" applyFont="1" applyBorder="1" applyAlignment="1">
      <alignment horizontal="center"/>
    </xf>
    <xf numFmtId="1" fontId="15" fillId="0" borderId="17" xfId="0" applyNumberFormat="1" applyFont="1" applyBorder="1" applyAlignment="1">
      <alignment horizontal="center"/>
    </xf>
    <xf numFmtId="44" fontId="16" fillId="0" borderId="1" xfId="2" applyFont="1" applyFill="1" applyBorder="1" applyAlignment="1">
      <alignment horizontal="center"/>
    </xf>
    <xf numFmtId="44" fontId="0" fillId="0" borderId="1" xfId="0" applyNumberFormat="1" applyFont="1" applyBorder="1" applyAlignment="1">
      <alignment horizontal="center"/>
    </xf>
    <xf numFmtId="0" fontId="15" fillId="6" borderId="15" xfId="0" applyFont="1" applyFill="1" applyBorder="1"/>
    <xf numFmtId="0" fontId="15" fillId="7" borderId="15" xfId="0" applyFont="1" applyFill="1" applyBorder="1"/>
    <xf numFmtId="0" fontId="7" fillId="9" borderId="1" xfId="0" applyFont="1" applyFill="1" applyBorder="1" applyAlignment="1">
      <alignment horizontal="center" vertical="center"/>
    </xf>
    <xf numFmtId="10" fontId="7" fillId="9" borderId="1" xfId="3" applyNumberFormat="1" applyFont="1" applyFill="1" applyBorder="1"/>
    <xf numFmtId="0" fontId="1" fillId="0" borderId="16" xfId="0" applyFont="1" applyBorder="1" applyAlignment="1">
      <alignment horizontal="center" vertical="center"/>
    </xf>
    <xf numFmtId="1" fontId="15" fillId="0" borderId="17" xfId="0" applyNumberFormat="1" applyFont="1" applyFill="1" applyBorder="1" applyAlignment="1">
      <alignment horizontal="center"/>
    </xf>
    <xf numFmtId="164" fontId="0" fillId="0" borderId="1" xfId="1" applyNumberFormat="1" applyFont="1" applyFill="1" applyBorder="1" applyAlignment="1">
      <alignment horizontal="center"/>
    </xf>
    <xf numFmtId="44" fontId="0" fillId="0" borderId="1" xfId="0" applyNumberFormat="1" applyFont="1" applyFill="1" applyBorder="1" applyAlignment="1">
      <alignment horizontal="center"/>
    </xf>
    <xf numFmtId="0" fontId="0" fillId="0" borderId="0" xfId="0" applyFill="1"/>
    <xf numFmtId="10" fontId="1" fillId="0" borderId="1" xfId="3" applyNumberFormat="1" applyFont="1" applyFill="1" applyBorder="1" applyAlignment="1">
      <alignment horizontal="center" vertical="center"/>
    </xf>
    <xf numFmtId="44" fontId="0" fillId="5" borderId="6" xfId="2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10" fontId="0" fillId="0" borderId="0" xfId="3" applyNumberFormat="1" applyFont="1" applyAlignment="1">
      <alignment horizontal="center"/>
    </xf>
    <xf numFmtId="44" fontId="0" fillId="0" borderId="0" xfId="2" applyFont="1" applyFill="1" applyBorder="1" applyAlignment="1">
      <alignment horizontal="center"/>
    </xf>
    <xf numFmtId="44" fontId="0" fillId="0" borderId="0" xfId="2" applyFont="1" applyBorder="1" applyAlignment="1">
      <alignment horizontal="center"/>
    </xf>
    <xf numFmtId="0" fontId="12" fillId="0" borderId="7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</cellXfs>
  <cellStyles count="6">
    <cellStyle name="%" xfId="5" xr:uid="{5817C2CB-300E-42F2-A936-01485BFF37E1}"/>
    <cellStyle name="Comma" xfId="1" builtinId="3"/>
    <cellStyle name="Currency" xfId="2" builtinId="4"/>
    <cellStyle name="Normal" xfId="0" builtinId="0"/>
    <cellStyle name="Percent" xfId="3" builtinId="5"/>
    <cellStyle name="Phone" xfId="4" xr:uid="{D70D1B47-067F-4608-93E4-A806ABFC8671}"/>
  </cellStyles>
  <dxfs count="0"/>
  <tableStyles count="0" defaultTableStyle="TableStyleMedium2" defaultPivotStyle="PivotStyleLight16"/>
  <colors>
    <mruColors>
      <color rgb="FF92D050"/>
      <color rgb="FF00B0F0"/>
      <color rgb="FFAEAAAA"/>
      <color rgb="FF00B050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0E16E-7D41-420C-8EC2-F0D3D793F638}">
  <sheetPr codeName="Sheet1"/>
  <dimension ref="A1:N28"/>
  <sheetViews>
    <sheetView zoomScaleNormal="100" workbookViewId="0">
      <selection activeCell="F3" sqref="F3"/>
    </sheetView>
  </sheetViews>
  <sheetFormatPr defaultRowHeight="14.5" x14ac:dyDescent="0.35"/>
  <cols>
    <col min="1" max="2" width="21.26953125" customWidth="1"/>
    <col min="3" max="3" width="12.26953125" customWidth="1"/>
    <col min="4" max="5" width="18.26953125" customWidth="1"/>
    <col min="6" max="6" width="16.54296875" customWidth="1"/>
    <col min="7" max="7" width="17.7265625" customWidth="1"/>
    <col min="8" max="8" width="13.81640625" bestFit="1" customWidth="1"/>
    <col min="9" max="9" width="4.54296875" customWidth="1"/>
    <col min="10" max="10" width="13.26953125" customWidth="1"/>
    <col min="11" max="11" width="12.7265625" customWidth="1"/>
    <col min="12" max="12" width="10.7265625" customWidth="1"/>
    <col min="13" max="13" width="11.453125" customWidth="1"/>
  </cols>
  <sheetData>
    <row r="1" spans="1:14" ht="39.4" customHeight="1" x14ac:dyDescent="0.35">
      <c r="A1" s="49"/>
      <c r="B1" s="49" t="s">
        <v>3</v>
      </c>
      <c r="C1" s="50" t="s">
        <v>6</v>
      </c>
      <c r="D1" s="49"/>
      <c r="E1" s="49"/>
      <c r="F1" s="49"/>
      <c r="G1" s="49" t="s">
        <v>31</v>
      </c>
      <c r="H1" s="41"/>
    </row>
    <row r="2" spans="1:14" x14ac:dyDescent="0.35">
      <c r="A2" s="50"/>
      <c r="B2" s="42"/>
      <c r="C2" s="43" t="s">
        <v>2</v>
      </c>
      <c r="D2" s="44" t="s">
        <v>37</v>
      </c>
      <c r="E2" s="44" t="s">
        <v>39</v>
      </c>
      <c r="F2" s="44" t="s">
        <v>61</v>
      </c>
      <c r="G2" s="43" t="s">
        <v>40</v>
      </c>
      <c r="H2" s="44"/>
    </row>
    <row r="3" spans="1:14" x14ac:dyDescent="0.35">
      <c r="A3" s="50" t="s">
        <v>19</v>
      </c>
      <c r="B3" s="51" t="s">
        <v>23</v>
      </c>
      <c r="C3" s="52">
        <f>'Base Year'!$C$17</f>
        <v>11472</v>
      </c>
      <c r="D3" s="53">
        <f>SUM('Base Year'!F22:F23)</f>
        <v>0</v>
      </c>
      <c r="E3" s="53">
        <f>SUM('Base Year'!F24:F25)</f>
        <v>0</v>
      </c>
      <c r="F3" s="53">
        <f>SUM('Base Year'!J13:J15)</f>
        <v>100668</v>
      </c>
      <c r="G3" s="53">
        <f>SUM(D3:F3)</f>
        <v>100668</v>
      </c>
      <c r="H3" s="72"/>
    </row>
    <row r="4" spans="1:14" x14ac:dyDescent="0.35">
      <c r="A4" s="50" t="s">
        <v>20</v>
      </c>
      <c r="B4" s="51" t="s">
        <v>24</v>
      </c>
      <c r="C4" s="52">
        <f>'Option 1'!$C$17</f>
        <v>11472</v>
      </c>
      <c r="D4" s="53">
        <f>SUM('Option 1'!F22:F23)</f>
        <v>0</v>
      </c>
      <c r="E4" s="53">
        <f>SUM('Option 1'!F24:F25)</f>
        <v>0</v>
      </c>
      <c r="F4" s="53">
        <f>SUM('Option 1'!J13:J15)</f>
        <v>103688</v>
      </c>
      <c r="G4" s="53">
        <f t="shared" ref="G4:G5" si="0">SUM(D4:F4)</f>
        <v>103688</v>
      </c>
      <c r="H4" s="71"/>
    </row>
    <row r="5" spans="1:14" x14ac:dyDescent="0.35">
      <c r="A5" s="50" t="s">
        <v>21</v>
      </c>
      <c r="B5" s="51" t="s">
        <v>30</v>
      </c>
      <c r="C5" s="52">
        <f>'Option 2'!$C$17</f>
        <v>11472</v>
      </c>
      <c r="D5" s="53">
        <f>SUM('Option 2'!F22:F23)</f>
        <v>0</v>
      </c>
      <c r="E5" s="53">
        <f>SUM('Option 2'!F24:F25)</f>
        <v>0</v>
      </c>
      <c r="F5" s="53">
        <f>SUM('Option 2'!J13:J15)</f>
        <v>106799</v>
      </c>
      <c r="G5" s="53">
        <f t="shared" si="0"/>
        <v>106799</v>
      </c>
      <c r="H5" s="71"/>
    </row>
    <row r="6" spans="1:14" x14ac:dyDescent="0.35">
      <c r="A6" s="50" t="s">
        <v>22</v>
      </c>
      <c r="B6" s="51" t="s">
        <v>34</v>
      </c>
      <c r="C6" s="52">
        <f>'Option 3'!$C$17</f>
        <v>11472</v>
      </c>
      <c r="D6" s="53">
        <f>SUM('Option 3'!F22:F23)</f>
        <v>0</v>
      </c>
      <c r="E6" s="53">
        <f>SUM('Option 3'!F24:F25)</f>
        <v>0</v>
      </c>
      <c r="F6" s="53">
        <f>SUM('Option 3'!J13:J15)</f>
        <v>110002</v>
      </c>
      <c r="G6" s="53">
        <f>SUM(D6:F6)</f>
        <v>110002</v>
      </c>
      <c r="H6" s="71"/>
    </row>
    <row r="7" spans="1:14" ht="15" thickBot="1" x14ac:dyDescent="0.4">
      <c r="A7" s="50" t="s">
        <v>33</v>
      </c>
      <c r="B7" s="51" t="s">
        <v>50</v>
      </c>
      <c r="C7" s="52">
        <f>'Option 4'!C17</f>
        <v>11472</v>
      </c>
      <c r="D7" s="63">
        <f>SUM('Option 4'!F22:F23)</f>
        <v>0</v>
      </c>
      <c r="E7" s="63">
        <f>SUM('Option 4'!F24:F25)</f>
        <v>0</v>
      </c>
      <c r="F7" s="63">
        <f>SUM('Option 4'!J13:J15)</f>
        <v>113302</v>
      </c>
      <c r="G7" s="63">
        <f>SUM(D7:F7)</f>
        <v>113302</v>
      </c>
      <c r="H7" s="31"/>
    </row>
    <row r="8" spans="1:14" x14ac:dyDescent="0.35">
      <c r="A8" s="50" t="s">
        <v>38</v>
      </c>
      <c r="B8" s="54"/>
      <c r="C8" s="55"/>
      <c r="D8" s="62">
        <f>SUM(D3:D7)</f>
        <v>0</v>
      </c>
      <c r="E8" s="62">
        <f>SUM(E3:E7)</f>
        <v>0</v>
      </c>
      <c r="F8" s="62">
        <f>SUM(F3:F7)</f>
        <v>534459</v>
      </c>
      <c r="G8" s="62">
        <f>SUM(D8:F8)</f>
        <v>534459</v>
      </c>
      <c r="H8" s="45"/>
    </row>
    <row r="9" spans="1:14" x14ac:dyDescent="0.35">
      <c r="A9" s="56"/>
      <c r="B9" s="56"/>
      <c r="C9" s="56"/>
      <c r="D9" s="56"/>
      <c r="E9" s="56"/>
      <c r="F9" s="56"/>
      <c r="G9" s="56"/>
      <c r="H9" s="46"/>
      <c r="I9" s="1"/>
    </row>
    <row r="10" spans="1:14" x14ac:dyDescent="0.35">
      <c r="A10" s="57" t="s">
        <v>4</v>
      </c>
      <c r="B10" s="47">
        <f>'Base Year'!E2</f>
        <v>0</v>
      </c>
      <c r="C10" s="58"/>
      <c r="D10" s="58"/>
      <c r="E10" s="58"/>
      <c r="F10" s="58"/>
      <c r="G10" s="58"/>
      <c r="H10" s="46"/>
      <c r="I10" s="1"/>
    </row>
    <row r="11" spans="1:14" x14ac:dyDescent="0.35">
      <c r="A11" s="57" t="s">
        <v>5</v>
      </c>
      <c r="B11" s="47">
        <f>'Base Year'!F2</f>
        <v>0</v>
      </c>
      <c r="C11" s="59"/>
      <c r="D11" s="58"/>
      <c r="E11" s="58"/>
      <c r="F11" s="58"/>
      <c r="G11" s="70"/>
      <c r="H11" s="46"/>
      <c r="I11" s="1"/>
    </row>
    <row r="12" spans="1:14" x14ac:dyDescent="0.35">
      <c r="A12" s="57" t="s">
        <v>25</v>
      </c>
      <c r="B12" s="47">
        <f>'Base Year'!G2</f>
        <v>0</v>
      </c>
      <c r="C12" s="58"/>
      <c r="D12" s="58"/>
      <c r="E12" s="58"/>
      <c r="F12" s="58"/>
      <c r="G12" s="58"/>
      <c r="H12" s="46"/>
      <c r="I12" s="1"/>
      <c r="J12" s="1"/>
      <c r="K12" s="1"/>
      <c r="L12" s="1"/>
      <c r="M12" s="1"/>
      <c r="N12" s="1"/>
    </row>
    <row r="13" spans="1:14" x14ac:dyDescent="0.35">
      <c r="A13" s="57" t="s">
        <v>1</v>
      </c>
      <c r="B13" s="47">
        <f>'Base Year'!I2</f>
        <v>0</v>
      </c>
      <c r="C13" s="58"/>
      <c r="D13" s="58"/>
      <c r="E13" s="58"/>
      <c r="F13" s="58"/>
      <c r="G13" s="58"/>
      <c r="H13" s="46"/>
      <c r="I13" s="1"/>
      <c r="J13" s="1"/>
      <c r="K13" s="1"/>
      <c r="L13" s="1"/>
      <c r="M13" s="1"/>
      <c r="N13" s="1"/>
    </row>
    <row r="14" spans="1:14" x14ac:dyDescent="0.35">
      <c r="A14" s="57" t="s">
        <v>26</v>
      </c>
      <c r="B14" s="60"/>
      <c r="C14" s="57" t="s">
        <v>27</v>
      </c>
      <c r="D14" s="57" t="s">
        <v>28</v>
      </c>
      <c r="E14" s="57" t="s">
        <v>29</v>
      </c>
      <c r="F14" s="57" t="s">
        <v>35</v>
      </c>
      <c r="G14" s="86"/>
      <c r="H14" s="48"/>
      <c r="J14" s="1"/>
      <c r="K14" s="1"/>
      <c r="L14" s="1"/>
      <c r="M14" s="1"/>
      <c r="N14" s="1"/>
    </row>
    <row r="15" spans="1:14" x14ac:dyDescent="0.35">
      <c r="A15" s="57" t="s">
        <v>36</v>
      </c>
      <c r="B15" s="61"/>
      <c r="C15" s="47"/>
      <c r="D15" s="47"/>
      <c r="E15" s="47"/>
      <c r="F15" s="47"/>
      <c r="G15" s="87"/>
      <c r="H15" s="30"/>
      <c r="I15" s="65"/>
      <c r="J15" s="77"/>
      <c r="K15" s="77"/>
      <c r="L15" s="1"/>
      <c r="M15" s="1"/>
      <c r="N15" s="1"/>
    </row>
    <row r="16" spans="1:14" x14ac:dyDescent="0.35">
      <c r="A16" s="99" t="s">
        <v>32</v>
      </c>
      <c r="B16" s="100"/>
      <c r="C16" s="100"/>
      <c r="D16" s="100"/>
      <c r="E16" s="100"/>
      <c r="F16" s="100"/>
      <c r="G16" s="100"/>
      <c r="H16" s="101"/>
      <c r="I16" s="66"/>
      <c r="J16" s="66"/>
      <c r="K16" s="65"/>
    </row>
    <row r="17" spans="1:11" x14ac:dyDescent="0.35">
      <c r="A17" s="25"/>
      <c r="B17" s="1"/>
      <c r="D17" s="34"/>
      <c r="E17" s="34"/>
      <c r="F17" s="35"/>
      <c r="G17" s="35"/>
      <c r="H17" s="35"/>
      <c r="I17" s="67"/>
      <c r="J17" s="65"/>
      <c r="K17" s="65"/>
    </row>
    <row r="18" spans="1:11" x14ac:dyDescent="0.35">
      <c r="A18" s="25"/>
      <c r="B18" s="1"/>
      <c r="D18" s="26"/>
      <c r="E18" s="26"/>
      <c r="I18" s="65"/>
      <c r="J18" s="65"/>
      <c r="K18" s="65"/>
    </row>
    <row r="19" spans="1:11" x14ac:dyDescent="0.35">
      <c r="A19" s="25"/>
      <c r="B19" s="27"/>
      <c r="D19" s="26"/>
      <c r="E19" s="26"/>
      <c r="F19" s="28"/>
      <c r="G19" s="28"/>
      <c r="H19" s="28"/>
    </row>
    <row r="20" spans="1:11" x14ac:dyDescent="0.35">
      <c r="A20" s="25"/>
      <c r="B20" s="1"/>
      <c r="D20" s="26"/>
      <c r="E20" s="26"/>
    </row>
    <row r="21" spans="1:11" x14ac:dyDescent="0.35">
      <c r="B21" s="1"/>
      <c r="D21" s="26"/>
      <c r="E21" s="26"/>
    </row>
    <row r="22" spans="1:11" x14ac:dyDescent="0.35">
      <c r="B22" s="1"/>
      <c r="D22" s="26"/>
      <c r="E22" s="26"/>
    </row>
    <row r="23" spans="1:11" x14ac:dyDescent="0.35">
      <c r="B23" s="1"/>
      <c r="D23" s="26"/>
      <c r="E23" s="26"/>
    </row>
    <row r="24" spans="1:11" x14ac:dyDescent="0.35">
      <c r="B24" s="1"/>
      <c r="D24" s="26"/>
      <c r="E24" s="26"/>
    </row>
    <row r="25" spans="1:11" x14ac:dyDescent="0.35">
      <c r="B25" s="1"/>
    </row>
    <row r="26" spans="1:11" x14ac:dyDescent="0.35">
      <c r="B26" s="1"/>
      <c r="D26" s="29"/>
      <c r="E26" s="29"/>
    </row>
    <row r="27" spans="1:11" x14ac:dyDescent="0.35">
      <c r="B27" s="1"/>
    </row>
    <row r="28" spans="1:11" x14ac:dyDescent="0.35">
      <c r="B28" s="1"/>
    </row>
  </sheetData>
  <mergeCells count="1">
    <mergeCell ref="A16:H16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F73CF-6E3F-4EEC-900C-45B87BCC4808}">
  <sheetPr codeName="Sheet2"/>
  <dimension ref="A1:J37"/>
  <sheetViews>
    <sheetView topLeftCell="A10" zoomScaleNormal="100" workbookViewId="0">
      <selection activeCell="D26" sqref="D26"/>
    </sheetView>
  </sheetViews>
  <sheetFormatPr defaultRowHeight="14.5" x14ac:dyDescent="0.35"/>
  <cols>
    <col min="1" max="1" width="63" customWidth="1"/>
    <col min="2" max="2" width="13.81640625" style="2" customWidth="1"/>
    <col min="3" max="3" width="12.1796875" style="2" customWidth="1"/>
    <col min="4" max="4" width="20" style="2" bestFit="1" customWidth="1"/>
    <col min="5" max="5" width="14.54296875" style="2" bestFit="1" customWidth="1"/>
    <col min="6" max="6" width="15.453125" style="2" customWidth="1"/>
    <col min="7" max="7" width="13.26953125" style="2" bestFit="1" customWidth="1"/>
    <col min="8" max="8" width="14.26953125" style="2" bestFit="1" customWidth="1"/>
    <col min="9" max="9" width="14.26953125" style="2" customWidth="1"/>
    <col min="10" max="10" width="15.54296875" style="2" bestFit="1" customWidth="1"/>
    <col min="13" max="13" width="17.7265625" customWidth="1"/>
    <col min="14" max="14" width="12.1796875" customWidth="1"/>
    <col min="15" max="15" width="14.26953125" bestFit="1" customWidth="1"/>
    <col min="16" max="16" width="11.453125" customWidth="1"/>
  </cols>
  <sheetData>
    <row r="1" spans="1:10" x14ac:dyDescent="0.35">
      <c r="A1" s="22" t="s">
        <v>18</v>
      </c>
      <c r="B1" s="21" t="s">
        <v>17</v>
      </c>
      <c r="C1" s="20" t="s">
        <v>16</v>
      </c>
      <c r="D1" s="20" t="s">
        <v>15</v>
      </c>
      <c r="E1" s="20" t="s">
        <v>14</v>
      </c>
      <c r="F1" s="20" t="s">
        <v>13</v>
      </c>
      <c r="G1" s="20" t="s">
        <v>12</v>
      </c>
      <c r="H1" s="20" t="s">
        <v>11</v>
      </c>
      <c r="I1" s="23" t="s">
        <v>10</v>
      </c>
      <c r="J1" s="19" t="s">
        <v>9</v>
      </c>
    </row>
    <row r="2" spans="1:10" x14ac:dyDescent="0.35">
      <c r="A2" s="22"/>
      <c r="B2" s="37"/>
      <c r="C2" s="37"/>
      <c r="D2" s="37"/>
      <c r="E2" s="64">
        <v>0</v>
      </c>
      <c r="F2" s="64">
        <v>0</v>
      </c>
      <c r="G2" s="64">
        <v>0</v>
      </c>
      <c r="H2" s="38"/>
      <c r="I2" s="64">
        <v>0</v>
      </c>
      <c r="J2" s="37"/>
    </row>
    <row r="3" spans="1:10" x14ac:dyDescent="0.35">
      <c r="A3" s="88" t="s">
        <v>42</v>
      </c>
      <c r="B3" s="95"/>
      <c r="C3" s="37"/>
      <c r="D3" s="37"/>
      <c r="E3" s="93"/>
      <c r="F3" s="93"/>
      <c r="G3" s="93"/>
      <c r="H3" s="93"/>
      <c r="I3" s="93"/>
      <c r="J3" s="37"/>
    </row>
    <row r="4" spans="1:10" x14ac:dyDescent="0.35">
      <c r="A4" s="84" t="s">
        <v>44</v>
      </c>
      <c r="B4" s="81">
        <v>1</v>
      </c>
      <c r="C4" s="9">
        <v>1912</v>
      </c>
      <c r="D4" s="82">
        <v>0</v>
      </c>
      <c r="E4" s="83">
        <f t="shared" ref="E4" si="0">D4*$E$2</f>
        <v>0</v>
      </c>
      <c r="F4" s="83">
        <f>(D4+E4)*$F$2</f>
        <v>0</v>
      </c>
      <c r="G4" s="83">
        <f t="shared" ref="G4:G10" si="1">(D4+E4+F4)*$G$2</f>
        <v>0</v>
      </c>
      <c r="H4" s="83">
        <f t="shared" ref="H4:H10" si="2">D4+E4+F4+G4</f>
        <v>0</v>
      </c>
      <c r="I4" s="83">
        <f t="shared" ref="I4:I10" si="3">(C4*H4)*$I$2</f>
        <v>0</v>
      </c>
      <c r="J4" s="83">
        <f>(C4*H4)+I4</f>
        <v>0</v>
      </c>
    </row>
    <row r="5" spans="1:10" x14ac:dyDescent="0.35">
      <c r="A5" s="84" t="s">
        <v>45</v>
      </c>
      <c r="B5" s="81">
        <v>1</v>
      </c>
      <c r="C5" s="9">
        <v>1912</v>
      </c>
      <c r="D5" s="82">
        <v>0</v>
      </c>
      <c r="E5" s="83">
        <f t="shared" ref="E5:E10" si="4">D5*$E$2</f>
        <v>0</v>
      </c>
      <c r="F5" s="83">
        <f t="shared" ref="F5:F10" si="5">(D5+E5)*$F$2</f>
        <v>0</v>
      </c>
      <c r="G5" s="83">
        <f t="shared" si="1"/>
        <v>0</v>
      </c>
      <c r="H5" s="83">
        <f t="shared" si="2"/>
        <v>0</v>
      </c>
      <c r="I5" s="83">
        <f t="shared" si="3"/>
        <v>0</v>
      </c>
      <c r="J5" s="83">
        <f t="shared" ref="J5:J10" si="6">(C5*H5)+I5</f>
        <v>0</v>
      </c>
    </row>
    <row r="6" spans="1:10" x14ac:dyDescent="0.35">
      <c r="A6" s="84" t="s">
        <v>46</v>
      </c>
      <c r="B6" s="81">
        <v>1</v>
      </c>
      <c r="C6" s="9">
        <v>1912</v>
      </c>
      <c r="D6" s="82">
        <v>0</v>
      </c>
      <c r="E6" s="83">
        <f t="shared" si="4"/>
        <v>0</v>
      </c>
      <c r="F6" s="83">
        <f t="shared" si="5"/>
        <v>0</v>
      </c>
      <c r="G6" s="83">
        <f t="shared" si="1"/>
        <v>0</v>
      </c>
      <c r="H6" s="83">
        <f t="shared" si="2"/>
        <v>0</v>
      </c>
      <c r="I6" s="83">
        <f t="shared" si="3"/>
        <v>0</v>
      </c>
      <c r="J6" s="83">
        <f t="shared" si="6"/>
        <v>0</v>
      </c>
    </row>
    <row r="7" spans="1:10" s="92" customFormat="1" x14ac:dyDescent="0.35">
      <c r="A7" s="88" t="s">
        <v>43</v>
      </c>
      <c r="B7" s="89"/>
      <c r="C7" s="90"/>
      <c r="D7" s="82"/>
      <c r="E7" s="91"/>
      <c r="F7" s="91"/>
      <c r="G7" s="91"/>
      <c r="H7" s="91"/>
      <c r="I7" s="91"/>
      <c r="J7" s="91"/>
    </row>
    <row r="8" spans="1:10" s="78" customFormat="1" x14ac:dyDescent="0.35">
      <c r="A8" s="85" t="s">
        <v>47</v>
      </c>
      <c r="B8" s="81">
        <v>1</v>
      </c>
      <c r="C8" s="79">
        <v>1912</v>
      </c>
      <c r="D8" s="82">
        <v>0</v>
      </c>
      <c r="E8" s="80">
        <f t="shared" si="4"/>
        <v>0</v>
      </c>
      <c r="F8" s="80">
        <f t="shared" si="5"/>
        <v>0</v>
      </c>
      <c r="G8" s="80">
        <f t="shared" si="1"/>
        <v>0</v>
      </c>
      <c r="H8" s="80">
        <f t="shared" si="2"/>
        <v>0</v>
      </c>
      <c r="I8" s="80">
        <f t="shared" si="3"/>
        <v>0</v>
      </c>
      <c r="J8" s="80">
        <f t="shared" si="6"/>
        <v>0</v>
      </c>
    </row>
    <row r="9" spans="1:10" x14ac:dyDescent="0.35">
      <c r="A9" s="85" t="s">
        <v>48</v>
      </c>
      <c r="B9" s="81">
        <v>1</v>
      </c>
      <c r="C9" s="9">
        <v>1912</v>
      </c>
      <c r="D9" s="82">
        <v>0</v>
      </c>
      <c r="E9" s="83">
        <f t="shared" si="4"/>
        <v>0</v>
      </c>
      <c r="F9" s="83">
        <f t="shared" si="5"/>
        <v>0</v>
      </c>
      <c r="G9" s="83">
        <f t="shared" si="1"/>
        <v>0</v>
      </c>
      <c r="H9" s="83">
        <f t="shared" si="2"/>
        <v>0</v>
      </c>
      <c r="I9" s="83">
        <f t="shared" si="3"/>
        <v>0</v>
      </c>
      <c r="J9" s="83">
        <f t="shared" si="6"/>
        <v>0</v>
      </c>
    </row>
    <row r="10" spans="1:10" x14ac:dyDescent="0.35">
      <c r="A10" s="85" t="s">
        <v>49</v>
      </c>
      <c r="B10" s="81">
        <v>1</v>
      </c>
      <c r="C10" s="9">
        <v>1912</v>
      </c>
      <c r="D10" s="82">
        <v>0</v>
      </c>
      <c r="E10" s="83">
        <f t="shared" si="4"/>
        <v>0</v>
      </c>
      <c r="F10" s="83">
        <f t="shared" si="5"/>
        <v>0</v>
      </c>
      <c r="G10" s="83">
        <f t="shared" si="1"/>
        <v>0</v>
      </c>
      <c r="H10" s="83">
        <f t="shared" si="2"/>
        <v>0</v>
      </c>
      <c r="I10" s="83">
        <f t="shared" si="3"/>
        <v>0</v>
      </c>
      <c r="J10" s="83">
        <f t="shared" si="6"/>
        <v>0</v>
      </c>
    </row>
    <row r="11" spans="1:10" x14ac:dyDescent="0.35">
      <c r="A11" s="73"/>
      <c r="B11" s="14"/>
      <c r="C11" s="9"/>
      <c r="D11" s="8"/>
      <c r="E11" s="8"/>
      <c r="F11" s="8"/>
      <c r="G11" s="8"/>
      <c r="H11" s="8"/>
      <c r="I11" s="8"/>
      <c r="J11" s="8"/>
    </row>
    <row r="12" spans="1:10" x14ac:dyDescent="0.35">
      <c r="A12" s="11"/>
      <c r="B12" s="14"/>
      <c r="C12" s="9"/>
      <c r="D12" s="8"/>
      <c r="E12" s="8"/>
      <c r="F12" s="8"/>
      <c r="G12" s="8"/>
      <c r="H12" s="8"/>
      <c r="I12" s="39"/>
      <c r="J12" s="40">
        <f>SUM(J4:J11)</f>
        <v>0</v>
      </c>
    </row>
    <row r="13" spans="1:10" x14ac:dyDescent="0.35">
      <c r="A13" s="17" t="s">
        <v>51</v>
      </c>
      <c r="B13" s="10"/>
      <c r="C13" s="9"/>
      <c r="D13" s="8"/>
      <c r="E13" s="8"/>
      <c r="F13" s="8"/>
      <c r="G13" s="8"/>
      <c r="H13" s="8"/>
      <c r="I13" s="7"/>
      <c r="J13" s="94">
        <v>50000</v>
      </c>
    </row>
    <row r="14" spans="1:10" x14ac:dyDescent="0.35">
      <c r="A14" s="17" t="s">
        <v>52</v>
      </c>
      <c r="B14" s="10"/>
      <c r="C14" s="9"/>
      <c r="D14" s="8"/>
      <c r="E14" s="8"/>
      <c r="F14" s="8"/>
      <c r="G14" s="8"/>
      <c r="H14" s="8"/>
      <c r="I14" s="7"/>
      <c r="J14" s="94">
        <v>50000</v>
      </c>
    </row>
    <row r="15" spans="1:10" x14ac:dyDescent="0.35">
      <c r="A15" s="17" t="s">
        <v>53</v>
      </c>
      <c r="B15" s="10"/>
      <c r="C15" s="9"/>
      <c r="D15" s="8"/>
      <c r="E15" s="8"/>
      <c r="F15" s="8"/>
      <c r="G15" s="8"/>
      <c r="H15" s="8"/>
      <c r="I15" s="7"/>
      <c r="J15" s="94">
        <v>668</v>
      </c>
    </row>
    <row r="16" spans="1:10" x14ac:dyDescent="0.35">
      <c r="A16" s="11"/>
      <c r="B16" s="10"/>
      <c r="C16" s="9"/>
      <c r="D16" s="8"/>
      <c r="E16" s="8"/>
      <c r="F16" s="8"/>
      <c r="G16" s="8"/>
      <c r="H16" s="8"/>
      <c r="I16" s="7"/>
      <c r="J16" s="6"/>
    </row>
    <row r="17" spans="1:10" x14ac:dyDescent="0.35">
      <c r="A17" s="16" t="s">
        <v>8</v>
      </c>
      <c r="B17" s="76">
        <f>SUM(B4:B11)</f>
        <v>6</v>
      </c>
      <c r="C17" s="15">
        <f>SUM(C4:C11)</f>
        <v>11472</v>
      </c>
      <c r="D17" s="8"/>
      <c r="E17" s="8"/>
      <c r="F17" s="14"/>
      <c r="G17" s="14"/>
      <c r="H17" s="14"/>
      <c r="I17" s="13" t="s">
        <v>2</v>
      </c>
      <c r="J17" s="12">
        <f>SUM(J12:J15)</f>
        <v>100668</v>
      </c>
    </row>
    <row r="18" spans="1:10" x14ac:dyDescent="0.35">
      <c r="A18" s="11"/>
      <c r="B18" s="10"/>
      <c r="C18" s="9"/>
      <c r="D18" s="8"/>
      <c r="E18" s="8"/>
      <c r="F18" s="8"/>
      <c r="G18" s="8"/>
      <c r="H18" s="8"/>
      <c r="I18" s="7"/>
      <c r="J18" s="6"/>
    </row>
    <row r="19" spans="1:10" x14ac:dyDescent="0.35">
      <c r="A19" s="11"/>
      <c r="B19" s="10"/>
      <c r="C19" s="9"/>
      <c r="D19" s="8"/>
      <c r="E19" s="8"/>
      <c r="F19" s="8"/>
      <c r="G19" s="8"/>
      <c r="H19" s="8"/>
      <c r="I19" s="7"/>
      <c r="J19" s="6"/>
    </row>
    <row r="20" spans="1:10" x14ac:dyDescent="0.35">
      <c r="A20" t="s">
        <v>54</v>
      </c>
    </row>
    <row r="21" spans="1:10" x14ac:dyDescent="0.35">
      <c r="C21" s="2" t="s">
        <v>7</v>
      </c>
      <c r="D21" s="2" t="s">
        <v>0</v>
      </c>
      <c r="E21" s="2" t="s">
        <v>1</v>
      </c>
      <c r="F21" s="2" t="s">
        <v>2</v>
      </c>
    </row>
    <row r="22" spans="1:10" x14ac:dyDescent="0.35">
      <c r="B22" s="2" t="s">
        <v>55</v>
      </c>
      <c r="C22" s="5">
        <v>5000</v>
      </c>
      <c r="D22" s="32">
        <f>SUM(,(C6*H6),(C5*H5),(C4*H4))</f>
        <v>0</v>
      </c>
      <c r="E22" s="3">
        <f>SUM(I4:I6)</f>
        <v>0</v>
      </c>
      <c r="F22" s="3">
        <f>SUM(D22:E22)</f>
        <v>0</v>
      </c>
      <c r="H22" s="36"/>
      <c r="I22" s="36"/>
      <c r="J22" s="36"/>
    </row>
    <row r="23" spans="1:10" x14ac:dyDescent="0.35">
      <c r="B23" s="2" t="s">
        <v>56</v>
      </c>
      <c r="C23" s="5">
        <v>5001</v>
      </c>
      <c r="D23" s="32">
        <f>SUM((C8*H8),(C10*H10),(C9*H9),)</f>
        <v>0</v>
      </c>
      <c r="E23" s="3">
        <f>SUM(I5:I11)</f>
        <v>0</v>
      </c>
      <c r="F23" s="3">
        <f>SUM(D23:E23)</f>
        <v>0</v>
      </c>
      <c r="H23" s="36"/>
      <c r="I23" s="36"/>
      <c r="J23" s="36"/>
    </row>
    <row r="24" spans="1:10" x14ac:dyDescent="0.35">
      <c r="B24" s="2" t="s">
        <v>57</v>
      </c>
      <c r="C24" s="5">
        <v>5002</v>
      </c>
      <c r="D24" s="32">
        <f>(AVERAGE(H4:H6)*30)</f>
        <v>0</v>
      </c>
      <c r="E24" s="32">
        <f>D24*I2</f>
        <v>0</v>
      </c>
      <c r="F24" s="3">
        <f t="shared" ref="F24:F25" si="7">SUM(D24:E24)</f>
        <v>0</v>
      </c>
      <c r="H24" s="36"/>
      <c r="I24" s="36"/>
      <c r="J24" s="36"/>
    </row>
    <row r="25" spans="1:10" x14ac:dyDescent="0.35">
      <c r="B25" s="2" t="s">
        <v>58</v>
      </c>
      <c r="C25" s="5">
        <v>5003</v>
      </c>
      <c r="D25" s="32">
        <f>(AVERAGE(H8:H10)*30)</f>
        <v>0</v>
      </c>
      <c r="E25" s="32">
        <f>D25*I2</f>
        <v>0</v>
      </c>
      <c r="F25" s="3">
        <f t="shared" si="7"/>
        <v>0</v>
      </c>
      <c r="H25" s="36"/>
      <c r="I25" s="36"/>
      <c r="J25" s="36"/>
    </row>
    <row r="26" spans="1:10" x14ac:dyDescent="0.35">
      <c r="B26" s="2" t="s">
        <v>59</v>
      </c>
      <c r="C26" s="5">
        <v>7000</v>
      </c>
      <c r="D26" s="97">
        <f>J13+(J15/2)</f>
        <v>50334</v>
      </c>
      <c r="E26" s="98"/>
      <c r="F26" s="98">
        <f>SUM(D26:E26)</f>
        <v>50334</v>
      </c>
      <c r="H26" s="36"/>
      <c r="I26" s="36"/>
      <c r="J26" s="36"/>
    </row>
    <row r="27" spans="1:10" x14ac:dyDescent="0.35">
      <c r="B27" s="2" t="s">
        <v>60</v>
      </c>
      <c r="C27" s="5">
        <v>7001</v>
      </c>
      <c r="D27" s="33">
        <f>J14+(J15/2)</f>
        <v>50334</v>
      </c>
      <c r="E27" s="4"/>
      <c r="F27" s="4">
        <f>SUM(D27:E27)</f>
        <v>50334</v>
      </c>
      <c r="J27" s="2" t="s">
        <v>41</v>
      </c>
    </row>
    <row r="28" spans="1:10" x14ac:dyDescent="0.35">
      <c r="D28" s="32">
        <f>SUM(D22:D27)</f>
        <v>100668</v>
      </c>
      <c r="E28" s="3">
        <f>SUM(E22:E27)</f>
        <v>0</v>
      </c>
      <c r="F28" s="3">
        <f>SUM(F22:F27)</f>
        <v>100668</v>
      </c>
    </row>
    <row r="31" spans="1:10" x14ac:dyDescent="0.35">
      <c r="I31" s="74"/>
    </row>
    <row r="32" spans="1:10" x14ac:dyDescent="0.35">
      <c r="A32" s="68"/>
      <c r="C32" s="96"/>
      <c r="D32" s="36"/>
    </row>
    <row r="33" spans="1:8" x14ac:dyDescent="0.35">
      <c r="A33" s="69"/>
    </row>
    <row r="34" spans="1:8" x14ac:dyDescent="0.35">
      <c r="H34" s="75"/>
    </row>
    <row r="37" spans="1:8" x14ac:dyDescent="0.35">
      <c r="A37" s="68"/>
    </row>
  </sheetData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D48F1-A45A-4ABE-900F-8EE3ACB3A37F}">
  <sheetPr codeName="Sheet3"/>
  <dimension ref="A1:L47"/>
  <sheetViews>
    <sheetView topLeftCell="A16" zoomScaleNormal="100" workbookViewId="0">
      <selection activeCell="D24" sqref="D24"/>
    </sheetView>
  </sheetViews>
  <sheetFormatPr defaultRowHeight="14.5" x14ac:dyDescent="0.35"/>
  <cols>
    <col min="1" max="1" width="66.1796875" customWidth="1"/>
    <col min="2" max="2" width="9.81640625" style="2" customWidth="1"/>
    <col min="3" max="3" width="12.1796875" style="2" customWidth="1"/>
    <col min="4" max="4" width="20" style="2" bestFit="1" customWidth="1"/>
    <col min="5" max="5" width="14.54296875" style="2" bestFit="1" customWidth="1"/>
    <col min="6" max="6" width="15.453125" style="2" customWidth="1"/>
    <col min="7" max="7" width="13.26953125" style="2" bestFit="1" customWidth="1"/>
    <col min="8" max="8" width="14.26953125" style="2" bestFit="1" customWidth="1"/>
    <col min="9" max="9" width="14.26953125" style="2" customWidth="1"/>
    <col min="10" max="10" width="15.54296875" style="2" bestFit="1" customWidth="1"/>
    <col min="12" max="13" width="16.1796875" customWidth="1"/>
    <col min="14" max="14" width="14.26953125" bestFit="1" customWidth="1"/>
    <col min="16" max="16" width="12.7265625" customWidth="1"/>
  </cols>
  <sheetData>
    <row r="1" spans="1:12" x14ac:dyDescent="0.35">
      <c r="A1" s="22" t="s">
        <v>18</v>
      </c>
      <c r="B1" s="21" t="s">
        <v>17</v>
      </c>
      <c r="C1" s="20" t="s">
        <v>16</v>
      </c>
      <c r="D1" s="20" t="s">
        <v>15</v>
      </c>
      <c r="E1" s="20" t="s">
        <v>14</v>
      </c>
      <c r="F1" s="20" t="s">
        <v>13</v>
      </c>
      <c r="G1" s="20" t="s">
        <v>12</v>
      </c>
      <c r="H1" s="20" t="s">
        <v>11</v>
      </c>
      <c r="I1" s="23" t="s">
        <v>10</v>
      </c>
      <c r="J1" s="19" t="s">
        <v>9</v>
      </c>
    </row>
    <row r="2" spans="1:12" x14ac:dyDescent="0.35">
      <c r="A2" s="22"/>
      <c r="B2" s="37"/>
      <c r="C2" s="37"/>
      <c r="D2" s="37"/>
      <c r="E2" s="64">
        <v>0</v>
      </c>
      <c r="F2" s="64">
        <v>0</v>
      </c>
      <c r="G2" s="64">
        <v>0</v>
      </c>
      <c r="H2" s="38"/>
      <c r="I2" s="64">
        <v>0</v>
      </c>
      <c r="J2" s="37"/>
    </row>
    <row r="3" spans="1:12" x14ac:dyDescent="0.35">
      <c r="A3" s="88" t="s">
        <v>42</v>
      </c>
      <c r="B3" s="95"/>
      <c r="C3" s="37"/>
      <c r="D3" s="37"/>
      <c r="E3" s="93"/>
      <c r="F3" s="93"/>
      <c r="G3" s="93"/>
      <c r="H3" s="93"/>
      <c r="I3" s="93"/>
      <c r="J3" s="37"/>
    </row>
    <row r="4" spans="1:12" x14ac:dyDescent="0.35">
      <c r="A4" s="84" t="s">
        <v>44</v>
      </c>
      <c r="B4" s="81">
        <v>1</v>
      </c>
      <c r="C4" s="9">
        <v>1912</v>
      </c>
      <c r="D4" s="82">
        <v>0</v>
      </c>
      <c r="E4" s="83">
        <f t="shared" ref="E4:E10" si="0">D4*$E$2</f>
        <v>0</v>
      </c>
      <c r="F4" s="83">
        <f>(D4+E4)*$F$2</f>
        <v>0</v>
      </c>
      <c r="G4" s="83">
        <f t="shared" ref="G4:G10" si="1">(D4+E4+F4)*$G$2</f>
        <v>0</v>
      </c>
      <c r="H4" s="83">
        <f t="shared" ref="H4:H10" si="2">D4+E4+F4+G4</f>
        <v>0</v>
      </c>
      <c r="I4" s="83">
        <f t="shared" ref="I4:I10" si="3">(C4*H4)*$I$2</f>
        <v>0</v>
      </c>
      <c r="J4" s="83">
        <f>(C4*H4)+I4</f>
        <v>0</v>
      </c>
    </row>
    <row r="5" spans="1:12" x14ac:dyDescent="0.35">
      <c r="A5" s="84" t="s">
        <v>45</v>
      </c>
      <c r="B5" s="81">
        <v>1</v>
      </c>
      <c r="C5" s="9">
        <v>1912</v>
      </c>
      <c r="D5" s="82">
        <v>0</v>
      </c>
      <c r="E5" s="83">
        <f t="shared" si="0"/>
        <v>0</v>
      </c>
      <c r="F5" s="83">
        <f t="shared" ref="F5:F10" si="4">(D5+E5)*$F$2</f>
        <v>0</v>
      </c>
      <c r="G5" s="83">
        <f t="shared" si="1"/>
        <v>0</v>
      </c>
      <c r="H5" s="83">
        <f t="shared" si="2"/>
        <v>0</v>
      </c>
      <c r="I5" s="83">
        <f t="shared" si="3"/>
        <v>0</v>
      </c>
      <c r="J5" s="83">
        <f t="shared" ref="J5:J10" si="5">(C5*H5)+I5</f>
        <v>0</v>
      </c>
      <c r="L5" s="18"/>
    </row>
    <row r="6" spans="1:12" x14ac:dyDescent="0.35">
      <c r="A6" s="84" t="s">
        <v>46</v>
      </c>
      <c r="B6" s="81">
        <v>1</v>
      </c>
      <c r="C6" s="9">
        <v>1912</v>
      </c>
      <c r="D6" s="82">
        <v>0</v>
      </c>
      <c r="E6" s="83">
        <f t="shared" si="0"/>
        <v>0</v>
      </c>
      <c r="F6" s="83">
        <f t="shared" si="4"/>
        <v>0</v>
      </c>
      <c r="G6" s="83">
        <f t="shared" si="1"/>
        <v>0</v>
      </c>
      <c r="H6" s="83">
        <f t="shared" si="2"/>
        <v>0</v>
      </c>
      <c r="I6" s="83">
        <f t="shared" si="3"/>
        <v>0</v>
      </c>
      <c r="J6" s="83">
        <f t="shared" si="5"/>
        <v>0</v>
      </c>
      <c r="L6" s="24"/>
    </row>
    <row r="7" spans="1:12" x14ac:dyDescent="0.35">
      <c r="A7" s="88" t="s">
        <v>43</v>
      </c>
      <c r="B7" s="89"/>
      <c r="C7" s="90"/>
      <c r="D7" s="82"/>
      <c r="E7" s="91"/>
      <c r="F7" s="91"/>
      <c r="G7" s="91"/>
      <c r="H7" s="91"/>
      <c r="I7" s="91"/>
      <c r="J7" s="91"/>
      <c r="L7" s="24"/>
    </row>
    <row r="8" spans="1:12" x14ac:dyDescent="0.35">
      <c r="A8" s="85" t="s">
        <v>47</v>
      </c>
      <c r="B8" s="81">
        <v>1</v>
      </c>
      <c r="C8" s="79">
        <v>1912</v>
      </c>
      <c r="D8" s="82">
        <v>0</v>
      </c>
      <c r="E8" s="80">
        <f t="shared" si="0"/>
        <v>0</v>
      </c>
      <c r="F8" s="80">
        <f t="shared" si="4"/>
        <v>0</v>
      </c>
      <c r="G8" s="80">
        <f t="shared" si="1"/>
        <v>0</v>
      </c>
      <c r="H8" s="80">
        <f t="shared" si="2"/>
        <v>0</v>
      </c>
      <c r="I8" s="80">
        <f t="shared" si="3"/>
        <v>0</v>
      </c>
      <c r="J8" s="80">
        <f t="shared" si="5"/>
        <v>0</v>
      </c>
      <c r="L8" s="24"/>
    </row>
    <row r="9" spans="1:12" x14ac:dyDescent="0.35">
      <c r="A9" s="85" t="s">
        <v>48</v>
      </c>
      <c r="B9" s="81">
        <v>1</v>
      </c>
      <c r="C9" s="9">
        <v>1912</v>
      </c>
      <c r="D9" s="82">
        <v>0</v>
      </c>
      <c r="E9" s="83">
        <f t="shared" si="0"/>
        <v>0</v>
      </c>
      <c r="F9" s="83">
        <f t="shared" si="4"/>
        <v>0</v>
      </c>
      <c r="G9" s="83">
        <f t="shared" si="1"/>
        <v>0</v>
      </c>
      <c r="H9" s="83">
        <f t="shared" si="2"/>
        <v>0</v>
      </c>
      <c r="I9" s="83">
        <f t="shared" si="3"/>
        <v>0</v>
      </c>
      <c r="J9" s="83">
        <f t="shared" si="5"/>
        <v>0</v>
      </c>
      <c r="L9" s="24"/>
    </row>
    <row r="10" spans="1:12" x14ac:dyDescent="0.35">
      <c r="A10" s="85" t="s">
        <v>49</v>
      </c>
      <c r="B10" s="81">
        <v>1</v>
      </c>
      <c r="C10" s="9">
        <v>1912</v>
      </c>
      <c r="D10" s="82">
        <v>0</v>
      </c>
      <c r="E10" s="83">
        <f t="shared" si="0"/>
        <v>0</v>
      </c>
      <c r="F10" s="83">
        <f t="shared" si="4"/>
        <v>0</v>
      </c>
      <c r="G10" s="83">
        <f t="shared" si="1"/>
        <v>0</v>
      </c>
      <c r="H10" s="83">
        <f t="shared" si="2"/>
        <v>0</v>
      </c>
      <c r="I10" s="83">
        <f t="shared" si="3"/>
        <v>0</v>
      </c>
      <c r="J10" s="83">
        <f t="shared" si="5"/>
        <v>0</v>
      </c>
      <c r="L10" s="24"/>
    </row>
    <row r="11" spans="1:12" x14ac:dyDescent="0.35">
      <c r="A11" s="73"/>
      <c r="B11" s="14"/>
      <c r="C11" s="9"/>
      <c r="D11" s="8"/>
      <c r="E11" s="8"/>
      <c r="F11" s="8"/>
      <c r="G11" s="8"/>
      <c r="H11" s="8"/>
      <c r="I11" s="8"/>
      <c r="J11" s="8"/>
    </row>
    <row r="12" spans="1:12" x14ac:dyDescent="0.35">
      <c r="A12" s="11"/>
      <c r="B12" s="14"/>
      <c r="C12" s="9"/>
      <c r="D12" s="8"/>
      <c r="E12" s="8"/>
      <c r="F12" s="8"/>
      <c r="G12" s="8"/>
      <c r="H12" s="8"/>
      <c r="I12" s="39"/>
      <c r="J12" s="40">
        <f>SUM(J4:J11)</f>
        <v>0</v>
      </c>
    </row>
    <row r="13" spans="1:12" x14ac:dyDescent="0.35">
      <c r="A13" s="17" t="s">
        <v>51</v>
      </c>
      <c r="B13" s="10"/>
      <c r="C13" s="9"/>
      <c r="D13" s="8"/>
      <c r="E13" s="8"/>
      <c r="F13" s="8"/>
      <c r="G13" s="8"/>
      <c r="H13" s="8"/>
      <c r="I13" s="7"/>
      <c r="J13" s="94">
        <v>51500</v>
      </c>
    </row>
    <row r="14" spans="1:12" x14ac:dyDescent="0.35">
      <c r="A14" s="17" t="s">
        <v>52</v>
      </c>
      <c r="B14" s="10"/>
      <c r="C14" s="9"/>
      <c r="D14" s="8"/>
      <c r="E14" s="8"/>
      <c r="F14" s="8"/>
      <c r="G14" s="8"/>
      <c r="H14" s="8"/>
      <c r="I14" s="7"/>
      <c r="J14" s="94">
        <v>51500</v>
      </c>
    </row>
    <row r="15" spans="1:12" x14ac:dyDescent="0.35">
      <c r="A15" s="17" t="s">
        <v>53</v>
      </c>
      <c r="B15" s="10"/>
      <c r="C15" s="9"/>
      <c r="D15" s="8"/>
      <c r="E15" s="8"/>
      <c r="F15" s="8"/>
      <c r="G15" s="8"/>
      <c r="H15" s="8"/>
      <c r="I15" s="7"/>
      <c r="J15" s="94">
        <v>688</v>
      </c>
    </row>
    <row r="16" spans="1:12" x14ac:dyDescent="0.35">
      <c r="A16" s="11"/>
      <c r="B16" s="10"/>
      <c r="C16" s="9"/>
      <c r="D16" s="8"/>
      <c r="E16" s="8"/>
      <c r="F16" s="8"/>
      <c r="G16" s="8"/>
      <c r="H16" s="8"/>
      <c r="I16" s="7"/>
      <c r="J16" s="6"/>
    </row>
    <row r="17" spans="1:10" x14ac:dyDescent="0.35">
      <c r="A17" s="16" t="s">
        <v>8</v>
      </c>
      <c r="B17" s="76">
        <f>SUM(B4:B11)</f>
        <v>6</v>
      </c>
      <c r="C17" s="15">
        <f>SUM(C4:C11)</f>
        <v>11472</v>
      </c>
      <c r="D17" s="8"/>
      <c r="E17" s="8"/>
      <c r="F17" s="14"/>
      <c r="G17" s="14"/>
      <c r="H17" s="14"/>
      <c r="I17" s="13" t="s">
        <v>2</v>
      </c>
      <c r="J17" s="12">
        <f>SUM(J12:J15)</f>
        <v>103688</v>
      </c>
    </row>
    <row r="18" spans="1:10" x14ac:dyDescent="0.35">
      <c r="A18" s="11"/>
      <c r="B18" s="10"/>
      <c r="C18" s="9"/>
      <c r="D18" s="8"/>
      <c r="E18" s="8"/>
      <c r="F18" s="8"/>
      <c r="G18" s="8"/>
      <c r="H18" s="8"/>
      <c r="I18" s="7"/>
      <c r="J18" s="6"/>
    </row>
    <row r="19" spans="1:10" x14ac:dyDescent="0.35">
      <c r="A19" s="11"/>
      <c r="B19" s="10"/>
      <c r="C19" s="9"/>
      <c r="D19" s="8"/>
      <c r="E19" s="8"/>
      <c r="F19" s="8"/>
      <c r="G19" s="8"/>
      <c r="H19" s="8"/>
      <c r="I19" s="7"/>
      <c r="J19" s="6"/>
    </row>
    <row r="20" spans="1:10" x14ac:dyDescent="0.35">
      <c r="A20" t="s">
        <v>54</v>
      </c>
    </row>
    <row r="21" spans="1:10" x14ac:dyDescent="0.35">
      <c r="C21" s="2" t="s">
        <v>7</v>
      </c>
      <c r="D21" s="2" t="s">
        <v>0</v>
      </c>
      <c r="E21" s="2" t="s">
        <v>1</v>
      </c>
      <c r="F21" s="2" t="s">
        <v>2</v>
      </c>
    </row>
    <row r="22" spans="1:10" x14ac:dyDescent="0.35">
      <c r="B22" s="2" t="s">
        <v>55</v>
      </c>
      <c r="C22" s="5">
        <v>5100</v>
      </c>
      <c r="D22" s="32">
        <f>SUM(,(C6*H6),(C5*H5),(C4*H4))</f>
        <v>0</v>
      </c>
      <c r="E22" s="3">
        <f>SUM(I4:I6)</f>
        <v>0</v>
      </c>
      <c r="F22" s="3">
        <f>SUM(D22:E22)</f>
        <v>0</v>
      </c>
      <c r="H22" s="36"/>
      <c r="I22" s="36"/>
      <c r="J22" s="36"/>
    </row>
    <row r="23" spans="1:10" x14ac:dyDescent="0.35">
      <c r="B23" s="2" t="s">
        <v>56</v>
      </c>
      <c r="C23" s="5">
        <v>5101</v>
      </c>
      <c r="D23" s="32">
        <f>SUM((C8*H8),(C10*H10),(C9*H9),)</f>
        <v>0</v>
      </c>
      <c r="E23" s="3">
        <f>SUM(I5:I11)</f>
        <v>0</v>
      </c>
      <c r="F23" s="3">
        <f>SUM(D23:E23)</f>
        <v>0</v>
      </c>
      <c r="H23" s="36"/>
      <c r="I23" s="36"/>
      <c r="J23" s="36"/>
    </row>
    <row r="24" spans="1:10" x14ac:dyDescent="0.35">
      <c r="B24" s="2" t="s">
        <v>57</v>
      </c>
      <c r="C24" s="5">
        <v>5102</v>
      </c>
      <c r="D24" s="32">
        <f>(AVERAGE(H4:H6)*30)</f>
        <v>0</v>
      </c>
      <c r="E24" s="32">
        <f>D24*I2</f>
        <v>0</v>
      </c>
      <c r="F24" s="3">
        <f t="shared" ref="F24:F25" si="6">SUM(D24:E24)</f>
        <v>0</v>
      </c>
      <c r="H24" s="36"/>
      <c r="I24" s="36"/>
      <c r="J24" s="36"/>
    </row>
    <row r="25" spans="1:10" x14ac:dyDescent="0.35">
      <c r="B25" s="2" t="s">
        <v>58</v>
      </c>
      <c r="C25" s="5">
        <v>5103</v>
      </c>
      <c r="D25" s="32">
        <f>(AVERAGE(H8:H10)*30)</f>
        <v>0</v>
      </c>
      <c r="E25" s="32">
        <f>D25*I2</f>
        <v>0</v>
      </c>
      <c r="F25" s="3">
        <f t="shared" si="6"/>
        <v>0</v>
      </c>
      <c r="J25" s="2" t="s">
        <v>41</v>
      </c>
    </row>
    <row r="26" spans="1:10" x14ac:dyDescent="0.35">
      <c r="B26" s="2" t="s">
        <v>59</v>
      </c>
      <c r="C26" s="5">
        <v>7100</v>
      </c>
      <c r="D26" s="97">
        <f>J13+(J15/2)</f>
        <v>51844</v>
      </c>
      <c r="E26" s="98"/>
      <c r="F26" s="98">
        <f>SUM(D26:E26)</f>
        <v>51844</v>
      </c>
    </row>
    <row r="27" spans="1:10" x14ac:dyDescent="0.35">
      <c r="B27" s="2" t="s">
        <v>60</v>
      </c>
      <c r="C27" s="5">
        <v>7101</v>
      </c>
      <c r="D27" s="33">
        <f>J14+(J15/2)</f>
        <v>51844</v>
      </c>
      <c r="E27" s="4"/>
      <c r="F27" s="4">
        <f>SUM(D27:E27)</f>
        <v>51844</v>
      </c>
      <c r="G27"/>
      <c r="H27"/>
      <c r="I27"/>
      <c r="J27"/>
    </row>
    <row r="28" spans="1:10" x14ac:dyDescent="0.35">
      <c r="D28" s="32">
        <f>SUM(D22:D27)</f>
        <v>103688</v>
      </c>
      <c r="E28" s="3">
        <f>SUM(E22:E27)</f>
        <v>0</v>
      </c>
      <c r="F28" s="3">
        <f>SUM(F22:F27)</f>
        <v>103688</v>
      </c>
      <c r="G28"/>
      <c r="H28"/>
      <c r="I28"/>
      <c r="J28"/>
    </row>
    <row r="29" spans="1:10" x14ac:dyDescent="0.35">
      <c r="B29"/>
      <c r="C29"/>
      <c r="D29"/>
      <c r="E29"/>
      <c r="F29"/>
      <c r="G29"/>
      <c r="H29"/>
      <c r="I29"/>
      <c r="J29"/>
    </row>
    <row r="30" spans="1:10" x14ac:dyDescent="0.35">
      <c r="B30"/>
      <c r="C30"/>
      <c r="D30"/>
      <c r="E30"/>
      <c r="F30"/>
      <c r="G30"/>
      <c r="H30"/>
      <c r="I30"/>
      <c r="J30"/>
    </row>
    <row r="31" spans="1:10" x14ac:dyDescent="0.35">
      <c r="B31"/>
      <c r="C31"/>
      <c r="D31"/>
      <c r="E31"/>
      <c r="F31"/>
      <c r="G31"/>
      <c r="H31"/>
      <c r="I31"/>
      <c r="J31"/>
    </row>
    <row r="32" spans="1:10" x14ac:dyDescent="0.35">
      <c r="B32"/>
      <c r="C32"/>
      <c r="D32"/>
      <c r="E32"/>
      <c r="F32"/>
      <c r="G32"/>
      <c r="H32"/>
      <c r="I32"/>
      <c r="J32"/>
    </row>
    <row r="33" customFormat="1" x14ac:dyDescent="0.35"/>
    <row r="34" customFormat="1" x14ac:dyDescent="0.35"/>
    <row r="35" customFormat="1" x14ac:dyDescent="0.35"/>
    <row r="36" customFormat="1" x14ac:dyDescent="0.35"/>
    <row r="37" customFormat="1" x14ac:dyDescent="0.35"/>
    <row r="38" customFormat="1" x14ac:dyDescent="0.35"/>
    <row r="39" customFormat="1" x14ac:dyDescent="0.35"/>
    <row r="40" customFormat="1" x14ac:dyDescent="0.35"/>
    <row r="41" customFormat="1" x14ac:dyDescent="0.35"/>
    <row r="42" customFormat="1" x14ac:dyDescent="0.35"/>
    <row r="43" customFormat="1" x14ac:dyDescent="0.35"/>
    <row r="44" customFormat="1" x14ac:dyDescent="0.35"/>
    <row r="45" customFormat="1" x14ac:dyDescent="0.35"/>
    <row r="46" customFormat="1" x14ac:dyDescent="0.35"/>
    <row r="47" customFormat="1" x14ac:dyDescent="0.35"/>
  </sheetData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E941B-1BF6-4049-913A-A01EBFF60FD4}">
  <sheetPr codeName="Sheet4"/>
  <dimension ref="A1:J47"/>
  <sheetViews>
    <sheetView topLeftCell="A19" zoomScaleNormal="100" workbookViewId="0">
      <selection activeCell="A29" sqref="A29"/>
    </sheetView>
  </sheetViews>
  <sheetFormatPr defaultRowHeight="14.5" x14ac:dyDescent="0.35"/>
  <cols>
    <col min="1" max="1" width="52.1796875" customWidth="1"/>
    <col min="2" max="2" width="9.81640625" style="2" customWidth="1"/>
    <col min="3" max="3" width="12.1796875" style="2" customWidth="1"/>
    <col min="4" max="4" width="20" style="2" bestFit="1" customWidth="1"/>
    <col min="5" max="5" width="14.54296875" style="2" bestFit="1" customWidth="1"/>
    <col min="6" max="6" width="15.453125" style="2" customWidth="1"/>
    <col min="7" max="7" width="13.26953125" style="2" bestFit="1" customWidth="1"/>
    <col min="8" max="8" width="14.26953125" style="2" bestFit="1" customWidth="1"/>
    <col min="9" max="9" width="14.26953125" style="2" customWidth="1"/>
    <col min="10" max="10" width="15.54296875" style="2" bestFit="1" customWidth="1"/>
    <col min="12" max="12" width="5.1796875" customWidth="1"/>
    <col min="13" max="13" width="18" customWidth="1"/>
    <col min="14" max="14" width="14.26953125" bestFit="1" customWidth="1"/>
    <col min="16" max="16" width="11.54296875" customWidth="1"/>
  </cols>
  <sheetData>
    <row r="1" spans="1:10" x14ac:dyDescent="0.35">
      <c r="A1" s="22" t="s">
        <v>18</v>
      </c>
      <c r="B1" s="21" t="s">
        <v>17</v>
      </c>
      <c r="C1" s="20" t="s">
        <v>16</v>
      </c>
      <c r="D1" s="20" t="s">
        <v>15</v>
      </c>
      <c r="E1" s="20" t="s">
        <v>14</v>
      </c>
      <c r="F1" s="20" t="s">
        <v>13</v>
      </c>
      <c r="G1" s="20" t="s">
        <v>12</v>
      </c>
      <c r="H1" s="20" t="s">
        <v>11</v>
      </c>
      <c r="I1" s="23" t="s">
        <v>10</v>
      </c>
      <c r="J1" s="19" t="s">
        <v>9</v>
      </c>
    </row>
    <row r="2" spans="1:10" x14ac:dyDescent="0.35">
      <c r="A2" s="22"/>
      <c r="B2" s="37"/>
      <c r="C2" s="37"/>
      <c r="D2" s="37"/>
      <c r="E2" s="64">
        <v>0</v>
      </c>
      <c r="F2" s="64">
        <v>0</v>
      </c>
      <c r="G2" s="64">
        <v>0</v>
      </c>
      <c r="H2" s="38"/>
      <c r="I2" s="64">
        <v>0</v>
      </c>
      <c r="J2" s="37"/>
    </row>
    <row r="3" spans="1:10" x14ac:dyDescent="0.35">
      <c r="A3" s="88" t="s">
        <v>42</v>
      </c>
      <c r="B3" s="95"/>
      <c r="C3" s="37"/>
      <c r="D3" s="37"/>
      <c r="E3" s="93"/>
      <c r="F3" s="93"/>
      <c r="G3" s="93"/>
      <c r="H3" s="93"/>
      <c r="I3" s="93"/>
      <c r="J3" s="37"/>
    </row>
    <row r="4" spans="1:10" x14ac:dyDescent="0.35">
      <c r="A4" s="84" t="s">
        <v>44</v>
      </c>
      <c r="B4" s="81">
        <v>1</v>
      </c>
      <c r="C4" s="9">
        <v>1912</v>
      </c>
      <c r="D4" s="82">
        <v>0</v>
      </c>
      <c r="E4" s="83">
        <f t="shared" ref="E4:E10" si="0">D4*$E$2</f>
        <v>0</v>
      </c>
      <c r="F4" s="83">
        <f>(D4+E4)*$F$2</f>
        <v>0</v>
      </c>
      <c r="G4" s="83">
        <f t="shared" ref="G4:G10" si="1">(D4+E4+F4)*$G$2</f>
        <v>0</v>
      </c>
      <c r="H4" s="83">
        <f t="shared" ref="H4:H10" si="2">D4+E4+F4+G4</f>
        <v>0</v>
      </c>
      <c r="I4" s="83">
        <f t="shared" ref="I4:I10" si="3">(C4*H4)*$I$2</f>
        <v>0</v>
      </c>
      <c r="J4" s="83">
        <f>(C4*H4)+I4</f>
        <v>0</v>
      </c>
    </row>
    <row r="5" spans="1:10" x14ac:dyDescent="0.35">
      <c r="A5" s="84" t="s">
        <v>45</v>
      </c>
      <c r="B5" s="81">
        <v>1</v>
      </c>
      <c r="C5" s="9">
        <v>1912</v>
      </c>
      <c r="D5" s="82">
        <v>0</v>
      </c>
      <c r="E5" s="83">
        <f t="shared" si="0"/>
        <v>0</v>
      </c>
      <c r="F5" s="83">
        <f t="shared" ref="F5:F10" si="4">(D5+E5)*$F$2</f>
        <v>0</v>
      </c>
      <c r="G5" s="83">
        <f t="shared" si="1"/>
        <v>0</v>
      </c>
      <c r="H5" s="83">
        <f t="shared" si="2"/>
        <v>0</v>
      </c>
      <c r="I5" s="83">
        <f t="shared" si="3"/>
        <v>0</v>
      </c>
      <c r="J5" s="83">
        <f t="shared" ref="J5:J10" si="5">(C5*H5)+I5</f>
        <v>0</v>
      </c>
    </row>
    <row r="6" spans="1:10" x14ac:dyDescent="0.35">
      <c r="A6" s="84" t="s">
        <v>46</v>
      </c>
      <c r="B6" s="81">
        <v>1</v>
      </c>
      <c r="C6" s="9">
        <v>1912</v>
      </c>
      <c r="D6" s="82">
        <v>0</v>
      </c>
      <c r="E6" s="83">
        <f t="shared" si="0"/>
        <v>0</v>
      </c>
      <c r="F6" s="83">
        <f t="shared" si="4"/>
        <v>0</v>
      </c>
      <c r="G6" s="83">
        <f t="shared" si="1"/>
        <v>0</v>
      </c>
      <c r="H6" s="83">
        <f t="shared" si="2"/>
        <v>0</v>
      </c>
      <c r="I6" s="83">
        <f t="shared" si="3"/>
        <v>0</v>
      </c>
      <c r="J6" s="83">
        <f t="shared" si="5"/>
        <v>0</v>
      </c>
    </row>
    <row r="7" spans="1:10" x14ac:dyDescent="0.35">
      <c r="A7" s="88" t="s">
        <v>43</v>
      </c>
      <c r="B7" s="89"/>
      <c r="C7" s="90"/>
      <c r="D7" s="82"/>
      <c r="E7" s="91"/>
      <c r="F7" s="91"/>
      <c r="G7" s="91"/>
      <c r="H7" s="91"/>
      <c r="I7" s="91"/>
      <c r="J7" s="91"/>
    </row>
    <row r="8" spans="1:10" x14ac:dyDescent="0.35">
      <c r="A8" s="85" t="s">
        <v>47</v>
      </c>
      <c r="B8" s="81">
        <v>1</v>
      </c>
      <c r="C8" s="79">
        <v>1912</v>
      </c>
      <c r="D8" s="82">
        <v>0</v>
      </c>
      <c r="E8" s="80">
        <f t="shared" si="0"/>
        <v>0</v>
      </c>
      <c r="F8" s="80">
        <f t="shared" si="4"/>
        <v>0</v>
      </c>
      <c r="G8" s="80">
        <f t="shared" si="1"/>
        <v>0</v>
      </c>
      <c r="H8" s="80">
        <f t="shared" si="2"/>
        <v>0</v>
      </c>
      <c r="I8" s="80">
        <f t="shared" si="3"/>
        <v>0</v>
      </c>
      <c r="J8" s="80">
        <f t="shared" si="5"/>
        <v>0</v>
      </c>
    </row>
    <row r="9" spans="1:10" x14ac:dyDescent="0.35">
      <c r="A9" s="85" t="s">
        <v>48</v>
      </c>
      <c r="B9" s="81">
        <v>1</v>
      </c>
      <c r="C9" s="9">
        <v>1912</v>
      </c>
      <c r="D9" s="82">
        <v>0</v>
      </c>
      <c r="E9" s="83">
        <f t="shared" si="0"/>
        <v>0</v>
      </c>
      <c r="F9" s="83">
        <f t="shared" si="4"/>
        <v>0</v>
      </c>
      <c r="G9" s="83">
        <f t="shared" si="1"/>
        <v>0</v>
      </c>
      <c r="H9" s="83">
        <f t="shared" si="2"/>
        <v>0</v>
      </c>
      <c r="I9" s="83">
        <f t="shared" si="3"/>
        <v>0</v>
      </c>
      <c r="J9" s="83">
        <f t="shared" si="5"/>
        <v>0</v>
      </c>
    </row>
    <row r="10" spans="1:10" x14ac:dyDescent="0.35">
      <c r="A10" s="85" t="s">
        <v>49</v>
      </c>
      <c r="B10" s="81">
        <v>1</v>
      </c>
      <c r="C10" s="9">
        <v>1912</v>
      </c>
      <c r="D10" s="82">
        <v>0</v>
      </c>
      <c r="E10" s="83">
        <f t="shared" si="0"/>
        <v>0</v>
      </c>
      <c r="F10" s="83">
        <f t="shared" si="4"/>
        <v>0</v>
      </c>
      <c r="G10" s="83">
        <f t="shared" si="1"/>
        <v>0</v>
      </c>
      <c r="H10" s="83">
        <f t="shared" si="2"/>
        <v>0</v>
      </c>
      <c r="I10" s="83">
        <f t="shared" si="3"/>
        <v>0</v>
      </c>
      <c r="J10" s="83">
        <f t="shared" si="5"/>
        <v>0</v>
      </c>
    </row>
    <row r="11" spans="1:10" x14ac:dyDescent="0.35">
      <c r="A11" s="73"/>
      <c r="B11" s="14"/>
      <c r="C11" s="9"/>
      <c r="D11" s="8"/>
      <c r="E11" s="8"/>
      <c r="F11" s="8"/>
      <c r="G11" s="8"/>
      <c r="H11" s="8"/>
      <c r="I11" s="8"/>
      <c r="J11" s="8"/>
    </row>
    <row r="12" spans="1:10" x14ac:dyDescent="0.35">
      <c r="A12" s="11"/>
      <c r="B12" s="14"/>
      <c r="C12" s="9"/>
      <c r="D12" s="8"/>
      <c r="E12" s="8"/>
      <c r="F12" s="8"/>
      <c r="G12" s="8"/>
      <c r="H12" s="8"/>
      <c r="I12" s="39"/>
      <c r="J12" s="40">
        <f>SUM(J4:J11)</f>
        <v>0</v>
      </c>
    </row>
    <row r="13" spans="1:10" x14ac:dyDescent="0.35">
      <c r="A13" s="17" t="s">
        <v>51</v>
      </c>
      <c r="B13" s="10"/>
      <c r="C13" s="9"/>
      <c r="D13" s="8"/>
      <c r="E13" s="8"/>
      <c r="F13" s="8"/>
      <c r="G13" s="8"/>
      <c r="H13" s="8"/>
      <c r="I13" s="7"/>
      <c r="J13" s="94">
        <v>53045</v>
      </c>
    </row>
    <row r="14" spans="1:10" x14ac:dyDescent="0.35">
      <c r="A14" s="17" t="s">
        <v>52</v>
      </c>
      <c r="B14" s="10"/>
      <c r="C14" s="9"/>
      <c r="D14" s="8"/>
      <c r="E14" s="8"/>
      <c r="F14" s="8"/>
      <c r="G14" s="8"/>
      <c r="H14" s="8"/>
      <c r="I14" s="7"/>
      <c r="J14" s="94">
        <v>53045</v>
      </c>
    </row>
    <row r="15" spans="1:10" x14ac:dyDescent="0.35">
      <c r="A15" s="17" t="s">
        <v>53</v>
      </c>
      <c r="B15" s="10"/>
      <c r="C15" s="9"/>
      <c r="D15" s="8"/>
      <c r="E15" s="8"/>
      <c r="F15" s="8"/>
      <c r="G15" s="8"/>
      <c r="H15" s="8"/>
      <c r="I15" s="7"/>
      <c r="J15" s="94">
        <v>709</v>
      </c>
    </row>
    <row r="16" spans="1:10" x14ac:dyDescent="0.35">
      <c r="A16" s="11"/>
      <c r="B16" s="10"/>
      <c r="C16" s="9"/>
      <c r="D16" s="8"/>
      <c r="E16" s="8"/>
      <c r="F16" s="8"/>
      <c r="G16" s="8"/>
      <c r="H16" s="8"/>
      <c r="I16" s="7"/>
      <c r="J16" s="6"/>
    </row>
    <row r="17" spans="1:10" x14ac:dyDescent="0.35">
      <c r="A17" s="16" t="s">
        <v>8</v>
      </c>
      <c r="B17" s="76">
        <f>SUM(B4:B11)</f>
        <v>6</v>
      </c>
      <c r="C17" s="15">
        <f>SUM(C4:C11)</f>
        <v>11472</v>
      </c>
      <c r="D17" s="8"/>
      <c r="E17" s="8"/>
      <c r="F17" s="14"/>
      <c r="G17" s="14"/>
      <c r="H17" s="14"/>
      <c r="I17" s="13" t="s">
        <v>2</v>
      </c>
      <c r="J17" s="12">
        <f>SUM(J12:J15)</f>
        <v>106799</v>
      </c>
    </row>
    <row r="18" spans="1:10" x14ac:dyDescent="0.35">
      <c r="A18" s="11"/>
      <c r="B18" s="10"/>
      <c r="C18" s="9"/>
      <c r="D18" s="8"/>
      <c r="E18" s="8"/>
      <c r="F18" s="8"/>
      <c r="G18" s="8"/>
      <c r="H18" s="8"/>
      <c r="I18" s="7"/>
      <c r="J18" s="6"/>
    </row>
    <row r="19" spans="1:10" x14ac:dyDescent="0.35">
      <c r="A19" s="11"/>
      <c r="B19" s="10"/>
      <c r="C19" s="9"/>
      <c r="D19" s="8"/>
      <c r="E19" s="8"/>
      <c r="F19" s="8"/>
      <c r="G19" s="8"/>
      <c r="H19" s="8"/>
      <c r="I19" s="7"/>
      <c r="J19" s="6"/>
    </row>
    <row r="20" spans="1:10" x14ac:dyDescent="0.35">
      <c r="A20" t="s">
        <v>54</v>
      </c>
    </row>
    <row r="21" spans="1:10" x14ac:dyDescent="0.35">
      <c r="C21" s="2" t="s">
        <v>7</v>
      </c>
      <c r="D21" s="2" t="s">
        <v>0</v>
      </c>
      <c r="E21" s="2" t="s">
        <v>1</v>
      </c>
      <c r="F21" s="2" t="s">
        <v>2</v>
      </c>
    </row>
    <row r="22" spans="1:10" x14ac:dyDescent="0.35">
      <c r="B22" s="2" t="s">
        <v>55</v>
      </c>
      <c r="C22" s="5">
        <v>5200</v>
      </c>
      <c r="D22" s="32">
        <f>SUM(,(C6*H6),(C5*H5),(C4*H4))</f>
        <v>0</v>
      </c>
      <c r="E22" s="3">
        <f>SUM(I4:I6)</f>
        <v>0</v>
      </c>
      <c r="F22" s="3">
        <f>SUM(D22:E22)</f>
        <v>0</v>
      </c>
      <c r="H22" s="36"/>
      <c r="I22" s="36"/>
      <c r="J22" s="36"/>
    </row>
    <row r="23" spans="1:10" x14ac:dyDescent="0.35">
      <c r="B23" s="2" t="s">
        <v>56</v>
      </c>
      <c r="C23" s="5">
        <v>5201</v>
      </c>
      <c r="D23" s="32">
        <f>SUM((C8*H8),(C10*H10),(C9*H9),)</f>
        <v>0</v>
      </c>
      <c r="E23" s="3">
        <f>SUM(I5:I11)</f>
        <v>0</v>
      </c>
      <c r="F23" s="3">
        <f>SUM(D23:E23)</f>
        <v>0</v>
      </c>
      <c r="H23" s="36"/>
      <c r="I23" s="36"/>
      <c r="J23" s="36"/>
    </row>
    <row r="24" spans="1:10" x14ac:dyDescent="0.35">
      <c r="B24" s="2" t="s">
        <v>57</v>
      </c>
      <c r="C24" s="5">
        <v>5202</v>
      </c>
      <c r="D24" s="32">
        <f>(AVERAGE(H4:H6)*30)</f>
        <v>0</v>
      </c>
      <c r="E24" s="32">
        <f>D24*I2</f>
        <v>0</v>
      </c>
      <c r="F24" s="3">
        <f t="shared" ref="F24:F25" si="6">SUM(D24:E24)</f>
        <v>0</v>
      </c>
      <c r="J24" s="2" t="s">
        <v>41</v>
      </c>
    </row>
    <row r="25" spans="1:10" x14ac:dyDescent="0.35">
      <c r="B25" s="2" t="s">
        <v>58</v>
      </c>
      <c r="C25" s="5">
        <v>5203</v>
      </c>
      <c r="D25" s="32">
        <f>(AVERAGE(H8:H10)*30)</f>
        <v>0</v>
      </c>
      <c r="E25" s="32">
        <f>D25*I2</f>
        <v>0</v>
      </c>
      <c r="F25" s="3">
        <f t="shared" si="6"/>
        <v>0</v>
      </c>
    </row>
    <row r="26" spans="1:10" x14ac:dyDescent="0.35">
      <c r="B26" s="2" t="s">
        <v>59</v>
      </c>
      <c r="C26" s="5">
        <v>7200</v>
      </c>
      <c r="D26" s="97">
        <f>J13+(J15/2)</f>
        <v>53399.5</v>
      </c>
      <c r="E26" s="98"/>
      <c r="F26" s="98">
        <f>SUM(D26:E26)</f>
        <v>53399.5</v>
      </c>
      <c r="G26"/>
      <c r="H26"/>
      <c r="I26"/>
      <c r="J26"/>
    </row>
    <row r="27" spans="1:10" x14ac:dyDescent="0.35">
      <c r="B27" s="2" t="s">
        <v>60</v>
      </c>
      <c r="C27" s="5">
        <v>7201</v>
      </c>
      <c r="D27" s="33">
        <f>J14+(J15/2)</f>
        <v>53399.5</v>
      </c>
      <c r="E27" s="4"/>
      <c r="F27" s="4">
        <f>SUM(D27:E27)</f>
        <v>53399.5</v>
      </c>
      <c r="G27"/>
      <c r="H27"/>
      <c r="I27"/>
      <c r="J27"/>
    </row>
    <row r="28" spans="1:10" x14ac:dyDescent="0.35">
      <c r="D28" s="32">
        <f>SUM(D22:D27)</f>
        <v>106799</v>
      </c>
      <c r="E28" s="3">
        <f>SUM(E22:E27)</f>
        <v>0</v>
      </c>
      <c r="F28" s="3">
        <f>SUM(F22:F27)</f>
        <v>106799</v>
      </c>
      <c r="G28"/>
      <c r="H28"/>
      <c r="I28"/>
      <c r="J28"/>
    </row>
    <row r="29" spans="1:10" x14ac:dyDescent="0.35">
      <c r="B29"/>
      <c r="C29"/>
      <c r="D29"/>
      <c r="E29"/>
      <c r="F29"/>
      <c r="G29"/>
      <c r="H29"/>
      <c r="I29"/>
      <c r="J29"/>
    </row>
    <row r="30" spans="1:10" x14ac:dyDescent="0.35">
      <c r="B30"/>
      <c r="C30"/>
      <c r="D30"/>
      <c r="E30"/>
      <c r="F30"/>
      <c r="G30"/>
      <c r="H30"/>
      <c r="I30"/>
      <c r="J30"/>
    </row>
    <row r="31" spans="1:10" x14ac:dyDescent="0.35">
      <c r="B31"/>
      <c r="C31"/>
      <c r="D31"/>
      <c r="E31"/>
      <c r="F31"/>
      <c r="G31"/>
      <c r="H31"/>
      <c r="I31"/>
      <c r="J31"/>
    </row>
    <row r="32" spans="1:10" x14ac:dyDescent="0.35">
      <c r="B32"/>
      <c r="C32"/>
      <c r="D32"/>
      <c r="E32"/>
      <c r="F32"/>
      <c r="G32"/>
      <c r="H32"/>
      <c r="I32"/>
      <c r="J32"/>
    </row>
    <row r="33" customFormat="1" x14ac:dyDescent="0.35"/>
    <row r="34" customFormat="1" x14ac:dyDescent="0.35"/>
    <row r="35" customFormat="1" x14ac:dyDescent="0.35"/>
    <row r="36" customFormat="1" x14ac:dyDescent="0.35"/>
    <row r="37" customFormat="1" x14ac:dyDescent="0.35"/>
    <row r="38" customFormat="1" x14ac:dyDescent="0.35"/>
    <row r="39" customFormat="1" x14ac:dyDescent="0.35"/>
    <row r="40" customFormat="1" x14ac:dyDescent="0.35"/>
    <row r="41" customFormat="1" x14ac:dyDescent="0.35"/>
    <row r="42" customFormat="1" x14ac:dyDescent="0.35"/>
    <row r="43" customFormat="1" x14ac:dyDescent="0.35"/>
    <row r="44" customFormat="1" x14ac:dyDescent="0.35"/>
    <row r="45" customFormat="1" x14ac:dyDescent="0.35"/>
    <row r="46" customFormat="1" x14ac:dyDescent="0.35"/>
    <row r="47" customFormat="1" x14ac:dyDescent="0.35"/>
  </sheetData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47045-2927-45DA-85D1-0E42FD634DA9}">
  <sheetPr codeName="Sheet5"/>
  <dimension ref="A1:L52"/>
  <sheetViews>
    <sheetView topLeftCell="A16" zoomScaleNormal="100" workbookViewId="0">
      <selection activeCell="D24" sqref="D24"/>
    </sheetView>
  </sheetViews>
  <sheetFormatPr defaultRowHeight="14.5" x14ac:dyDescent="0.35"/>
  <cols>
    <col min="1" max="1" width="52.1796875" customWidth="1"/>
    <col min="2" max="2" width="13.54296875" style="2" customWidth="1"/>
    <col min="3" max="3" width="12.1796875" style="2" customWidth="1"/>
    <col min="4" max="4" width="20" style="2" bestFit="1" customWidth="1"/>
    <col min="5" max="5" width="14.54296875" style="2" bestFit="1" customWidth="1"/>
    <col min="6" max="6" width="15.453125" style="2" customWidth="1"/>
    <col min="7" max="7" width="13.26953125" style="2" bestFit="1" customWidth="1"/>
    <col min="8" max="8" width="14.26953125" style="2" bestFit="1" customWidth="1"/>
    <col min="9" max="9" width="14.26953125" style="2" customWidth="1"/>
    <col min="10" max="10" width="15.54296875" style="2" bestFit="1" customWidth="1"/>
    <col min="12" max="12" width="6.54296875" customWidth="1"/>
    <col min="13" max="13" width="17.7265625" customWidth="1"/>
    <col min="14" max="14" width="14.26953125" bestFit="1" customWidth="1"/>
    <col min="15" max="15" width="11.81640625" customWidth="1"/>
    <col min="16" max="16" width="12.7265625" customWidth="1"/>
  </cols>
  <sheetData>
    <row r="1" spans="1:12" x14ac:dyDescent="0.35">
      <c r="A1" s="22" t="s">
        <v>18</v>
      </c>
      <c r="B1" s="21" t="s">
        <v>17</v>
      </c>
      <c r="C1" s="20" t="s">
        <v>16</v>
      </c>
      <c r="D1" s="20" t="s">
        <v>15</v>
      </c>
      <c r="E1" s="20" t="s">
        <v>14</v>
      </c>
      <c r="F1" s="20" t="s">
        <v>13</v>
      </c>
      <c r="G1" s="20" t="s">
        <v>12</v>
      </c>
      <c r="H1" s="20" t="s">
        <v>11</v>
      </c>
      <c r="I1" s="23" t="s">
        <v>10</v>
      </c>
      <c r="J1" s="19" t="s">
        <v>9</v>
      </c>
    </row>
    <row r="2" spans="1:12" x14ac:dyDescent="0.35">
      <c r="A2" s="22"/>
      <c r="B2" s="37"/>
      <c r="C2" s="37"/>
      <c r="D2" s="37"/>
      <c r="E2" s="64">
        <v>0</v>
      </c>
      <c r="F2" s="64">
        <v>0</v>
      </c>
      <c r="G2" s="64">
        <v>0</v>
      </c>
      <c r="H2" s="38"/>
      <c r="I2" s="64">
        <v>0</v>
      </c>
      <c r="J2" s="37"/>
    </row>
    <row r="3" spans="1:12" x14ac:dyDescent="0.35">
      <c r="A3" s="88" t="s">
        <v>42</v>
      </c>
      <c r="B3" s="95"/>
      <c r="C3" s="37"/>
      <c r="D3" s="37"/>
      <c r="E3" s="93"/>
      <c r="F3" s="93"/>
      <c r="G3" s="93"/>
      <c r="H3" s="93"/>
      <c r="I3" s="93"/>
      <c r="J3" s="37"/>
    </row>
    <row r="4" spans="1:12" x14ac:dyDescent="0.35">
      <c r="A4" s="84" t="s">
        <v>44</v>
      </c>
      <c r="B4" s="81">
        <v>1</v>
      </c>
      <c r="C4" s="9">
        <v>1912</v>
      </c>
      <c r="D4" s="82">
        <v>0</v>
      </c>
      <c r="E4" s="83">
        <f t="shared" ref="E4:E10" si="0">D4*$E$2</f>
        <v>0</v>
      </c>
      <c r="F4" s="83">
        <f>(D4+E4)*$F$2</f>
        <v>0</v>
      </c>
      <c r="G4" s="83">
        <f t="shared" ref="G4:G10" si="1">(D4+E4+F4)*$G$2</f>
        <v>0</v>
      </c>
      <c r="H4" s="83">
        <f t="shared" ref="H4:H10" si="2">D4+E4+F4+G4</f>
        <v>0</v>
      </c>
      <c r="I4" s="83">
        <f t="shared" ref="I4:I10" si="3">(C4*H4)*$I$2</f>
        <v>0</v>
      </c>
      <c r="J4" s="83">
        <f>(C4*H4)+I4</f>
        <v>0</v>
      </c>
    </row>
    <row r="5" spans="1:12" x14ac:dyDescent="0.35">
      <c r="A5" s="84" t="s">
        <v>45</v>
      </c>
      <c r="B5" s="81">
        <v>1</v>
      </c>
      <c r="C5" s="9">
        <v>1912</v>
      </c>
      <c r="D5" s="82">
        <v>0</v>
      </c>
      <c r="E5" s="83">
        <f t="shared" si="0"/>
        <v>0</v>
      </c>
      <c r="F5" s="83">
        <f t="shared" ref="F5:F10" si="4">(D5+E5)*$F$2</f>
        <v>0</v>
      </c>
      <c r="G5" s="83">
        <f t="shared" si="1"/>
        <v>0</v>
      </c>
      <c r="H5" s="83">
        <f t="shared" si="2"/>
        <v>0</v>
      </c>
      <c r="I5" s="83">
        <f t="shared" si="3"/>
        <v>0</v>
      </c>
      <c r="J5" s="83">
        <f t="shared" ref="J5:J10" si="5">(C5*H5)+I5</f>
        <v>0</v>
      </c>
      <c r="L5" s="18"/>
    </row>
    <row r="6" spans="1:12" x14ac:dyDescent="0.35">
      <c r="A6" s="84" t="s">
        <v>46</v>
      </c>
      <c r="B6" s="81">
        <v>1</v>
      </c>
      <c r="C6" s="9">
        <v>1912</v>
      </c>
      <c r="D6" s="82">
        <v>0</v>
      </c>
      <c r="E6" s="83">
        <f t="shared" si="0"/>
        <v>0</v>
      </c>
      <c r="F6" s="83">
        <f t="shared" si="4"/>
        <v>0</v>
      </c>
      <c r="G6" s="83">
        <f t="shared" si="1"/>
        <v>0</v>
      </c>
      <c r="H6" s="83">
        <f t="shared" si="2"/>
        <v>0</v>
      </c>
      <c r="I6" s="83">
        <f t="shared" si="3"/>
        <v>0</v>
      </c>
      <c r="J6" s="83">
        <f t="shared" si="5"/>
        <v>0</v>
      </c>
      <c r="L6" s="24"/>
    </row>
    <row r="7" spans="1:12" x14ac:dyDescent="0.35">
      <c r="A7" s="88" t="s">
        <v>43</v>
      </c>
      <c r="B7" s="89"/>
      <c r="C7" s="90"/>
      <c r="D7" s="82"/>
      <c r="E7" s="91"/>
      <c r="F7" s="91"/>
      <c r="G7" s="91"/>
      <c r="H7" s="91"/>
      <c r="I7" s="91"/>
      <c r="J7" s="91"/>
      <c r="L7" s="24"/>
    </row>
    <row r="8" spans="1:12" x14ac:dyDescent="0.35">
      <c r="A8" s="85" t="s">
        <v>47</v>
      </c>
      <c r="B8" s="81">
        <v>1</v>
      </c>
      <c r="C8" s="79">
        <v>1912</v>
      </c>
      <c r="D8" s="82">
        <v>0</v>
      </c>
      <c r="E8" s="80">
        <f t="shared" si="0"/>
        <v>0</v>
      </c>
      <c r="F8" s="80">
        <f t="shared" si="4"/>
        <v>0</v>
      </c>
      <c r="G8" s="80">
        <f t="shared" si="1"/>
        <v>0</v>
      </c>
      <c r="H8" s="80">
        <f t="shared" si="2"/>
        <v>0</v>
      </c>
      <c r="I8" s="80">
        <f t="shared" si="3"/>
        <v>0</v>
      </c>
      <c r="J8" s="80">
        <f t="shared" si="5"/>
        <v>0</v>
      </c>
      <c r="L8" s="24"/>
    </row>
    <row r="9" spans="1:12" x14ac:dyDescent="0.35">
      <c r="A9" s="85" t="s">
        <v>48</v>
      </c>
      <c r="B9" s="81">
        <v>1</v>
      </c>
      <c r="C9" s="9">
        <v>1912</v>
      </c>
      <c r="D9" s="82">
        <v>0</v>
      </c>
      <c r="E9" s="83">
        <f t="shared" si="0"/>
        <v>0</v>
      </c>
      <c r="F9" s="83">
        <f t="shared" si="4"/>
        <v>0</v>
      </c>
      <c r="G9" s="83">
        <f t="shared" si="1"/>
        <v>0</v>
      </c>
      <c r="H9" s="83">
        <f t="shared" si="2"/>
        <v>0</v>
      </c>
      <c r="I9" s="83">
        <f t="shared" si="3"/>
        <v>0</v>
      </c>
      <c r="J9" s="83">
        <f t="shared" si="5"/>
        <v>0</v>
      </c>
      <c r="L9" s="24"/>
    </row>
    <row r="10" spans="1:12" x14ac:dyDescent="0.35">
      <c r="A10" s="85" t="s">
        <v>49</v>
      </c>
      <c r="B10" s="81">
        <v>1</v>
      </c>
      <c r="C10" s="9">
        <v>1912</v>
      </c>
      <c r="D10" s="82">
        <v>0</v>
      </c>
      <c r="E10" s="83">
        <f t="shared" si="0"/>
        <v>0</v>
      </c>
      <c r="F10" s="83">
        <f t="shared" si="4"/>
        <v>0</v>
      </c>
      <c r="G10" s="83">
        <f t="shared" si="1"/>
        <v>0</v>
      </c>
      <c r="H10" s="83">
        <f t="shared" si="2"/>
        <v>0</v>
      </c>
      <c r="I10" s="83">
        <f t="shared" si="3"/>
        <v>0</v>
      </c>
      <c r="J10" s="83">
        <f t="shared" si="5"/>
        <v>0</v>
      </c>
      <c r="L10" s="24"/>
    </row>
    <row r="11" spans="1:12" x14ac:dyDescent="0.35">
      <c r="A11" s="73"/>
      <c r="B11" s="14"/>
      <c r="C11" s="9"/>
      <c r="D11" s="8"/>
      <c r="E11" s="8"/>
      <c r="F11" s="8"/>
      <c r="G11" s="8"/>
      <c r="H11" s="8"/>
      <c r="I11" s="8"/>
      <c r="J11" s="8"/>
    </row>
    <row r="12" spans="1:12" x14ac:dyDescent="0.35">
      <c r="A12" s="11"/>
      <c r="B12" s="14"/>
      <c r="C12" s="9"/>
      <c r="D12" s="8"/>
      <c r="E12" s="8"/>
      <c r="F12" s="8"/>
      <c r="G12" s="8"/>
      <c r="H12" s="8"/>
      <c r="I12" s="39"/>
      <c r="J12" s="40">
        <f>SUM(J4:J11)</f>
        <v>0</v>
      </c>
    </row>
    <row r="13" spans="1:12" x14ac:dyDescent="0.35">
      <c r="A13" s="17" t="s">
        <v>51</v>
      </c>
      <c r="B13" s="10"/>
      <c r="C13" s="9"/>
      <c r="D13" s="8"/>
      <c r="E13" s="8"/>
      <c r="F13" s="8"/>
      <c r="G13" s="8"/>
      <c r="H13" s="8"/>
      <c r="I13" s="7"/>
      <c r="J13" s="94">
        <v>54636</v>
      </c>
    </row>
    <row r="14" spans="1:12" x14ac:dyDescent="0.35">
      <c r="A14" s="17" t="s">
        <v>52</v>
      </c>
      <c r="B14" s="10"/>
      <c r="C14" s="9"/>
      <c r="D14" s="8"/>
      <c r="E14" s="8"/>
      <c r="F14" s="8"/>
      <c r="G14" s="8"/>
      <c r="H14" s="8"/>
      <c r="I14" s="7"/>
      <c r="J14" s="94">
        <v>54636</v>
      </c>
    </row>
    <row r="15" spans="1:12" x14ac:dyDescent="0.35">
      <c r="A15" s="17" t="s">
        <v>53</v>
      </c>
      <c r="B15" s="10"/>
      <c r="C15" s="9"/>
      <c r="D15" s="8"/>
      <c r="E15" s="8"/>
      <c r="F15" s="8"/>
      <c r="G15" s="8"/>
      <c r="H15" s="8"/>
      <c r="I15" s="7"/>
      <c r="J15" s="94">
        <v>730</v>
      </c>
    </row>
    <row r="16" spans="1:12" x14ac:dyDescent="0.35">
      <c r="A16" s="11"/>
      <c r="B16" s="10"/>
      <c r="C16" s="9"/>
      <c r="D16" s="8"/>
      <c r="E16" s="8"/>
      <c r="F16" s="8"/>
      <c r="G16" s="8"/>
      <c r="H16" s="8"/>
      <c r="I16" s="7"/>
      <c r="J16" s="6"/>
    </row>
    <row r="17" spans="1:10" x14ac:dyDescent="0.35">
      <c r="A17" s="16" t="s">
        <v>8</v>
      </c>
      <c r="B17" s="76">
        <f>SUM(B4:B11)</f>
        <v>6</v>
      </c>
      <c r="C17" s="15">
        <f>SUM(C4:C11)</f>
        <v>11472</v>
      </c>
      <c r="D17" s="8"/>
      <c r="E17" s="8"/>
      <c r="F17" s="14"/>
      <c r="G17" s="14"/>
      <c r="H17" s="14"/>
      <c r="I17" s="13" t="s">
        <v>2</v>
      </c>
      <c r="J17" s="12">
        <f>SUM(J12:J15)</f>
        <v>110002</v>
      </c>
    </row>
    <row r="18" spans="1:10" x14ac:dyDescent="0.35">
      <c r="A18" s="11"/>
      <c r="B18" s="10"/>
      <c r="C18" s="9"/>
      <c r="D18" s="8"/>
      <c r="E18" s="8"/>
      <c r="F18" s="8"/>
      <c r="G18" s="8"/>
      <c r="H18" s="8"/>
      <c r="I18" s="7"/>
      <c r="J18" s="6"/>
    </row>
    <row r="19" spans="1:10" x14ac:dyDescent="0.35">
      <c r="A19" s="11"/>
      <c r="B19" s="10"/>
      <c r="C19" s="9"/>
      <c r="D19" s="8"/>
      <c r="E19" s="8"/>
      <c r="F19" s="8"/>
      <c r="G19" s="8"/>
      <c r="H19" s="8"/>
      <c r="I19" s="7"/>
      <c r="J19" s="6"/>
    </row>
    <row r="20" spans="1:10" x14ac:dyDescent="0.35">
      <c r="A20" t="s">
        <v>54</v>
      </c>
    </row>
    <row r="21" spans="1:10" x14ac:dyDescent="0.35">
      <c r="C21" s="2" t="s">
        <v>7</v>
      </c>
      <c r="D21" s="2" t="s">
        <v>0</v>
      </c>
      <c r="E21" s="2" t="s">
        <v>1</v>
      </c>
      <c r="F21" s="2" t="s">
        <v>2</v>
      </c>
    </row>
    <row r="22" spans="1:10" x14ac:dyDescent="0.35">
      <c r="B22" s="2" t="s">
        <v>55</v>
      </c>
      <c r="C22" s="5">
        <v>5300</v>
      </c>
      <c r="D22" s="32">
        <f>SUM(,(C6*H6),(C5*H5),(C4*H4))</f>
        <v>0</v>
      </c>
      <c r="E22" s="3">
        <f>SUM(I4:I6)</f>
        <v>0</v>
      </c>
      <c r="F22" s="3">
        <f>SUM(D22:E22)</f>
        <v>0</v>
      </c>
      <c r="H22" s="36"/>
      <c r="I22" s="36"/>
      <c r="J22" s="36"/>
    </row>
    <row r="23" spans="1:10" x14ac:dyDescent="0.35">
      <c r="B23" s="2" t="s">
        <v>56</v>
      </c>
      <c r="C23" s="5">
        <v>5301</v>
      </c>
      <c r="D23" s="32">
        <f>SUM((C8*H8),(C10*H10),(C9*H9),)</f>
        <v>0</v>
      </c>
      <c r="E23" s="3">
        <f>SUM(I5:I11)</f>
        <v>0</v>
      </c>
      <c r="F23" s="3">
        <f>SUM(D23:E23)</f>
        <v>0</v>
      </c>
      <c r="H23" s="36"/>
      <c r="I23" s="36"/>
      <c r="J23" s="36"/>
    </row>
    <row r="24" spans="1:10" x14ac:dyDescent="0.35">
      <c r="B24" s="2" t="s">
        <v>57</v>
      </c>
      <c r="C24" s="5">
        <v>5302</v>
      </c>
      <c r="D24" s="32">
        <f>(AVERAGE(H4:H6)*30)</f>
        <v>0</v>
      </c>
      <c r="E24" s="32">
        <f>D24*I2</f>
        <v>0</v>
      </c>
      <c r="F24" s="3">
        <f t="shared" ref="F24:F25" si="6">SUM(D24:E24)</f>
        <v>0</v>
      </c>
      <c r="J24" s="2" t="s">
        <v>41</v>
      </c>
    </row>
    <row r="25" spans="1:10" x14ac:dyDescent="0.35">
      <c r="B25" s="2" t="s">
        <v>58</v>
      </c>
      <c r="C25" s="5">
        <v>5303</v>
      </c>
      <c r="D25" s="32">
        <f>(AVERAGE(H8:H10)*30)</f>
        <v>0</v>
      </c>
      <c r="E25" s="32">
        <f>D25*I2</f>
        <v>0</v>
      </c>
      <c r="F25" s="3">
        <f t="shared" si="6"/>
        <v>0</v>
      </c>
    </row>
    <row r="26" spans="1:10" x14ac:dyDescent="0.35">
      <c r="B26" s="2" t="s">
        <v>59</v>
      </c>
      <c r="C26" s="5">
        <v>7300</v>
      </c>
      <c r="D26" s="97">
        <f>J13+(J15/2)</f>
        <v>55001</v>
      </c>
      <c r="E26" s="98"/>
      <c r="F26" s="98">
        <f>SUM(D26:E26)</f>
        <v>55001</v>
      </c>
      <c r="G26"/>
      <c r="H26"/>
      <c r="I26"/>
      <c r="J26"/>
    </row>
    <row r="27" spans="1:10" x14ac:dyDescent="0.35">
      <c r="B27" s="2" t="s">
        <v>60</v>
      </c>
      <c r="C27" s="5">
        <v>7301</v>
      </c>
      <c r="D27" s="33">
        <f>J14+(J15/2)</f>
        <v>55001</v>
      </c>
      <c r="E27" s="4"/>
      <c r="F27" s="4">
        <f>SUM(D27:E27)</f>
        <v>55001</v>
      </c>
      <c r="G27"/>
      <c r="H27"/>
      <c r="I27"/>
      <c r="J27"/>
    </row>
    <row r="28" spans="1:10" x14ac:dyDescent="0.35">
      <c r="D28" s="32">
        <f>SUM(D22:D27)</f>
        <v>110002</v>
      </c>
      <c r="E28" s="3">
        <f>SUM(E22:E27)</f>
        <v>0</v>
      </c>
      <c r="F28" s="3">
        <f>SUM(F22:F27)</f>
        <v>110002</v>
      </c>
      <c r="G28"/>
      <c r="H28"/>
      <c r="I28"/>
      <c r="J28"/>
    </row>
    <row r="29" spans="1:10" x14ac:dyDescent="0.35">
      <c r="B29"/>
      <c r="C29"/>
      <c r="D29"/>
      <c r="E29"/>
      <c r="F29"/>
      <c r="G29"/>
      <c r="H29"/>
      <c r="I29"/>
      <c r="J29"/>
    </row>
    <row r="30" spans="1:10" x14ac:dyDescent="0.35">
      <c r="B30"/>
      <c r="C30"/>
      <c r="D30"/>
      <c r="E30"/>
      <c r="F30"/>
      <c r="G30"/>
      <c r="H30"/>
      <c r="I30"/>
      <c r="J30"/>
    </row>
    <row r="31" spans="1:10" x14ac:dyDescent="0.35">
      <c r="B31"/>
      <c r="C31"/>
      <c r="D31"/>
      <c r="E31"/>
      <c r="F31"/>
      <c r="G31"/>
      <c r="H31"/>
      <c r="I31"/>
      <c r="J31"/>
    </row>
    <row r="32" spans="1:10" x14ac:dyDescent="0.35">
      <c r="B32"/>
      <c r="C32"/>
      <c r="D32"/>
      <c r="E32"/>
      <c r="F32"/>
      <c r="G32"/>
      <c r="H32"/>
      <c r="I32"/>
      <c r="J32"/>
    </row>
    <row r="33" customFormat="1" x14ac:dyDescent="0.35"/>
    <row r="34" customFormat="1" x14ac:dyDescent="0.35"/>
    <row r="35" customFormat="1" x14ac:dyDescent="0.35"/>
    <row r="36" customFormat="1" x14ac:dyDescent="0.35"/>
    <row r="37" customFormat="1" x14ac:dyDescent="0.35"/>
    <row r="38" customFormat="1" x14ac:dyDescent="0.35"/>
    <row r="39" customFormat="1" x14ac:dyDescent="0.35"/>
    <row r="40" customFormat="1" x14ac:dyDescent="0.35"/>
    <row r="41" customFormat="1" x14ac:dyDescent="0.35"/>
    <row r="42" customFormat="1" x14ac:dyDescent="0.35"/>
    <row r="43" customFormat="1" x14ac:dyDescent="0.35"/>
    <row r="44" customFormat="1" x14ac:dyDescent="0.35"/>
    <row r="45" customFormat="1" x14ac:dyDescent="0.35"/>
    <row r="46" customFormat="1" x14ac:dyDescent="0.35"/>
    <row r="47" customFormat="1" x14ac:dyDescent="0.35"/>
    <row r="48" customFormat="1" x14ac:dyDescent="0.35"/>
    <row r="49" customFormat="1" x14ac:dyDescent="0.35"/>
    <row r="50" customFormat="1" x14ac:dyDescent="0.35"/>
    <row r="51" customFormat="1" x14ac:dyDescent="0.35"/>
    <row r="52" customFormat="1" x14ac:dyDescent="0.35"/>
  </sheetData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6360F-E13E-46BB-8E86-18796736D5C5}">
  <sheetPr codeName="Sheet6"/>
  <dimension ref="A1:L50"/>
  <sheetViews>
    <sheetView topLeftCell="A16" zoomScaleNormal="100" workbookViewId="0">
      <selection activeCell="D26" sqref="D26"/>
    </sheetView>
  </sheetViews>
  <sheetFormatPr defaultRowHeight="14.5" x14ac:dyDescent="0.35"/>
  <cols>
    <col min="1" max="1" width="52.1796875" customWidth="1"/>
    <col min="2" max="2" width="12.26953125" style="2" customWidth="1"/>
    <col min="3" max="3" width="12.1796875" style="2" customWidth="1"/>
    <col min="4" max="4" width="20" style="2" bestFit="1" customWidth="1"/>
    <col min="5" max="5" width="14.54296875" style="2" bestFit="1" customWidth="1"/>
    <col min="6" max="6" width="15.453125" style="2" customWidth="1"/>
    <col min="7" max="7" width="13.26953125" style="2" bestFit="1" customWidth="1"/>
    <col min="8" max="8" width="14.26953125" style="2" bestFit="1" customWidth="1"/>
    <col min="9" max="9" width="14.26953125" style="2" customWidth="1"/>
    <col min="10" max="10" width="15.54296875" style="2" bestFit="1" customWidth="1"/>
    <col min="12" max="12" width="7.81640625" customWidth="1"/>
    <col min="13" max="13" width="16.81640625" customWidth="1"/>
    <col min="14" max="14" width="14.26953125" bestFit="1" customWidth="1"/>
    <col min="16" max="16" width="13" customWidth="1"/>
  </cols>
  <sheetData>
    <row r="1" spans="1:12" x14ac:dyDescent="0.35">
      <c r="A1" s="22" t="s">
        <v>18</v>
      </c>
      <c r="B1" s="21" t="s">
        <v>17</v>
      </c>
      <c r="C1" s="20" t="s">
        <v>16</v>
      </c>
      <c r="D1" s="20" t="s">
        <v>15</v>
      </c>
      <c r="E1" s="20" t="s">
        <v>14</v>
      </c>
      <c r="F1" s="20" t="s">
        <v>13</v>
      </c>
      <c r="G1" s="20" t="s">
        <v>12</v>
      </c>
      <c r="H1" s="20" t="s">
        <v>11</v>
      </c>
      <c r="I1" s="23" t="s">
        <v>10</v>
      </c>
      <c r="J1" s="19" t="s">
        <v>9</v>
      </c>
    </row>
    <row r="2" spans="1:12" x14ac:dyDescent="0.35">
      <c r="A2" s="22"/>
      <c r="B2" s="37"/>
      <c r="C2" s="37"/>
      <c r="D2" s="37"/>
      <c r="E2" s="64">
        <v>0</v>
      </c>
      <c r="F2" s="64">
        <v>0</v>
      </c>
      <c r="G2" s="64">
        <v>0</v>
      </c>
      <c r="H2" s="38"/>
      <c r="I2" s="64">
        <v>0</v>
      </c>
      <c r="J2" s="37"/>
    </row>
    <row r="3" spans="1:12" x14ac:dyDescent="0.35">
      <c r="A3" s="88" t="s">
        <v>42</v>
      </c>
      <c r="B3" s="95"/>
      <c r="C3" s="37"/>
      <c r="D3" s="37"/>
      <c r="E3" s="93"/>
      <c r="F3" s="93"/>
      <c r="G3" s="93"/>
      <c r="H3" s="93"/>
      <c r="I3" s="93"/>
      <c r="J3" s="37"/>
    </row>
    <row r="4" spans="1:12" x14ac:dyDescent="0.35">
      <c r="A4" s="84" t="s">
        <v>44</v>
      </c>
      <c r="B4" s="81">
        <v>1</v>
      </c>
      <c r="C4" s="9">
        <v>1912</v>
      </c>
      <c r="D4" s="82">
        <v>0</v>
      </c>
      <c r="E4" s="83">
        <f t="shared" ref="E4:E10" si="0">D4*$E$2</f>
        <v>0</v>
      </c>
      <c r="F4" s="83">
        <f>(D4+E4)*$F$2</f>
        <v>0</v>
      </c>
      <c r="G4" s="83">
        <f t="shared" ref="G4:G10" si="1">(D4+E4+F4)*$G$2</f>
        <v>0</v>
      </c>
      <c r="H4" s="83">
        <f t="shared" ref="H4:H10" si="2">D4+E4+F4+G4</f>
        <v>0</v>
      </c>
      <c r="I4" s="83">
        <f t="shared" ref="I4:I10" si="3">(C4*H4)*$I$2</f>
        <v>0</v>
      </c>
      <c r="J4" s="83">
        <f>(C4*H4)+I4</f>
        <v>0</v>
      </c>
    </row>
    <row r="5" spans="1:12" x14ac:dyDescent="0.35">
      <c r="A5" s="84" t="s">
        <v>45</v>
      </c>
      <c r="B5" s="81">
        <v>1</v>
      </c>
      <c r="C5" s="9">
        <v>1912</v>
      </c>
      <c r="D5" s="82">
        <v>0</v>
      </c>
      <c r="E5" s="83">
        <f t="shared" si="0"/>
        <v>0</v>
      </c>
      <c r="F5" s="83">
        <f t="shared" ref="F5:F10" si="4">(D5+E5)*$F$2</f>
        <v>0</v>
      </c>
      <c r="G5" s="83">
        <f t="shared" si="1"/>
        <v>0</v>
      </c>
      <c r="H5" s="83">
        <f t="shared" si="2"/>
        <v>0</v>
      </c>
      <c r="I5" s="83">
        <f t="shared" si="3"/>
        <v>0</v>
      </c>
      <c r="J5" s="83">
        <f t="shared" ref="J5:J10" si="5">(C5*H5)+I5</f>
        <v>0</v>
      </c>
      <c r="L5" s="18"/>
    </row>
    <row r="6" spans="1:12" x14ac:dyDescent="0.35">
      <c r="A6" s="84" t="s">
        <v>46</v>
      </c>
      <c r="B6" s="81">
        <v>1</v>
      </c>
      <c r="C6" s="9">
        <v>1912</v>
      </c>
      <c r="D6" s="82">
        <v>0</v>
      </c>
      <c r="E6" s="83">
        <f t="shared" si="0"/>
        <v>0</v>
      </c>
      <c r="F6" s="83">
        <f t="shared" si="4"/>
        <v>0</v>
      </c>
      <c r="G6" s="83">
        <f t="shared" si="1"/>
        <v>0</v>
      </c>
      <c r="H6" s="83">
        <f t="shared" si="2"/>
        <v>0</v>
      </c>
      <c r="I6" s="83">
        <f t="shared" si="3"/>
        <v>0</v>
      </c>
      <c r="J6" s="83">
        <f t="shared" si="5"/>
        <v>0</v>
      </c>
      <c r="L6" s="24"/>
    </row>
    <row r="7" spans="1:12" x14ac:dyDescent="0.35">
      <c r="A7" s="88" t="s">
        <v>43</v>
      </c>
      <c r="B7" s="89"/>
      <c r="C7" s="90"/>
      <c r="D7" s="82"/>
      <c r="E7" s="91"/>
      <c r="F7" s="91"/>
      <c r="G7" s="91"/>
      <c r="H7" s="91"/>
      <c r="I7" s="91"/>
      <c r="J7" s="91"/>
      <c r="L7" s="24"/>
    </row>
    <row r="8" spans="1:12" x14ac:dyDescent="0.35">
      <c r="A8" s="85" t="s">
        <v>47</v>
      </c>
      <c r="B8" s="81">
        <v>1</v>
      </c>
      <c r="C8" s="79">
        <v>1912</v>
      </c>
      <c r="D8" s="82">
        <v>0</v>
      </c>
      <c r="E8" s="80">
        <f t="shared" si="0"/>
        <v>0</v>
      </c>
      <c r="F8" s="80">
        <f t="shared" si="4"/>
        <v>0</v>
      </c>
      <c r="G8" s="80">
        <f t="shared" si="1"/>
        <v>0</v>
      </c>
      <c r="H8" s="80">
        <f t="shared" si="2"/>
        <v>0</v>
      </c>
      <c r="I8" s="80">
        <f t="shared" si="3"/>
        <v>0</v>
      </c>
      <c r="J8" s="80">
        <f t="shared" si="5"/>
        <v>0</v>
      </c>
      <c r="L8" s="24"/>
    </row>
    <row r="9" spans="1:12" x14ac:dyDescent="0.35">
      <c r="A9" s="85" t="s">
        <v>48</v>
      </c>
      <c r="B9" s="81">
        <v>1</v>
      </c>
      <c r="C9" s="9">
        <v>1912</v>
      </c>
      <c r="D9" s="82">
        <v>0</v>
      </c>
      <c r="E9" s="83">
        <f t="shared" si="0"/>
        <v>0</v>
      </c>
      <c r="F9" s="83">
        <f t="shared" si="4"/>
        <v>0</v>
      </c>
      <c r="G9" s="83">
        <f t="shared" si="1"/>
        <v>0</v>
      </c>
      <c r="H9" s="83">
        <f t="shared" si="2"/>
        <v>0</v>
      </c>
      <c r="I9" s="83">
        <f t="shared" si="3"/>
        <v>0</v>
      </c>
      <c r="J9" s="83">
        <f t="shared" si="5"/>
        <v>0</v>
      </c>
      <c r="L9" s="24"/>
    </row>
    <row r="10" spans="1:12" x14ac:dyDescent="0.35">
      <c r="A10" s="85" t="s">
        <v>49</v>
      </c>
      <c r="B10" s="81">
        <v>1</v>
      </c>
      <c r="C10" s="9">
        <v>1912</v>
      </c>
      <c r="D10" s="82">
        <v>0</v>
      </c>
      <c r="E10" s="83">
        <f t="shared" si="0"/>
        <v>0</v>
      </c>
      <c r="F10" s="83">
        <f t="shared" si="4"/>
        <v>0</v>
      </c>
      <c r="G10" s="83">
        <f t="shared" si="1"/>
        <v>0</v>
      </c>
      <c r="H10" s="83">
        <f t="shared" si="2"/>
        <v>0</v>
      </c>
      <c r="I10" s="83">
        <f t="shared" si="3"/>
        <v>0</v>
      </c>
      <c r="J10" s="83">
        <f t="shared" si="5"/>
        <v>0</v>
      </c>
      <c r="L10" s="24"/>
    </row>
    <row r="11" spans="1:12" x14ac:dyDescent="0.35">
      <c r="A11" s="73"/>
      <c r="B11" s="14"/>
      <c r="C11" s="9"/>
      <c r="D11" s="8"/>
      <c r="E11" s="8"/>
      <c r="F11" s="8"/>
      <c r="G11" s="8"/>
      <c r="H11" s="8"/>
      <c r="I11" s="8"/>
      <c r="J11" s="8"/>
    </row>
    <row r="12" spans="1:12" x14ac:dyDescent="0.35">
      <c r="A12" s="11"/>
      <c r="B12" s="14"/>
      <c r="C12" s="9"/>
      <c r="D12" s="8"/>
      <c r="E12" s="8"/>
      <c r="F12" s="8"/>
      <c r="G12" s="8"/>
      <c r="H12" s="8"/>
      <c r="I12" s="39"/>
      <c r="J12" s="40">
        <f>SUM(J4:J11)</f>
        <v>0</v>
      </c>
    </row>
    <row r="13" spans="1:12" x14ac:dyDescent="0.35">
      <c r="A13" s="17" t="s">
        <v>51</v>
      </c>
      <c r="B13" s="10"/>
      <c r="C13" s="9"/>
      <c r="D13" s="8"/>
      <c r="E13" s="8"/>
      <c r="F13" s="8"/>
      <c r="G13" s="8"/>
      <c r="H13" s="8"/>
      <c r="I13" s="7"/>
      <c r="J13" s="94">
        <v>56275</v>
      </c>
    </row>
    <row r="14" spans="1:12" x14ac:dyDescent="0.35">
      <c r="A14" s="17" t="s">
        <v>52</v>
      </c>
      <c r="B14" s="10"/>
      <c r="C14" s="9"/>
      <c r="D14" s="8"/>
      <c r="E14" s="8"/>
      <c r="F14" s="8"/>
      <c r="G14" s="8"/>
      <c r="H14" s="8"/>
      <c r="I14" s="7"/>
      <c r="J14" s="94">
        <v>56275</v>
      </c>
    </row>
    <row r="15" spans="1:12" x14ac:dyDescent="0.35">
      <c r="A15" s="17" t="s">
        <v>53</v>
      </c>
      <c r="B15" s="10"/>
      <c r="C15" s="9"/>
      <c r="D15" s="8"/>
      <c r="E15" s="8"/>
      <c r="F15" s="8"/>
      <c r="G15" s="8"/>
      <c r="H15" s="8"/>
      <c r="I15" s="7"/>
      <c r="J15" s="94">
        <v>752</v>
      </c>
    </row>
    <row r="16" spans="1:12" x14ac:dyDescent="0.35">
      <c r="A16" s="11"/>
      <c r="B16" s="10"/>
      <c r="C16" s="9"/>
      <c r="D16" s="8"/>
      <c r="E16" s="8"/>
      <c r="F16" s="8"/>
      <c r="G16" s="8"/>
      <c r="H16" s="8"/>
      <c r="I16" s="7"/>
      <c r="J16" s="6"/>
    </row>
    <row r="17" spans="1:10" x14ac:dyDescent="0.35">
      <c r="A17" s="16" t="s">
        <v>8</v>
      </c>
      <c r="B17" s="76">
        <f>SUM(B4:B11)</f>
        <v>6</v>
      </c>
      <c r="C17" s="15">
        <f>SUM(C4:C11)</f>
        <v>11472</v>
      </c>
      <c r="D17" s="8"/>
      <c r="E17" s="8"/>
      <c r="F17" s="14"/>
      <c r="G17" s="14"/>
      <c r="H17" s="14"/>
      <c r="I17" s="13" t="s">
        <v>2</v>
      </c>
      <c r="J17" s="12">
        <f>SUM(J12:J15)</f>
        <v>113302</v>
      </c>
    </row>
    <row r="18" spans="1:10" x14ac:dyDescent="0.35">
      <c r="A18" s="11"/>
      <c r="B18" s="10"/>
      <c r="C18" s="9"/>
      <c r="D18" s="8"/>
      <c r="E18" s="8"/>
      <c r="F18" s="8"/>
      <c r="G18" s="8"/>
      <c r="H18" s="8"/>
      <c r="I18" s="7"/>
      <c r="J18" s="6"/>
    </row>
    <row r="19" spans="1:10" x14ac:dyDescent="0.35">
      <c r="A19" s="11"/>
      <c r="B19" s="10"/>
      <c r="C19" s="9"/>
      <c r="D19" s="8"/>
      <c r="E19" s="8"/>
      <c r="F19" s="8"/>
      <c r="G19" s="8"/>
      <c r="H19" s="8"/>
      <c r="I19" s="7"/>
      <c r="J19" s="6"/>
    </row>
    <row r="20" spans="1:10" x14ac:dyDescent="0.35">
      <c r="A20" t="s">
        <v>54</v>
      </c>
    </row>
    <row r="21" spans="1:10" x14ac:dyDescent="0.35">
      <c r="C21" s="2" t="s">
        <v>7</v>
      </c>
      <c r="D21" s="2" t="s">
        <v>0</v>
      </c>
      <c r="E21" s="2" t="s">
        <v>1</v>
      </c>
      <c r="F21" s="2" t="s">
        <v>2</v>
      </c>
    </row>
    <row r="22" spans="1:10" x14ac:dyDescent="0.35">
      <c r="B22" s="2" t="s">
        <v>55</v>
      </c>
      <c r="C22" s="5">
        <v>5400</v>
      </c>
      <c r="D22" s="32">
        <f>SUM(,(C6*H6),(C5*H5),(C4*H4))</f>
        <v>0</v>
      </c>
      <c r="E22" s="3">
        <f>SUM(I4:I6)</f>
        <v>0</v>
      </c>
      <c r="F22" s="3">
        <f>SUM(D22:E22)</f>
        <v>0</v>
      </c>
      <c r="H22" s="36"/>
      <c r="I22" s="36"/>
      <c r="J22" s="36"/>
    </row>
    <row r="23" spans="1:10" x14ac:dyDescent="0.35">
      <c r="B23" s="2" t="s">
        <v>56</v>
      </c>
      <c r="C23" s="5">
        <v>5401</v>
      </c>
      <c r="D23" s="32">
        <f>SUM((C8*H8),(C10*H10),(C9*H9),)</f>
        <v>0</v>
      </c>
      <c r="E23" s="3">
        <f>SUM(I5:I11)</f>
        <v>0</v>
      </c>
      <c r="F23" s="3">
        <f>SUM(D23:E23)</f>
        <v>0</v>
      </c>
      <c r="H23" s="36"/>
      <c r="I23" s="36"/>
      <c r="J23" s="36"/>
    </row>
    <row r="24" spans="1:10" x14ac:dyDescent="0.35">
      <c r="B24" s="2" t="s">
        <v>57</v>
      </c>
      <c r="C24" s="5">
        <v>5402</v>
      </c>
      <c r="D24" s="32">
        <f>(AVERAGE(H4:H6)*30)</f>
        <v>0</v>
      </c>
      <c r="E24" s="32">
        <f>D24*I2</f>
        <v>0</v>
      </c>
      <c r="F24" s="3">
        <f t="shared" ref="F24:F25" si="6">SUM(D24:E24)</f>
        <v>0</v>
      </c>
      <c r="J24" s="2" t="s">
        <v>41</v>
      </c>
    </row>
    <row r="25" spans="1:10" x14ac:dyDescent="0.35">
      <c r="B25" s="2" t="s">
        <v>58</v>
      </c>
      <c r="C25" s="5">
        <v>5403</v>
      </c>
      <c r="D25" s="32">
        <f>(AVERAGE(H8:H10)*30)</f>
        <v>0</v>
      </c>
      <c r="E25" s="32">
        <f>D25*I2</f>
        <v>0</v>
      </c>
      <c r="F25" s="3">
        <f t="shared" si="6"/>
        <v>0</v>
      </c>
    </row>
    <row r="26" spans="1:10" x14ac:dyDescent="0.35">
      <c r="B26" s="2" t="s">
        <v>59</v>
      </c>
      <c r="C26" s="5">
        <v>7400</v>
      </c>
      <c r="D26" s="97">
        <f>J13+(J15/2)</f>
        <v>56651</v>
      </c>
      <c r="E26" s="98"/>
      <c r="F26" s="98">
        <f>SUM(D26:E26)</f>
        <v>56651</v>
      </c>
      <c r="G26"/>
      <c r="H26"/>
      <c r="I26"/>
      <c r="J26"/>
    </row>
    <row r="27" spans="1:10" x14ac:dyDescent="0.35">
      <c r="B27" s="2" t="s">
        <v>60</v>
      </c>
      <c r="C27" s="5">
        <v>7401</v>
      </c>
      <c r="D27" s="33">
        <f>J14+(J15/2)</f>
        <v>56651</v>
      </c>
      <c r="E27" s="4"/>
      <c r="F27" s="4">
        <f>SUM(D27:E27)</f>
        <v>56651</v>
      </c>
      <c r="G27"/>
      <c r="H27"/>
      <c r="I27"/>
      <c r="J27"/>
    </row>
    <row r="28" spans="1:10" x14ac:dyDescent="0.35">
      <c r="D28" s="32">
        <f>SUM(D22:D27)</f>
        <v>113302</v>
      </c>
      <c r="E28" s="3">
        <f>SUM(E22:E27)</f>
        <v>0</v>
      </c>
      <c r="F28" s="3">
        <f>SUM(F22:F27)</f>
        <v>113302</v>
      </c>
      <c r="G28"/>
      <c r="H28"/>
      <c r="I28"/>
      <c r="J28"/>
    </row>
    <row r="29" spans="1:10" x14ac:dyDescent="0.35">
      <c r="B29"/>
      <c r="C29"/>
      <c r="D29"/>
      <c r="E29"/>
      <c r="F29"/>
      <c r="G29"/>
      <c r="H29"/>
      <c r="I29"/>
      <c r="J29"/>
    </row>
    <row r="30" spans="1:10" x14ac:dyDescent="0.35">
      <c r="B30"/>
      <c r="C30"/>
      <c r="D30"/>
      <c r="E30"/>
      <c r="F30"/>
      <c r="G30"/>
      <c r="H30"/>
      <c r="I30"/>
      <c r="J30"/>
    </row>
    <row r="31" spans="1:10" x14ac:dyDescent="0.35">
      <c r="B31"/>
      <c r="C31"/>
      <c r="D31"/>
      <c r="E31"/>
      <c r="F31"/>
      <c r="G31"/>
      <c r="H31"/>
      <c r="I31"/>
      <c r="J31"/>
    </row>
    <row r="32" spans="1:10" x14ac:dyDescent="0.35">
      <c r="B32"/>
      <c r="C32"/>
      <c r="D32"/>
      <c r="E32"/>
      <c r="F32"/>
      <c r="G32"/>
      <c r="H32"/>
      <c r="I32"/>
      <c r="J32"/>
    </row>
    <row r="33" customFormat="1" x14ac:dyDescent="0.35"/>
    <row r="34" customFormat="1" x14ac:dyDescent="0.35"/>
    <row r="35" customFormat="1" x14ac:dyDescent="0.35"/>
    <row r="36" customFormat="1" x14ac:dyDescent="0.35"/>
    <row r="37" customFormat="1" x14ac:dyDescent="0.35"/>
    <row r="38" customFormat="1" x14ac:dyDescent="0.35"/>
    <row r="39" customFormat="1" x14ac:dyDescent="0.35"/>
    <row r="40" customFormat="1" x14ac:dyDescent="0.35"/>
    <row r="41" customFormat="1" x14ac:dyDescent="0.35"/>
    <row r="42" customFormat="1" x14ac:dyDescent="0.35"/>
    <row r="43" customFormat="1" x14ac:dyDescent="0.35"/>
    <row r="44" customFormat="1" x14ac:dyDescent="0.35"/>
    <row r="45" customFormat="1" x14ac:dyDescent="0.35"/>
    <row r="46" customFormat="1" x14ac:dyDescent="0.35"/>
    <row r="47" customFormat="1" x14ac:dyDescent="0.35"/>
    <row r="48" customFormat="1" x14ac:dyDescent="0.35"/>
    <row r="49" customFormat="1" x14ac:dyDescent="0.35"/>
    <row r="50" customFormat="1" x14ac:dyDescent="0.35"/>
  </sheetData>
  <pageMargins left="0.7" right="0.7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98B49-3EFA-4E2F-9EF2-16F486A4AA5D}">
  <sheetPr codeName="Sheet7"/>
  <dimension ref="A1:L55"/>
  <sheetViews>
    <sheetView tabSelected="1" topLeftCell="A16" zoomScaleNormal="100" workbookViewId="0">
      <selection activeCell="D25" sqref="D25"/>
    </sheetView>
  </sheetViews>
  <sheetFormatPr defaultRowHeight="14.5" x14ac:dyDescent="0.35"/>
  <cols>
    <col min="1" max="1" width="52.1796875" customWidth="1"/>
    <col min="2" max="2" width="11.81640625" style="2" customWidth="1"/>
    <col min="3" max="3" width="12.1796875" style="2" customWidth="1"/>
    <col min="4" max="4" width="20" style="2" bestFit="1" customWidth="1"/>
    <col min="5" max="5" width="14.54296875" style="2" bestFit="1" customWidth="1"/>
    <col min="6" max="6" width="15.453125" style="2" customWidth="1"/>
    <col min="7" max="7" width="13.26953125" style="2" bestFit="1" customWidth="1"/>
    <col min="8" max="8" width="14.26953125" style="2" bestFit="1" customWidth="1"/>
    <col min="9" max="9" width="14.26953125" style="2" customWidth="1"/>
    <col min="10" max="10" width="15.54296875" style="2" bestFit="1" customWidth="1"/>
    <col min="12" max="12" width="6.26953125" customWidth="1"/>
    <col min="13" max="13" width="17.453125" customWidth="1"/>
    <col min="14" max="14" width="14.26953125" bestFit="1" customWidth="1"/>
    <col min="15" max="15" width="10.54296875" customWidth="1"/>
    <col min="16" max="16" width="12.81640625" customWidth="1"/>
  </cols>
  <sheetData>
    <row r="1" spans="1:12" x14ac:dyDescent="0.35">
      <c r="A1" s="22" t="s">
        <v>18</v>
      </c>
      <c r="B1" s="21" t="s">
        <v>17</v>
      </c>
      <c r="C1" s="20" t="s">
        <v>16</v>
      </c>
      <c r="D1" s="20" t="s">
        <v>15</v>
      </c>
      <c r="E1" s="20" t="s">
        <v>14</v>
      </c>
      <c r="F1" s="20" t="s">
        <v>13</v>
      </c>
      <c r="G1" s="20" t="s">
        <v>12</v>
      </c>
      <c r="H1" s="20" t="s">
        <v>11</v>
      </c>
      <c r="I1" s="23" t="s">
        <v>10</v>
      </c>
      <c r="J1" s="19" t="s">
        <v>9</v>
      </c>
    </row>
    <row r="2" spans="1:12" x14ac:dyDescent="0.35">
      <c r="A2" s="22"/>
      <c r="B2" s="37"/>
      <c r="C2" s="37"/>
      <c r="D2" s="37"/>
      <c r="E2" s="64">
        <f>'Option 4'!E2</f>
        <v>0</v>
      </c>
      <c r="F2" s="64">
        <f>'Option 4'!F2</f>
        <v>0</v>
      </c>
      <c r="G2" s="64">
        <f>'Option 4'!G2</f>
        <v>0</v>
      </c>
      <c r="H2" s="38"/>
      <c r="I2" s="64">
        <f>'Option 4'!I2</f>
        <v>0</v>
      </c>
      <c r="J2" s="37"/>
    </row>
    <row r="3" spans="1:12" x14ac:dyDescent="0.35">
      <c r="A3" s="88" t="s">
        <v>42</v>
      </c>
      <c r="B3" s="95"/>
      <c r="C3" s="37"/>
      <c r="D3" s="37"/>
      <c r="E3" s="93"/>
      <c r="F3" s="93"/>
      <c r="G3" s="93"/>
      <c r="H3" s="93"/>
      <c r="I3" s="93"/>
      <c r="J3" s="37"/>
    </row>
    <row r="4" spans="1:12" x14ac:dyDescent="0.35">
      <c r="A4" s="84" t="s">
        <v>44</v>
      </c>
      <c r="B4" s="81">
        <v>1</v>
      </c>
      <c r="C4" s="9">
        <f>'Option 4'!C4/2</f>
        <v>956</v>
      </c>
      <c r="D4" s="82">
        <f>'Option 4'!D4</f>
        <v>0</v>
      </c>
      <c r="E4" s="83">
        <f t="shared" ref="E4:E10" si="0">D4*$E$2</f>
        <v>0</v>
      </c>
      <c r="F4" s="83">
        <f>(D4+E4)*$F$2</f>
        <v>0</v>
      </c>
      <c r="G4" s="83">
        <f t="shared" ref="G4:G10" si="1">(D4+E4+F4)*$G$2</f>
        <v>0</v>
      </c>
      <c r="H4" s="83">
        <f t="shared" ref="H4:H10" si="2">D4+E4+F4+G4</f>
        <v>0</v>
      </c>
      <c r="I4" s="83">
        <f t="shared" ref="I4:I10" si="3">(C4*H4)*$I$2</f>
        <v>0</v>
      </c>
      <c r="J4" s="83">
        <f>(C4*H4)+I4</f>
        <v>0</v>
      </c>
    </row>
    <row r="5" spans="1:12" x14ac:dyDescent="0.35">
      <c r="A5" s="84" t="s">
        <v>45</v>
      </c>
      <c r="B5" s="81">
        <v>1</v>
      </c>
      <c r="C5" s="9">
        <f>'Option 4'!C5/2</f>
        <v>956</v>
      </c>
      <c r="D5" s="82">
        <f>'Option 4'!D5</f>
        <v>0</v>
      </c>
      <c r="E5" s="83">
        <f t="shared" si="0"/>
        <v>0</v>
      </c>
      <c r="F5" s="83">
        <f t="shared" ref="F5:F10" si="4">(D5+E5)*$F$2</f>
        <v>0</v>
      </c>
      <c r="G5" s="83">
        <f t="shared" si="1"/>
        <v>0</v>
      </c>
      <c r="H5" s="83">
        <f t="shared" si="2"/>
        <v>0</v>
      </c>
      <c r="I5" s="83">
        <f t="shared" si="3"/>
        <v>0</v>
      </c>
      <c r="J5" s="83">
        <f t="shared" ref="J5:J10" si="5">(C5*H5)+I5</f>
        <v>0</v>
      </c>
      <c r="L5" s="18"/>
    </row>
    <row r="6" spans="1:12" x14ac:dyDescent="0.35">
      <c r="A6" s="84" t="s">
        <v>46</v>
      </c>
      <c r="B6" s="81">
        <v>1</v>
      </c>
      <c r="C6" s="9">
        <f>'Option 4'!C6/2</f>
        <v>956</v>
      </c>
      <c r="D6" s="82">
        <f>'Option 4'!D6</f>
        <v>0</v>
      </c>
      <c r="E6" s="83">
        <f t="shared" si="0"/>
        <v>0</v>
      </c>
      <c r="F6" s="83">
        <f t="shared" si="4"/>
        <v>0</v>
      </c>
      <c r="G6" s="83">
        <f t="shared" si="1"/>
        <v>0</v>
      </c>
      <c r="H6" s="83">
        <f t="shared" si="2"/>
        <v>0</v>
      </c>
      <c r="I6" s="83">
        <f t="shared" si="3"/>
        <v>0</v>
      </c>
      <c r="J6" s="83">
        <f t="shared" si="5"/>
        <v>0</v>
      </c>
      <c r="L6" s="24"/>
    </row>
    <row r="7" spans="1:12" x14ac:dyDescent="0.35">
      <c r="A7" s="88" t="s">
        <v>43</v>
      </c>
      <c r="B7" s="89"/>
      <c r="C7" s="9"/>
      <c r="D7" s="82"/>
      <c r="E7" s="91"/>
      <c r="F7" s="91"/>
      <c r="G7" s="91"/>
      <c r="H7" s="91"/>
      <c r="I7" s="91"/>
      <c r="J7" s="91"/>
      <c r="L7" s="24"/>
    </row>
    <row r="8" spans="1:12" x14ac:dyDescent="0.35">
      <c r="A8" s="85" t="s">
        <v>47</v>
      </c>
      <c r="B8" s="81">
        <v>1</v>
      </c>
      <c r="C8" s="9">
        <f>'Option 4'!C8/2</f>
        <v>956</v>
      </c>
      <c r="D8" s="82">
        <f>'Option 4'!D8</f>
        <v>0</v>
      </c>
      <c r="E8" s="80">
        <f t="shared" si="0"/>
        <v>0</v>
      </c>
      <c r="F8" s="80">
        <f t="shared" si="4"/>
        <v>0</v>
      </c>
      <c r="G8" s="80">
        <f t="shared" si="1"/>
        <v>0</v>
      </c>
      <c r="H8" s="80">
        <f t="shared" si="2"/>
        <v>0</v>
      </c>
      <c r="I8" s="80">
        <f t="shared" si="3"/>
        <v>0</v>
      </c>
      <c r="J8" s="80">
        <f t="shared" si="5"/>
        <v>0</v>
      </c>
      <c r="L8" s="24"/>
    </row>
    <row r="9" spans="1:12" x14ac:dyDescent="0.35">
      <c r="A9" s="85" t="s">
        <v>48</v>
      </c>
      <c r="B9" s="81">
        <v>1</v>
      </c>
      <c r="C9" s="9">
        <f>'Option 4'!C9/2</f>
        <v>956</v>
      </c>
      <c r="D9" s="82">
        <f>'Option 4'!D9</f>
        <v>0</v>
      </c>
      <c r="E9" s="83">
        <f t="shared" si="0"/>
        <v>0</v>
      </c>
      <c r="F9" s="83">
        <f t="shared" si="4"/>
        <v>0</v>
      </c>
      <c r="G9" s="83">
        <f t="shared" si="1"/>
        <v>0</v>
      </c>
      <c r="H9" s="83">
        <f t="shared" si="2"/>
        <v>0</v>
      </c>
      <c r="I9" s="83">
        <f t="shared" si="3"/>
        <v>0</v>
      </c>
      <c r="J9" s="83">
        <f t="shared" si="5"/>
        <v>0</v>
      </c>
      <c r="L9" s="24"/>
    </row>
    <row r="10" spans="1:12" x14ac:dyDescent="0.35">
      <c r="A10" s="85" t="s">
        <v>49</v>
      </c>
      <c r="B10" s="81">
        <v>1</v>
      </c>
      <c r="C10" s="9">
        <f>'Option 4'!C10/2</f>
        <v>956</v>
      </c>
      <c r="D10" s="82">
        <f>'Option 4'!D10</f>
        <v>0</v>
      </c>
      <c r="E10" s="83">
        <f t="shared" si="0"/>
        <v>0</v>
      </c>
      <c r="F10" s="83">
        <f t="shared" si="4"/>
        <v>0</v>
      </c>
      <c r="G10" s="83">
        <f t="shared" si="1"/>
        <v>0</v>
      </c>
      <c r="H10" s="83">
        <f t="shared" si="2"/>
        <v>0</v>
      </c>
      <c r="I10" s="83">
        <f t="shared" si="3"/>
        <v>0</v>
      </c>
      <c r="J10" s="83">
        <f t="shared" si="5"/>
        <v>0</v>
      </c>
      <c r="L10" s="24"/>
    </row>
    <row r="11" spans="1:12" x14ac:dyDescent="0.35">
      <c r="A11" s="73"/>
      <c r="B11" s="14"/>
      <c r="C11" s="9"/>
      <c r="D11" s="8"/>
      <c r="E11" s="8"/>
      <c r="F11" s="8"/>
      <c r="G11" s="8"/>
      <c r="H11" s="8"/>
      <c r="I11" s="8"/>
      <c r="J11" s="8"/>
    </row>
    <row r="12" spans="1:12" x14ac:dyDescent="0.35">
      <c r="A12" s="11"/>
      <c r="B12" s="14"/>
      <c r="C12" s="9"/>
      <c r="D12" s="8"/>
      <c r="E12" s="8"/>
      <c r="F12" s="8"/>
      <c r="G12" s="8"/>
      <c r="H12" s="8"/>
      <c r="I12" s="39"/>
      <c r="J12" s="40">
        <f>SUM(J4:J11)</f>
        <v>0</v>
      </c>
    </row>
    <row r="13" spans="1:12" x14ac:dyDescent="0.35">
      <c r="A13" s="17" t="s">
        <v>51</v>
      </c>
      <c r="B13" s="10"/>
      <c r="C13" s="9"/>
      <c r="D13" s="8"/>
      <c r="E13" s="8"/>
      <c r="F13" s="8"/>
      <c r="G13" s="8"/>
      <c r="H13" s="8"/>
      <c r="I13" s="7"/>
      <c r="J13" s="94">
        <f>'Option 4'!J13/2</f>
        <v>28137.5</v>
      </c>
    </row>
    <row r="14" spans="1:12" x14ac:dyDescent="0.35">
      <c r="A14" s="17" t="s">
        <v>52</v>
      </c>
      <c r="B14" s="10"/>
      <c r="C14" s="9"/>
      <c r="D14" s="8"/>
      <c r="E14" s="8"/>
      <c r="F14" s="8"/>
      <c r="G14" s="8"/>
      <c r="H14" s="8"/>
      <c r="I14" s="7"/>
      <c r="J14" s="94">
        <f>'Option 4'!J14/2</f>
        <v>28137.5</v>
      </c>
    </row>
    <row r="15" spans="1:12" x14ac:dyDescent="0.35">
      <c r="A15" s="17" t="s">
        <v>53</v>
      </c>
      <c r="B15" s="10"/>
      <c r="C15" s="9"/>
      <c r="D15" s="8"/>
      <c r="E15" s="8"/>
      <c r="F15" s="8"/>
      <c r="G15" s="8"/>
      <c r="H15" s="8"/>
      <c r="I15" s="7"/>
      <c r="J15" s="94">
        <f>'Option 4'!J15/2</f>
        <v>376</v>
      </c>
    </row>
    <row r="16" spans="1:12" x14ac:dyDescent="0.35">
      <c r="A16" s="11"/>
      <c r="B16" s="10"/>
      <c r="C16" s="9"/>
      <c r="D16" s="8"/>
      <c r="E16" s="8"/>
      <c r="F16" s="8"/>
      <c r="G16" s="8"/>
      <c r="H16" s="8"/>
      <c r="I16" s="7"/>
      <c r="J16" s="6"/>
    </row>
    <row r="17" spans="1:10" x14ac:dyDescent="0.35">
      <c r="A17" s="16" t="s">
        <v>8</v>
      </c>
      <c r="B17" s="76">
        <f>SUM(B4:B11)</f>
        <v>6</v>
      </c>
      <c r="C17" s="15">
        <f>SUM(C4:C11)</f>
        <v>5736</v>
      </c>
      <c r="D17" s="8"/>
      <c r="E17" s="8"/>
      <c r="F17" s="14"/>
      <c r="G17" s="14"/>
      <c r="H17" s="14"/>
      <c r="I17" s="13" t="s">
        <v>2</v>
      </c>
      <c r="J17" s="12">
        <f>SUM(J12:J15)</f>
        <v>56651</v>
      </c>
    </row>
    <row r="18" spans="1:10" x14ac:dyDescent="0.35">
      <c r="A18" s="11"/>
      <c r="B18" s="10"/>
      <c r="C18" s="9"/>
      <c r="D18" s="8"/>
      <c r="E18" s="8"/>
      <c r="F18" s="8"/>
      <c r="G18" s="8"/>
      <c r="H18" s="8"/>
      <c r="I18" s="7"/>
      <c r="J18" s="6"/>
    </row>
    <row r="19" spans="1:10" x14ac:dyDescent="0.35">
      <c r="A19" s="11"/>
      <c r="B19" s="10"/>
      <c r="C19" s="9"/>
      <c r="D19" s="8"/>
      <c r="E19" s="8"/>
      <c r="F19" s="8"/>
      <c r="G19" s="8"/>
      <c r="H19" s="8"/>
      <c r="I19" s="7"/>
      <c r="J19" s="6"/>
    </row>
    <row r="20" spans="1:10" x14ac:dyDescent="0.35">
      <c r="A20" t="s">
        <v>54</v>
      </c>
    </row>
    <row r="21" spans="1:10" x14ac:dyDescent="0.35">
      <c r="C21" s="2" t="s">
        <v>7</v>
      </c>
      <c r="D21" s="2" t="s">
        <v>0</v>
      </c>
      <c r="E21" s="2" t="s">
        <v>1</v>
      </c>
      <c r="F21" s="2" t="s">
        <v>2</v>
      </c>
    </row>
    <row r="22" spans="1:10" x14ac:dyDescent="0.35">
      <c r="B22" s="2" t="s">
        <v>55</v>
      </c>
      <c r="C22" s="5">
        <v>5500</v>
      </c>
      <c r="D22" s="32">
        <f>SUM(,(C6*H6),(C5*H5),(C4*H4))</f>
        <v>0</v>
      </c>
      <c r="E22" s="3">
        <f>SUM(I4:I6)</f>
        <v>0</v>
      </c>
      <c r="F22" s="3">
        <f>SUM(D22:E22)</f>
        <v>0</v>
      </c>
      <c r="H22" s="36"/>
      <c r="I22" s="36"/>
      <c r="J22" s="36"/>
    </row>
    <row r="23" spans="1:10" x14ac:dyDescent="0.35">
      <c r="B23" s="2" t="s">
        <v>56</v>
      </c>
      <c r="C23" s="5">
        <v>5501</v>
      </c>
      <c r="D23" s="32">
        <f>SUM((C8*H8),(C10*H10),(C9*H9),)</f>
        <v>0</v>
      </c>
      <c r="E23" s="3">
        <f>SUM(I5:I11)</f>
        <v>0</v>
      </c>
      <c r="F23" s="3">
        <f>SUM(D23:E23)</f>
        <v>0</v>
      </c>
      <c r="H23" s="36"/>
      <c r="I23" s="36"/>
      <c r="J23" s="36"/>
    </row>
    <row r="24" spans="1:10" x14ac:dyDescent="0.35">
      <c r="B24" s="2" t="s">
        <v>57</v>
      </c>
      <c r="C24" s="5">
        <v>5502</v>
      </c>
      <c r="D24" s="32">
        <f>(AVERAGE(H4:H6)*15)</f>
        <v>0</v>
      </c>
      <c r="E24" s="32">
        <f>D24*I2</f>
        <v>0</v>
      </c>
      <c r="F24" s="3">
        <f t="shared" ref="F24:F25" si="6">SUM(D24:E24)</f>
        <v>0</v>
      </c>
      <c r="J24" s="2" t="s">
        <v>41</v>
      </c>
    </row>
    <row r="25" spans="1:10" x14ac:dyDescent="0.35">
      <c r="B25" s="2" t="s">
        <v>58</v>
      </c>
      <c r="C25" s="5">
        <v>5503</v>
      </c>
      <c r="D25" s="32">
        <f>(AVERAGE(H8:H10)*15)</f>
        <v>0</v>
      </c>
      <c r="E25" s="32">
        <f>D25*I2</f>
        <v>0</v>
      </c>
      <c r="F25" s="3">
        <f t="shared" si="6"/>
        <v>0</v>
      </c>
    </row>
    <row r="26" spans="1:10" x14ac:dyDescent="0.35">
      <c r="B26" s="2" t="s">
        <v>59</v>
      </c>
      <c r="C26" s="5">
        <v>7500</v>
      </c>
      <c r="D26" s="97">
        <f>J13+(J15/2)</f>
        <v>28325.5</v>
      </c>
      <c r="E26" s="98"/>
      <c r="F26" s="98">
        <f>SUM(D26:E26)</f>
        <v>28325.5</v>
      </c>
      <c r="G26"/>
      <c r="H26"/>
      <c r="I26"/>
      <c r="J26"/>
    </row>
    <row r="27" spans="1:10" x14ac:dyDescent="0.35">
      <c r="B27" s="2" t="s">
        <v>60</v>
      </c>
      <c r="C27" s="5">
        <v>7501</v>
      </c>
      <c r="D27" s="33">
        <f>J14+(J15/2)</f>
        <v>28325.5</v>
      </c>
      <c r="E27" s="4"/>
      <c r="F27" s="4">
        <f>SUM(D27:E27)</f>
        <v>28325.5</v>
      </c>
      <c r="G27"/>
      <c r="H27"/>
      <c r="I27"/>
      <c r="J27"/>
    </row>
    <row r="28" spans="1:10" x14ac:dyDescent="0.35">
      <c r="D28" s="32">
        <f>SUM(D22:D27)</f>
        <v>56651</v>
      </c>
      <c r="E28" s="3">
        <f>SUM(E22:E27)</f>
        <v>0</v>
      </c>
      <c r="F28" s="3">
        <f>SUM(F22:F27)</f>
        <v>56651</v>
      </c>
      <c r="G28"/>
      <c r="H28"/>
      <c r="I28"/>
      <c r="J28"/>
    </row>
    <row r="29" spans="1:10" x14ac:dyDescent="0.35">
      <c r="B29"/>
      <c r="C29"/>
      <c r="D29"/>
      <c r="E29"/>
      <c r="F29"/>
      <c r="G29"/>
      <c r="H29"/>
      <c r="I29"/>
      <c r="J29"/>
    </row>
    <row r="30" spans="1:10" x14ac:dyDescent="0.35">
      <c r="B30"/>
      <c r="C30"/>
      <c r="D30"/>
      <c r="E30"/>
      <c r="F30"/>
      <c r="G30"/>
      <c r="H30"/>
      <c r="I30"/>
      <c r="J30"/>
    </row>
    <row r="31" spans="1:10" x14ac:dyDescent="0.35">
      <c r="B31"/>
      <c r="C31"/>
      <c r="D31"/>
      <c r="E31"/>
      <c r="F31"/>
      <c r="G31"/>
      <c r="H31"/>
      <c r="I31"/>
      <c r="J31"/>
    </row>
    <row r="32" spans="1:10" x14ac:dyDescent="0.35">
      <c r="B32"/>
      <c r="C32"/>
      <c r="D32"/>
      <c r="E32"/>
      <c r="F32"/>
      <c r="G32"/>
      <c r="H32"/>
      <c r="I32"/>
      <c r="J32"/>
    </row>
    <row r="33" customFormat="1" x14ac:dyDescent="0.35"/>
    <row r="34" customFormat="1" x14ac:dyDescent="0.35"/>
    <row r="35" customFormat="1" x14ac:dyDescent="0.35"/>
    <row r="36" customFormat="1" x14ac:dyDescent="0.35"/>
    <row r="37" customFormat="1" x14ac:dyDescent="0.35"/>
    <row r="38" customFormat="1" x14ac:dyDescent="0.35"/>
    <row r="39" customFormat="1" x14ac:dyDescent="0.35"/>
    <row r="40" customFormat="1" x14ac:dyDescent="0.35"/>
    <row r="41" customFormat="1" x14ac:dyDescent="0.35"/>
    <row r="42" customFormat="1" x14ac:dyDescent="0.35"/>
    <row r="43" customFormat="1" x14ac:dyDescent="0.35"/>
    <row r="44" customFormat="1" x14ac:dyDescent="0.35"/>
    <row r="45" customFormat="1" x14ac:dyDescent="0.35"/>
    <row r="46" customFormat="1" x14ac:dyDescent="0.35"/>
    <row r="47" customFormat="1" x14ac:dyDescent="0.35"/>
    <row r="48" customFormat="1" x14ac:dyDescent="0.35"/>
    <row r="49" customFormat="1" x14ac:dyDescent="0.35"/>
    <row r="50" customFormat="1" x14ac:dyDescent="0.35"/>
    <row r="51" customFormat="1" x14ac:dyDescent="0.35"/>
    <row r="52" customFormat="1" x14ac:dyDescent="0.35"/>
    <row r="53" customFormat="1" x14ac:dyDescent="0.35"/>
    <row r="54" customFormat="1" x14ac:dyDescent="0.35"/>
    <row r="55" customFormat="1" x14ac:dyDescent="0.35"/>
  </sheetData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0e8931-dec7-4815-b5e4-86cf9ce02c1d">
      <Terms xmlns="http://schemas.microsoft.com/office/infopath/2007/PartnerControls"/>
    </lcf76f155ced4ddcb4097134ff3c332f>
    <TaxCatchAll xmlns="deb1ce22-6acc-4bea-9030-a2f271c7cbf2" xsi:nil="true"/>
    <_ip_UnifiedCompliancePolicyUIAction xmlns="http://schemas.microsoft.com/sharepoint/v3" xsi:nil="true"/>
    <_ip_UnifiedCompliancePolicyProperties xmlns="http://schemas.microsoft.com/sharepoint/v3" xsi:nil="true"/>
    <_dlc_DocId xmlns="deb1ce22-6acc-4bea-9030-a2f271c7cbf2">F42D76NJ4NSP-1960102468-13959</_dlc_DocId>
    <_dlc_DocIdUrl xmlns="deb1ce22-6acc-4bea-9030-a2f271c7cbf2">
      <Url>https://flankspeed.sharepoint-mil.us/sites/CPF-CNSP-HQ/SMWDC-HQ/N1/_layouts/15/DocIdRedir.aspx?ID=F42D76NJ4NSP-1960102468-13959</Url>
      <Description>F42D76NJ4NSP-1960102468-13959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4D2663FDB467468C3494754D0C38E6" ma:contentTypeVersion="17" ma:contentTypeDescription="Create a new document." ma:contentTypeScope="" ma:versionID="0f5a23c7f5b2a3766b8489f5b66cfdbe">
  <xsd:schema xmlns:xsd="http://www.w3.org/2001/XMLSchema" xmlns:xs="http://www.w3.org/2001/XMLSchema" xmlns:p="http://schemas.microsoft.com/office/2006/metadata/properties" xmlns:ns1="http://schemas.microsoft.com/sharepoint/v3" xmlns:ns2="deb1ce22-6acc-4bea-9030-a2f271c7cbf2" xmlns:ns3="b70e8931-dec7-4815-b5e4-86cf9ce02c1d" targetNamespace="http://schemas.microsoft.com/office/2006/metadata/properties" ma:root="true" ma:fieldsID="bc6e8dc00bf1b85f5431a46707004e2e" ns1:_="" ns2:_="" ns3:_="">
    <xsd:import namespace="http://schemas.microsoft.com/sharepoint/v3"/>
    <xsd:import namespace="deb1ce22-6acc-4bea-9030-a2f271c7cbf2"/>
    <xsd:import namespace="b70e8931-dec7-4815-b5e4-86cf9ce02c1d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b1ce22-6acc-4bea-9030-a2f271c7cbf2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7" nillable="true" ma:displayName="Taxonomy Catch All Column" ma:hidden="true" ma:list="{8cc9bfba-eca7-41ba-af1d-7f3a051e8a31}" ma:internalName="TaxCatchAll" ma:showField="CatchAllData" ma:web="deb1ce22-6acc-4bea-9030-a2f271c7cb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0e8931-dec7-4815-b5e4-86cf9ce02c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346E696-052F-4B5F-ACA5-FEC59FA933A0}">
  <ds:schemaRefs>
    <ds:schemaRef ds:uri="http://schemas.microsoft.com/office/2006/documentManagement/types"/>
    <ds:schemaRef ds:uri="http://purl.org/dc/dcmitype/"/>
    <ds:schemaRef ds:uri="http://purl.org/dc/elements/1.1/"/>
    <ds:schemaRef ds:uri="http://purl.org/dc/terms/"/>
    <ds:schemaRef ds:uri="c1a710f6-3443-49c5-8526-2d5e3dc235dc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551fa03f-945b-47ef-a99b-0f269d80977f"/>
    <ds:schemaRef ds:uri="http://www.w3.org/XML/1998/namespace"/>
    <ds:schemaRef ds:uri="b70e8931-dec7-4815-b5e4-86cf9ce02c1d"/>
    <ds:schemaRef ds:uri="deb1ce22-6acc-4bea-9030-a2f271c7cbf2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421F6380-B89D-4C74-82E7-2BCC4F7517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eb1ce22-6acc-4bea-9030-a2f271c7cbf2"/>
    <ds:schemaRef ds:uri="b70e8931-dec7-4815-b5e4-86cf9ce02c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B9F2098-5704-4C1F-8425-DA62120DE9D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7FF6334F-FF99-4F70-A19E-98B27330967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fd3dce4f-adec-49b9-a61c-ca997e6042d7}" enabled="1" method="Privilege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Base Year</vt:lpstr>
      <vt:lpstr>Option 1</vt:lpstr>
      <vt:lpstr>Option 2</vt:lpstr>
      <vt:lpstr>Option 3</vt:lpstr>
      <vt:lpstr>Option 4</vt:lpstr>
      <vt:lpstr>Far 52.217-8 (6-Month Ext)</vt:lpstr>
    </vt:vector>
  </TitlesOfParts>
  <Company>HPES NMCI 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Nelson, Bud R CIV CNAP, N422AC</dc:creator>
  <cp:lastModifiedBy>Jordan, Christine M CIV USN NAVSUP FLCSD (USA)</cp:lastModifiedBy>
  <dcterms:created xsi:type="dcterms:W3CDTF">2020-06-07T17:29:33Z</dcterms:created>
  <dcterms:modified xsi:type="dcterms:W3CDTF">2026-02-19T02:51:11Z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0x010100474D2663FDB467468C3494754D0C38E6</vt:lpwstr>
  </property>
  <property fmtid="{D5CDD505-2E9C-101B-9397-08002B2CF9AE}" pid="4" name="_dlc_DocIdItemGuid">
    <vt:lpwstr>4a4ae21f-ae3e-4450-ae0c-7ce9aa69b800</vt:lpwstr>
  </property>
  <property fmtid="{D5CDD505-2E9C-101B-9397-08002B2CF9AE}" pid="5" name="MSIP_Label_fd3dce4f-adec-49b9-a61c-ca997e6042d7_Enabled">
    <vt:lpwstr>True</vt:lpwstr>
  </property>
  <property fmtid="{D5CDD505-2E9C-101B-9397-08002B2CF9AE}" pid="6" name="MSIP_Label_fd3dce4f-adec-49b9-a61c-ca997e6042d7_SiteId">
    <vt:lpwstr>e3333e00-c877-4b87-b6ad-45e942de1750</vt:lpwstr>
  </property>
  <property fmtid="{D5CDD505-2E9C-101B-9397-08002B2CF9AE}" pid="7" name="MSIP_Label_fd3dce4f-adec-49b9-a61c-ca997e6042d7_SetDate">
    <vt:lpwstr>2025-08-15T16:46:38Z</vt:lpwstr>
  </property>
  <property fmtid="{D5CDD505-2E9C-101B-9397-08002B2CF9AE}" pid="8" name="MSIP_Label_fd3dce4f-adec-49b9-a61c-ca997e6042d7_Name">
    <vt:lpwstr>PII \ CUI (PRIVACY-General)</vt:lpwstr>
  </property>
  <property fmtid="{D5CDD505-2E9C-101B-9397-08002B2CF9AE}" pid="9" name="MSIP_Label_fd3dce4f-adec-49b9-a61c-ca997e6042d7_ActionId">
    <vt:lpwstr>2e0900bc-31f8-49f1-9f4b-41de73498f87</vt:lpwstr>
  </property>
  <property fmtid="{D5CDD505-2E9C-101B-9397-08002B2CF9AE}" pid="10" name="MSIP_Label_fd3dce4f-adec-49b9-a61c-ca997e6042d7_Removed">
    <vt:lpwstr>False</vt:lpwstr>
  </property>
  <property fmtid="{D5CDD505-2E9C-101B-9397-08002B2CF9AE}" pid="11" name="MSIP_Label_fd3dce4f-adec-49b9-a61c-ca997e6042d7_Parent">
    <vt:lpwstr>30f4d840-7e5d-4c3f-ab4d-d440f4c4a7c2</vt:lpwstr>
  </property>
  <property fmtid="{D5CDD505-2E9C-101B-9397-08002B2CF9AE}" pid="12" name="MSIP_Label_fd3dce4f-adec-49b9-a61c-ca997e6042d7_Extended_MSFT_Method">
    <vt:lpwstr>Standard</vt:lpwstr>
  </property>
  <property fmtid="{D5CDD505-2E9C-101B-9397-08002B2CF9AE}" pid="13" name="MSIP_Label_30f4d840-7e5d-4c3f-ab4d-d440f4c4a7c2_Enabled">
    <vt:lpwstr>True</vt:lpwstr>
  </property>
  <property fmtid="{D5CDD505-2E9C-101B-9397-08002B2CF9AE}" pid="14" name="MSIP_Label_30f4d840-7e5d-4c3f-ab4d-d440f4c4a7c2_SiteId">
    <vt:lpwstr>e3333e00-c877-4b87-b6ad-45e942de1750</vt:lpwstr>
  </property>
  <property fmtid="{D5CDD505-2E9C-101B-9397-08002B2CF9AE}" pid="15" name="MSIP_Label_30f4d840-7e5d-4c3f-ab4d-d440f4c4a7c2_SetDate">
    <vt:lpwstr>2025-08-15T16:46:38Z</vt:lpwstr>
  </property>
  <property fmtid="{D5CDD505-2E9C-101B-9397-08002B2CF9AE}" pid="16" name="MSIP_Label_30f4d840-7e5d-4c3f-ab4d-d440f4c4a7c2_Name">
    <vt:lpwstr>PII</vt:lpwstr>
  </property>
  <property fmtid="{D5CDD505-2E9C-101B-9397-08002B2CF9AE}" pid="17" name="MSIP_Label_30f4d840-7e5d-4c3f-ab4d-d440f4c4a7c2_ActionId">
    <vt:lpwstr>9cf3a653-642a-42f9-8075-896e572014f7</vt:lpwstr>
  </property>
  <property fmtid="{D5CDD505-2E9C-101B-9397-08002B2CF9AE}" pid="18" name="MSIP_Label_30f4d840-7e5d-4c3f-ab4d-d440f4c4a7c2_Extended_MSFT_Method">
    <vt:lpwstr>Standard</vt:lpwstr>
  </property>
  <property fmtid="{D5CDD505-2E9C-101B-9397-08002B2CF9AE}" pid="19" name="Sensitivity">
    <vt:lpwstr>PII \ CUI (PRIVACY-General) PII</vt:lpwstr>
  </property>
</Properties>
</file>