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mc:AlternateContent xmlns:mc="http://schemas.openxmlformats.org/markup-compatibility/2006">
    <mc:Choice Requires="x15">
      <x15ac:absPath xmlns:x15ac="http://schemas.microsoft.com/office/spreadsheetml/2010/11/ac" url="https://armyeitaas.sharepoint-mil.us/teams/PdSAWSACC-RI/Shared Documents/NEW FY27 Contract/I. Pre-Award/A. Requirements Development/Procurement Package Documents/For PCO Review/"/>
    </mc:Choice>
  </mc:AlternateContent>
  <xr:revisionPtr revIDLastSave="904" documentId="8_{1D06DEA7-C68B-437A-B7DE-75D559DD206B}" xr6:coauthVersionLast="47" xr6:coauthVersionMax="47" xr10:uidLastSave="{DCBF11F0-956D-4886-9D9F-06E253BE8390}"/>
  <workbookProtection workbookAlgorithmName="SHA-512" workbookHashValue="agOE66o1V0xJ2EzsgDB9aW5XgPKoT2s1vnADbAfwbhtdVncm+DTBJAITHuH5rK0DoXkVYmsOznJNdPE32z/oKQ==" workbookSaltValue="ilGe/2SHEhKT9FCarvlUVw==" workbookSpinCount="100000" lockStructure="1"/>
  <bookViews>
    <workbookView xWindow="-56820" yWindow="825" windowWidth="26040" windowHeight="14310" activeTab="2" xr2:uid="{00000000-000D-0000-FFFF-FFFF00000000}"/>
  </bookViews>
  <sheets>
    <sheet name="Example Self-Score Instructions" sheetId="3" r:id="rId1"/>
    <sheet name="GO_NO-GO Gate" sheetId="4" r:id="rId2"/>
    <sheet name="Self-Scoring Matrix" sheetId="1" r:id="rId3"/>
    <sheet name="XLSX Data Elements" sheetId="5" r:id="rId4"/>
  </sheets>
  <definedNames>
    <definedName name="_xlnm.Print_Area" localSheetId="2">'Self-Scoring Matrix'!$A$1:$K$59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1" l="1"/>
  <c r="G43" i="1"/>
  <c r="G57" i="1" l="1"/>
  <c r="G58" i="1" l="1"/>
  <c r="G53" i="1"/>
  <c r="G54" i="1"/>
  <c r="G55" i="1"/>
  <c r="G52" i="1"/>
  <c r="G21" i="1"/>
  <c r="G22" i="1"/>
  <c r="G23" i="1"/>
  <c r="G25" i="1"/>
  <c r="G26" i="1"/>
  <c r="G27" i="1"/>
  <c r="G29" i="1"/>
  <c r="G30" i="1"/>
  <c r="G31" i="1"/>
  <c r="G32" i="1"/>
  <c r="G34" i="1"/>
  <c r="G35" i="1"/>
  <c r="G36" i="1"/>
  <c r="G38" i="1"/>
  <c r="G39" i="1"/>
  <c r="G40" i="1"/>
  <c r="G41" i="1"/>
  <c r="G42" i="1"/>
  <c r="G44" i="1"/>
  <c r="G14" i="1"/>
  <c r="G15" i="1"/>
  <c r="G16" i="1"/>
  <c r="G17" i="1"/>
  <c r="G18" i="1"/>
  <c r="G19" i="1"/>
  <c r="G8" i="1"/>
  <c r="G10" i="1"/>
  <c r="G11" i="1"/>
  <c r="G12" i="1"/>
  <c r="G7" i="1"/>
  <c r="G59" i="1" l="1"/>
  <c r="D9" i="4"/>
  <c r="D7" i="4"/>
  <c r="D6" i="4"/>
  <c r="D8"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D5E272B-6B1E-4920-AE35-0EBA8E1FF2DA}" keepAlive="1" name="Query - Self-Score" description="Connection to the 'Self-Score' query in the workbook." type="5" refreshedVersion="0" background="1" saveData="1">
    <dbPr connection="Provider=Microsoft.Mashup.OleDb.1;Data Source=$Workbook$;Location=Self-Score;Extended Properties=&quot;&quot;" command="SELECT * FROM [Self-Score]"/>
  </connection>
</connections>
</file>

<file path=xl/sharedStrings.xml><?xml version="1.0" encoding="utf-8"?>
<sst xmlns="http://schemas.openxmlformats.org/spreadsheetml/2006/main" count="167" uniqueCount="95">
  <si>
    <t>HTRO Scoring Matrix Instructions</t>
  </si>
  <si>
    <t>Total Number of Points Available: TBD</t>
  </si>
  <si>
    <t xml:space="preserve">Minimum Technical Rating Threshold (MTTR): </t>
  </si>
  <si>
    <t>TBD</t>
  </si>
  <si>
    <r>
      <t>1.</t>
    </r>
    <r>
      <rPr>
        <b/>
        <sz val="12"/>
        <color theme="1"/>
        <rFont val="Arial"/>
        <family val="2"/>
      </rPr>
      <t xml:space="preserve"> Factor 1</t>
    </r>
    <r>
      <rPr>
        <sz val="12"/>
        <color theme="1"/>
        <rFont val="Arial"/>
        <family val="2"/>
      </rPr>
      <t>: Offeror will input Company Name in cell B4.</t>
    </r>
  </si>
  <si>
    <r>
      <t xml:space="preserve">2. </t>
    </r>
    <r>
      <rPr>
        <b/>
        <sz val="12"/>
        <color theme="1"/>
        <rFont val="Arial"/>
        <family val="2"/>
      </rPr>
      <t>Factor 1</t>
    </r>
    <r>
      <rPr>
        <sz val="12"/>
        <color theme="1"/>
        <rFont val="Arial"/>
        <family val="2"/>
      </rPr>
      <t xml:space="preserve">: Offeror will indicate if they have (Yes)/have not (No) had xxxxxxx by using the drop down menu in Column C. </t>
    </r>
  </si>
  <si>
    <t xml:space="preserve">STOP HERE.  If Offeror did not PASS any questions in STEP 1 Rows 6, 7, 8 OR 9, Offeror may NOT submit a proposal. </t>
  </si>
  <si>
    <t xml:space="preserve"> If Offeror DID PASS all questions in Factor 1 Rows 6, 7, 8 AND 9, Offeror may submit a proposal and proceed to Step 2. </t>
  </si>
  <si>
    <r>
      <t>3.</t>
    </r>
    <r>
      <rPr>
        <b/>
        <sz val="12"/>
        <color theme="1"/>
        <rFont val="Arial"/>
        <family val="2"/>
      </rPr>
      <t xml:space="preserve"> Factor 2</t>
    </r>
    <r>
      <rPr>
        <sz val="12"/>
        <color theme="1"/>
        <rFont val="Arial"/>
        <family val="2"/>
      </rPr>
      <t>: Offeror will input Company Name in cell B3.</t>
    </r>
  </si>
  <si>
    <r>
      <t xml:space="preserve">4. </t>
    </r>
    <r>
      <rPr>
        <b/>
        <sz val="12"/>
        <color theme="1"/>
        <rFont val="Arial"/>
        <family val="2"/>
      </rPr>
      <t>Factor 2:</t>
    </r>
    <r>
      <rPr>
        <sz val="12"/>
        <color theme="1"/>
        <rFont val="Arial"/>
        <family val="2"/>
      </rPr>
      <t xml:space="preserve"> Offeror will utilize Column D ("</t>
    </r>
    <r>
      <rPr>
        <sz val="12"/>
        <color rgb="FF0000FF"/>
        <rFont val="Arial"/>
        <family val="2"/>
      </rPr>
      <t>Quantity Submitted</t>
    </r>
    <r>
      <rPr>
        <sz val="12"/>
        <color theme="1"/>
        <rFont val="Arial"/>
        <family val="2"/>
      </rPr>
      <t>") to input artifacts for their Self-Score for the Evaluation Categories listed in column B.</t>
    </r>
  </si>
  <si>
    <r>
      <t xml:space="preserve">5. </t>
    </r>
    <r>
      <rPr>
        <b/>
        <sz val="12"/>
        <color theme="1"/>
        <rFont val="Arial"/>
        <family val="2"/>
      </rPr>
      <t xml:space="preserve">Factor 2: </t>
    </r>
    <r>
      <rPr>
        <sz val="12"/>
        <color theme="1"/>
        <rFont val="Arial"/>
        <family val="2"/>
      </rPr>
      <t>Evaluation Categories where the Offeror cannot demonstrate experience shall be loaded with zero (0) and the Offeror will receive zero (0) points.</t>
    </r>
  </si>
  <si>
    <r>
      <t xml:space="preserve">6. </t>
    </r>
    <r>
      <rPr>
        <b/>
        <sz val="12"/>
        <color theme="1"/>
        <rFont val="Arial"/>
        <family val="2"/>
      </rPr>
      <t>Factor 2:</t>
    </r>
    <r>
      <rPr>
        <sz val="12"/>
        <color theme="1"/>
        <rFont val="Arial"/>
        <family val="2"/>
      </rPr>
      <t xml:space="preserve"> Once all scores have been input,</t>
    </r>
    <r>
      <rPr>
        <sz val="12"/>
        <color rgb="FFFF0000"/>
        <rFont val="Arial"/>
        <family val="2"/>
      </rPr>
      <t xml:space="preserve"> cell G58</t>
    </r>
    <r>
      <rPr>
        <sz val="12"/>
        <color theme="1"/>
        <rFont val="Arial"/>
        <family val="2"/>
      </rPr>
      <t xml:space="preserve"> will show the Offeror's Self-Score Total. The cell will show</t>
    </r>
    <r>
      <rPr>
        <sz val="12"/>
        <color rgb="FFFF0000"/>
        <rFont val="Arial"/>
        <family val="2"/>
      </rPr>
      <t xml:space="preserve"> red</t>
    </r>
    <r>
      <rPr>
        <sz val="12"/>
        <color theme="1"/>
        <rFont val="Arial"/>
        <family val="2"/>
      </rPr>
      <t xml:space="preserve"> if the Offeror has not met the MTTR or will show </t>
    </r>
    <r>
      <rPr>
        <sz val="12"/>
        <color theme="9"/>
        <rFont val="Arial"/>
        <family val="2"/>
      </rPr>
      <t>green</t>
    </r>
    <r>
      <rPr>
        <sz val="12"/>
        <color theme="1"/>
        <rFont val="Arial"/>
        <family val="2"/>
      </rPr>
      <t xml:space="preserve"> if the Offeror has met the MTTR. </t>
    </r>
  </si>
  <si>
    <r>
      <rPr>
        <b/>
        <sz val="12"/>
        <color theme="1"/>
        <rFont val="Arial"/>
        <family val="2"/>
      </rPr>
      <t>NOTE:</t>
    </r>
    <r>
      <rPr>
        <sz val="12"/>
        <color theme="1"/>
        <rFont val="Arial"/>
        <family val="2"/>
      </rPr>
      <t xml:space="preserve"> Only Offerors who have met or exceeded the MTTR will be eligible for award.</t>
    </r>
  </si>
  <si>
    <t xml:space="preserve">Offeror Name: </t>
  </si>
  <si>
    <t xml:space="preserve">Answer </t>
  </si>
  <si>
    <t xml:space="preserve">Pass </t>
  </si>
  <si>
    <t>Yes</t>
  </si>
  <si>
    <t>Sec L Ref</t>
  </si>
  <si>
    <t>Quantity Limit</t>
  </si>
  <si>
    <t>Quantity Submitted</t>
  </si>
  <si>
    <t>Point Value Each</t>
  </si>
  <si>
    <t>Max Possible Points</t>
  </si>
  <si>
    <t>Offeror's Raw Score</t>
  </si>
  <si>
    <t>L-3.x.x.x</t>
  </si>
  <si>
    <t xml:space="preserve"> RELEVANT EXPERIENCE</t>
  </si>
  <si>
    <t>Points Available</t>
  </si>
  <si>
    <t>Possible total of the two Sub-Sections</t>
  </si>
  <si>
    <t>MTTR</t>
  </si>
  <si>
    <t>For the tables and drop downs</t>
  </si>
  <si>
    <t xml:space="preserve">Go - NoGo Table </t>
  </si>
  <si>
    <t>HTRO Self-Score Matrix</t>
  </si>
  <si>
    <t>No longer used</t>
  </si>
  <si>
    <t>No</t>
  </si>
  <si>
    <t>Offeror's Response</t>
  </si>
  <si>
    <t>Offeror's Self-Score Total</t>
  </si>
  <si>
    <t>Maximum Possible Points</t>
  </si>
  <si>
    <t>Have you performed as a prime or a subcontractor on an Arms, Ammunition &amp; Explosive (AA&amp;E) contract within the last five (5) years?</t>
  </si>
  <si>
    <t>Are you currently registered with the U.S. Department of State's Directorate of Defense Trade Controls (DDTC)?</t>
  </si>
  <si>
    <t>All documentation must be from the last five (5) years.</t>
  </si>
  <si>
    <r>
      <rPr>
        <b/>
        <sz val="14"/>
        <color rgb="FF0000FF"/>
        <rFont val="Arial"/>
        <family val="2"/>
      </rPr>
      <t>80%</t>
    </r>
    <r>
      <rPr>
        <b/>
        <sz val="14"/>
        <color theme="1"/>
        <rFont val="Arial"/>
        <family val="2"/>
      </rPr>
      <t xml:space="preserve"> of Possible</t>
    </r>
  </si>
  <si>
    <t>IDIQ BASE ATTACHMENT 000X – HTRO SELF-SCORING MATRIX</t>
  </si>
  <si>
    <t>Do you have an active System for Award Management (SAM) registration (with corresponding Commercial and Government Entity (CAGE) Code and Unique Entity Identifier (UEI) Number)?</t>
  </si>
  <si>
    <t xml:space="preserve"> HTRO Self-Scoring Matrix - Factor 1 GO/NO-GO Gate</t>
  </si>
  <si>
    <t>Factor 2 HTRO Self-Scoring Matrix</t>
  </si>
  <si>
    <t xml:space="preserve">1.b.1:  Provide prospective Letters of Commitment from Foreign or U.S. ammunition manufacturers for prospective contracts. Identify the FSC code each delivery represents.  </t>
  </si>
  <si>
    <t xml:space="preserve">2.b.1:  Provide prospective/draft EUCs for prospective contracts. Identify the FSC code each delivery represents. </t>
  </si>
  <si>
    <t xml:space="preserve">7.a.1:  Provide executed Transportation Plans to, from or between foreign countries supporting the transport of AA&amp;E. </t>
  </si>
  <si>
    <t>7.b.1:  Provide prospective Transportation Plans to, from or between foreign countries supporting the transport of AA&amp;E.</t>
  </si>
  <si>
    <t xml:space="preserve">2.a.1:  Provide historical, approved, and signed EUCs from past or current contracts. Identify the FSC code each delivery represents.  </t>
  </si>
  <si>
    <t>Do you have a current Federal Firearms License (FFL) Type 11– Importer of Destructive Devices?</t>
  </si>
  <si>
    <t xml:space="preserve">1.a.1:  Provide historical / archival Letters of Commitment (LoC) and associated documentation of delivery from foreign or U.S. ammunition manufacturers for past or current contracts. Identify the Federal Supply Class (FSC) code each delivery represents.  </t>
  </si>
  <si>
    <t xml:space="preserve">3.a.1:  Provide historical, approved, and signed Export Licenses from past or current contracts. Identify the FSC code each delivery represents. </t>
  </si>
  <si>
    <t xml:space="preserve">4.a.1:  Provide approved ESSPs for foreign ammunition manufacturers. Identify the FSC code each plan represents. </t>
  </si>
  <si>
    <t>5.b.1:  Provide other North Atlantic Treaty Organization (NATO) draft TDPs from ammunition manufacturers. Identify the FSC code each TDP represents.</t>
  </si>
  <si>
    <t xml:space="preserve">6.a.1:  Provide approved Lot Acceptance Test Reports (LATRs) that demonstrate acceptance of ammunition production on a Government contract. </t>
  </si>
  <si>
    <t>8.a:  Prime Contractor on contract over $50M</t>
  </si>
  <si>
    <t>8.b:   Prime Contractor on contract under $50M</t>
  </si>
  <si>
    <t>8.c:  Subcontractor on contract over $50M</t>
  </si>
  <si>
    <t>8.d: Subcontractor on contract under $50M</t>
  </si>
  <si>
    <t xml:space="preserve">5.a.1:  Provide a Government-approved TDPs developed from ammunition manufacturers. Identify the FSC code each TDP represents. </t>
  </si>
  <si>
    <t>up to 10</t>
  </si>
  <si>
    <t>1.a.3:  Documentation illustrates different types of ammunition. Score based on the number of different FSC codes. (Based on submissions for 1.a.1. No additional documentation required)</t>
  </si>
  <si>
    <t>Category 1.  Demonstrate your ability to deliver munitions from an ammunition manufacturer</t>
  </si>
  <si>
    <t>1.b.3:  Documentation illustrates different types of ammunition. Score based on the number of different FSC codes. (Based on submissions for 1.b.1. No additional documentation required)</t>
  </si>
  <si>
    <t>Category 2.  Demonstrate your ability to obtain End User Certificates (EUCs)</t>
  </si>
  <si>
    <t>Category 5.  Demonstrate your ability to complete Technical Data Packages (TDPs)</t>
  </si>
  <si>
    <t>Category 6.  Demonstrate your ability to complete Lot Acceptance Tests (LATs)</t>
  </si>
  <si>
    <t>2.a.3:  Documentation illustrates different types of ammunition. Score based on the number of different FSC codes. (Based on submissions for 2.a.1. No additional documentation required)</t>
  </si>
  <si>
    <t>2.a.2:  Number of different foreign countries. (Based on submissions for 2.a.1. No additional documentation required)</t>
  </si>
  <si>
    <t>1.a.2:  Number of different foreign maufacturers. (Based on submissions for 1.a.1. No additional documentation required)</t>
  </si>
  <si>
    <t>1.b.2:  Number of different foreign manufacturers. (Based on submissions for 1.b.1. No additional documentation required)</t>
  </si>
  <si>
    <t>2.b.2:  Number of different foreign countries. (Based on submissions for 2.b.1. No additional documentation required)</t>
  </si>
  <si>
    <t>2.b.3  Documentation illustrates different types of ammunition. Score based on the number of different FSC codes. (Based on submissions for 2.b.1. No additional documentation required)</t>
  </si>
  <si>
    <t>Category 3.  Demonstrate your ability to obtain Export Licenses</t>
  </si>
  <si>
    <t>3.a.2:  Number of different foreign countries. (Based on submissions for 3.a.1. No additional documentation required)</t>
  </si>
  <si>
    <t>3.a.3:  Documentation illustrates different types of ammunition. Score based on the number of different FSC codes. (Based on submissions for 3.a.1. No additional documentation required)</t>
  </si>
  <si>
    <t>up to 5</t>
  </si>
  <si>
    <t>up to 4</t>
  </si>
  <si>
    <t>5.a.2:  Documentation illustrates different types of ammunition. Score based on the number of different FSC codes. (Based on submissions for 5.a.1. No additional documentation required)</t>
  </si>
  <si>
    <t>5.b.2:  Documentation illustrates different types of ammunition. Score based on the number of different FSC codes. (Based on submissions for 5.b.1. No additional documentation required)</t>
  </si>
  <si>
    <t>4.a.2:  Number of different foreign countries. (Based on submissions for 4.a.1. No additional documentation required)</t>
  </si>
  <si>
    <t>4.a.3:  Documentation illustrates different types of ammunition. Score based on the number of different FSC codes. (Based on submissions for 4.a.1. No additional documentation required)</t>
  </si>
  <si>
    <t>6.a.2:  Number of foreign test sites. (Based on submissions for 6.a.1. No additional documentation required)</t>
  </si>
  <si>
    <t>6.a.3:  Documentation illustrates different types of ammuniton. Score based on the number of different FSC codes. (Based on submissions for 6.a.1. No additional documentation required)</t>
  </si>
  <si>
    <t>up to 6</t>
  </si>
  <si>
    <t>up to 7</t>
  </si>
  <si>
    <t>up to 1</t>
  </si>
  <si>
    <t>7.a.2:  Number of different countries shipped from (origin) or shipped to (destination). (Based on submissions for 7.a.1. No additional documentation required)</t>
  </si>
  <si>
    <t>7.a.3:  Number of transportation modes. (Based on submissions for 7.a.1. No additional documentation required)</t>
  </si>
  <si>
    <t xml:space="preserve">7.a.4:  Use of U.S.-Flag Vessels or use of U.S.-Flag Vessel Waiver. (Based on submissions for 7.a.1. No additional documentation required) </t>
  </si>
  <si>
    <t>Category 8.  Government contracts for Arms, Ammunition, or Explosives.</t>
  </si>
  <si>
    <t xml:space="preserve">7.b.2:  Number of different countries shipped from (origin) or shipped to (destination). (Based on submissions for 7.b.1. No additional documentation required) </t>
  </si>
  <si>
    <t xml:space="preserve">7.b.3:  Number of transportation modes. (Based on submissions for 7.b.1. No additional documentation required) </t>
  </si>
  <si>
    <t>Category 4.  Demonstrate your ability to complete Explosive Site Safety Plans (ESSPs)</t>
  </si>
  <si>
    <t>Category 7.  Demonstrate your ability to complete transport of Arms, Ammunition &amp; Explosives (AA&amp;E)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</si>
</sst>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x14ac:knownFonts="1">
    <font>
      <sz val="11"/>
      <color theme="1"/>
      <name val="Calibri"/>
      <family val="2"/>
      <scheme val="minor"/>
    </font>
    <font>
      <b/>
      <sz val="16"/>
      <color rgb="FF0000FF"/>
      <name val="Arial"/>
      <family val="2"/>
    </font>
    <font>
      <b/>
      <sz val="16"/>
      <color theme="1"/>
      <name val="Arial"/>
      <family val="2"/>
    </font>
    <font>
      <b/>
      <sz val="12"/>
      <color theme="1"/>
      <name val="Arial"/>
      <family val="2"/>
    </font>
    <font>
      <sz val="11"/>
      <color theme="1"/>
      <name val="Arial"/>
      <family val="2"/>
    </font>
    <font>
      <sz val="12"/>
      <color theme="1"/>
      <name val="Arial"/>
      <family val="2"/>
    </font>
    <font>
      <b/>
      <sz val="14"/>
      <color theme="1"/>
      <name val="Arial"/>
      <family val="2"/>
    </font>
    <font>
      <b/>
      <sz val="12"/>
      <color rgb="FFFF0000"/>
      <name val="Arial"/>
      <family val="2"/>
    </font>
    <font>
      <b/>
      <sz val="12"/>
      <color rgb="FF00B050"/>
      <name val="Arial"/>
      <family val="2"/>
    </font>
    <font>
      <sz val="12"/>
      <color rgb="FFFF0000"/>
      <name val="Arial"/>
      <family val="2"/>
    </font>
    <font>
      <sz val="12"/>
      <color theme="9"/>
      <name val="Arial"/>
      <family val="2"/>
    </font>
    <font>
      <b/>
      <sz val="16"/>
      <color rgb="FFFF0000"/>
      <name val="Arial"/>
      <family val="2"/>
    </font>
    <font>
      <sz val="8"/>
      <name val="Calibri"/>
      <family val="2"/>
      <scheme val="minor"/>
    </font>
    <font>
      <sz val="12"/>
      <color rgb="FF0000FF"/>
      <name val="Arial"/>
      <family val="2"/>
    </font>
    <font>
      <sz val="11"/>
      <color theme="7" tint="-0.499984740745262"/>
      <name val="Calibri"/>
      <family val="2"/>
      <scheme val="minor"/>
    </font>
    <font>
      <b/>
      <sz val="14"/>
      <color rgb="FF0000FF"/>
      <name val="Arial"/>
      <family val="2"/>
    </font>
    <font>
      <sz val="14"/>
      <color theme="1"/>
      <name val="Calibri"/>
      <family val="2"/>
      <scheme val="minor"/>
    </font>
    <font>
      <sz val="14"/>
      <color theme="1"/>
      <name val="Arial"/>
      <family val="2"/>
    </font>
    <font>
      <b/>
      <sz val="14"/>
      <color theme="7" tint="-0.499984740745262"/>
      <name val="Arial"/>
      <family val="2"/>
    </font>
    <font>
      <b/>
      <sz val="14"/>
      <color theme="5" tint="-0.499984740745262"/>
      <name val="Arial"/>
      <family val="2"/>
    </font>
    <font>
      <sz val="14"/>
      <color rgb="FF0000FF"/>
      <name val="Arial"/>
      <family val="2"/>
    </font>
    <font>
      <sz val="14"/>
      <color theme="1"/>
      <name val="Segoe UI"/>
      <family val="2"/>
    </font>
    <font>
      <sz val="14"/>
      <color theme="7" tint="-0.499984740745262"/>
      <name val="Arial"/>
      <family val="2"/>
    </font>
    <font>
      <sz val="16"/>
      <color theme="1"/>
      <name val="Arial"/>
      <family val="2"/>
    </font>
    <font>
      <sz val="16"/>
      <color theme="1"/>
      <name val="Calibri"/>
      <family val="2"/>
      <scheme val="minor"/>
    </font>
    <font>
      <b/>
      <sz val="16"/>
      <color theme="5" tint="-0.249977111117893"/>
      <name val="Arial"/>
      <family val="2"/>
    </font>
    <font>
      <sz val="16"/>
      <name val="Arial"/>
      <family val="2"/>
    </font>
    <font>
      <sz val="16"/>
      <color rgb="FFFF0000"/>
      <name val="Arial"/>
      <family val="2"/>
    </font>
    <font>
      <sz val="16"/>
      <color theme="7" tint="-0.499984740745262"/>
      <name val="Arial"/>
      <family val="2"/>
    </font>
    <font>
      <b/>
      <sz val="16"/>
      <name val="Arial"/>
      <family val="2"/>
    </font>
  </fonts>
  <fills count="14">
    <fill>
      <patternFill patternType="none"/>
    </fill>
    <fill>
      <patternFill patternType="gray125"/>
    </fill>
    <fill>
      <patternFill patternType="solid">
        <fgColor theme="9" tint="0.59999389629810485"/>
        <bgColor indexed="64"/>
      </patternFill>
    </fill>
    <fill>
      <patternFill patternType="solid">
        <fgColor theme="0"/>
        <bgColor indexed="64"/>
      </patternFill>
    </fill>
    <fill>
      <patternFill patternType="solid">
        <fgColor theme="9" tint="0.79998168889431442"/>
        <bgColor indexed="64"/>
      </patternFill>
    </fill>
    <fill>
      <patternFill patternType="solid">
        <fgColor theme="4" tint="0.39997558519241921"/>
        <bgColor indexed="64"/>
      </patternFill>
    </fill>
    <fill>
      <patternFill patternType="solid">
        <fgColor theme="0" tint="-0.14999847407452621"/>
        <bgColor indexed="64"/>
      </patternFill>
    </fill>
    <fill>
      <patternFill patternType="solid">
        <fgColor theme="0" tint="-0.14999847407452621"/>
        <bgColor rgb="FFD8D8D8"/>
      </patternFill>
    </fill>
    <fill>
      <patternFill patternType="solid">
        <fgColor theme="4" tint="-0.249977111117893"/>
        <bgColor indexed="64"/>
      </patternFill>
    </fill>
    <fill>
      <patternFill patternType="gray0625">
        <bgColor theme="0" tint="-0.14996795556505021"/>
      </patternFill>
    </fill>
    <fill>
      <patternFill patternType="gray0625">
        <bgColor theme="0" tint="-0.14993743705557422"/>
      </patternFill>
    </fill>
    <fill>
      <patternFill patternType="gray0625">
        <bgColor theme="0" tint="-0.14999847407452621"/>
      </patternFill>
    </fill>
    <fill>
      <patternFill patternType="solid">
        <fgColor theme="4" tint="0.79998168889431442"/>
        <bgColor indexed="64"/>
      </patternFill>
    </fill>
    <fill>
      <patternFill patternType="solid">
        <fgColor rgb="FFCCECFF"/>
        <bgColor indexed="64"/>
      </patternFill>
    </fill>
  </fills>
  <borders count="56">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ck">
        <color indexed="64"/>
      </left>
      <right/>
      <top style="medium">
        <color indexed="64"/>
      </top>
      <bottom style="medium">
        <color indexed="64"/>
      </bottom>
      <diagonal/>
    </border>
    <border>
      <left style="thick">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ck">
        <color indexed="64"/>
      </right>
      <top style="thin">
        <color indexed="64"/>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style="thick">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ck">
        <color indexed="64"/>
      </left>
      <right/>
      <top style="thick">
        <color indexed="64"/>
      </top>
      <bottom style="thin">
        <color indexed="64"/>
      </bottom>
      <diagonal/>
    </border>
    <border>
      <left style="thick">
        <color indexed="64"/>
      </left>
      <right/>
      <top style="thin">
        <color indexed="64"/>
      </top>
      <bottom style="thin">
        <color indexed="64"/>
      </bottom>
      <diagonal/>
    </border>
    <border>
      <left style="thick">
        <color indexed="64"/>
      </left>
      <right/>
      <top style="thin">
        <color indexed="64"/>
      </top>
      <bottom style="thick">
        <color indexed="64"/>
      </bottom>
      <diagonal/>
    </border>
    <border>
      <left style="medium">
        <color indexed="64"/>
      </left>
      <right/>
      <top/>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diagonal/>
    </border>
    <border>
      <left style="thin">
        <color indexed="64"/>
      </left>
      <right style="thin">
        <color indexed="64"/>
      </right>
      <top/>
      <bottom/>
      <diagonal/>
    </border>
    <border>
      <left/>
      <right/>
      <top style="thin">
        <color indexed="64"/>
      </top>
      <bottom style="thin">
        <color indexed="64"/>
      </bottom>
      <diagonal/>
    </border>
    <border>
      <left/>
      <right style="thin">
        <color indexed="64"/>
      </right>
      <top style="medium">
        <color indexed="64"/>
      </top>
      <bottom style="medium">
        <color indexed="64"/>
      </bottom>
      <diagonal/>
    </border>
    <border>
      <left/>
      <right style="thick">
        <color indexed="64"/>
      </right>
      <top style="medium">
        <color indexed="64"/>
      </top>
      <bottom style="medium">
        <color indexed="64"/>
      </bottom>
      <diagonal/>
    </border>
    <border>
      <left/>
      <right style="thick">
        <color indexed="64"/>
      </right>
      <top/>
      <bottom/>
      <diagonal/>
    </border>
    <border>
      <left style="thin">
        <color indexed="64"/>
      </left>
      <right style="thick">
        <color indexed="64"/>
      </right>
      <top style="medium">
        <color indexed="64"/>
      </top>
      <bottom style="medium">
        <color indexed="64"/>
      </bottom>
      <diagonal/>
    </border>
    <border>
      <left style="thin">
        <color indexed="64"/>
      </left>
      <right style="thick">
        <color indexed="64"/>
      </right>
      <top style="medium">
        <color indexed="64"/>
      </top>
      <bottom/>
      <diagonal/>
    </border>
    <border>
      <left style="thin">
        <color indexed="64"/>
      </left>
      <right style="thick">
        <color indexed="64"/>
      </right>
      <top/>
      <bottom/>
      <diagonal/>
    </border>
    <border>
      <left style="thin">
        <color indexed="64"/>
      </left>
      <right/>
      <top/>
      <bottom/>
      <diagonal/>
    </border>
    <border>
      <left/>
      <right/>
      <top style="medium">
        <color indexed="64"/>
      </top>
      <bottom/>
      <diagonal/>
    </border>
    <border>
      <left/>
      <right/>
      <top/>
      <bottom style="medium">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style="thin">
        <color indexed="64"/>
      </left>
      <right/>
      <top style="medium">
        <color indexed="64"/>
      </top>
      <bottom style="medium">
        <color indexed="64"/>
      </bottom>
      <diagonal/>
    </border>
    <border>
      <left style="thin">
        <color indexed="64"/>
      </left>
      <right style="thick">
        <color indexed="64"/>
      </right>
      <top style="medium">
        <color indexed="64"/>
      </top>
      <bottom style="thin">
        <color indexed="64"/>
      </bottom>
      <diagonal/>
    </border>
    <border>
      <left style="thin">
        <color indexed="64"/>
      </left>
      <right style="thick">
        <color indexed="64"/>
      </right>
      <top style="thin">
        <color indexed="64"/>
      </top>
      <bottom style="thick">
        <color indexed="64"/>
      </bottom>
      <diagonal/>
    </border>
    <border>
      <left style="thin">
        <color indexed="64"/>
      </left>
      <right/>
      <top style="thin">
        <color indexed="64"/>
      </top>
      <bottom/>
      <diagonal/>
    </border>
    <border>
      <left style="thin">
        <color indexed="64"/>
      </left>
      <right/>
      <top style="thin">
        <color indexed="64"/>
      </top>
      <bottom style="medium">
        <color indexed="64"/>
      </bottom>
      <diagonal/>
    </border>
    <border>
      <left/>
      <right/>
      <top style="thick">
        <color indexed="64"/>
      </top>
      <bottom style="thin">
        <color indexed="64"/>
      </bottom>
      <diagonal/>
    </border>
    <border>
      <left/>
      <right/>
      <top style="thin">
        <color indexed="64"/>
      </top>
      <bottom style="thick">
        <color indexed="64"/>
      </bottom>
      <diagonal/>
    </border>
    <border>
      <left style="medium">
        <color indexed="64"/>
      </left>
      <right style="thick">
        <color indexed="64"/>
      </right>
      <top style="thick">
        <color indexed="64"/>
      </top>
      <bottom style="thin">
        <color indexed="64"/>
      </bottom>
      <diagonal/>
    </border>
    <border>
      <left style="medium">
        <color indexed="64"/>
      </left>
      <right style="thick">
        <color indexed="64"/>
      </right>
      <top style="thin">
        <color indexed="64"/>
      </top>
      <bottom style="thick">
        <color indexed="64"/>
      </bottom>
      <diagonal/>
    </border>
    <border>
      <left style="thick">
        <color indexed="64"/>
      </left>
      <right/>
      <top/>
      <bottom/>
      <diagonal/>
    </border>
    <border>
      <left style="thin">
        <color indexed="64"/>
      </left>
      <right style="thick">
        <color indexed="64"/>
      </right>
      <top style="thin">
        <color indexed="64"/>
      </top>
      <bottom/>
      <diagonal/>
    </border>
    <border>
      <left style="thin">
        <color indexed="64"/>
      </left>
      <right style="thick">
        <color indexed="64"/>
      </right>
      <top/>
      <bottom style="medium">
        <color indexed="64"/>
      </bottom>
      <diagonal/>
    </border>
  </borders>
  <cellStyleXfs count="1">
    <xf numFmtId="0" fontId="0" fillId="0" borderId="0"/>
  </cellStyleXfs>
  <cellXfs count="174">
    <xf numFmtId="0" fontId="0" fillId="0" borderId="0" xfId="0"/>
    <xf numFmtId="0" fontId="3" fillId="0" borderId="0" xfId="0" applyFont="1"/>
    <xf numFmtId="0" fontId="3" fillId="0" borderId="0" xfId="0" applyFont="1" applyAlignment="1">
      <alignment horizontal="center" wrapText="1"/>
    </xf>
    <xf numFmtId="1" fontId="3" fillId="0" borderId="0" xfId="0" applyNumberFormat="1" applyFont="1" applyAlignment="1">
      <alignment horizontal="center" wrapText="1"/>
    </xf>
    <xf numFmtId="0" fontId="0" fillId="0" borderId="0" xfId="0" applyAlignment="1">
      <alignment horizontal="center" wrapText="1"/>
    </xf>
    <xf numFmtId="0" fontId="3" fillId="0" borderId="24" xfId="0" applyFont="1" applyBorder="1" applyAlignment="1">
      <alignment vertical="center"/>
    </xf>
    <xf numFmtId="0" fontId="4" fillId="3" borderId="24" xfId="0" applyFont="1" applyFill="1" applyBorder="1" applyAlignment="1">
      <alignment horizontal="left" vertical="center" wrapText="1"/>
    </xf>
    <xf numFmtId="0" fontId="4" fillId="3" borderId="26" xfId="0" applyFont="1" applyFill="1" applyBorder="1" applyAlignment="1">
      <alignment horizontal="left" vertical="center" wrapText="1"/>
    </xf>
    <xf numFmtId="0" fontId="5" fillId="0" borderId="0" xfId="0" applyFont="1"/>
    <xf numFmtId="1" fontId="5" fillId="0" borderId="0" xfId="0" applyNumberFormat="1" applyFont="1" applyFill="1" applyBorder="1"/>
    <xf numFmtId="0" fontId="5" fillId="0" borderId="0" xfId="0" applyNumberFormat="1" applyFont="1" applyProtection="1">
      <protection locked="0"/>
    </xf>
    <xf numFmtId="0" fontId="0" fillId="0" borderId="0" xfId="0" applyFill="1"/>
    <xf numFmtId="0" fontId="4" fillId="0" borderId="7" xfId="0" applyFont="1" applyBorder="1" applyAlignment="1">
      <alignment horizontal="center" vertical="center"/>
    </xf>
    <xf numFmtId="0" fontId="4" fillId="0" borderId="25" xfId="0" applyFont="1" applyBorder="1" applyAlignment="1">
      <alignment horizontal="center" vertical="center"/>
    </xf>
    <xf numFmtId="0" fontId="4" fillId="0" borderId="26" xfId="0" applyFont="1" applyBorder="1" applyAlignment="1">
      <alignment vertical="center" wrapText="1"/>
    </xf>
    <xf numFmtId="0" fontId="14" fillId="0" borderId="0" xfId="0" applyFont="1" applyFill="1" applyAlignment="1">
      <alignment vertical="center"/>
    </xf>
    <xf numFmtId="0" fontId="14" fillId="0" borderId="0" xfId="0" applyFont="1" applyFill="1"/>
    <xf numFmtId="0" fontId="0" fillId="0" borderId="0" xfId="0" applyFill="1" applyAlignment="1">
      <alignment vertical="center"/>
    </xf>
    <xf numFmtId="0" fontId="5" fillId="0" borderId="0" xfId="0" applyFont="1"/>
    <xf numFmtId="0" fontId="0" fillId="0" borderId="0" xfId="0"/>
    <xf numFmtId="0" fontId="5" fillId="2" borderId="7" xfId="0" applyFont="1" applyFill="1" applyBorder="1" applyAlignment="1" applyProtection="1">
      <alignment horizontal="center" vertical="center"/>
      <protection locked="0"/>
    </xf>
    <xf numFmtId="0" fontId="5" fillId="0" borderId="25" xfId="0" applyFont="1" applyBorder="1" applyAlignment="1">
      <alignment horizontal="center" vertical="center"/>
    </xf>
    <xf numFmtId="0" fontId="5" fillId="2" borderId="10" xfId="0" applyFont="1" applyFill="1" applyBorder="1" applyAlignment="1" applyProtection="1">
      <alignment horizontal="center" vertical="center"/>
      <protection locked="0"/>
    </xf>
    <xf numFmtId="0" fontId="5" fillId="0" borderId="27" xfId="0" applyFont="1" applyBorder="1" applyAlignment="1">
      <alignment horizontal="center" vertical="center"/>
    </xf>
    <xf numFmtId="0" fontId="5" fillId="0" borderId="29" xfId="0" applyFont="1" applyBorder="1" applyAlignment="1">
      <alignment horizontal="center" vertical="center"/>
    </xf>
    <xf numFmtId="0" fontId="4" fillId="0" borderId="28" xfId="0" applyFont="1" applyBorder="1" applyAlignment="1">
      <alignment vertical="center" wrapText="1"/>
    </xf>
    <xf numFmtId="0" fontId="16" fillId="0" borderId="0" xfId="0" applyFont="1"/>
    <xf numFmtId="0" fontId="15" fillId="0" borderId="0" xfId="0" applyFont="1" applyAlignment="1">
      <alignment horizontal="left" vertical="center"/>
    </xf>
    <xf numFmtId="0" fontId="15" fillId="0" borderId="0" xfId="0" applyFont="1" applyFill="1" applyBorder="1" applyAlignment="1">
      <alignment vertical="center" wrapText="1"/>
    </xf>
    <xf numFmtId="0" fontId="16" fillId="0" borderId="0" xfId="0" applyFont="1" applyFill="1"/>
    <xf numFmtId="0" fontId="17" fillId="0" borderId="0" xfId="0" applyFont="1"/>
    <xf numFmtId="0" fontId="16" fillId="0" borderId="0" xfId="0" applyFont="1" applyFill="1" applyBorder="1"/>
    <xf numFmtId="0" fontId="18" fillId="0" borderId="0" xfId="0" applyFont="1" applyFill="1" applyBorder="1" applyAlignment="1">
      <alignment vertical="center" wrapText="1"/>
    </xf>
    <xf numFmtId="0" fontId="19" fillId="0" borderId="53" xfId="0" applyFont="1" applyFill="1" applyBorder="1" applyAlignment="1">
      <alignment vertical="center" wrapText="1"/>
    </xf>
    <xf numFmtId="0" fontId="19" fillId="0" borderId="0" xfId="0" applyFont="1" applyFill="1" applyBorder="1" applyAlignment="1">
      <alignment vertical="center" wrapText="1"/>
    </xf>
    <xf numFmtId="0" fontId="18" fillId="0" borderId="0" xfId="0" applyFont="1" applyFill="1" applyBorder="1" applyAlignment="1">
      <alignment horizontal="left" vertical="center" wrapText="1"/>
    </xf>
    <xf numFmtId="0" fontId="16" fillId="0" borderId="0" xfId="0" applyFont="1" applyBorder="1"/>
    <xf numFmtId="0" fontId="6" fillId="0" borderId="0" xfId="0" applyFont="1" applyFill="1" applyAlignment="1">
      <alignment horizontal="left" vertical="center" wrapText="1"/>
    </xf>
    <xf numFmtId="0" fontId="17" fillId="0" borderId="0" xfId="0" applyFont="1" applyFill="1" applyAlignment="1">
      <alignment vertical="center" wrapText="1"/>
    </xf>
    <xf numFmtId="0" fontId="20" fillId="0" borderId="0" xfId="0" applyFont="1" applyFill="1" applyAlignment="1">
      <alignment horizontal="left" vertical="center"/>
    </xf>
    <xf numFmtId="0" fontId="20" fillId="0" borderId="0" xfId="0" applyFont="1" applyFill="1" applyAlignment="1">
      <alignment horizontal="left" vertical="center" wrapText="1"/>
    </xf>
    <xf numFmtId="0" fontId="17" fillId="0" borderId="0" xfId="0" applyFont="1" applyFill="1" applyAlignment="1">
      <alignment horizontal="left" vertical="center"/>
    </xf>
    <xf numFmtId="0" fontId="17" fillId="0" borderId="0" xfId="0" applyFont="1" applyAlignment="1">
      <alignment horizontal="left" vertical="center"/>
    </xf>
    <xf numFmtId="0" fontId="17" fillId="0" borderId="0" xfId="0" applyFont="1" applyBorder="1" applyAlignment="1">
      <alignment horizontal="left" vertical="center"/>
    </xf>
    <xf numFmtId="0" fontId="6" fillId="0" borderId="0" xfId="0" applyFont="1" applyFill="1" applyBorder="1" applyAlignment="1">
      <alignment horizontal="left" vertical="center"/>
    </xf>
    <xf numFmtId="0" fontId="21" fillId="0" borderId="0" xfId="0" applyFont="1" applyFill="1" applyAlignment="1">
      <alignment vertical="center"/>
    </xf>
    <xf numFmtId="0" fontId="16" fillId="0" borderId="0" xfId="0" applyFont="1" applyAlignment="1">
      <alignment horizontal="left" vertical="center"/>
    </xf>
    <xf numFmtId="0" fontId="17" fillId="0" borderId="0" xfId="0" applyFont="1" applyFill="1" applyBorder="1" applyAlignment="1">
      <alignment horizontal="center"/>
    </xf>
    <xf numFmtId="0" fontId="17" fillId="0" borderId="53" xfId="0" applyFont="1" applyFill="1" applyBorder="1" applyAlignment="1">
      <alignment horizontal="left" vertical="center"/>
    </xf>
    <xf numFmtId="0" fontId="17" fillId="0" borderId="0" xfId="0" applyFont="1" applyFill="1" applyBorder="1" applyAlignment="1">
      <alignment horizontal="left" vertical="center"/>
    </xf>
    <xf numFmtId="0" fontId="17" fillId="0" borderId="0" xfId="0" applyFont="1" applyFill="1" applyBorder="1" applyAlignment="1" applyProtection="1">
      <alignment horizontal="center"/>
    </xf>
    <xf numFmtId="0" fontId="6" fillId="0" borderId="0" xfId="0" applyFont="1" applyFill="1" applyAlignment="1"/>
    <xf numFmtId="0" fontId="22" fillId="0" borderId="0" xfId="0" applyFont="1" applyFill="1" applyAlignment="1">
      <alignment vertical="center" wrapText="1"/>
    </xf>
    <xf numFmtId="0" fontId="17" fillId="0" borderId="0" xfId="0" applyFont="1" applyAlignment="1">
      <alignment horizontal="left" vertical="center" wrapText="1"/>
    </xf>
    <xf numFmtId="1" fontId="16" fillId="0" borderId="0" xfId="0" applyNumberFormat="1" applyFont="1" applyFill="1" applyBorder="1"/>
    <xf numFmtId="0" fontId="16" fillId="0" borderId="0" xfId="0" applyNumberFormat="1" applyFont="1" applyProtection="1">
      <protection locked="0"/>
    </xf>
    <xf numFmtId="0" fontId="24" fillId="0" borderId="0" xfId="0" applyFont="1"/>
    <xf numFmtId="0" fontId="2" fillId="2" borderId="1" xfId="0" applyFont="1" applyFill="1" applyBorder="1" applyAlignment="1" applyProtection="1">
      <alignment vertical="center"/>
      <protection locked="0"/>
    </xf>
    <xf numFmtId="0" fontId="23" fillId="0" borderId="3" xfId="0" applyFont="1" applyBorder="1"/>
    <xf numFmtId="0" fontId="23" fillId="0" borderId="0" xfId="0" applyFont="1" applyBorder="1"/>
    <xf numFmtId="0" fontId="23" fillId="0" borderId="0" xfId="0" applyFont="1"/>
    <xf numFmtId="0" fontId="23" fillId="0" borderId="36" xfId="0" applyFont="1" applyFill="1" applyBorder="1" applyAlignment="1">
      <alignment horizontal="center"/>
    </xf>
    <xf numFmtId="0" fontId="2" fillId="0" borderId="1" xfId="0" applyFont="1" applyBorder="1" applyAlignment="1">
      <alignment horizontal="left" vertical="center"/>
    </xf>
    <xf numFmtId="0" fontId="2" fillId="0" borderId="4" xfId="0" applyFont="1" applyBorder="1" applyAlignment="1">
      <alignment horizontal="center" vertical="center" wrapText="1"/>
    </xf>
    <xf numFmtId="0" fontId="1" fillId="12" borderId="33" xfId="0" applyFont="1" applyFill="1" applyBorder="1" applyAlignment="1">
      <alignment horizontal="center" vertical="center" wrapText="1"/>
    </xf>
    <xf numFmtId="0" fontId="2" fillId="0" borderId="5" xfId="0" applyFont="1" applyBorder="1" applyAlignment="1">
      <alignment horizontal="center" vertical="center" wrapText="1"/>
    </xf>
    <xf numFmtId="0" fontId="2" fillId="0" borderId="44" xfId="0" applyFont="1" applyBorder="1" applyAlignment="1">
      <alignment horizontal="center" vertical="center" wrapText="1"/>
    </xf>
    <xf numFmtId="0" fontId="2" fillId="12" borderId="36" xfId="0" applyFont="1" applyFill="1" applyBorder="1" applyAlignment="1">
      <alignment horizontal="center" vertical="center" wrapText="1"/>
    </xf>
    <xf numFmtId="0" fontId="25" fillId="0" borderId="0" xfId="0" applyFont="1"/>
    <xf numFmtId="0" fontId="2" fillId="0" borderId="18" xfId="0" applyFont="1" applyFill="1" applyBorder="1" applyAlignment="1">
      <alignment horizontal="left" vertical="center"/>
    </xf>
    <xf numFmtId="0" fontId="2" fillId="9" borderId="30" xfId="0" applyFont="1" applyFill="1" applyBorder="1" applyAlignment="1">
      <alignment horizontal="center" vertical="center" wrapText="1"/>
    </xf>
    <xf numFmtId="0" fontId="2" fillId="9" borderId="31" xfId="0" applyFont="1" applyFill="1" applyBorder="1" applyAlignment="1">
      <alignment horizontal="center" vertical="center" wrapText="1"/>
    </xf>
    <xf numFmtId="0" fontId="2" fillId="11" borderId="37" xfId="0" applyFont="1" applyFill="1" applyBorder="1" applyAlignment="1">
      <alignment horizontal="center" vertical="center" wrapText="1"/>
    </xf>
    <xf numFmtId="0" fontId="11" fillId="0" borderId="0" xfId="0" applyFont="1"/>
    <xf numFmtId="0" fontId="2" fillId="6" borderId="18" xfId="0" applyFont="1" applyFill="1" applyBorder="1" applyAlignment="1">
      <alignment horizontal="left" vertical="center" wrapText="1"/>
    </xf>
    <xf numFmtId="0" fontId="2" fillId="9" borderId="30" xfId="0" applyFont="1" applyFill="1" applyBorder="1" applyAlignment="1">
      <alignment horizontal="center" vertical="center"/>
    </xf>
    <xf numFmtId="0" fontId="2" fillId="9" borderId="31" xfId="0" applyFont="1" applyFill="1" applyBorder="1" applyAlignment="1">
      <alignment horizontal="center" vertical="center"/>
    </xf>
    <xf numFmtId="0" fontId="2" fillId="11" borderId="38" xfId="0" applyFont="1" applyFill="1" applyBorder="1" applyAlignment="1">
      <alignment horizontal="center" vertical="center" wrapText="1"/>
    </xf>
    <xf numFmtId="0" fontId="23" fillId="2" borderId="8" xfId="0" applyFont="1" applyFill="1" applyBorder="1" applyAlignment="1">
      <alignment horizontal="left" vertical="center" wrapText="1"/>
    </xf>
    <xf numFmtId="0" fontId="23" fillId="2" borderId="6" xfId="0" applyFont="1" applyFill="1" applyBorder="1" applyAlignment="1">
      <alignment horizontal="center" vertical="center" wrapText="1"/>
    </xf>
    <xf numFmtId="0" fontId="23" fillId="2" borderId="7" xfId="0" applyFont="1" applyFill="1" applyBorder="1" applyAlignment="1">
      <alignment horizontal="center" vertical="center"/>
    </xf>
    <xf numFmtId="0" fontId="23" fillId="2" borderId="42" xfId="0" applyFont="1" applyFill="1" applyBorder="1" applyAlignment="1">
      <alignment horizontal="center" vertical="center"/>
    </xf>
    <xf numFmtId="0" fontId="23" fillId="12" borderId="43" xfId="0" applyFont="1" applyFill="1" applyBorder="1" applyAlignment="1" applyProtection="1">
      <alignment horizontal="center" vertical="center"/>
      <protection locked="0"/>
    </xf>
    <xf numFmtId="0" fontId="23" fillId="4" borderId="8" xfId="0" applyFont="1" applyFill="1" applyBorder="1" applyAlignment="1">
      <alignment horizontal="left" vertical="center" wrapText="1"/>
    </xf>
    <xf numFmtId="0" fontId="23" fillId="4" borderId="6" xfId="0" applyFont="1" applyFill="1" applyBorder="1" applyAlignment="1">
      <alignment horizontal="center" vertical="center" wrapText="1"/>
    </xf>
    <xf numFmtId="0" fontId="23" fillId="4" borderId="6" xfId="0" applyFont="1" applyFill="1" applyBorder="1" applyAlignment="1">
      <alignment horizontal="center" vertical="center"/>
    </xf>
    <xf numFmtId="0" fontId="23" fillId="4" borderId="32" xfId="0" applyFont="1" applyFill="1" applyBorder="1" applyAlignment="1">
      <alignment horizontal="center" vertical="center"/>
    </xf>
    <xf numFmtId="0" fontId="23" fillId="2" borderId="6" xfId="0" applyFont="1" applyFill="1" applyBorder="1" applyAlignment="1">
      <alignment horizontal="center" vertical="center"/>
    </xf>
    <xf numFmtId="0" fontId="23" fillId="2" borderId="32" xfId="0" applyFont="1" applyFill="1" applyBorder="1" applyAlignment="1">
      <alignment horizontal="center" vertical="center"/>
    </xf>
    <xf numFmtId="0" fontId="2" fillId="10" borderId="30" xfId="0" applyFont="1" applyFill="1" applyBorder="1" applyAlignment="1">
      <alignment horizontal="center" vertical="center"/>
    </xf>
    <xf numFmtId="0" fontId="2" fillId="10" borderId="31" xfId="0" applyFont="1" applyFill="1" applyBorder="1" applyAlignment="1">
      <alignment horizontal="center" vertical="center"/>
    </xf>
    <xf numFmtId="0" fontId="2" fillId="10" borderId="39" xfId="0" applyFont="1" applyFill="1" applyBorder="1" applyAlignment="1">
      <alignment horizontal="center" vertical="center"/>
    </xf>
    <xf numFmtId="0" fontId="2" fillId="10" borderId="38" xfId="0" applyFont="1" applyFill="1" applyBorder="1" applyAlignment="1">
      <alignment horizontal="center" vertical="center"/>
    </xf>
    <xf numFmtId="0" fontId="23" fillId="2" borderId="32" xfId="0" applyFont="1" applyFill="1" applyBorder="1" applyAlignment="1">
      <alignment horizontal="center" vertical="center" wrapText="1"/>
    </xf>
    <xf numFmtId="0" fontId="23" fillId="4" borderId="7" xfId="0" applyFont="1" applyFill="1" applyBorder="1" applyAlignment="1">
      <alignment horizontal="center" vertical="center"/>
    </xf>
    <xf numFmtId="0" fontId="23" fillId="4" borderId="42" xfId="0" applyFont="1" applyFill="1" applyBorder="1" applyAlignment="1">
      <alignment horizontal="center" vertical="center"/>
    </xf>
    <xf numFmtId="0" fontId="2" fillId="11" borderId="30" xfId="0" applyFont="1" applyFill="1" applyBorder="1" applyAlignment="1">
      <alignment horizontal="center" vertical="center"/>
    </xf>
    <xf numFmtId="0" fontId="2" fillId="11" borderId="31" xfId="0" applyFont="1" applyFill="1" applyBorder="1" applyAlignment="1">
      <alignment horizontal="center" vertical="center"/>
    </xf>
    <xf numFmtId="0" fontId="2" fillId="11" borderId="39" xfId="0" applyFont="1" applyFill="1" applyBorder="1" applyAlignment="1">
      <alignment horizontal="center" vertical="center"/>
    </xf>
    <xf numFmtId="0" fontId="2" fillId="11" borderId="38" xfId="0" applyFont="1" applyFill="1" applyBorder="1" applyAlignment="1">
      <alignment horizontal="center" vertical="center"/>
    </xf>
    <xf numFmtId="0" fontId="23" fillId="4" borderId="32" xfId="0" applyFont="1" applyFill="1" applyBorder="1" applyAlignment="1">
      <alignment horizontal="center" vertical="center" wrapText="1"/>
    </xf>
    <xf numFmtId="0" fontId="26" fillId="8" borderId="8" xfId="0" applyFont="1" applyFill="1" applyBorder="1" applyAlignment="1">
      <alignment horizontal="left" vertical="center" wrapText="1"/>
    </xf>
    <xf numFmtId="0" fontId="26" fillId="8" borderId="6" xfId="0" applyFont="1" applyFill="1" applyBorder="1" applyAlignment="1">
      <alignment horizontal="center" vertical="center"/>
    </xf>
    <xf numFmtId="0" fontId="26" fillId="8" borderId="7" xfId="0" applyFont="1" applyFill="1" applyBorder="1" applyAlignment="1">
      <alignment horizontal="center" vertical="center"/>
    </xf>
    <xf numFmtId="0" fontId="26" fillId="8" borderId="42" xfId="0" applyFont="1" applyFill="1" applyBorder="1" applyAlignment="1">
      <alignment horizontal="center" vertical="center"/>
    </xf>
    <xf numFmtId="0" fontId="26" fillId="0" borderId="18" xfId="0" applyFont="1" applyFill="1" applyBorder="1" applyAlignment="1">
      <alignment horizontal="left" vertical="center" wrapText="1"/>
    </xf>
    <xf numFmtId="0" fontId="26" fillId="0" borderId="30" xfId="0" applyFont="1" applyFill="1" applyBorder="1" applyAlignment="1">
      <alignment horizontal="center" vertical="center"/>
    </xf>
    <xf numFmtId="0" fontId="26" fillId="0" borderId="31" xfId="0" applyFont="1" applyFill="1" applyBorder="1" applyAlignment="1">
      <alignment horizontal="center" vertical="center"/>
    </xf>
    <xf numFmtId="0" fontId="26" fillId="0" borderId="39" xfId="0" applyFont="1" applyFill="1" applyBorder="1" applyAlignment="1">
      <alignment horizontal="center" vertical="center"/>
    </xf>
    <xf numFmtId="0" fontId="23" fillId="0" borderId="40" xfId="0" applyFont="1" applyFill="1" applyBorder="1" applyAlignment="1" applyProtection="1">
      <alignment horizontal="center" vertical="center"/>
      <protection locked="0"/>
    </xf>
    <xf numFmtId="0" fontId="23" fillId="0" borderId="0" xfId="0" applyFont="1" applyFill="1" applyBorder="1" applyAlignment="1" applyProtection="1">
      <alignment horizontal="center" vertical="center"/>
      <protection locked="0"/>
    </xf>
    <xf numFmtId="0" fontId="23" fillId="0" borderId="41" xfId="0" applyFont="1" applyFill="1" applyBorder="1" applyAlignment="1" applyProtection="1">
      <alignment horizontal="center" vertical="center"/>
      <protection locked="0"/>
    </xf>
    <xf numFmtId="0" fontId="26" fillId="5" borderId="8" xfId="0" applyFont="1" applyFill="1" applyBorder="1" applyAlignment="1">
      <alignment horizontal="left" vertical="center" wrapText="1"/>
    </xf>
    <xf numFmtId="0" fontId="26" fillId="5" borderId="6" xfId="0" applyFont="1" applyFill="1" applyBorder="1" applyAlignment="1">
      <alignment horizontal="center" vertical="center"/>
    </xf>
    <xf numFmtId="0" fontId="26" fillId="5" borderId="7" xfId="0" applyFont="1" applyFill="1" applyBorder="1" applyAlignment="1">
      <alignment horizontal="center" vertical="center"/>
    </xf>
    <xf numFmtId="0" fontId="26" fillId="5" borderId="42" xfId="0" applyFont="1" applyFill="1" applyBorder="1" applyAlignment="1">
      <alignment horizontal="center" vertical="center"/>
    </xf>
    <xf numFmtId="0" fontId="23" fillId="5" borderId="45" xfId="0" applyFont="1" applyFill="1" applyBorder="1" applyAlignment="1" applyProtection="1">
      <alignment horizontal="center" vertical="center"/>
      <protection locked="0"/>
    </xf>
    <xf numFmtId="0" fontId="26" fillId="9" borderId="6" xfId="0" applyFont="1" applyFill="1" applyBorder="1" applyAlignment="1">
      <alignment horizontal="center" vertical="center"/>
    </xf>
    <xf numFmtId="0" fontId="26" fillId="9" borderId="7" xfId="0" applyFont="1" applyFill="1" applyBorder="1" applyAlignment="1">
      <alignment horizontal="center" vertical="center"/>
    </xf>
    <xf numFmtId="0" fontId="23" fillId="11" borderId="35" xfId="0" applyFont="1" applyFill="1" applyBorder="1" applyAlignment="1">
      <alignment horizontal="center" vertical="center"/>
    </xf>
    <xf numFmtId="0" fontId="23" fillId="2" borderId="9" xfId="0" applyFont="1" applyFill="1" applyBorder="1" applyAlignment="1">
      <alignment horizontal="center" vertical="center" wrapText="1"/>
    </xf>
    <xf numFmtId="0" fontId="23" fillId="2" borderId="10" xfId="0" applyFont="1" applyFill="1" applyBorder="1" applyAlignment="1">
      <alignment horizontal="center" vertical="center"/>
    </xf>
    <xf numFmtId="0" fontId="26" fillId="2" borderId="47" xfId="0" applyFont="1" applyFill="1" applyBorder="1" applyAlignment="1">
      <alignment horizontal="center" vertical="center"/>
    </xf>
    <xf numFmtId="0" fontId="23" fillId="4" borderId="9" xfId="0" applyFont="1" applyFill="1" applyBorder="1" applyAlignment="1">
      <alignment horizontal="center" vertical="center" wrapText="1"/>
    </xf>
    <xf numFmtId="0" fontId="23" fillId="4" borderId="10" xfId="0" applyFont="1" applyFill="1" applyBorder="1" applyAlignment="1">
      <alignment horizontal="center" vertical="center"/>
    </xf>
    <xf numFmtId="0" fontId="26" fillId="4" borderId="47" xfId="0" applyFont="1" applyFill="1" applyBorder="1" applyAlignment="1">
      <alignment horizontal="center" vertical="center"/>
    </xf>
    <xf numFmtId="0" fontId="26" fillId="5" borderId="11" xfId="0" applyFont="1" applyFill="1" applyBorder="1" applyAlignment="1">
      <alignment horizontal="left" vertical="center" wrapText="1"/>
    </xf>
    <xf numFmtId="0" fontId="26" fillId="5" borderId="12" xfId="0" applyFont="1" applyFill="1" applyBorder="1" applyAlignment="1">
      <alignment horizontal="center" vertical="center"/>
    </xf>
    <xf numFmtId="0" fontId="26" fillId="5" borderId="13" xfId="0" applyFont="1" applyFill="1" applyBorder="1" applyAlignment="1">
      <alignment horizontal="center" vertical="center"/>
    </xf>
    <xf numFmtId="0" fontId="26" fillId="5" borderId="48" xfId="0" applyFont="1" applyFill="1" applyBorder="1" applyAlignment="1">
      <alignment horizontal="center" vertical="center"/>
    </xf>
    <xf numFmtId="0" fontId="23" fillId="5" borderId="46" xfId="0" applyFont="1" applyFill="1" applyBorder="1" applyAlignment="1" applyProtection="1">
      <alignment horizontal="center" vertical="center"/>
      <protection locked="0"/>
    </xf>
    <xf numFmtId="0" fontId="2" fillId="0" borderId="0" xfId="0" applyFont="1"/>
    <xf numFmtId="3" fontId="11" fillId="0" borderId="0" xfId="0" applyNumberFormat="1" applyFont="1" applyFill="1" applyAlignment="1">
      <alignment horizontal="left" vertical="center"/>
    </xf>
    <xf numFmtId="0" fontId="23" fillId="2" borderId="51" xfId="0" applyFont="1" applyFill="1" applyBorder="1" applyAlignment="1">
      <alignment horizontal="center" vertical="center"/>
    </xf>
    <xf numFmtId="0" fontId="27" fillId="0" borderId="0" xfId="0" applyFont="1"/>
    <xf numFmtId="0" fontId="23" fillId="0" borderId="8" xfId="0" applyFont="1" applyBorder="1" applyAlignment="1">
      <alignment horizontal="center" vertical="center" wrapText="1"/>
    </xf>
    <xf numFmtId="0" fontId="23" fillId="13" borderId="52" xfId="0" applyFont="1" applyFill="1" applyBorder="1" applyAlignment="1">
      <alignment horizontal="center" vertical="center"/>
    </xf>
    <xf numFmtId="0" fontId="28" fillId="0" borderId="0" xfId="0" applyFont="1" applyFill="1" applyAlignment="1">
      <alignment vertical="center" wrapText="1"/>
    </xf>
    <xf numFmtId="0" fontId="23" fillId="12" borderId="54" xfId="0" applyFont="1" applyFill="1" applyBorder="1" applyAlignment="1" applyProtection="1">
      <alignment horizontal="center" vertical="center"/>
      <protection locked="0"/>
    </xf>
    <xf numFmtId="0" fontId="23" fillId="2" borderId="8" xfId="0" applyFont="1" applyFill="1" applyBorder="1" applyAlignment="1">
      <alignment vertical="center" wrapText="1"/>
    </xf>
    <xf numFmtId="0" fontId="23" fillId="4" borderId="8" xfId="0" applyFont="1" applyFill="1" applyBorder="1" applyAlignment="1">
      <alignment vertical="center" wrapText="1"/>
    </xf>
    <xf numFmtId="0" fontId="26" fillId="4" borderId="8" xfId="0" applyFont="1" applyFill="1" applyBorder="1" applyAlignment="1">
      <alignment horizontal="left" vertical="center" wrapText="1"/>
    </xf>
    <xf numFmtId="0" fontId="29" fillId="7" borderId="8" xfId="0" applyFont="1" applyFill="1" applyBorder="1" applyAlignment="1">
      <alignment vertical="center" wrapText="1"/>
    </xf>
    <xf numFmtId="1" fontId="1" fillId="12" borderId="6" xfId="0" applyNumberFormat="1" applyFont="1" applyFill="1" applyBorder="1" applyAlignment="1" applyProtection="1">
      <alignment horizontal="center" vertical="center" wrapText="1"/>
      <protection locked="0"/>
    </xf>
    <xf numFmtId="1" fontId="1" fillId="12" borderId="9" xfId="0" applyNumberFormat="1" applyFont="1" applyFill="1" applyBorder="1" applyAlignment="1" applyProtection="1">
      <alignment horizontal="center" vertical="center" wrapText="1"/>
      <protection locked="0"/>
    </xf>
    <xf numFmtId="0" fontId="5" fillId="0" borderId="13" xfId="0" applyFont="1" applyBorder="1" applyAlignment="1" applyProtection="1">
      <alignment horizontal="center" vertical="center"/>
      <protection locked="0"/>
    </xf>
    <xf numFmtId="0" fontId="5" fillId="0" borderId="0" xfId="0" applyFont="1" applyAlignment="1"/>
    <xf numFmtId="0" fontId="0" fillId="0" borderId="0" xfId="0" applyAlignment="1"/>
    <xf numFmtId="0" fontId="5" fillId="0" borderId="0" xfId="0" applyFont="1" applyAlignment="1">
      <alignment horizontal="left"/>
    </xf>
    <xf numFmtId="0" fontId="6" fillId="0" borderId="0" xfId="0" applyFont="1" applyAlignment="1">
      <alignment horizontal="center" wrapText="1"/>
    </xf>
    <xf numFmtId="0" fontId="7" fillId="0" borderId="0" xfId="0" applyFont="1" applyAlignment="1">
      <alignment horizontal="center"/>
    </xf>
    <xf numFmtId="0" fontId="8" fillId="0" borderId="0" xfId="0" applyFont="1" applyAlignment="1">
      <alignment horizontal="center"/>
    </xf>
    <xf numFmtId="0" fontId="11" fillId="0" borderId="0" xfId="0" applyFont="1" applyAlignment="1">
      <alignment horizontal="center" vertical="top" wrapText="1"/>
    </xf>
    <xf numFmtId="0" fontId="2" fillId="0" borderId="19" xfId="0" applyFont="1" applyBorder="1" applyAlignment="1">
      <alignment horizontal="center" vertical="top"/>
    </xf>
    <xf numFmtId="0" fontId="2" fillId="0" borderId="20" xfId="0" applyFont="1" applyBorder="1" applyAlignment="1">
      <alignment horizontal="center" vertical="top"/>
    </xf>
    <xf numFmtId="0" fontId="2" fillId="0" borderId="14" xfId="0" applyFont="1" applyBorder="1" applyAlignment="1">
      <alignment horizontal="center" vertical="top"/>
    </xf>
    <xf numFmtId="0" fontId="3" fillId="2" borderId="21" xfId="0" applyFont="1" applyFill="1" applyBorder="1" applyAlignment="1" applyProtection="1">
      <alignment vertical="center"/>
      <protection locked="0"/>
    </xf>
    <xf numFmtId="0" fontId="3" fillId="2" borderId="22" xfId="0" applyFont="1" applyFill="1" applyBorder="1" applyAlignment="1" applyProtection="1">
      <alignment vertical="center"/>
      <protection locked="0"/>
    </xf>
    <xf numFmtId="0" fontId="3" fillId="2" borderId="23" xfId="0" applyFont="1" applyFill="1" applyBorder="1" applyAlignment="1" applyProtection="1">
      <alignment vertical="center"/>
      <protection locked="0"/>
    </xf>
    <xf numFmtId="0" fontId="23" fillId="13" borderId="17" xfId="0" applyFont="1" applyFill="1" applyBorder="1" applyAlignment="1">
      <alignment horizontal="center" vertical="center"/>
    </xf>
    <xf numFmtId="0" fontId="23" fillId="13" borderId="50" xfId="0" applyFont="1" applyFill="1" applyBorder="1" applyAlignment="1">
      <alignment horizontal="center" vertical="center"/>
    </xf>
    <xf numFmtId="0" fontId="1" fillId="0" borderId="41" xfId="0" applyFont="1" applyBorder="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4" xfId="0" applyFont="1" applyBorder="1" applyAlignment="1">
      <alignment horizontal="center"/>
    </xf>
    <xf numFmtId="0" fontId="6" fillId="0" borderId="53" xfId="0" applyFont="1" applyBorder="1" applyAlignment="1">
      <alignment horizontal="left" vertical="center" wrapText="1"/>
    </xf>
    <xf numFmtId="0" fontId="6" fillId="0" borderId="0" xfId="0" applyFont="1" applyAlignment="1">
      <alignment horizontal="left" vertical="center" wrapText="1"/>
    </xf>
    <xf numFmtId="9" fontId="6" fillId="0" borderId="53" xfId="0" applyNumberFormat="1" applyFont="1" applyBorder="1" applyAlignment="1">
      <alignment horizontal="left" vertical="center"/>
    </xf>
    <xf numFmtId="9" fontId="6" fillId="0" borderId="0" xfId="0" applyNumberFormat="1" applyFont="1" applyAlignment="1">
      <alignment horizontal="left" vertical="center"/>
    </xf>
    <xf numFmtId="0" fontId="23" fillId="2" borderId="15" xfId="0" applyFont="1" applyFill="1" applyBorder="1" applyAlignment="1">
      <alignment horizontal="center" vertical="center"/>
    </xf>
    <xf numFmtId="0" fontId="23" fillId="2" borderId="49" xfId="0" applyFont="1" applyFill="1" applyBorder="1" applyAlignment="1">
      <alignment horizontal="center" vertical="center"/>
    </xf>
    <xf numFmtId="0" fontId="23" fillId="0" borderId="16" xfId="0" applyFont="1" applyBorder="1" applyAlignment="1">
      <alignment horizontal="center" vertical="center" wrapText="1"/>
    </xf>
    <xf numFmtId="0" fontId="23" fillId="0" borderId="32" xfId="0" applyFont="1" applyBorder="1" applyAlignment="1">
      <alignment horizontal="center" vertical="center" wrapText="1"/>
    </xf>
    <xf numFmtId="0" fontId="23" fillId="8" borderId="55" xfId="0" applyFont="1" applyFill="1" applyBorder="1" applyAlignment="1" applyProtection="1">
      <alignment horizontal="center" vertical="center"/>
      <protection locked="0"/>
    </xf>
  </cellXfs>
  <cellStyles count="1">
    <cellStyle name="Normal" xfId="0" builtinId="0"/>
  </cellStyles>
  <dxfs count="13">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rgb="FF9C0006"/>
      </font>
      <fill>
        <patternFill>
          <bgColor rgb="FFFFC7CE"/>
        </patternFill>
      </fill>
    </dxf>
    <dxf>
      <fill>
        <patternFill>
          <bgColor rgb="FF00B050"/>
        </patternFill>
      </fill>
    </dxf>
    <dxf>
      <font>
        <color rgb="FF9C0006"/>
      </font>
      <fill>
        <patternFill>
          <bgColor rgb="FFFFC7CE"/>
        </patternFill>
      </fill>
    </dxf>
    <dxf>
      <fill>
        <patternFill>
          <bgColor rgb="FFFF0000"/>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s>
  <tableStyles count="0" defaultTableStyle="TableStyleMedium2" defaultPivotStyle="PivotStyleLight16"/>
  <colors>
    <mruColors>
      <color rgb="FF0000FF"/>
      <color rgb="FFFFFFCC"/>
      <color rgb="FFD60093"/>
      <color rgb="FFCCECFF"/>
      <color rgb="FFFFCCFF"/>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onnections" Target="connections.xml"/><Relationship Id="rId11" Type="http://schemas.openxmlformats.org/officeDocument/2006/relationships/customXml" Target="../customXml/item1.xml"/><Relationship Id="rId5" Type="http://schemas.openxmlformats.org/officeDocument/2006/relationships/theme" Target="theme/theme1.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 Id="rId14" Type="http://schemas.openxmlformats.org/officeDocument/2006/relationships/customXml" Target="../customXml/item4.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EDE51-29B3-4D20-BE29-A697E40C2D87}">
  <sheetPr>
    <pageSetUpPr fitToPage="1"/>
  </sheetPr>
  <dimension ref="A1:Q13"/>
  <sheetViews>
    <sheetView workbookViewId="0">
      <selection activeCell="J18" sqref="J18"/>
    </sheetView>
  </sheetViews>
  <sheetFormatPr defaultRowHeight="14.5" x14ac:dyDescent="0.35"/>
  <cols>
    <col min="1" max="1" width="20.7265625" customWidth="1"/>
    <col min="2" max="2" width="50.7265625" customWidth="1"/>
    <col min="3" max="3" width="20.7265625" customWidth="1"/>
    <col min="4" max="12" width="10.7265625" customWidth="1"/>
  </cols>
  <sheetData>
    <row r="1" spans="1:17" ht="18" x14ac:dyDescent="0.4">
      <c r="A1" s="149" t="s">
        <v>0</v>
      </c>
      <c r="B1" s="149"/>
      <c r="C1" s="149"/>
      <c r="D1" s="149"/>
      <c r="E1" s="149"/>
      <c r="F1" s="149"/>
      <c r="G1" s="149"/>
      <c r="H1" s="19"/>
      <c r="I1" s="19"/>
      <c r="J1" s="19"/>
      <c r="K1" s="19"/>
      <c r="L1" s="19"/>
      <c r="M1" s="19"/>
      <c r="N1" s="19"/>
      <c r="O1" s="19"/>
      <c r="P1" s="19"/>
      <c r="Q1" s="19"/>
    </row>
    <row r="2" spans="1:17" ht="46.5" x14ac:dyDescent="0.35">
      <c r="A2" s="2" t="s">
        <v>1</v>
      </c>
      <c r="B2" s="2" t="s">
        <v>2</v>
      </c>
      <c r="C2" s="3" t="s">
        <v>3</v>
      </c>
      <c r="D2" s="4"/>
      <c r="E2" s="4"/>
      <c r="F2" s="4"/>
      <c r="G2" s="4"/>
      <c r="H2" s="19"/>
      <c r="I2" s="19"/>
      <c r="J2" s="19"/>
      <c r="K2" s="19"/>
      <c r="L2" s="19"/>
      <c r="M2" s="19"/>
      <c r="N2" s="19"/>
      <c r="O2" s="19"/>
      <c r="P2" s="19"/>
      <c r="Q2" s="19"/>
    </row>
    <row r="3" spans="1:17" x14ac:dyDescent="0.35">
      <c r="A3" s="4"/>
      <c r="B3" s="4"/>
      <c r="C3" s="4"/>
      <c r="D3" s="4"/>
      <c r="E3" s="4"/>
      <c r="F3" s="4"/>
      <c r="G3" s="4"/>
      <c r="H3" s="19"/>
      <c r="I3" s="19"/>
      <c r="J3" s="19"/>
      <c r="K3" s="19"/>
      <c r="L3" s="19"/>
      <c r="M3" s="19"/>
      <c r="N3" s="19"/>
      <c r="O3" s="19"/>
      <c r="P3" s="19"/>
      <c r="Q3" s="19"/>
    </row>
    <row r="4" spans="1:17" ht="15.5" x14ac:dyDescent="0.35">
      <c r="A4" s="146" t="s">
        <v>4</v>
      </c>
      <c r="B4" s="147"/>
      <c r="C4" s="147"/>
      <c r="D4" s="147"/>
      <c r="E4" s="147"/>
      <c r="F4" s="147"/>
      <c r="G4" s="147"/>
      <c r="H4" s="147"/>
      <c r="I4" s="147"/>
      <c r="J4" s="147"/>
      <c r="K4" s="147"/>
      <c r="L4" s="147"/>
      <c r="M4" s="147"/>
      <c r="N4" s="147"/>
      <c r="O4" s="147"/>
      <c r="P4" s="147"/>
      <c r="Q4" s="147"/>
    </row>
    <row r="5" spans="1:17" ht="15.5" x14ac:dyDescent="0.35">
      <c r="A5" s="148" t="s">
        <v>5</v>
      </c>
      <c r="B5" s="148"/>
      <c r="C5" s="148"/>
      <c r="D5" s="148"/>
      <c r="E5" s="148"/>
      <c r="F5" s="148"/>
      <c r="G5" s="148"/>
      <c r="H5" s="148"/>
      <c r="I5" s="148"/>
      <c r="J5" s="148"/>
      <c r="K5" s="148"/>
      <c r="L5" s="148"/>
      <c r="M5" s="148"/>
      <c r="N5" s="148"/>
      <c r="O5" s="148"/>
      <c r="P5" s="148"/>
      <c r="Q5" s="148"/>
    </row>
    <row r="6" spans="1:17" ht="15.5" x14ac:dyDescent="0.35">
      <c r="A6" s="150" t="s">
        <v>6</v>
      </c>
      <c r="B6" s="150"/>
      <c r="C6" s="150"/>
      <c r="D6" s="150"/>
      <c r="E6" s="150"/>
      <c r="F6" s="150"/>
      <c r="G6" s="150"/>
      <c r="H6" s="150"/>
      <c r="I6" s="150"/>
      <c r="J6" s="150"/>
      <c r="K6" s="150"/>
      <c r="L6" s="150"/>
      <c r="M6" s="150"/>
      <c r="N6" s="150"/>
      <c r="O6" s="150"/>
      <c r="P6" s="150"/>
      <c r="Q6" s="150"/>
    </row>
    <row r="7" spans="1:17" ht="15.5" x14ac:dyDescent="0.35">
      <c r="A7" s="151" t="s">
        <v>7</v>
      </c>
      <c r="B7" s="151"/>
      <c r="C7" s="151"/>
      <c r="D7" s="151"/>
      <c r="E7" s="151"/>
      <c r="F7" s="151"/>
      <c r="G7" s="151"/>
      <c r="H7" s="151"/>
      <c r="I7" s="151"/>
      <c r="J7" s="151"/>
      <c r="K7" s="151"/>
      <c r="L7" s="151"/>
      <c r="M7" s="151"/>
      <c r="N7" s="151"/>
      <c r="O7" s="151"/>
      <c r="P7" s="151"/>
      <c r="Q7" s="151"/>
    </row>
    <row r="8" spans="1:17" ht="15.5" x14ac:dyDescent="0.35">
      <c r="A8" s="146" t="s">
        <v>8</v>
      </c>
      <c r="B8" s="147"/>
      <c r="C8" s="147"/>
      <c r="D8" s="147"/>
      <c r="E8" s="147"/>
      <c r="F8" s="147"/>
      <c r="G8" s="147"/>
      <c r="H8" s="147"/>
      <c r="I8" s="147"/>
      <c r="J8" s="147"/>
      <c r="K8" s="147"/>
      <c r="L8" s="147"/>
      <c r="M8" s="147"/>
      <c r="N8" s="147"/>
      <c r="O8" s="147"/>
      <c r="P8" s="147"/>
      <c r="Q8" s="147"/>
    </row>
    <row r="9" spans="1:17" ht="15.5" x14ac:dyDescent="0.35">
      <c r="A9" s="146" t="s">
        <v>9</v>
      </c>
      <c r="B9" s="147"/>
      <c r="C9" s="147"/>
      <c r="D9" s="147"/>
      <c r="E9" s="147"/>
      <c r="F9" s="147"/>
      <c r="G9" s="147"/>
      <c r="H9" s="147"/>
      <c r="I9" s="147"/>
      <c r="J9" s="147"/>
      <c r="K9" s="147"/>
      <c r="L9" s="147"/>
      <c r="M9" s="147"/>
      <c r="N9" s="147"/>
      <c r="O9" s="147"/>
      <c r="P9" s="147"/>
      <c r="Q9" s="147"/>
    </row>
    <row r="10" spans="1:17" ht="15.5" x14ac:dyDescent="0.35">
      <c r="A10" s="146" t="s">
        <v>10</v>
      </c>
      <c r="B10" s="147"/>
      <c r="C10" s="147"/>
      <c r="D10" s="147"/>
      <c r="E10" s="147"/>
      <c r="F10" s="147"/>
      <c r="G10" s="147"/>
      <c r="H10" s="147"/>
      <c r="I10" s="147"/>
      <c r="J10" s="147"/>
      <c r="K10" s="147"/>
      <c r="L10" s="147"/>
      <c r="M10" s="147"/>
      <c r="N10" s="147"/>
      <c r="O10" s="147"/>
      <c r="P10" s="147"/>
      <c r="Q10" s="147"/>
    </row>
    <row r="11" spans="1:17" ht="15.5" x14ac:dyDescent="0.35">
      <c r="A11" s="18" t="s">
        <v>11</v>
      </c>
      <c r="B11" s="18"/>
      <c r="C11" s="18"/>
      <c r="D11" s="18"/>
      <c r="E11" s="18"/>
      <c r="F11" s="18"/>
      <c r="G11" s="18"/>
      <c r="H11" s="18"/>
      <c r="I11" s="18"/>
      <c r="J11" s="18"/>
      <c r="K11" s="18"/>
      <c r="L11" s="18"/>
      <c r="M11" s="18"/>
      <c r="N11" s="18"/>
      <c r="O11" s="18"/>
      <c r="P11" s="18"/>
      <c r="Q11" s="18"/>
    </row>
    <row r="12" spans="1:17" ht="15.5" x14ac:dyDescent="0.35">
      <c r="A12" s="18"/>
      <c r="B12" s="18"/>
      <c r="C12" s="18"/>
      <c r="D12" s="18"/>
      <c r="E12" s="18"/>
      <c r="F12" s="18"/>
      <c r="G12" s="18"/>
      <c r="H12" s="18"/>
      <c r="I12" s="18"/>
      <c r="J12" s="18"/>
      <c r="K12" s="18"/>
      <c r="L12" s="18"/>
      <c r="M12" s="18"/>
      <c r="N12" s="18"/>
      <c r="O12" s="18"/>
      <c r="P12" s="18"/>
      <c r="Q12" s="18"/>
    </row>
    <row r="13" spans="1:17" ht="15.5" x14ac:dyDescent="0.35">
      <c r="A13" s="148" t="s">
        <v>12</v>
      </c>
      <c r="B13" s="148"/>
      <c r="C13" s="148"/>
      <c r="D13" s="148"/>
      <c r="E13" s="148"/>
      <c r="F13" s="148"/>
      <c r="G13" s="148"/>
      <c r="H13" s="148"/>
      <c r="I13" s="148"/>
      <c r="J13" s="148"/>
      <c r="K13" s="148"/>
      <c r="L13" s="148"/>
      <c r="M13" s="148"/>
      <c r="N13" s="148"/>
      <c r="O13" s="148"/>
      <c r="P13" s="148"/>
      <c r="Q13" s="148"/>
    </row>
  </sheetData>
  <mergeCells count="9">
    <mergeCell ref="A9:Q9"/>
    <mergeCell ref="A10:Q10"/>
    <mergeCell ref="A13:Q13"/>
    <mergeCell ref="A1:G1"/>
    <mergeCell ref="A4:Q4"/>
    <mergeCell ref="A5:Q5"/>
    <mergeCell ref="A6:Q6"/>
    <mergeCell ref="A7:Q7"/>
    <mergeCell ref="A8:Q8"/>
  </mergeCells>
  <pageMargins left="0.7" right="0.7" top="0.75" bottom="0.75" header="0.3" footer="0.3"/>
  <pageSetup scale="52"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3C2DB6-C855-4A38-9C00-0D3A5CDB6B57}">
  <dimension ref="B2:K12"/>
  <sheetViews>
    <sheetView workbookViewId="0">
      <selection activeCell="E7" sqref="E7"/>
    </sheetView>
  </sheetViews>
  <sheetFormatPr defaultRowHeight="14.5" x14ac:dyDescent="0.35"/>
  <cols>
    <col min="1" max="1" width="12.7265625" customWidth="1"/>
    <col min="2" max="2" width="82.7265625" customWidth="1"/>
    <col min="3" max="10" width="10.7265625" customWidth="1"/>
  </cols>
  <sheetData>
    <row r="2" spans="2:11" ht="20" x14ac:dyDescent="0.35">
      <c r="B2" s="152"/>
      <c r="C2" s="152"/>
      <c r="D2" s="152"/>
      <c r="E2" s="19"/>
      <c r="F2" s="19"/>
      <c r="G2" s="19"/>
      <c r="H2" s="19"/>
      <c r="I2" s="19"/>
      <c r="J2" s="19"/>
      <c r="K2" s="19"/>
    </row>
    <row r="3" spans="2:11" ht="20.5" thickBot="1" x14ac:dyDescent="0.4">
      <c r="B3" s="153" t="s">
        <v>42</v>
      </c>
      <c r="C3" s="154"/>
      <c r="D3" s="155"/>
      <c r="E3" s="19"/>
      <c r="F3" s="19"/>
      <c r="G3" s="19"/>
      <c r="H3" s="19"/>
      <c r="I3" s="19"/>
      <c r="J3" s="19"/>
      <c r="K3" s="19"/>
    </row>
    <row r="4" spans="2:11" ht="15.5" x14ac:dyDescent="0.35">
      <c r="B4" s="156" t="s">
        <v>13</v>
      </c>
      <c r="C4" s="157"/>
      <c r="D4" s="158"/>
      <c r="E4" s="19"/>
      <c r="F4" s="11"/>
      <c r="G4" s="11"/>
      <c r="H4" s="11"/>
      <c r="I4" s="11"/>
      <c r="J4" s="11"/>
      <c r="K4" s="11"/>
    </row>
    <row r="5" spans="2:11" ht="15.5" x14ac:dyDescent="0.35">
      <c r="B5" s="5"/>
      <c r="C5" s="12" t="s">
        <v>14</v>
      </c>
      <c r="D5" s="13" t="s">
        <v>15</v>
      </c>
      <c r="E5" s="19"/>
      <c r="F5" s="15"/>
      <c r="G5" s="15"/>
      <c r="H5" s="16"/>
      <c r="I5" s="16"/>
      <c r="J5" s="16"/>
      <c r="K5" s="16"/>
    </row>
    <row r="6" spans="2:11" ht="28" x14ac:dyDescent="0.35">
      <c r="B6" s="6" t="s">
        <v>37</v>
      </c>
      <c r="C6" s="20" t="s">
        <v>32</v>
      </c>
      <c r="D6" s="21" t="str">
        <f>C6</f>
        <v>No</v>
      </c>
      <c r="E6" s="19"/>
      <c r="F6" s="17"/>
      <c r="G6" s="15"/>
      <c r="H6" s="16"/>
      <c r="I6" s="16"/>
      <c r="J6" s="11"/>
      <c r="K6" s="11"/>
    </row>
    <row r="7" spans="2:11" ht="28" x14ac:dyDescent="0.35">
      <c r="B7" s="7" t="s">
        <v>49</v>
      </c>
      <c r="C7" s="22" t="s">
        <v>32</v>
      </c>
      <c r="D7" s="23" t="str">
        <f>C7</f>
        <v>No</v>
      </c>
      <c r="E7" s="19"/>
      <c r="F7" s="17"/>
      <c r="G7" s="17"/>
      <c r="H7" s="11"/>
      <c r="I7" s="11"/>
      <c r="J7" s="11"/>
      <c r="K7" s="11"/>
    </row>
    <row r="8" spans="2:11" ht="42.75" customHeight="1" x14ac:dyDescent="0.35">
      <c r="B8" s="14" t="s">
        <v>41</v>
      </c>
      <c r="C8" s="22" t="s">
        <v>32</v>
      </c>
      <c r="D8" s="23" t="str">
        <f>C8</f>
        <v>No</v>
      </c>
      <c r="E8" s="19"/>
      <c r="F8" s="17"/>
      <c r="G8" s="17"/>
      <c r="H8" s="11"/>
      <c r="I8" s="11"/>
      <c r="J8" s="11"/>
      <c r="K8" s="11"/>
    </row>
    <row r="9" spans="2:11" ht="29.25" customHeight="1" thickBot="1" x14ac:dyDescent="0.4">
      <c r="B9" s="25" t="s">
        <v>36</v>
      </c>
      <c r="C9" s="145" t="s">
        <v>32</v>
      </c>
      <c r="D9" s="24" t="str">
        <f>C9</f>
        <v>No</v>
      </c>
      <c r="E9" s="19"/>
      <c r="F9" s="17"/>
      <c r="G9" s="17"/>
      <c r="H9" s="11"/>
      <c r="I9" s="11"/>
      <c r="J9" s="11"/>
      <c r="K9" s="11"/>
    </row>
    <row r="10" spans="2:11" x14ac:dyDescent="0.35">
      <c r="B10" s="19"/>
      <c r="C10" s="19"/>
      <c r="D10" s="19"/>
      <c r="E10" s="19"/>
      <c r="F10" s="16"/>
      <c r="G10" s="16"/>
      <c r="H10" s="11"/>
      <c r="I10" s="11"/>
      <c r="J10" s="11"/>
      <c r="K10" s="11"/>
    </row>
    <row r="11" spans="2:11" x14ac:dyDescent="0.35">
      <c r="B11" s="19"/>
      <c r="C11" s="19"/>
      <c r="D11" s="19"/>
      <c r="E11" s="19"/>
      <c r="F11" s="11"/>
      <c r="G11" s="11"/>
      <c r="H11" s="11"/>
      <c r="I11" s="11"/>
      <c r="J11" s="11"/>
      <c r="K11" s="11"/>
    </row>
    <row r="12" spans="2:11" x14ac:dyDescent="0.35">
      <c r="B12" s="19"/>
      <c r="C12" s="19"/>
      <c r="D12" s="19"/>
      <c r="E12" s="19"/>
      <c r="F12" s="11"/>
      <c r="G12" s="11"/>
      <c r="H12" s="11"/>
      <c r="I12" s="11"/>
      <c r="J12" s="11"/>
      <c r="K12" s="11"/>
    </row>
  </sheetData>
  <sheetProtection algorithmName="SHA-512" hashValue="t4qDS4bgHagzmHON5sLDMKWl6kDrFoQNA268TLV6RAouVyI+VGI1Tw8ENuSpfE0b0B14p2Qq5iCVrlab9rMEgg==" saltValue="qT/wLAs0jLcUxWIiD8GI9g==" spinCount="100000" sheet="1" objects="1" scenarios="1"/>
  <mergeCells count="3">
    <mergeCell ref="B2:D2"/>
    <mergeCell ref="B3:D3"/>
    <mergeCell ref="B4:D4"/>
  </mergeCells>
  <conditionalFormatting sqref="C6:C8">
    <cfRule type="containsText" dxfId="12" priority="7" operator="containsText" text="No">
      <formula>NOT(ISERROR(SEARCH("No",C6)))</formula>
    </cfRule>
    <cfRule type="containsText" dxfId="11" priority="8" operator="containsText" text="Yes">
      <formula>NOT(ISERROR(SEARCH("Yes",C6)))</formula>
    </cfRule>
  </conditionalFormatting>
  <conditionalFormatting sqref="C9">
    <cfRule type="cellIs" dxfId="10" priority="2" operator="equal">
      <formula>"No"</formula>
    </cfRule>
  </conditionalFormatting>
  <conditionalFormatting sqref="C6:D9">
    <cfRule type="cellIs" dxfId="9" priority="1" operator="equal">
      <formula>"Yes"</formula>
    </cfRule>
  </conditionalFormatting>
  <conditionalFormatting sqref="D6">
    <cfRule type="expression" dxfId="8" priority="6">
      <formula>"If C6 = No then D6 = No+$C$6"</formula>
    </cfRule>
  </conditionalFormatting>
  <conditionalFormatting sqref="D6:D9">
    <cfRule type="cellIs" dxfId="7" priority="3" operator="equal">
      <formula>"No"</formula>
    </cfRule>
  </conditionalFormatting>
  <conditionalFormatting sqref="D7">
    <cfRule type="expression" dxfId="6" priority="5">
      <formula>$C$7</formula>
    </cfRule>
  </conditionalFormatting>
  <pageMargins left="0.7" right="0.7" top="0.75" bottom="0.75" header="0.3" footer="0.3"/>
  <pageSetup orientation="landscape" r:id="rId1"/>
  <extLst>
    <ext xmlns:x14="http://schemas.microsoft.com/office/spreadsheetml/2009/9/main" uri="{CCE6A557-97BC-4b89-ADB6-D9C93CAAB3DF}">
      <x14:dataValidations xmlns:xm="http://schemas.microsoft.com/office/excel/2006/main" count="1">
        <x14:dataValidation type="list" allowBlank="1" showInputMessage="1" showErrorMessage="1" xr:uid="{C377F22E-9661-401A-A5EC-8A9577C6138C}">
          <x14:formula1>
            <xm:f>'XLSX Data Elements'!$C$8:$C$9</xm:f>
          </x14:formula1>
          <xm:sqref>C6 C7:C9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K84"/>
  <sheetViews>
    <sheetView tabSelected="1" topLeftCell="A37" zoomScale="55" zoomScaleNormal="55" workbookViewId="0">
      <selection activeCell="F52" sqref="F52:F55"/>
    </sheetView>
  </sheetViews>
  <sheetFormatPr defaultColWidth="9.1796875" defaultRowHeight="18.5" x14ac:dyDescent="0.45"/>
  <cols>
    <col min="1" max="1" width="14.81640625" style="26" customWidth="1"/>
    <col min="2" max="2" width="82.453125" style="26" customWidth="1"/>
    <col min="3" max="3" width="35.7265625" style="26" customWidth="1"/>
    <col min="4" max="6" width="20.7265625" style="26" customWidth="1"/>
    <col min="7" max="7" width="19" style="26" customWidth="1"/>
    <col min="8" max="8" width="14.7265625" style="26" customWidth="1"/>
    <col min="9" max="10" width="12.7265625" style="26" customWidth="1"/>
    <col min="11" max="11" width="35.81640625" style="30" customWidth="1"/>
    <col min="12" max="25" width="10.7265625" style="26" customWidth="1"/>
    <col min="26" max="16384" width="9.1796875" style="26"/>
  </cols>
  <sheetData>
    <row r="1" spans="1:11" ht="21.5" thickBot="1" x14ac:dyDescent="0.55000000000000004">
      <c r="A1" s="56"/>
      <c r="B1" s="161" t="s">
        <v>40</v>
      </c>
      <c r="C1" s="161"/>
      <c r="D1" s="161"/>
      <c r="E1" s="161"/>
      <c r="F1" s="161"/>
      <c r="G1" s="161"/>
      <c r="H1" s="27"/>
      <c r="K1" s="26"/>
    </row>
    <row r="2" spans="1:11" ht="21.5" thickBot="1" x14ac:dyDescent="0.55000000000000004">
      <c r="A2" s="56"/>
      <c r="B2" s="162" t="s">
        <v>43</v>
      </c>
      <c r="C2" s="163"/>
      <c r="D2" s="163"/>
      <c r="E2" s="163"/>
      <c r="F2" s="163"/>
      <c r="G2" s="164"/>
      <c r="H2" s="28"/>
      <c r="I2" s="29"/>
      <c r="K2" s="26"/>
    </row>
    <row r="3" spans="1:11" ht="16" customHeight="1" thickBot="1" x14ac:dyDescent="0.55000000000000004">
      <c r="A3" s="56"/>
      <c r="B3" s="57" t="s">
        <v>13</v>
      </c>
      <c r="C3" s="58"/>
      <c r="D3" s="59"/>
      <c r="E3" s="60"/>
      <c r="F3" s="60"/>
      <c r="G3" s="61"/>
      <c r="H3" s="28"/>
      <c r="I3" s="31"/>
      <c r="K3" s="26"/>
    </row>
    <row r="4" spans="1:11" ht="60.5" thickBot="1" x14ac:dyDescent="0.5">
      <c r="A4" s="60" t="s">
        <v>17</v>
      </c>
      <c r="B4" s="62"/>
      <c r="C4" s="63" t="s">
        <v>18</v>
      </c>
      <c r="D4" s="64" t="s">
        <v>33</v>
      </c>
      <c r="E4" s="65" t="s">
        <v>20</v>
      </c>
      <c r="F4" s="66" t="s">
        <v>35</v>
      </c>
      <c r="G4" s="67" t="s">
        <v>22</v>
      </c>
      <c r="H4" s="32"/>
      <c r="I4" s="31"/>
      <c r="K4" s="26"/>
    </row>
    <row r="5" spans="1:11" ht="48" customHeight="1" x14ac:dyDescent="0.45">
      <c r="A5" s="68"/>
      <c r="B5" s="69" t="s">
        <v>38</v>
      </c>
      <c r="C5" s="70"/>
      <c r="D5" s="70"/>
      <c r="E5" s="71"/>
      <c r="F5" s="71"/>
      <c r="G5" s="72"/>
      <c r="H5" s="33"/>
      <c r="I5" s="34"/>
      <c r="J5" s="34"/>
      <c r="K5" s="34"/>
    </row>
    <row r="6" spans="1:11" ht="48" customHeight="1" x14ac:dyDescent="0.45">
      <c r="A6" s="73"/>
      <c r="B6" s="74" t="s">
        <v>62</v>
      </c>
      <c r="C6" s="75"/>
      <c r="D6" s="75"/>
      <c r="E6" s="76"/>
      <c r="F6" s="76"/>
      <c r="G6" s="77"/>
      <c r="H6" s="32"/>
      <c r="I6" s="31"/>
      <c r="K6" s="26"/>
    </row>
    <row r="7" spans="1:11" ht="122.25" customHeight="1" x14ac:dyDescent="0.5">
      <c r="A7" s="56" t="s">
        <v>23</v>
      </c>
      <c r="B7" s="78" t="s">
        <v>50</v>
      </c>
      <c r="C7" s="79" t="s">
        <v>60</v>
      </c>
      <c r="D7" s="143">
        <v>0</v>
      </c>
      <c r="E7" s="80">
        <v>300</v>
      </c>
      <c r="F7" s="81">
        <v>3000</v>
      </c>
      <c r="G7" s="82">
        <f>D7*E7</f>
        <v>0</v>
      </c>
      <c r="H7" s="35"/>
      <c r="I7" s="36"/>
      <c r="K7" s="26"/>
    </row>
    <row r="8" spans="1:11" ht="40" x14ac:dyDescent="0.5">
      <c r="A8" s="56" t="s">
        <v>23</v>
      </c>
      <c r="B8" s="83" t="s">
        <v>69</v>
      </c>
      <c r="C8" s="84" t="s">
        <v>60</v>
      </c>
      <c r="D8" s="143">
        <v>0</v>
      </c>
      <c r="E8" s="85">
        <v>100</v>
      </c>
      <c r="F8" s="86">
        <v>1000</v>
      </c>
      <c r="G8" s="82">
        <f t="shared" ref="G8:G44" si="0">D8*E8</f>
        <v>0</v>
      </c>
      <c r="H8" s="37"/>
      <c r="K8" s="26"/>
    </row>
    <row r="9" spans="1:11" ht="90" customHeight="1" x14ac:dyDescent="0.5">
      <c r="A9" s="56" t="s">
        <v>23</v>
      </c>
      <c r="B9" s="78" t="s">
        <v>61</v>
      </c>
      <c r="C9" s="79" t="s">
        <v>60</v>
      </c>
      <c r="D9" s="143">
        <v>0</v>
      </c>
      <c r="E9" s="87">
        <v>100</v>
      </c>
      <c r="F9" s="88">
        <v>1000</v>
      </c>
      <c r="G9" s="82">
        <f>D9*E9</f>
        <v>0</v>
      </c>
      <c r="H9" s="37"/>
      <c r="K9" s="26"/>
    </row>
    <row r="10" spans="1:11" ht="90" customHeight="1" x14ac:dyDescent="0.5">
      <c r="A10" s="56" t="s">
        <v>23</v>
      </c>
      <c r="B10" s="83" t="s">
        <v>44</v>
      </c>
      <c r="C10" s="84" t="s">
        <v>60</v>
      </c>
      <c r="D10" s="143">
        <v>0</v>
      </c>
      <c r="E10" s="85">
        <v>100</v>
      </c>
      <c r="F10" s="86">
        <v>1000</v>
      </c>
      <c r="G10" s="82">
        <f t="shared" si="0"/>
        <v>0</v>
      </c>
      <c r="H10" s="37"/>
      <c r="K10" s="26"/>
    </row>
    <row r="11" spans="1:11" ht="81.650000000000006" customHeight="1" x14ac:dyDescent="0.5">
      <c r="A11" s="56" t="s">
        <v>23</v>
      </c>
      <c r="B11" s="78" t="s">
        <v>70</v>
      </c>
      <c r="C11" s="79" t="s">
        <v>60</v>
      </c>
      <c r="D11" s="143">
        <v>0</v>
      </c>
      <c r="E11" s="87">
        <v>25</v>
      </c>
      <c r="F11" s="88">
        <v>250</v>
      </c>
      <c r="G11" s="82">
        <f t="shared" si="0"/>
        <v>0</v>
      </c>
      <c r="H11" s="37"/>
      <c r="K11" s="26"/>
    </row>
    <row r="12" spans="1:11" ht="90" customHeight="1" x14ac:dyDescent="0.5">
      <c r="A12" s="56" t="s">
        <v>23</v>
      </c>
      <c r="B12" s="83" t="s">
        <v>63</v>
      </c>
      <c r="C12" s="84" t="s">
        <v>60</v>
      </c>
      <c r="D12" s="143">
        <v>0</v>
      </c>
      <c r="E12" s="85">
        <v>25</v>
      </c>
      <c r="F12" s="86">
        <v>250</v>
      </c>
      <c r="G12" s="82">
        <f t="shared" si="0"/>
        <v>0</v>
      </c>
      <c r="H12" s="37"/>
      <c r="K12" s="26"/>
    </row>
    <row r="13" spans="1:11" ht="90" customHeight="1" x14ac:dyDescent="0.5">
      <c r="A13" s="56"/>
      <c r="B13" s="74" t="s">
        <v>64</v>
      </c>
      <c r="C13" s="89"/>
      <c r="D13" s="89"/>
      <c r="E13" s="90"/>
      <c r="F13" s="91"/>
      <c r="G13" s="92"/>
      <c r="H13" s="37"/>
      <c r="K13" s="26"/>
    </row>
    <row r="14" spans="1:11" ht="105" customHeight="1" x14ac:dyDescent="0.45">
      <c r="A14" s="60" t="s">
        <v>23</v>
      </c>
      <c r="B14" s="78" t="s">
        <v>48</v>
      </c>
      <c r="C14" s="79" t="s">
        <v>60</v>
      </c>
      <c r="D14" s="143">
        <v>0</v>
      </c>
      <c r="E14" s="79">
        <v>300</v>
      </c>
      <c r="F14" s="93">
        <v>3000</v>
      </c>
      <c r="G14" s="82">
        <f t="shared" si="0"/>
        <v>0</v>
      </c>
      <c r="H14" s="38"/>
      <c r="K14" s="26"/>
    </row>
    <row r="15" spans="1:11" ht="105" customHeight="1" x14ac:dyDescent="0.45">
      <c r="A15" s="60" t="s">
        <v>23</v>
      </c>
      <c r="B15" s="83" t="s">
        <v>68</v>
      </c>
      <c r="C15" s="84" t="s">
        <v>60</v>
      </c>
      <c r="D15" s="143">
        <v>0</v>
      </c>
      <c r="E15" s="85">
        <v>100</v>
      </c>
      <c r="F15" s="86">
        <v>1000</v>
      </c>
      <c r="G15" s="82">
        <f t="shared" si="0"/>
        <v>0</v>
      </c>
      <c r="H15" s="38"/>
      <c r="K15" s="26"/>
    </row>
    <row r="16" spans="1:11" ht="105" customHeight="1" x14ac:dyDescent="0.45">
      <c r="A16" s="60" t="s">
        <v>23</v>
      </c>
      <c r="B16" s="78" t="s">
        <v>67</v>
      </c>
      <c r="C16" s="79" t="s">
        <v>60</v>
      </c>
      <c r="D16" s="143">
        <v>0</v>
      </c>
      <c r="E16" s="87">
        <v>100</v>
      </c>
      <c r="F16" s="88">
        <v>1000</v>
      </c>
      <c r="G16" s="82">
        <f t="shared" si="0"/>
        <v>0</v>
      </c>
      <c r="H16" s="38"/>
      <c r="K16" s="26"/>
    </row>
    <row r="17" spans="1:11" ht="90" customHeight="1" x14ac:dyDescent="0.45">
      <c r="A17" s="60" t="s">
        <v>23</v>
      </c>
      <c r="B17" s="83" t="s">
        <v>45</v>
      </c>
      <c r="C17" s="84" t="s">
        <v>60</v>
      </c>
      <c r="D17" s="143">
        <v>0</v>
      </c>
      <c r="E17" s="94">
        <v>100</v>
      </c>
      <c r="F17" s="95">
        <v>1000</v>
      </c>
      <c r="G17" s="82">
        <f t="shared" si="0"/>
        <v>0</v>
      </c>
      <c r="H17" s="38"/>
      <c r="K17" s="26"/>
    </row>
    <row r="18" spans="1:11" ht="60" x14ac:dyDescent="0.45">
      <c r="A18" s="60" t="s">
        <v>23</v>
      </c>
      <c r="B18" s="78" t="s">
        <v>71</v>
      </c>
      <c r="C18" s="79" t="s">
        <v>60</v>
      </c>
      <c r="D18" s="143">
        <v>0</v>
      </c>
      <c r="E18" s="87">
        <v>25</v>
      </c>
      <c r="F18" s="88">
        <v>250</v>
      </c>
      <c r="G18" s="82">
        <f t="shared" si="0"/>
        <v>0</v>
      </c>
      <c r="H18" s="38"/>
      <c r="K18" s="26"/>
    </row>
    <row r="19" spans="1:11" ht="90" customHeight="1" x14ac:dyDescent="0.45">
      <c r="A19" s="60" t="s">
        <v>23</v>
      </c>
      <c r="B19" s="83" t="s">
        <v>72</v>
      </c>
      <c r="C19" s="84" t="s">
        <v>60</v>
      </c>
      <c r="D19" s="143">
        <v>0</v>
      </c>
      <c r="E19" s="85">
        <v>25</v>
      </c>
      <c r="F19" s="86">
        <v>250</v>
      </c>
      <c r="G19" s="82">
        <f t="shared" si="0"/>
        <v>0</v>
      </c>
      <c r="H19" s="38"/>
      <c r="K19" s="26"/>
    </row>
    <row r="20" spans="1:11" ht="90" customHeight="1" x14ac:dyDescent="0.45">
      <c r="A20" s="60"/>
      <c r="B20" s="74" t="s">
        <v>73</v>
      </c>
      <c r="C20" s="96"/>
      <c r="D20" s="96"/>
      <c r="E20" s="97"/>
      <c r="F20" s="98"/>
      <c r="G20" s="99"/>
      <c r="H20" s="38"/>
      <c r="K20" s="26"/>
    </row>
    <row r="21" spans="1:11" ht="105" customHeight="1" x14ac:dyDescent="0.45">
      <c r="A21" s="60" t="s">
        <v>23</v>
      </c>
      <c r="B21" s="78" t="s">
        <v>51</v>
      </c>
      <c r="C21" s="79" t="s">
        <v>60</v>
      </c>
      <c r="D21" s="143">
        <v>0</v>
      </c>
      <c r="E21" s="79">
        <v>300</v>
      </c>
      <c r="F21" s="93">
        <v>3000</v>
      </c>
      <c r="G21" s="82">
        <f t="shared" si="0"/>
        <v>0</v>
      </c>
      <c r="H21" s="38"/>
      <c r="K21" s="26"/>
    </row>
    <row r="22" spans="1:11" ht="105" customHeight="1" x14ac:dyDescent="0.45">
      <c r="A22" s="60" t="s">
        <v>23</v>
      </c>
      <c r="B22" s="83" t="s">
        <v>74</v>
      </c>
      <c r="C22" s="84" t="s">
        <v>60</v>
      </c>
      <c r="D22" s="143">
        <v>0</v>
      </c>
      <c r="E22" s="85">
        <v>25</v>
      </c>
      <c r="F22" s="86">
        <v>250</v>
      </c>
      <c r="G22" s="82">
        <f t="shared" si="0"/>
        <v>0</v>
      </c>
      <c r="H22" s="38"/>
      <c r="K22" s="26"/>
    </row>
    <row r="23" spans="1:11" ht="105" customHeight="1" x14ac:dyDescent="0.45">
      <c r="A23" s="60" t="s">
        <v>23</v>
      </c>
      <c r="B23" s="78" t="s">
        <v>75</v>
      </c>
      <c r="C23" s="79" t="s">
        <v>60</v>
      </c>
      <c r="D23" s="143">
        <v>0</v>
      </c>
      <c r="E23" s="87">
        <v>25</v>
      </c>
      <c r="F23" s="88">
        <v>250</v>
      </c>
      <c r="G23" s="82">
        <f t="shared" si="0"/>
        <v>0</v>
      </c>
      <c r="H23" s="38"/>
      <c r="K23" s="26"/>
    </row>
    <row r="24" spans="1:11" ht="90" customHeight="1" x14ac:dyDescent="0.45">
      <c r="A24" s="60"/>
      <c r="B24" s="74" t="s">
        <v>93</v>
      </c>
      <c r="C24" s="96"/>
      <c r="D24" s="96"/>
      <c r="E24" s="97"/>
      <c r="F24" s="98"/>
      <c r="G24" s="99"/>
      <c r="H24" s="38"/>
      <c r="K24" s="26"/>
    </row>
    <row r="25" spans="1:11" ht="62.15" customHeight="1" x14ac:dyDescent="0.45">
      <c r="A25" s="60" t="s">
        <v>23</v>
      </c>
      <c r="B25" s="78" t="s">
        <v>52</v>
      </c>
      <c r="C25" s="79" t="s">
        <v>76</v>
      </c>
      <c r="D25" s="143">
        <v>0</v>
      </c>
      <c r="E25" s="80">
        <v>300</v>
      </c>
      <c r="F25" s="81">
        <v>1500</v>
      </c>
      <c r="G25" s="82">
        <f t="shared" si="0"/>
        <v>0</v>
      </c>
      <c r="H25" s="39"/>
      <c r="K25" s="26"/>
    </row>
    <row r="26" spans="1:11" ht="62.15" customHeight="1" x14ac:dyDescent="0.45">
      <c r="A26" s="60" t="s">
        <v>23</v>
      </c>
      <c r="B26" s="83" t="s">
        <v>80</v>
      </c>
      <c r="C26" s="84" t="s">
        <v>76</v>
      </c>
      <c r="D26" s="143">
        <v>0</v>
      </c>
      <c r="E26" s="85">
        <v>25</v>
      </c>
      <c r="F26" s="86">
        <v>125</v>
      </c>
      <c r="G26" s="82">
        <f t="shared" si="0"/>
        <v>0</v>
      </c>
      <c r="H26" s="39"/>
      <c r="K26" s="26"/>
    </row>
    <row r="27" spans="1:11" ht="80" x14ac:dyDescent="0.45">
      <c r="A27" s="60" t="s">
        <v>23</v>
      </c>
      <c r="B27" s="78" t="s">
        <v>81</v>
      </c>
      <c r="C27" s="79" t="s">
        <v>76</v>
      </c>
      <c r="D27" s="143">
        <v>0</v>
      </c>
      <c r="E27" s="87">
        <v>25</v>
      </c>
      <c r="F27" s="88">
        <v>125</v>
      </c>
      <c r="G27" s="82">
        <f t="shared" si="0"/>
        <v>0</v>
      </c>
      <c r="H27" s="39"/>
      <c r="K27" s="26"/>
    </row>
    <row r="28" spans="1:11" ht="62.15" customHeight="1" x14ac:dyDescent="0.45">
      <c r="A28" s="60"/>
      <c r="B28" s="74" t="s">
        <v>65</v>
      </c>
      <c r="C28" s="96"/>
      <c r="D28" s="96"/>
      <c r="E28" s="97"/>
      <c r="F28" s="98"/>
      <c r="G28" s="99"/>
      <c r="H28" s="39"/>
      <c r="K28" s="26"/>
    </row>
    <row r="29" spans="1:11" ht="105" customHeight="1" x14ac:dyDescent="0.45">
      <c r="A29" s="60" t="s">
        <v>23</v>
      </c>
      <c r="B29" s="78" t="s">
        <v>59</v>
      </c>
      <c r="C29" s="79" t="s">
        <v>77</v>
      </c>
      <c r="D29" s="143">
        <v>0</v>
      </c>
      <c r="E29" s="80">
        <v>400</v>
      </c>
      <c r="F29" s="81">
        <v>1600</v>
      </c>
      <c r="G29" s="82">
        <f t="shared" si="0"/>
        <v>0</v>
      </c>
      <c r="H29" s="40"/>
      <c r="K29" s="26"/>
    </row>
    <row r="30" spans="1:11" ht="105" customHeight="1" x14ac:dyDescent="0.45">
      <c r="A30" s="60" t="s">
        <v>23</v>
      </c>
      <c r="B30" s="83" t="s">
        <v>78</v>
      </c>
      <c r="C30" s="84" t="s">
        <v>77</v>
      </c>
      <c r="D30" s="143">
        <v>0</v>
      </c>
      <c r="E30" s="85">
        <v>100</v>
      </c>
      <c r="F30" s="86">
        <v>400</v>
      </c>
      <c r="G30" s="82">
        <f t="shared" si="0"/>
        <v>0</v>
      </c>
      <c r="H30" s="40"/>
      <c r="K30" s="26"/>
    </row>
    <row r="31" spans="1:11" ht="105" customHeight="1" x14ac:dyDescent="0.45">
      <c r="A31" s="60" t="s">
        <v>23</v>
      </c>
      <c r="B31" s="78" t="s">
        <v>53</v>
      </c>
      <c r="C31" s="79" t="s">
        <v>77</v>
      </c>
      <c r="D31" s="143">
        <v>0</v>
      </c>
      <c r="E31" s="79">
        <v>200</v>
      </c>
      <c r="F31" s="93">
        <v>800</v>
      </c>
      <c r="G31" s="82">
        <f t="shared" si="0"/>
        <v>0</v>
      </c>
      <c r="H31" s="40"/>
      <c r="K31" s="26"/>
    </row>
    <row r="32" spans="1:11" ht="105" customHeight="1" x14ac:dyDescent="0.45">
      <c r="A32" s="60" t="s">
        <v>23</v>
      </c>
      <c r="B32" s="83" t="s">
        <v>79</v>
      </c>
      <c r="C32" s="84" t="s">
        <v>77</v>
      </c>
      <c r="D32" s="143">
        <v>0</v>
      </c>
      <c r="E32" s="84">
        <v>50</v>
      </c>
      <c r="F32" s="100">
        <v>200</v>
      </c>
      <c r="G32" s="82">
        <f t="shared" si="0"/>
        <v>0</v>
      </c>
      <c r="H32" s="40"/>
      <c r="K32" s="26"/>
    </row>
    <row r="33" spans="1:11" ht="105" customHeight="1" x14ac:dyDescent="0.45">
      <c r="A33" s="60"/>
      <c r="B33" s="74" t="s">
        <v>66</v>
      </c>
      <c r="C33" s="96"/>
      <c r="D33" s="96"/>
      <c r="E33" s="97"/>
      <c r="F33" s="98"/>
      <c r="G33" s="99"/>
      <c r="H33" s="40"/>
      <c r="K33" s="26"/>
    </row>
    <row r="34" spans="1:11" ht="78.650000000000006" customHeight="1" x14ac:dyDescent="0.45">
      <c r="A34" s="60" t="s">
        <v>23</v>
      </c>
      <c r="B34" s="78" t="s">
        <v>54</v>
      </c>
      <c r="C34" s="79" t="s">
        <v>76</v>
      </c>
      <c r="D34" s="143">
        <v>0</v>
      </c>
      <c r="E34" s="80">
        <v>200</v>
      </c>
      <c r="F34" s="81">
        <v>1000</v>
      </c>
      <c r="G34" s="82">
        <f t="shared" si="0"/>
        <v>0</v>
      </c>
      <c r="H34" s="40"/>
      <c r="K34" s="26"/>
    </row>
    <row r="35" spans="1:11" ht="65.150000000000006" customHeight="1" x14ac:dyDescent="0.45">
      <c r="A35" s="60" t="s">
        <v>23</v>
      </c>
      <c r="B35" s="83" t="s">
        <v>82</v>
      </c>
      <c r="C35" s="84" t="s">
        <v>76</v>
      </c>
      <c r="D35" s="143">
        <v>0</v>
      </c>
      <c r="E35" s="84">
        <v>25</v>
      </c>
      <c r="F35" s="100">
        <v>125</v>
      </c>
      <c r="G35" s="82">
        <f t="shared" si="0"/>
        <v>0</v>
      </c>
      <c r="H35" s="40"/>
      <c r="K35" s="26"/>
    </row>
    <row r="36" spans="1:11" ht="80" x14ac:dyDescent="0.45">
      <c r="A36" s="60" t="s">
        <v>23</v>
      </c>
      <c r="B36" s="78" t="s">
        <v>83</v>
      </c>
      <c r="C36" s="79" t="s">
        <v>76</v>
      </c>
      <c r="D36" s="143">
        <v>0</v>
      </c>
      <c r="E36" s="79">
        <v>25</v>
      </c>
      <c r="F36" s="93">
        <v>125</v>
      </c>
      <c r="G36" s="82">
        <f t="shared" si="0"/>
        <v>0</v>
      </c>
      <c r="H36" s="40"/>
      <c r="K36" s="26"/>
    </row>
    <row r="37" spans="1:11" ht="90" customHeight="1" x14ac:dyDescent="0.45">
      <c r="A37" s="60"/>
      <c r="B37" s="74" t="s">
        <v>94</v>
      </c>
      <c r="C37" s="96"/>
      <c r="D37" s="96"/>
      <c r="E37" s="97"/>
      <c r="F37" s="98"/>
      <c r="G37" s="99"/>
      <c r="H37" s="40"/>
      <c r="K37" s="26"/>
    </row>
    <row r="38" spans="1:11" ht="40" x14ac:dyDescent="0.45">
      <c r="A38" s="60" t="s">
        <v>23</v>
      </c>
      <c r="B38" s="78" t="s">
        <v>46</v>
      </c>
      <c r="C38" s="79" t="s">
        <v>84</v>
      </c>
      <c r="D38" s="143">
        <v>0</v>
      </c>
      <c r="E38" s="79">
        <v>300</v>
      </c>
      <c r="F38" s="93">
        <v>1800</v>
      </c>
      <c r="G38" s="82">
        <f t="shared" si="0"/>
        <v>0</v>
      </c>
      <c r="H38" s="40"/>
      <c r="K38" s="26"/>
    </row>
    <row r="39" spans="1:11" ht="60.75" customHeight="1" x14ac:dyDescent="0.45">
      <c r="A39" s="60" t="s">
        <v>23</v>
      </c>
      <c r="B39" s="83" t="s">
        <v>87</v>
      </c>
      <c r="C39" s="84" t="s">
        <v>85</v>
      </c>
      <c r="D39" s="143">
        <v>0</v>
      </c>
      <c r="E39" s="84">
        <v>100</v>
      </c>
      <c r="F39" s="100">
        <v>700</v>
      </c>
      <c r="G39" s="82">
        <f t="shared" si="0"/>
        <v>0</v>
      </c>
      <c r="H39" s="40"/>
      <c r="K39" s="26"/>
    </row>
    <row r="40" spans="1:11" ht="70" customHeight="1" x14ac:dyDescent="0.45">
      <c r="A40" s="60" t="s">
        <v>23</v>
      </c>
      <c r="B40" s="78" t="s">
        <v>88</v>
      </c>
      <c r="C40" s="79" t="s">
        <v>77</v>
      </c>
      <c r="D40" s="143">
        <v>0</v>
      </c>
      <c r="E40" s="79">
        <v>100</v>
      </c>
      <c r="F40" s="93">
        <v>400</v>
      </c>
      <c r="G40" s="82">
        <f t="shared" si="0"/>
        <v>0</v>
      </c>
      <c r="H40" s="40"/>
      <c r="K40" s="26"/>
    </row>
    <row r="41" spans="1:11" ht="77.5" customHeight="1" x14ac:dyDescent="0.45">
      <c r="A41" s="60" t="s">
        <v>23</v>
      </c>
      <c r="B41" s="83" t="s">
        <v>89</v>
      </c>
      <c r="C41" s="84" t="s">
        <v>86</v>
      </c>
      <c r="D41" s="143">
        <v>0</v>
      </c>
      <c r="E41" s="84">
        <v>100</v>
      </c>
      <c r="F41" s="100">
        <v>100</v>
      </c>
      <c r="G41" s="82">
        <f t="shared" si="0"/>
        <v>0</v>
      </c>
      <c r="H41" s="40"/>
      <c r="K41" s="26"/>
    </row>
    <row r="42" spans="1:11" ht="109.5" customHeight="1" x14ac:dyDescent="0.45">
      <c r="A42" s="60" t="s">
        <v>23</v>
      </c>
      <c r="B42" s="78" t="s">
        <v>47</v>
      </c>
      <c r="C42" s="79" t="s">
        <v>84</v>
      </c>
      <c r="D42" s="143">
        <v>0</v>
      </c>
      <c r="E42" s="79">
        <v>100</v>
      </c>
      <c r="F42" s="93">
        <v>600</v>
      </c>
      <c r="G42" s="82">
        <f t="shared" si="0"/>
        <v>0</v>
      </c>
      <c r="H42" s="40"/>
      <c r="K42" s="26"/>
    </row>
    <row r="43" spans="1:11" ht="77.5" customHeight="1" x14ac:dyDescent="0.45">
      <c r="A43" s="60"/>
      <c r="B43" s="141" t="s">
        <v>91</v>
      </c>
      <c r="C43" s="79" t="s">
        <v>85</v>
      </c>
      <c r="D43" s="143">
        <v>0</v>
      </c>
      <c r="E43" s="79">
        <v>25</v>
      </c>
      <c r="F43" s="93">
        <v>175</v>
      </c>
      <c r="G43" s="138">
        <f>D43*E43</f>
        <v>0</v>
      </c>
      <c r="H43" s="40"/>
      <c r="K43" s="26"/>
    </row>
    <row r="44" spans="1:11" ht="91" customHeight="1" x14ac:dyDescent="0.45">
      <c r="A44" s="60" t="s">
        <v>23</v>
      </c>
      <c r="B44" s="141" t="s">
        <v>92</v>
      </c>
      <c r="C44" s="84" t="s">
        <v>77</v>
      </c>
      <c r="D44" s="143">
        <v>0</v>
      </c>
      <c r="E44" s="84">
        <v>25</v>
      </c>
      <c r="F44" s="100">
        <v>100</v>
      </c>
      <c r="G44" s="82">
        <f t="shared" si="0"/>
        <v>0</v>
      </c>
      <c r="H44" s="40"/>
      <c r="K44" s="26"/>
    </row>
    <row r="45" spans="1:11" ht="16" hidden="1" customHeight="1" thickBot="1" x14ac:dyDescent="0.5">
      <c r="A45" s="60"/>
      <c r="B45" s="101"/>
      <c r="C45" s="102"/>
      <c r="D45" s="102"/>
      <c r="E45" s="103"/>
      <c r="F45" s="104"/>
      <c r="G45" s="173"/>
      <c r="H45" s="41"/>
      <c r="I45" s="29"/>
      <c r="K45" s="26"/>
    </row>
    <row r="46" spans="1:11" ht="16" hidden="1" customHeight="1" x14ac:dyDescent="0.45">
      <c r="A46" s="60"/>
      <c r="B46" s="105"/>
      <c r="C46" s="106"/>
      <c r="D46" s="106"/>
      <c r="E46" s="107"/>
      <c r="F46" s="108"/>
      <c r="G46" s="109"/>
      <c r="H46" s="41"/>
      <c r="I46" s="29"/>
      <c r="K46" s="26"/>
    </row>
    <row r="47" spans="1:11" ht="16" hidden="1" customHeight="1" x14ac:dyDescent="0.45">
      <c r="A47" s="60"/>
      <c r="B47" s="105"/>
      <c r="C47" s="106"/>
      <c r="D47" s="106"/>
      <c r="E47" s="107"/>
      <c r="F47" s="108"/>
      <c r="G47" s="110"/>
      <c r="H47" s="42"/>
      <c r="K47" s="26"/>
    </row>
    <row r="48" spans="1:11" ht="16" hidden="1" customHeight="1" thickBot="1" x14ac:dyDescent="0.5">
      <c r="A48" s="60"/>
      <c r="B48" s="105"/>
      <c r="C48" s="106"/>
      <c r="D48" s="106"/>
      <c r="E48" s="107"/>
      <c r="F48" s="108"/>
      <c r="G48" s="111"/>
      <c r="H48" s="43"/>
      <c r="K48" s="26"/>
    </row>
    <row r="49" spans="1:11" ht="45" hidden="1" customHeight="1" thickBot="1" x14ac:dyDescent="0.5">
      <c r="A49" s="60"/>
      <c r="B49" s="62"/>
      <c r="C49" s="63" t="s">
        <v>18</v>
      </c>
      <c r="D49" s="64" t="s">
        <v>19</v>
      </c>
      <c r="E49" s="65" t="s">
        <v>20</v>
      </c>
      <c r="F49" s="66" t="s">
        <v>21</v>
      </c>
      <c r="G49" s="67" t="s">
        <v>22</v>
      </c>
      <c r="H49" s="32"/>
      <c r="K49" s="26"/>
    </row>
    <row r="50" spans="1:11" ht="16" hidden="1" customHeight="1" x14ac:dyDescent="0.45">
      <c r="A50" s="60"/>
      <c r="B50" s="112" t="s">
        <v>24</v>
      </c>
      <c r="C50" s="113"/>
      <c r="D50" s="113"/>
      <c r="E50" s="114"/>
      <c r="F50" s="115"/>
      <c r="G50" s="116"/>
      <c r="H50" s="44"/>
      <c r="I50" s="45"/>
      <c r="K50" s="26"/>
    </row>
    <row r="51" spans="1:11" ht="64" customHeight="1" x14ac:dyDescent="0.5">
      <c r="A51" s="56"/>
      <c r="B51" s="142" t="s">
        <v>90</v>
      </c>
      <c r="C51" s="117"/>
      <c r="D51" s="117"/>
      <c r="E51" s="118"/>
      <c r="F51" s="118"/>
      <c r="G51" s="119"/>
      <c r="H51" s="32"/>
      <c r="I51" s="46"/>
      <c r="K51" s="26"/>
    </row>
    <row r="52" spans="1:11" ht="38.15" customHeight="1" x14ac:dyDescent="0.45">
      <c r="A52" s="60" t="s">
        <v>23</v>
      </c>
      <c r="B52" s="139" t="s">
        <v>55</v>
      </c>
      <c r="C52" s="120" t="s">
        <v>86</v>
      </c>
      <c r="D52" s="144">
        <v>0</v>
      </c>
      <c r="E52" s="121">
        <v>500</v>
      </c>
      <c r="F52" s="122">
        <v>500</v>
      </c>
      <c r="G52" s="82">
        <f>D52*E52</f>
        <v>0</v>
      </c>
      <c r="H52" s="28"/>
      <c r="K52" s="26"/>
    </row>
    <row r="53" spans="1:11" ht="38.15" customHeight="1" x14ac:dyDescent="0.45">
      <c r="A53" s="60" t="s">
        <v>23</v>
      </c>
      <c r="B53" s="140" t="s">
        <v>56</v>
      </c>
      <c r="C53" s="123" t="s">
        <v>86</v>
      </c>
      <c r="D53" s="144">
        <v>0</v>
      </c>
      <c r="E53" s="124">
        <v>400</v>
      </c>
      <c r="F53" s="125">
        <v>400</v>
      </c>
      <c r="G53" s="82">
        <f t="shared" ref="G53:G55" si="1">D53*E53</f>
        <v>0</v>
      </c>
      <c r="H53" s="28"/>
      <c r="K53" s="26"/>
    </row>
    <row r="54" spans="1:11" ht="38.15" customHeight="1" x14ac:dyDescent="0.45">
      <c r="A54" s="60" t="s">
        <v>23</v>
      </c>
      <c r="B54" s="139" t="s">
        <v>57</v>
      </c>
      <c r="C54" s="120" t="s">
        <v>86</v>
      </c>
      <c r="D54" s="144">
        <v>0</v>
      </c>
      <c r="E54" s="121">
        <v>300</v>
      </c>
      <c r="F54" s="122">
        <v>300</v>
      </c>
      <c r="G54" s="82">
        <f t="shared" si="1"/>
        <v>0</v>
      </c>
      <c r="H54" s="28"/>
      <c r="K54" s="26"/>
    </row>
    <row r="55" spans="1:11" ht="38.15" customHeight="1" x14ac:dyDescent="0.45">
      <c r="A55" s="60" t="s">
        <v>23</v>
      </c>
      <c r="B55" s="140" t="s">
        <v>58</v>
      </c>
      <c r="C55" s="123" t="s">
        <v>86</v>
      </c>
      <c r="D55" s="144">
        <v>0</v>
      </c>
      <c r="E55" s="124">
        <v>200</v>
      </c>
      <c r="F55" s="125">
        <v>200</v>
      </c>
      <c r="G55" s="82">
        <f t="shared" si="1"/>
        <v>0</v>
      </c>
      <c r="H55" s="28"/>
      <c r="K55" s="26"/>
    </row>
    <row r="56" spans="1:11" ht="24" customHeight="1" thickBot="1" x14ac:dyDescent="0.5">
      <c r="A56" s="60"/>
      <c r="B56" s="126"/>
      <c r="C56" s="127"/>
      <c r="D56" s="127"/>
      <c r="E56" s="128"/>
      <c r="F56" s="129"/>
      <c r="G56" s="130"/>
      <c r="H56" s="28"/>
      <c r="K56" s="26"/>
    </row>
    <row r="57" spans="1:11" ht="32.15" customHeight="1" thickTop="1" x14ac:dyDescent="0.5">
      <c r="A57" s="56"/>
      <c r="B57" s="131"/>
      <c r="C57" s="132"/>
      <c r="D57" s="132"/>
      <c r="E57" s="169" t="s">
        <v>25</v>
      </c>
      <c r="F57" s="170"/>
      <c r="G57" s="133">
        <f>SUM(F7:F55)</f>
        <v>27775</v>
      </c>
      <c r="H57" s="165" t="s">
        <v>26</v>
      </c>
      <c r="I57" s="166"/>
      <c r="J57" s="47"/>
    </row>
    <row r="58" spans="1:11" ht="32.15" customHeight="1" x14ac:dyDescent="0.5">
      <c r="A58" s="56"/>
      <c r="B58" s="60"/>
      <c r="C58" s="134"/>
      <c r="D58" s="134"/>
      <c r="E58" s="171" t="s">
        <v>27</v>
      </c>
      <c r="F58" s="172"/>
      <c r="G58" s="135">
        <f>G57*0.8</f>
        <v>22220</v>
      </c>
      <c r="H58" s="167" t="s">
        <v>39</v>
      </c>
      <c r="I58" s="168"/>
      <c r="J58" s="47"/>
    </row>
    <row r="59" spans="1:11" ht="32.15" customHeight="1" thickBot="1" x14ac:dyDescent="0.55000000000000004">
      <c r="A59" s="56"/>
      <c r="B59" s="60"/>
      <c r="C59" s="60"/>
      <c r="D59" s="60"/>
      <c r="E59" s="159" t="s">
        <v>34</v>
      </c>
      <c r="F59" s="160"/>
      <c r="G59" s="136">
        <f>SUM(G7:G55)</f>
        <v>0</v>
      </c>
      <c r="H59" s="48"/>
      <c r="I59" s="49"/>
      <c r="J59" s="50"/>
      <c r="K59" s="51"/>
    </row>
    <row r="60" spans="1:11" ht="21.5" thickTop="1" x14ac:dyDescent="0.5">
      <c r="A60" s="56"/>
      <c r="B60" s="56"/>
      <c r="C60" s="56"/>
      <c r="D60" s="56"/>
      <c r="E60" s="56"/>
      <c r="F60" s="56"/>
      <c r="G60" s="56"/>
    </row>
    <row r="61" spans="1:11" ht="15.75" customHeight="1" x14ac:dyDescent="0.5">
      <c r="A61" s="56"/>
      <c r="B61" s="137"/>
      <c r="C61" s="137"/>
      <c r="D61" s="137"/>
      <c r="E61" s="137"/>
      <c r="F61" s="56"/>
      <c r="G61" s="56"/>
    </row>
    <row r="62" spans="1:11" ht="21" x14ac:dyDescent="0.5">
      <c r="A62" s="56"/>
      <c r="B62" s="137"/>
      <c r="C62" s="137"/>
      <c r="D62" s="137"/>
      <c r="E62" s="137"/>
      <c r="F62" s="56"/>
      <c r="G62" s="56"/>
      <c r="K62" s="53"/>
    </row>
    <row r="63" spans="1:11" ht="21" x14ac:dyDescent="0.5">
      <c r="A63" s="56"/>
      <c r="B63" s="137"/>
      <c r="C63" s="137"/>
      <c r="D63" s="137"/>
      <c r="E63" s="137"/>
      <c r="F63" s="56"/>
      <c r="G63" s="56"/>
      <c r="K63" s="53"/>
    </row>
    <row r="64" spans="1:11" x14ac:dyDescent="0.45">
      <c r="B64" s="52"/>
      <c r="C64" s="52"/>
      <c r="D64" s="52"/>
      <c r="E64" s="52"/>
      <c r="H64" s="54"/>
      <c r="I64" s="54"/>
      <c r="J64" s="55"/>
      <c r="K64" s="42"/>
    </row>
    <row r="65" spans="8:11" x14ac:dyDescent="0.45">
      <c r="H65" s="54"/>
      <c r="I65" s="54"/>
      <c r="J65" s="55"/>
      <c r="K65" s="42"/>
    </row>
    <row r="66" spans="8:11" x14ac:dyDescent="0.45">
      <c r="H66" s="54"/>
      <c r="I66" s="54"/>
      <c r="J66" s="55"/>
    </row>
    <row r="67" spans="8:11" x14ac:dyDescent="0.45">
      <c r="H67" s="54"/>
      <c r="I67" s="54"/>
      <c r="J67" s="54"/>
    </row>
    <row r="68" spans="8:11" x14ac:dyDescent="0.45">
      <c r="H68" s="54"/>
      <c r="I68" s="54"/>
      <c r="J68" s="54"/>
    </row>
    <row r="69" spans="8:11" x14ac:dyDescent="0.45">
      <c r="H69" s="54"/>
      <c r="I69" s="54"/>
      <c r="J69" s="54"/>
    </row>
    <row r="70" spans="8:11" x14ac:dyDescent="0.45">
      <c r="H70" s="54"/>
      <c r="I70" s="54"/>
      <c r="J70" s="54"/>
    </row>
    <row r="71" spans="8:11" x14ac:dyDescent="0.45">
      <c r="H71" s="54"/>
      <c r="I71" s="54"/>
      <c r="J71" s="54"/>
    </row>
    <row r="72" spans="8:11" x14ac:dyDescent="0.45">
      <c r="H72" s="54"/>
      <c r="I72" s="54"/>
      <c r="J72" s="54"/>
    </row>
    <row r="73" spans="8:11" x14ac:dyDescent="0.45">
      <c r="H73" s="54"/>
      <c r="I73" s="54"/>
      <c r="J73" s="54"/>
    </row>
    <row r="74" spans="8:11" x14ac:dyDescent="0.45">
      <c r="H74" s="54"/>
      <c r="I74" s="54"/>
      <c r="J74" s="54"/>
    </row>
    <row r="75" spans="8:11" x14ac:dyDescent="0.45">
      <c r="H75" s="54"/>
      <c r="I75" s="54"/>
      <c r="J75" s="54"/>
    </row>
    <row r="76" spans="8:11" x14ac:dyDescent="0.45">
      <c r="H76" s="54"/>
      <c r="I76" s="54"/>
      <c r="J76" s="54"/>
    </row>
    <row r="77" spans="8:11" x14ac:dyDescent="0.45">
      <c r="H77" s="54"/>
      <c r="I77" s="54"/>
      <c r="J77" s="54"/>
    </row>
    <row r="78" spans="8:11" x14ac:dyDescent="0.45">
      <c r="H78" s="54"/>
      <c r="I78" s="54"/>
      <c r="J78" s="54"/>
    </row>
    <row r="79" spans="8:11" x14ac:dyDescent="0.45">
      <c r="H79" s="54"/>
      <c r="I79" s="54"/>
      <c r="J79" s="54"/>
    </row>
    <row r="80" spans="8:11" x14ac:dyDescent="0.45">
      <c r="H80" s="54"/>
      <c r="I80" s="54"/>
      <c r="J80" s="54"/>
    </row>
    <row r="81" spans="8:10" x14ac:dyDescent="0.45">
      <c r="H81" s="54"/>
      <c r="I81" s="54"/>
      <c r="J81" s="54"/>
    </row>
    <row r="82" spans="8:10" x14ac:dyDescent="0.45">
      <c r="J82" s="54"/>
    </row>
    <row r="83" spans="8:10" x14ac:dyDescent="0.45">
      <c r="J83" s="54"/>
    </row>
    <row r="84" spans="8:10" x14ac:dyDescent="0.45">
      <c r="J84" s="54"/>
    </row>
  </sheetData>
  <sheetProtection algorithmName="SHA-512" hashValue="bfwxGwBRgge5izDBzSwpghuO6mp88j2txzBKG+5scTvZwCcY/QLhJszZYeuoX9iFEgCSnOiertZP0/0WCWVC2A==" saltValue="NzgVrTl7rzFfukKQUAdJ7Q==" spinCount="100000" sheet="1" objects="1" scenarios="1"/>
  <scenarios current="0" show="0">
    <scenario name="Limit" count="6" user="German, Eric R CIV USARMY JPEO AA (USA)" comment="Created by German, Eric R CIV USARMY JPEO AA (USA) on 3/2/2026">
      <inputCells r="D7" val="0,1,2,3,4,5,6,7,8,9,10" numFmtId="1"/>
      <inputCells r="D8" val="0,1,2,3,4,5,6,7,8,9,10" numFmtId="1"/>
      <inputCells r="D9" val="0,1,2,3,4,5,6,7,8,9,10" numFmtId="1"/>
      <inputCells r="D10" val="0,1,2,3,4,5,6,7,8,9,10" numFmtId="1"/>
      <inputCells r="D11" val="0,1,2,3,4,5,6,7,8,9,10" numFmtId="1"/>
      <inputCells r="D12" val="0,1,2,3,4,5,6,7,8,9,10" numFmtId="1"/>
    </scenario>
    <scenario name="Limit 2" count="6" user="German, Eric R CIV USARMY JPEO AA (USA)" comment="Created by German, Eric R CIV USARMY JPEO AA (USA) on 3/2/2026">
      <inputCells r="D14" val="0,1,2,3,4,5,6,7,8,9,10" numFmtId="1"/>
      <inputCells r="D15" val="0,1,2,3,4,5,6,7,8,9,10" numFmtId="1"/>
      <inputCells r="D16" val="0,1,2,3,4,5,6,7,8,9,10" numFmtId="1"/>
      <inputCells r="D17" val="0,1,2,3,4,5,6,7,8,9,10" numFmtId="1"/>
      <inputCells r="D18" val="0,1,2,3,4,5,6,7,8,9,10" numFmtId="1"/>
      <inputCells r="D19" val="0,1,2,3,4,5,6,7,8,9,10" numFmtId="1"/>
    </scenario>
    <scenario name="Limit 3" count="10" user="German, Eric R CIV USARMY JPEO AA (USA)" comment="Created by German, Eric R CIV USARMY JPEO AA (USA) on 3/2/2026">
      <inputCells r="D14" val="0,1,2,3,4,5,6,7,8,9,10" numFmtId="1"/>
      <inputCells r="D15" val="0,1,2,3,4,5,6,7,8,9,10" numFmtId="1"/>
      <inputCells r="D16" val="0,1,2,3,4,5,6,7,8,9,10" numFmtId="1"/>
      <inputCells r="D17" val="0,1,2,3,4,5,6,7,8,9,10" numFmtId="1"/>
      <inputCells r="D18" val="0,1,2,3,4,5,6,7,8,9,10" numFmtId="1"/>
      <inputCells r="D19" val="0,1,2,3,4,5,6,7,8,9,10" numFmtId="1"/>
      <inputCells r="D20" val="0,1,2,3,4,5,6,7,8,9,10"/>
      <inputCells r="D21" val="0,1,2,3,4,5,6,7,8,9,10" numFmtId="1"/>
      <inputCells r="D22" val="0,1,2,3,4,5,6,7,8,9,10" numFmtId="1"/>
      <inputCells r="D23" val="0,1,2,3,4,5,6,7,8,9,10" numFmtId="1"/>
    </scenario>
  </scenarios>
  <mergeCells count="7">
    <mergeCell ref="E59:F59"/>
    <mergeCell ref="B1:G1"/>
    <mergeCell ref="B2:G2"/>
    <mergeCell ref="H57:I57"/>
    <mergeCell ref="H58:I58"/>
    <mergeCell ref="E57:F57"/>
    <mergeCell ref="E58:F58"/>
  </mergeCells>
  <phoneticPr fontId="12" type="noConversion"/>
  <conditionalFormatting sqref="G59">
    <cfRule type="cellIs" dxfId="5" priority="1" operator="lessThan">
      <formula>$G$58</formula>
    </cfRule>
    <cfRule type="cellIs" dxfId="4" priority="2" operator="equal">
      <formula>$G$58</formula>
    </cfRule>
    <cfRule type="cellIs" dxfId="3" priority="3" operator="greaterThan">
      <formula>$G$58</formula>
    </cfRule>
    <cfRule type="cellIs" dxfId="2" priority="4" operator="greaterThan">
      <formula>"G57"</formula>
    </cfRule>
    <cfRule type="cellIs" dxfId="1" priority="5" operator="lessThan">
      <formula>"G57"</formula>
    </cfRule>
    <cfRule type="cellIs" dxfId="0" priority="6" operator="equal">
      <formula>"G57"</formula>
    </cfRule>
  </conditionalFormatting>
  <dataValidations count="6">
    <dataValidation type="whole" allowBlank="1" showInputMessage="1" showErrorMessage="1" errorTitle="Invalid Entry" error="Please enter a number from 0 -5." sqref="D25:D27 D34:D36" xr:uid="{8D312ED3-43FA-4400-B1A6-0AEB30E7876D}">
      <formula1>0</formula1>
      <formula2>5</formula2>
    </dataValidation>
    <dataValidation type="whole" allowBlank="1" showInputMessage="1" showErrorMessage="1" errorTitle="Invalid Entry" error="Please enter a number from 0 -4." sqref="D29:D32 D40 D44" xr:uid="{366CCF78-0B97-4855-8216-97E2492DC3DA}">
      <formula1>0</formula1>
      <formula2>4</formula2>
    </dataValidation>
    <dataValidation type="decimal" allowBlank="1" showInputMessage="1" showErrorMessage="1" errorTitle="Invalid Entry" error="Please enter a number from 0 - 6." sqref="D38 D42" xr:uid="{26EDB8B2-DFC5-4B59-9FFC-FA7731353D0F}">
      <formula1>0</formula1>
      <formula2>6</formula2>
    </dataValidation>
    <dataValidation type="whole" allowBlank="1" showInputMessage="1" showErrorMessage="1" errorTitle="Invalid Entry" error="Please enter a number from 0 - 7." sqref="D39 D43" xr:uid="{D09DB34B-5E5A-4580-A821-E177CF3E500A}">
      <formula1>0</formula1>
      <formula2>7</formula2>
    </dataValidation>
    <dataValidation type="whole" allowBlank="1" showInputMessage="1" showErrorMessage="1" errorTitle="Invalid Entry" error="Please enter either 0 or 1." sqref="D41 D52 D53 D54 D55" xr:uid="{FE019EA5-A9A0-45F7-9BD8-9CDBD6F228A2}">
      <formula1>0</formula1>
      <formula2>1</formula2>
    </dataValidation>
    <dataValidation type="whole" allowBlank="1" showInputMessage="1" showErrorMessage="1" errorTitle="Invalid Entry" error="Please enter a number from 0 - 10." sqref="D7:D12 D14:D19 D21:D23" xr:uid="{6F1E0588-0D5F-4C6D-94BA-506A341A7061}">
      <formula1>0</formula1>
      <formula2>10</formula2>
    </dataValidation>
  </dataValidations>
  <pageMargins left="0.25" right="0.25" top="0.75" bottom="0.75" header="0.3" footer="0.3"/>
  <pageSetup scale="36" fitToHeight="0"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F651B4-FAEC-4DBB-831F-4E875C9D92F0}">
  <dimension ref="A1:W98"/>
  <sheetViews>
    <sheetView workbookViewId="0">
      <selection activeCell="H35" sqref="H35"/>
    </sheetView>
  </sheetViews>
  <sheetFormatPr defaultRowHeight="14.5" x14ac:dyDescent="0.35"/>
  <sheetData>
    <row r="1" spans="1:23" ht="15.5" x14ac:dyDescent="0.35">
      <c r="A1" s="18"/>
      <c r="B1" s="18"/>
      <c r="C1" s="18"/>
      <c r="D1" s="18"/>
      <c r="E1" s="18"/>
      <c r="F1" s="18"/>
      <c r="G1" s="18"/>
      <c r="H1" s="18"/>
      <c r="I1" s="18"/>
      <c r="J1" s="18"/>
      <c r="K1" s="18"/>
      <c r="L1" s="18"/>
      <c r="M1" s="18"/>
      <c r="N1" s="18"/>
      <c r="O1" s="18"/>
      <c r="P1" s="18"/>
      <c r="Q1" s="18"/>
      <c r="R1" s="18"/>
      <c r="S1" s="18"/>
      <c r="T1" s="18"/>
      <c r="U1" s="18"/>
      <c r="V1" s="18"/>
      <c r="W1" s="18"/>
    </row>
    <row r="2" spans="1:23" ht="15.5" x14ac:dyDescent="0.35">
      <c r="A2" s="18"/>
      <c r="B2" s="18"/>
      <c r="C2" s="18"/>
      <c r="D2" s="18"/>
      <c r="E2" s="18"/>
      <c r="F2" s="18"/>
      <c r="G2" s="18"/>
      <c r="H2" s="18"/>
      <c r="I2" s="18"/>
      <c r="J2" s="18"/>
      <c r="K2" s="18"/>
      <c r="L2" s="18"/>
      <c r="M2" s="18"/>
      <c r="N2" s="18"/>
      <c r="O2" s="18"/>
      <c r="P2" s="18"/>
      <c r="Q2" s="18"/>
      <c r="R2" s="18"/>
      <c r="S2" s="18"/>
      <c r="T2" s="18"/>
      <c r="U2" s="18"/>
      <c r="V2" s="18"/>
      <c r="W2" s="18"/>
    </row>
    <row r="3" spans="1:23" s="8" customFormat="1" ht="15.5" x14ac:dyDescent="0.35">
      <c r="A3" s="18"/>
      <c r="B3" s="1" t="s">
        <v>28</v>
      </c>
      <c r="C3" s="18"/>
      <c r="D3" s="18"/>
      <c r="E3" s="18"/>
      <c r="F3" s="18"/>
      <c r="G3" s="18"/>
      <c r="H3" s="18"/>
      <c r="I3" s="18"/>
      <c r="J3" s="18"/>
      <c r="K3" s="18"/>
      <c r="L3" s="18"/>
      <c r="M3" s="18"/>
      <c r="N3" s="18"/>
      <c r="O3" s="18"/>
      <c r="P3" s="18"/>
      <c r="Q3" s="18"/>
      <c r="R3" s="18"/>
      <c r="S3" s="18"/>
      <c r="T3" s="18"/>
      <c r="U3" s="18"/>
      <c r="V3" s="18"/>
      <c r="W3" s="18"/>
    </row>
    <row r="4" spans="1:23" ht="15.5" x14ac:dyDescent="0.35">
      <c r="A4" s="18"/>
      <c r="B4" s="18"/>
      <c r="C4" s="18"/>
      <c r="D4" s="18"/>
      <c r="E4" s="18"/>
      <c r="F4" s="18"/>
      <c r="G4" s="18"/>
      <c r="H4" s="18"/>
      <c r="I4" s="18"/>
      <c r="J4" s="18"/>
      <c r="K4" s="18"/>
      <c r="L4" s="18"/>
      <c r="M4" s="18"/>
      <c r="N4" s="18"/>
      <c r="O4" s="18"/>
      <c r="P4" s="18"/>
      <c r="Q4" s="18"/>
      <c r="R4" s="18"/>
      <c r="S4" s="18"/>
      <c r="T4" s="18"/>
      <c r="U4" s="18"/>
      <c r="V4" s="18"/>
      <c r="W4" s="18"/>
    </row>
    <row r="5" spans="1:23" ht="15.5" x14ac:dyDescent="0.35">
      <c r="A5" s="18"/>
      <c r="B5" s="18"/>
      <c r="C5" s="18"/>
      <c r="D5" s="18"/>
      <c r="E5" s="18"/>
      <c r="F5" s="18"/>
      <c r="G5" s="18"/>
      <c r="H5" s="18"/>
      <c r="I5" s="18"/>
      <c r="J5" s="18"/>
      <c r="K5" s="18"/>
      <c r="L5" s="18"/>
      <c r="M5" s="18"/>
      <c r="N5" s="18"/>
      <c r="O5" s="18"/>
      <c r="P5" s="18"/>
      <c r="Q5" s="18"/>
      <c r="R5" s="18"/>
      <c r="S5" s="18"/>
      <c r="T5" s="18"/>
      <c r="U5" s="18"/>
      <c r="V5" s="18"/>
      <c r="W5" s="18"/>
    </row>
    <row r="6" spans="1:23" ht="15.5" x14ac:dyDescent="0.35">
      <c r="A6" s="18"/>
      <c r="B6" s="18" t="s">
        <v>29</v>
      </c>
      <c r="C6" s="18"/>
      <c r="D6" s="18"/>
      <c r="E6" s="18"/>
      <c r="F6" s="18" t="s">
        <v>30</v>
      </c>
      <c r="G6" s="18"/>
      <c r="H6" s="18"/>
      <c r="I6" s="18"/>
      <c r="J6" s="18"/>
      <c r="K6" s="18"/>
      <c r="L6" s="18"/>
      <c r="M6" s="18"/>
      <c r="N6" s="18"/>
      <c r="O6" s="18"/>
      <c r="P6" s="18"/>
      <c r="Q6" s="18"/>
      <c r="R6" s="18"/>
      <c r="S6" s="18"/>
      <c r="T6" s="18"/>
      <c r="U6" s="18"/>
      <c r="V6" s="18"/>
      <c r="W6" s="18"/>
    </row>
    <row r="7" spans="1:23" ht="15.5" x14ac:dyDescent="0.35">
      <c r="A7" s="18"/>
      <c r="B7" s="18"/>
      <c r="C7" s="18"/>
      <c r="D7" s="18"/>
      <c r="E7" s="18"/>
      <c r="F7" s="18"/>
      <c r="G7" s="18"/>
      <c r="H7" s="18"/>
      <c r="I7" s="18"/>
      <c r="J7" s="18"/>
      <c r="K7" s="18"/>
      <c r="L7" s="18"/>
      <c r="M7" s="18"/>
      <c r="N7" s="18"/>
      <c r="O7" s="18"/>
      <c r="P7" s="18"/>
      <c r="Q7" s="18"/>
      <c r="R7" s="18"/>
      <c r="S7" s="18"/>
      <c r="T7" s="18"/>
      <c r="U7" s="18"/>
      <c r="V7" s="18"/>
      <c r="W7" s="18"/>
    </row>
    <row r="8" spans="1:23" ht="15.5" x14ac:dyDescent="0.35">
      <c r="A8" s="18"/>
      <c r="B8" s="18"/>
      <c r="C8" s="18" t="s">
        <v>16</v>
      </c>
      <c r="D8" s="18"/>
      <c r="E8" s="18"/>
      <c r="F8" s="9"/>
      <c r="G8" s="9" t="s">
        <v>31</v>
      </c>
      <c r="H8" s="10"/>
      <c r="I8" s="18"/>
      <c r="J8" s="18"/>
      <c r="K8" s="18"/>
      <c r="L8" s="18"/>
      <c r="M8" s="18"/>
      <c r="N8" s="18"/>
      <c r="O8" s="18"/>
      <c r="P8" s="18"/>
      <c r="Q8" s="18"/>
      <c r="R8" s="18"/>
      <c r="S8" s="18"/>
      <c r="T8" s="18"/>
      <c r="U8" s="18"/>
      <c r="V8" s="18"/>
      <c r="W8" s="18"/>
    </row>
    <row r="9" spans="1:23" ht="15.5" x14ac:dyDescent="0.35">
      <c r="A9" s="18"/>
      <c r="B9" s="18"/>
      <c r="C9" s="18" t="s">
        <v>32</v>
      </c>
      <c r="D9" s="18"/>
      <c r="E9" s="18"/>
      <c r="F9" s="9"/>
      <c r="G9" s="9"/>
      <c r="H9" s="10"/>
      <c r="I9" s="18"/>
      <c r="J9" s="18"/>
      <c r="K9" s="18"/>
      <c r="L9" s="18"/>
      <c r="M9" s="18"/>
      <c r="N9" s="18"/>
      <c r="O9" s="18"/>
      <c r="P9" s="18"/>
      <c r="Q9" s="18"/>
      <c r="R9" s="18"/>
      <c r="S9" s="18"/>
      <c r="T9" s="18"/>
      <c r="U9" s="18"/>
      <c r="V9" s="18"/>
      <c r="W9" s="18"/>
    </row>
    <row r="10" spans="1:23" ht="15.5" x14ac:dyDescent="0.35">
      <c r="A10" s="18"/>
      <c r="B10" s="18"/>
      <c r="C10" s="18"/>
      <c r="D10" s="18"/>
      <c r="E10" s="18"/>
      <c r="F10" s="9"/>
      <c r="G10" s="9"/>
      <c r="H10" s="10"/>
      <c r="I10" s="18"/>
      <c r="J10" s="18"/>
      <c r="K10" s="18"/>
      <c r="L10" s="18"/>
      <c r="M10" s="18"/>
      <c r="N10" s="18"/>
      <c r="O10" s="18"/>
      <c r="P10" s="18"/>
      <c r="Q10" s="18"/>
      <c r="R10" s="18"/>
      <c r="S10" s="18"/>
      <c r="T10" s="18"/>
      <c r="U10" s="18"/>
      <c r="V10" s="18"/>
      <c r="W10" s="18"/>
    </row>
    <row r="11" spans="1:23" ht="15.5" x14ac:dyDescent="0.35">
      <c r="A11" s="18"/>
      <c r="B11" s="18"/>
      <c r="C11" s="18"/>
      <c r="D11" s="18"/>
      <c r="E11" s="18"/>
      <c r="F11" s="9"/>
      <c r="G11" s="9"/>
      <c r="H11" s="10"/>
      <c r="I11" s="18"/>
      <c r="J11" s="18"/>
      <c r="K11" s="18"/>
      <c r="L11" s="18"/>
      <c r="M11" s="18"/>
      <c r="N11" s="18"/>
      <c r="O11" s="18"/>
      <c r="P11" s="18"/>
      <c r="Q11" s="18"/>
      <c r="R11" s="18"/>
      <c r="S11" s="18"/>
      <c r="T11" s="18"/>
      <c r="U11" s="18"/>
      <c r="V11" s="18"/>
      <c r="W11" s="18"/>
    </row>
    <row r="12" spans="1:23" ht="15.5" x14ac:dyDescent="0.35">
      <c r="A12" s="18"/>
      <c r="B12" s="18"/>
      <c r="C12" s="18"/>
      <c r="D12" s="18"/>
      <c r="E12" s="18"/>
      <c r="F12" s="9"/>
      <c r="G12" s="9"/>
      <c r="H12" s="10"/>
      <c r="I12" s="18"/>
      <c r="J12" s="18"/>
      <c r="K12" s="18"/>
      <c r="L12" s="18"/>
      <c r="M12" s="18"/>
      <c r="N12" s="18"/>
      <c r="O12" s="18"/>
      <c r="P12" s="18"/>
      <c r="Q12" s="18"/>
      <c r="R12" s="18"/>
      <c r="S12" s="18"/>
      <c r="T12" s="18"/>
      <c r="U12" s="18"/>
      <c r="V12" s="18"/>
      <c r="W12" s="18"/>
    </row>
    <row r="13" spans="1:23" ht="15.5" x14ac:dyDescent="0.35">
      <c r="A13" s="18"/>
      <c r="B13" s="18"/>
      <c r="C13" s="18"/>
      <c r="D13" s="18"/>
      <c r="E13" s="18"/>
      <c r="F13" s="9"/>
      <c r="G13" s="9"/>
      <c r="H13" s="10"/>
      <c r="I13" s="18"/>
      <c r="J13" s="18"/>
      <c r="K13" s="18"/>
      <c r="L13" s="18"/>
      <c r="M13" s="18"/>
      <c r="N13" s="18"/>
      <c r="O13" s="18"/>
      <c r="P13" s="18"/>
      <c r="Q13" s="18"/>
      <c r="R13" s="18"/>
      <c r="S13" s="18"/>
      <c r="T13" s="18"/>
      <c r="U13" s="18"/>
      <c r="V13" s="18"/>
      <c r="W13" s="18"/>
    </row>
    <row r="14" spans="1:23" ht="15.5" x14ac:dyDescent="0.35">
      <c r="A14" s="18"/>
      <c r="B14" s="18"/>
      <c r="C14" s="18"/>
      <c r="D14" s="18"/>
      <c r="E14" s="18"/>
      <c r="F14" s="9"/>
      <c r="G14" s="9"/>
      <c r="H14" s="9"/>
      <c r="I14" s="18"/>
      <c r="J14" s="18"/>
      <c r="K14" s="18"/>
      <c r="L14" s="18"/>
      <c r="M14" s="18"/>
      <c r="N14" s="18"/>
      <c r="O14" s="18"/>
      <c r="P14" s="18"/>
      <c r="Q14" s="18"/>
      <c r="R14" s="18"/>
      <c r="S14" s="18"/>
      <c r="T14" s="18"/>
      <c r="U14" s="18"/>
      <c r="V14" s="18"/>
      <c r="W14" s="18"/>
    </row>
    <row r="15" spans="1:23" ht="15.5" x14ac:dyDescent="0.35">
      <c r="A15" s="18"/>
      <c r="B15" s="18"/>
      <c r="C15" s="18"/>
      <c r="D15" s="18"/>
      <c r="E15" s="18"/>
      <c r="F15" s="9"/>
      <c r="G15" s="9"/>
      <c r="H15" s="9"/>
      <c r="I15" s="18"/>
      <c r="J15" s="18"/>
      <c r="K15" s="18"/>
      <c r="L15" s="18"/>
      <c r="M15" s="18"/>
      <c r="N15" s="18"/>
      <c r="O15" s="18"/>
      <c r="P15" s="18"/>
      <c r="Q15" s="18"/>
      <c r="R15" s="18"/>
      <c r="S15" s="18"/>
      <c r="T15" s="18"/>
      <c r="U15" s="18"/>
      <c r="V15" s="18"/>
      <c r="W15" s="18"/>
    </row>
    <row r="16" spans="1:23" ht="15.5" x14ac:dyDescent="0.35">
      <c r="A16" s="18"/>
      <c r="B16" s="18"/>
      <c r="C16" s="18"/>
      <c r="D16" s="18"/>
      <c r="E16" s="18"/>
      <c r="F16" s="9"/>
      <c r="G16" s="9"/>
      <c r="H16" s="9"/>
      <c r="I16" s="18"/>
      <c r="J16" s="18"/>
      <c r="K16" s="18"/>
      <c r="L16" s="18"/>
      <c r="M16" s="18"/>
      <c r="N16" s="18"/>
      <c r="O16" s="18"/>
      <c r="P16" s="18"/>
      <c r="Q16" s="18"/>
      <c r="R16" s="18"/>
      <c r="S16" s="18"/>
      <c r="T16" s="18"/>
      <c r="U16" s="18"/>
      <c r="V16" s="18"/>
      <c r="W16" s="18"/>
    </row>
    <row r="17" spans="1:23" ht="15.5" x14ac:dyDescent="0.35">
      <c r="A17" s="18"/>
      <c r="B17" s="18"/>
      <c r="C17" s="18"/>
      <c r="D17" s="18"/>
      <c r="E17" s="18"/>
      <c r="F17" s="9"/>
      <c r="G17" s="9"/>
      <c r="H17" s="9"/>
      <c r="I17" s="18"/>
      <c r="J17" s="18"/>
      <c r="K17" s="18"/>
      <c r="L17" s="18"/>
      <c r="M17" s="18"/>
      <c r="N17" s="18"/>
      <c r="O17" s="18"/>
      <c r="P17" s="18"/>
      <c r="Q17" s="18"/>
      <c r="R17" s="18"/>
      <c r="S17" s="18"/>
      <c r="T17" s="18"/>
      <c r="U17" s="18"/>
      <c r="V17" s="18"/>
      <c r="W17" s="18"/>
    </row>
    <row r="18" spans="1:23" ht="15.5" x14ac:dyDescent="0.35">
      <c r="A18" s="18"/>
      <c r="B18" s="18"/>
      <c r="C18" s="18"/>
      <c r="D18" s="18"/>
      <c r="E18" s="18"/>
      <c r="F18" s="9"/>
      <c r="G18" s="9"/>
      <c r="H18" s="9"/>
      <c r="I18" s="18"/>
      <c r="J18" s="18"/>
      <c r="K18" s="18"/>
      <c r="L18" s="18"/>
      <c r="M18" s="18"/>
      <c r="N18" s="18"/>
      <c r="O18" s="18"/>
      <c r="P18" s="18"/>
      <c r="Q18" s="18"/>
      <c r="R18" s="18"/>
      <c r="S18" s="18"/>
      <c r="T18" s="18"/>
      <c r="U18" s="18"/>
      <c r="V18" s="18"/>
      <c r="W18" s="18"/>
    </row>
    <row r="19" spans="1:23" ht="15.5" x14ac:dyDescent="0.35">
      <c r="A19" s="18"/>
      <c r="B19" s="18"/>
      <c r="C19" s="18"/>
      <c r="D19" s="18"/>
      <c r="E19" s="18"/>
      <c r="F19" s="9"/>
      <c r="G19" s="9"/>
      <c r="H19" s="9"/>
      <c r="I19" s="18"/>
      <c r="J19" s="18"/>
      <c r="K19" s="18"/>
      <c r="L19" s="18"/>
      <c r="M19" s="18"/>
      <c r="N19" s="18"/>
      <c r="O19" s="18"/>
      <c r="P19" s="18"/>
      <c r="Q19" s="18"/>
      <c r="R19" s="18"/>
      <c r="S19" s="18"/>
      <c r="T19" s="18"/>
      <c r="U19" s="18"/>
      <c r="V19" s="18"/>
      <c r="W19" s="18"/>
    </row>
    <row r="20" spans="1:23" ht="15.5" x14ac:dyDescent="0.35">
      <c r="A20" s="18"/>
      <c r="B20" s="18"/>
      <c r="C20" s="18"/>
      <c r="D20" s="18"/>
      <c r="E20" s="18"/>
      <c r="F20" s="9"/>
      <c r="G20" s="9"/>
      <c r="H20" s="9"/>
      <c r="I20" s="18"/>
      <c r="J20" s="18"/>
      <c r="K20" s="18"/>
      <c r="L20" s="18"/>
      <c r="M20" s="18"/>
      <c r="N20" s="18"/>
      <c r="O20" s="18"/>
      <c r="P20" s="18"/>
      <c r="Q20" s="18"/>
      <c r="R20" s="18"/>
      <c r="S20" s="18"/>
      <c r="T20" s="18"/>
      <c r="U20" s="18"/>
      <c r="V20" s="18"/>
      <c r="W20" s="18"/>
    </row>
    <row r="21" spans="1:23" ht="15.5" x14ac:dyDescent="0.35">
      <c r="A21" s="18"/>
      <c r="B21" s="18"/>
      <c r="C21" s="18"/>
      <c r="D21" s="18"/>
      <c r="E21" s="18"/>
      <c r="F21" s="9"/>
      <c r="G21" s="9"/>
      <c r="H21" s="9"/>
      <c r="I21" s="18"/>
      <c r="J21" s="18"/>
      <c r="K21" s="18"/>
      <c r="L21" s="18"/>
      <c r="M21" s="18"/>
      <c r="N21" s="18"/>
      <c r="O21" s="18"/>
      <c r="P21" s="18"/>
      <c r="Q21" s="18"/>
      <c r="R21" s="18"/>
      <c r="S21" s="18"/>
      <c r="T21" s="18"/>
      <c r="U21" s="18"/>
      <c r="V21" s="18"/>
      <c r="W21" s="18"/>
    </row>
    <row r="22" spans="1:23" ht="15.5" x14ac:dyDescent="0.35">
      <c r="A22" s="18"/>
      <c r="B22" s="18"/>
      <c r="C22" s="18"/>
      <c r="D22" s="18"/>
      <c r="E22" s="18"/>
      <c r="F22" s="9"/>
      <c r="G22" s="9"/>
      <c r="H22" s="9"/>
      <c r="I22" s="18"/>
      <c r="J22" s="18"/>
      <c r="K22" s="18"/>
      <c r="L22" s="18"/>
      <c r="M22" s="18"/>
      <c r="N22" s="18"/>
      <c r="O22" s="18"/>
      <c r="P22" s="18"/>
      <c r="Q22" s="18"/>
      <c r="R22" s="18"/>
      <c r="S22" s="18"/>
      <c r="T22" s="18"/>
      <c r="U22" s="18"/>
      <c r="V22" s="18"/>
      <c r="W22" s="18"/>
    </row>
    <row r="23" spans="1:23" ht="15.5" x14ac:dyDescent="0.35">
      <c r="A23" s="18"/>
      <c r="B23" s="18"/>
      <c r="C23" s="18"/>
      <c r="D23" s="18"/>
      <c r="E23" s="18"/>
      <c r="F23" s="9"/>
      <c r="G23" s="9"/>
      <c r="H23" s="9"/>
      <c r="I23" s="18"/>
      <c r="J23" s="18"/>
      <c r="K23" s="18"/>
      <c r="L23" s="18"/>
      <c r="M23" s="18"/>
      <c r="N23" s="18"/>
      <c r="O23" s="18"/>
      <c r="P23" s="18"/>
      <c r="Q23" s="18"/>
      <c r="R23" s="18"/>
      <c r="S23" s="18"/>
      <c r="T23" s="18"/>
      <c r="U23" s="18"/>
      <c r="V23" s="18"/>
      <c r="W23" s="18"/>
    </row>
    <row r="24" spans="1:23" ht="15.5" x14ac:dyDescent="0.35">
      <c r="A24" s="18"/>
      <c r="B24" s="18"/>
      <c r="C24" s="18"/>
      <c r="D24" s="18"/>
      <c r="E24" s="18"/>
      <c r="F24" s="9"/>
      <c r="G24" s="9"/>
      <c r="H24" s="9"/>
      <c r="I24" s="18"/>
      <c r="J24" s="18"/>
      <c r="K24" s="18"/>
      <c r="L24" s="18"/>
      <c r="M24" s="18"/>
      <c r="N24" s="18"/>
      <c r="O24" s="18"/>
      <c r="P24" s="18"/>
      <c r="Q24" s="18"/>
      <c r="R24" s="18"/>
      <c r="S24" s="18"/>
      <c r="T24" s="18"/>
      <c r="U24" s="18"/>
      <c r="V24" s="18"/>
      <c r="W24" s="18"/>
    </row>
    <row r="25" spans="1:23" ht="15.5" x14ac:dyDescent="0.35">
      <c r="A25" s="18"/>
      <c r="B25" s="18"/>
      <c r="C25" s="18"/>
      <c r="D25" s="18"/>
      <c r="E25" s="18"/>
      <c r="F25" s="9"/>
      <c r="G25" s="9"/>
      <c r="H25" s="9"/>
      <c r="I25" s="18"/>
      <c r="J25" s="18"/>
      <c r="K25" s="18"/>
      <c r="L25" s="18"/>
      <c r="M25" s="18"/>
      <c r="N25" s="18"/>
      <c r="O25" s="18"/>
      <c r="P25" s="18"/>
      <c r="Q25" s="18"/>
      <c r="R25" s="18"/>
      <c r="S25" s="18"/>
      <c r="T25" s="18"/>
      <c r="U25" s="18"/>
      <c r="V25" s="18"/>
      <c r="W25" s="18"/>
    </row>
    <row r="26" spans="1:23" ht="15.5" x14ac:dyDescent="0.35">
      <c r="A26" s="18"/>
      <c r="B26" s="18"/>
      <c r="C26" s="18"/>
      <c r="D26" s="18"/>
      <c r="E26" s="18"/>
      <c r="F26" s="18"/>
      <c r="G26" s="18"/>
      <c r="H26" s="9"/>
      <c r="I26" s="18"/>
      <c r="J26" s="18"/>
      <c r="K26" s="18"/>
      <c r="L26" s="18"/>
      <c r="M26" s="18"/>
      <c r="N26" s="18"/>
      <c r="O26" s="18"/>
      <c r="P26" s="18"/>
      <c r="Q26" s="18"/>
      <c r="R26" s="18"/>
      <c r="S26" s="18"/>
      <c r="T26" s="18"/>
      <c r="U26" s="18"/>
      <c r="V26" s="18"/>
      <c r="W26" s="18"/>
    </row>
    <row r="27" spans="1:23" ht="15.5" x14ac:dyDescent="0.35">
      <c r="A27" s="18"/>
      <c r="B27" s="18"/>
      <c r="C27" s="18"/>
      <c r="D27" s="18"/>
      <c r="E27" s="18"/>
      <c r="F27" s="18"/>
      <c r="G27" s="18"/>
      <c r="H27" s="9"/>
      <c r="I27" s="18"/>
      <c r="J27" s="18"/>
      <c r="K27" s="18"/>
      <c r="L27" s="18"/>
      <c r="M27" s="18"/>
      <c r="N27" s="18"/>
      <c r="O27" s="18"/>
      <c r="P27" s="18"/>
      <c r="Q27" s="18"/>
      <c r="R27" s="18"/>
      <c r="S27" s="18"/>
      <c r="T27" s="18"/>
      <c r="U27" s="18"/>
      <c r="V27" s="18"/>
      <c r="W27" s="18"/>
    </row>
    <row r="28" spans="1:23" ht="15.5" x14ac:dyDescent="0.35">
      <c r="A28" s="18"/>
      <c r="B28" s="18"/>
      <c r="C28" s="18"/>
      <c r="D28" s="18"/>
      <c r="E28" s="18"/>
      <c r="F28" s="18"/>
      <c r="G28" s="18"/>
      <c r="H28" s="9"/>
      <c r="I28" s="18"/>
      <c r="J28" s="18"/>
      <c r="K28" s="18"/>
      <c r="L28" s="18"/>
      <c r="M28" s="18"/>
      <c r="N28" s="18"/>
      <c r="O28" s="18"/>
      <c r="P28" s="18"/>
      <c r="Q28" s="18"/>
      <c r="R28" s="18"/>
      <c r="S28" s="18"/>
      <c r="T28" s="18"/>
      <c r="U28" s="18"/>
      <c r="V28" s="18"/>
      <c r="W28" s="18"/>
    </row>
    <row r="29" spans="1:23" ht="15.5" x14ac:dyDescent="0.35">
      <c r="A29" s="18"/>
      <c r="B29" s="18"/>
      <c r="C29" s="18"/>
      <c r="D29" s="18"/>
      <c r="E29" s="18"/>
      <c r="F29" s="18"/>
      <c r="G29" s="18"/>
      <c r="H29" s="9"/>
      <c r="I29" s="18"/>
      <c r="J29" s="18"/>
      <c r="K29" s="18"/>
      <c r="L29" s="18"/>
      <c r="M29" s="18"/>
      <c r="N29" s="18"/>
      <c r="O29" s="18"/>
      <c r="P29" s="18"/>
      <c r="Q29" s="18"/>
      <c r="R29" s="18"/>
      <c r="S29" s="18"/>
      <c r="T29" s="18"/>
      <c r="U29" s="18"/>
      <c r="V29" s="18"/>
      <c r="W29" s="18"/>
    </row>
    <row r="30" spans="1:23" ht="15.5" x14ac:dyDescent="0.35">
      <c r="A30" s="18"/>
      <c r="B30" s="18"/>
      <c r="C30" s="18"/>
      <c r="D30" s="18"/>
      <c r="E30" s="18"/>
      <c r="F30" s="18"/>
      <c r="G30" s="18"/>
      <c r="H30" s="9"/>
      <c r="I30" s="18"/>
      <c r="J30" s="18"/>
      <c r="K30" s="18"/>
      <c r="L30" s="18"/>
      <c r="M30" s="18"/>
      <c r="N30" s="18"/>
      <c r="O30" s="18"/>
      <c r="P30" s="18"/>
      <c r="Q30" s="18"/>
      <c r="R30" s="18"/>
      <c r="S30" s="18"/>
      <c r="T30" s="18"/>
      <c r="U30" s="18"/>
      <c r="V30" s="18"/>
      <c r="W30" s="18"/>
    </row>
    <row r="31" spans="1:23" ht="15.5" x14ac:dyDescent="0.35">
      <c r="A31" s="18"/>
      <c r="B31" s="18"/>
      <c r="C31" s="18"/>
      <c r="D31" s="18"/>
      <c r="E31" s="18"/>
      <c r="F31" s="18"/>
      <c r="G31" s="18"/>
      <c r="H31" s="9"/>
      <c r="I31" s="18"/>
      <c r="J31" s="18"/>
      <c r="K31" s="18"/>
      <c r="L31" s="18"/>
      <c r="M31" s="18"/>
      <c r="N31" s="18"/>
      <c r="O31" s="18"/>
      <c r="P31" s="18"/>
      <c r="Q31" s="18"/>
      <c r="R31" s="18"/>
      <c r="S31" s="18"/>
      <c r="T31" s="18"/>
      <c r="U31" s="18"/>
      <c r="V31" s="18"/>
      <c r="W31" s="18"/>
    </row>
    <row r="32" spans="1:23" ht="15.5" x14ac:dyDescent="0.35">
      <c r="A32" s="18"/>
      <c r="B32" s="18"/>
      <c r="C32" s="18"/>
      <c r="D32" s="18"/>
      <c r="E32" s="18"/>
      <c r="F32" s="18"/>
      <c r="G32" s="18"/>
      <c r="H32" s="9"/>
      <c r="I32" s="18"/>
      <c r="J32" s="18"/>
      <c r="K32" s="18"/>
      <c r="L32" s="18"/>
      <c r="M32" s="18"/>
      <c r="N32" s="18"/>
      <c r="O32" s="18"/>
      <c r="P32" s="18"/>
      <c r="Q32" s="18"/>
      <c r="R32" s="18"/>
      <c r="S32" s="18"/>
      <c r="T32" s="18"/>
      <c r="U32" s="18"/>
      <c r="V32" s="18"/>
      <c r="W32" s="18"/>
    </row>
    <row r="33" spans="1:23" ht="15.5" x14ac:dyDescent="0.35">
      <c r="A33" s="18"/>
      <c r="B33" s="18"/>
      <c r="C33" s="18"/>
      <c r="D33" s="18"/>
      <c r="E33" s="18"/>
      <c r="F33" s="18"/>
      <c r="G33" s="18"/>
      <c r="H33" s="9"/>
      <c r="I33" s="18"/>
      <c r="J33" s="18"/>
      <c r="K33" s="18"/>
      <c r="L33" s="18"/>
      <c r="M33" s="18"/>
      <c r="N33" s="18"/>
      <c r="O33" s="18"/>
      <c r="P33" s="18"/>
      <c r="Q33" s="18"/>
      <c r="R33" s="18"/>
      <c r="S33" s="18"/>
      <c r="T33" s="18"/>
      <c r="U33" s="18"/>
      <c r="V33" s="18"/>
      <c r="W33" s="18"/>
    </row>
    <row r="34" spans="1:23" ht="15.5" x14ac:dyDescent="0.35">
      <c r="A34" s="18"/>
      <c r="B34" s="18"/>
      <c r="C34" s="18"/>
      <c r="D34" s="18"/>
      <c r="E34" s="18"/>
      <c r="F34" s="18"/>
      <c r="G34" s="18"/>
      <c r="H34" s="9"/>
      <c r="I34" s="18"/>
      <c r="J34" s="18"/>
      <c r="K34" s="18"/>
      <c r="L34" s="18"/>
      <c r="M34" s="18"/>
      <c r="N34" s="18"/>
      <c r="O34" s="18"/>
      <c r="P34" s="18"/>
      <c r="Q34" s="18"/>
      <c r="R34" s="18"/>
      <c r="S34" s="18"/>
      <c r="T34" s="18"/>
      <c r="U34" s="18"/>
      <c r="V34" s="18"/>
      <c r="W34" s="18"/>
    </row>
    <row r="35" spans="1:23" ht="15.5" x14ac:dyDescent="0.35">
      <c r="A35" s="18"/>
      <c r="B35" s="18"/>
      <c r="C35" s="18"/>
      <c r="D35" s="18"/>
      <c r="E35" s="18"/>
      <c r="F35" s="18"/>
      <c r="G35" s="18"/>
      <c r="H35" s="9"/>
      <c r="I35" s="18"/>
      <c r="J35" s="18"/>
      <c r="K35" s="18"/>
      <c r="L35" s="18"/>
      <c r="M35" s="18"/>
      <c r="N35" s="18"/>
      <c r="O35" s="18"/>
      <c r="P35" s="18"/>
      <c r="Q35" s="18"/>
      <c r="R35" s="18"/>
      <c r="S35" s="18"/>
      <c r="T35" s="18"/>
      <c r="U35" s="18"/>
      <c r="V35" s="18"/>
      <c r="W35" s="18"/>
    </row>
    <row r="36" spans="1:23" ht="15.5" x14ac:dyDescent="0.35">
      <c r="A36" s="18"/>
      <c r="B36" s="18"/>
      <c r="C36" s="18"/>
      <c r="D36" s="18"/>
      <c r="E36" s="18"/>
      <c r="F36" s="18"/>
      <c r="G36" s="18"/>
      <c r="H36" s="9"/>
      <c r="I36" s="18"/>
      <c r="J36" s="18"/>
      <c r="K36" s="18"/>
      <c r="L36" s="18"/>
      <c r="M36" s="18"/>
      <c r="N36" s="18"/>
      <c r="O36" s="18"/>
      <c r="P36" s="18"/>
      <c r="Q36" s="18"/>
      <c r="R36" s="18"/>
      <c r="S36" s="18"/>
      <c r="T36" s="18"/>
      <c r="U36" s="18"/>
      <c r="V36" s="18"/>
      <c r="W36" s="18"/>
    </row>
    <row r="37" spans="1:23" ht="15.5" x14ac:dyDescent="0.35">
      <c r="A37" s="18"/>
      <c r="B37" s="18"/>
      <c r="C37" s="18"/>
      <c r="D37" s="18"/>
      <c r="E37" s="18"/>
      <c r="F37" s="18"/>
      <c r="G37" s="18"/>
      <c r="H37" s="9"/>
      <c r="I37" s="18"/>
      <c r="J37" s="18"/>
      <c r="K37" s="18"/>
      <c r="L37" s="18"/>
      <c r="M37" s="18"/>
      <c r="N37" s="18"/>
      <c r="O37" s="18"/>
      <c r="P37" s="18"/>
      <c r="Q37" s="18"/>
      <c r="R37" s="18"/>
      <c r="S37" s="18"/>
      <c r="T37" s="18"/>
      <c r="U37" s="18"/>
      <c r="V37" s="18"/>
      <c r="W37" s="18"/>
    </row>
    <row r="38" spans="1:23" ht="15.5" x14ac:dyDescent="0.35">
      <c r="A38" s="18"/>
      <c r="B38" s="18"/>
      <c r="C38" s="18"/>
      <c r="D38" s="18"/>
      <c r="E38" s="18"/>
      <c r="F38" s="18"/>
      <c r="G38" s="18"/>
      <c r="H38" s="9"/>
      <c r="I38" s="18"/>
      <c r="J38" s="18"/>
      <c r="K38" s="18"/>
      <c r="L38" s="18"/>
      <c r="M38" s="18"/>
      <c r="N38" s="18"/>
      <c r="O38" s="18"/>
      <c r="P38" s="18"/>
      <c r="Q38" s="18"/>
      <c r="R38" s="18"/>
      <c r="S38" s="18"/>
      <c r="T38" s="18"/>
      <c r="U38" s="18"/>
      <c r="V38" s="18"/>
      <c r="W38" s="18"/>
    </row>
    <row r="39" spans="1:23" ht="15.5" x14ac:dyDescent="0.35">
      <c r="A39" s="18"/>
      <c r="B39" s="18"/>
      <c r="C39" s="18"/>
      <c r="D39" s="18"/>
      <c r="E39" s="18"/>
      <c r="F39" s="18"/>
      <c r="G39" s="18"/>
      <c r="H39" s="9"/>
      <c r="I39" s="18"/>
      <c r="J39" s="18"/>
      <c r="K39" s="18"/>
      <c r="L39" s="18"/>
      <c r="M39" s="18"/>
      <c r="N39" s="18"/>
      <c r="O39" s="18"/>
      <c r="P39" s="18"/>
      <c r="Q39" s="18"/>
      <c r="R39" s="18"/>
      <c r="S39" s="18"/>
      <c r="T39" s="18"/>
      <c r="U39" s="18"/>
      <c r="V39" s="18"/>
      <c r="W39" s="18"/>
    </row>
    <row r="40" spans="1:23" ht="15.5" x14ac:dyDescent="0.35">
      <c r="A40" s="18"/>
      <c r="B40" s="18"/>
      <c r="C40" s="18"/>
      <c r="D40" s="18"/>
      <c r="E40" s="18"/>
      <c r="F40" s="18"/>
      <c r="G40" s="18"/>
      <c r="H40" s="9"/>
      <c r="I40" s="18"/>
      <c r="J40" s="18"/>
      <c r="K40" s="18"/>
      <c r="L40" s="18"/>
      <c r="M40" s="18"/>
      <c r="N40" s="18"/>
      <c r="O40" s="18"/>
      <c r="P40" s="18"/>
      <c r="Q40" s="18"/>
      <c r="R40" s="18"/>
      <c r="S40" s="18"/>
      <c r="T40" s="18"/>
      <c r="U40" s="18"/>
      <c r="V40" s="18"/>
      <c r="W40" s="18"/>
    </row>
    <row r="41" spans="1:23" ht="15.5" x14ac:dyDescent="0.35">
      <c r="A41" s="18"/>
      <c r="B41" s="18"/>
      <c r="C41" s="18"/>
      <c r="D41" s="18"/>
      <c r="E41" s="18"/>
      <c r="F41" s="18"/>
      <c r="G41" s="18"/>
      <c r="H41" s="9"/>
      <c r="I41" s="18"/>
      <c r="J41" s="18"/>
      <c r="K41" s="18"/>
      <c r="L41" s="18"/>
      <c r="M41" s="18"/>
      <c r="N41" s="18"/>
      <c r="O41" s="18"/>
      <c r="P41" s="18"/>
      <c r="Q41" s="18"/>
      <c r="R41" s="18"/>
      <c r="S41" s="18"/>
      <c r="T41" s="18"/>
      <c r="U41" s="18"/>
      <c r="V41" s="18"/>
      <c r="W41" s="18"/>
    </row>
    <row r="42" spans="1:23" ht="15.5" x14ac:dyDescent="0.35">
      <c r="A42" s="18"/>
      <c r="B42" s="18"/>
      <c r="C42" s="18"/>
      <c r="D42" s="18"/>
      <c r="E42" s="18"/>
      <c r="F42" s="18"/>
      <c r="G42" s="18"/>
      <c r="H42" s="9"/>
      <c r="I42" s="18"/>
      <c r="J42" s="18"/>
      <c r="K42" s="18"/>
      <c r="L42" s="18"/>
      <c r="M42" s="18"/>
      <c r="N42" s="18"/>
      <c r="O42" s="18"/>
      <c r="P42" s="18"/>
      <c r="Q42" s="18"/>
      <c r="R42" s="18"/>
      <c r="S42" s="18"/>
      <c r="T42" s="18"/>
      <c r="U42" s="18"/>
      <c r="V42" s="18"/>
      <c r="W42" s="18"/>
    </row>
    <row r="43" spans="1:23" ht="15.5" x14ac:dyDescent="0.35">
      <c r="A43" s="18"/>
      <c r="B43" s="18"/>
      <c r="C43" s="18"/>
      <c r="D43" s="18"/>
      <c r="E43" s="18"/>
      <c r="F43" s="18"/>
      <c r="G43" s="18"/>
      <c r="H43" s="9"/>
      <c r="I43" s="18"/>
      <c r="J43" s="18"/>
      <c r="K43" s="18"/>
      <c r="L43" s="18"/>
      <c r="M43" s="18"/>
      <c r="N43" s="18"/>
      <c r="O43" s="18"/>
      <c r="P43" s="18"/>
      <c r="Q43" s="18"/>
      <c r="R43" s="18"/>
      <c r="S43" s="18"/>
      <c r="T43" s="18"/>
      <c r="U43" s="18"/>
      <c r="V43" s="18"/>
      <c r="W43" s="18"/>
    </row>
    <row r="44" spans="1:23" ht="15.5" x14ac:dyDescent="0.35">
      <c r="A44" s="18"/>
      <c r="B44" s="18"/>
      <c r="C44" s="18"/>
      <c r="D44" s="18"/>
      <c r="E44" s="18"/>
      <c r="F44" s="18"/>
      <c r="G44" s="18"/>
      <c r="H44" s="9"/>
      <c r="I44" s="18"/>
      <c r="J44" s="18"/>
      <c r="K44" s="18"/>
      <c r="L44" s="18"/>
      <c r="M44" s="18"/>
      <c r="N44" s="18"/>
      <c r="O44" s="18"/>
      <c r="P44" s="18"/>
      <c r="Q44" s="18"/>
      <c r="R44" s="18"/>
      <c r="S44" s="18"/>
      <c r="T44" s="18"/>
      <c r="U44" s="18"/>
      <c r="V44" s="18"/>
      <c r="W44" s="18"/>
    </row>
    <row r="45" spans="1:23" ht="15.5" x14ac:dyDescent="0.35">
      <c r="A45" s="18"/>
      <c r="B45" s="18"/>
      <c r="C45" s="18"/>
      <c r="D45" s="18"/>
      <c r="E45" s="18"/>
      <c r="F45" s="18"/>
      <c r="G45" s="18"/>
      <c r="H45" s="9"/>
      <c r="I45" s="18"/>
      <c r="J45" s="18"/>
      <c r="K45" s="18"/>
      <c r="L45" s="18"/>
      <c r="M45" s="18"/>
      <c r="N45" s="18"/>
      <c r="O45" s="18"/>
      <c r="P45" s="18"/>
      <c r="Q45" s="18"/>
      <c r="R45" s="18"/>
      <c r="S45" s="18"/>
      <c r="T45" s="18"/>
      <c r="U45" s="18"/>
      <c r="V45" s="18"/>
      <c r="W45" s="18"/>
    </row>
    <row r="46" spans="1:23" ht="15.5" x14ac:dyDescent="0.35">
      <c r="A46" s="18"/>
      <c r="B46" s="18"/>
      <c r="C46" s="18"/>
      <c r="D46" s="18"/>
      <c r="E46" s="18"/>
      <c r="F46" s="18"/>
      <c r="G46" s="18"/>
      <c r="H46" s="9"/>
      <c r="I46" s="18"/>
      <c r="J46" s="18"/>
      <c r="K46" s="18"/>
      <c r="L46" s="18"/>
      <c r="M46" s="18"/>
      <c r="N46" s="18"/>
      <c r="O46" s="18"/>
      <c r="P46" s="18"/>
      <c r="Q46" s="18"/>
      <c r="R46" s="18"/>
      <c r="S46" s="18"/>
      <c r="T46" s="18"/>
      <c r="U46" s="18"/>
      <c r="V46" s="18"/>
      <c r="W46" s="18"/>
    </row>
    <row r="47" spans="1:23" ht="15.5" x14ac:dyDescent="0.35">
      <c r="A47" s="18"/>
      <c r="B47" s="18"/>
      <c r="C47" s="18"/>
      <c r="D47" s="18"/>
      <c r="E47" s="18"/>
      <c r="F47" s="18"/>
      <c r="G47" s="18"/>
      <c r="H47" s="9"/>
      <c r="I47" s="18"/>
      <c r="J47" s="18"/>
      <c r="K47" s="18"/>
      <c r="L47" s="18"/>
      <c r="M47" s="18"/>
      <c r="N47" s="18"/>
      <c r="O47" s="18"/>
      <c r="P47" s="18"/>
      <c r="Q47" s="18"/>
      <c r="R47" s="18"/>
      <c r="S47" s="18"/>
      <c r="T47" s="18"/>
      <c r="U47" s="18"/>
      <c r="V47" s="18"/>
      <c r="W47" s="18"/>
    </row>
    <row r="48" spans="1:23" ht="15.5" x14ac:dyDescent="0.35">
      <c r="A48" s="18"/>
      <c r="B48" s="18"/>
      <c r="C48" s="18"/>
      <c r="D48" s="18"/>
      <c r="E48" s="18"/>
      <c r="F48" s="18"/>
      <c r="G48" s="18"/>
      <c r="H48" s="9"/>
      <c r="I48" s="18"/>
      <c r="J48" s="18"/>
      <c r="K48" s="18"/>
      <c r="L48" s="18"/>
      <c r="M48" s="18"/>
      <c r="N48" s="18"/>
      <c r="O48" s="18"/>
      <c r="P48" s="18"/>
      <c r="Q48" s="18"/>
      <c r="R48" s="18"/>
      <c r="S48" s="18"/>
      <c r="T48" s="18"/>
      <c r="U48" s="18"/>
      <c r="V48" s="18"/>
      <c r="W48" s="18"/>
    </row>
    <row r="49" spans="1:23" ht="15.5" x14ac:dyDescent="0.35">
      <c r="A49" s="18"/>
      <c r="B49" s="18"/>
      <c r="C49" s="18"/>
      <c r="D49" s="18"/>
      <c r="E49" s="18"/>
      <c r="F49" s="18"/>
      <c r="G49" s="18"/>
      <c r="H49" s="9"/>
      <c r="I49" s="18"/>
      <c r="J49" s="18"/>
      <c r="K49" s="18"/>
      <c r="L49" s="18"/>
      <c r="M49" s="18"/>
      <c r="N49" s="18"/>
      <c r="O49" s="18"/>
      <c r="P49" s="18"/>
      <c r="Q49" s="18"/>
      <c r="R49" s="18"/>
      <c r="S49" s="18"/>
      <c r="T49" s="18"/>
      <c r="U49" s="18"/>
      <c r="V49" s="18"/>
      <c r="W49" s="18"/>
    </row>
    <row r="50" spans="1:23" ht="15.5" x14ac:dyDescent="0.35">
      <c r="A50" s="18"/>
      <c r="B50" s="18"/>
      <c r="C50" s="18"/>
      <c r="D50" s="18"/>
      <c r="E50" s="18"/>
      <c r="F50" s="18"/>
      <c r="G50" s="18"/>
      <c r="H50" s="9"/>
      <c r="I50" s="18"/>
      <c r="J50" s="18"/>
      <c r="K50" s="18"/>
      <c r="L50" s="18"/>
      <c r="M50" s="18"/>
      <c r="N50" s="18"/>
      <c r="O50" s="18"/>
      <c r="P50" s="18"/>
      <c r="Q50" s="18"/>
      <c r="R50" s="18"/>
      <c r="S50" s="18"/>
      <c r="T50" s="18"/>
      <c r="U50" s="18"/>
      <c r="V50" s="18"/>
      <c r="W50" s="18"/>
    </row>
    <row r="51" spans="1:23" ht="15.5" x14ac:dyDescent="0.35">
      <c r="A51" s="18"/>
      <c r="B51" s="18"/>
      <c r="C51" s="18"/>
      <c r="D51" s="18"/>
      <c r="E51" s="18"/>
      <c r="F51" s="18"/>
      <c r="G51" s="18"/>
      <c r="H51" s="9"/>
      <c r="I51" s="18"/>
      <c r="J51" s="18"/>
      <c r="K51" s="18"/>
      <c r="L51" s="18"/>
      <c r="M51" s="18"/>
      <c r="N51" s="18"/>
      <c r="O51" s="18"/>
      <c r="P51" s="18"/>
      <c r="Q51" s="18"/>
      <c r="R51" s="18"/>
      <c r="S51" s="18"/>
      <c r="T51" s="18"/>
      <c r="U51" s="18"/>
      <c r="V51" s="18"/>
      <c r="W51" s="18"/>
    </row>
    <row r="52" spans="1:23" ht="15.5" x14ac:dyDescent="0.35">
      <c r="A52" s="18"/>
      <c r="B52" s="18"/>
      <c r="C52" s="18"/>
      <c r="D52" s="18"/>
      <c r="E52" s="18"/>
      <c r="F52" s="18"/>
      <c r="G52" s="18"/>
      <c r="H52" s="9"/>
      <c r="I52" s="18"/>
      <c r="J52" s="18"/>
      <c r="K52" s="18"/>
      <c r="L52" s="18"/>
      <c r="M52" s="18"/>
      <c r="N52" s="18"/>
      <c r="O52" s="18"/>
      <c r="P52" s="18"/>
      <c r="Q52" s="18"/>
      <c r="R52" s="18"/>
      <c r="S52" s="18"/>
      <c r="T52" s="18"/>
      <c r="U52" s="18"/>
      <c r="V52" s="18"/>
      <c r="W52" s="18"/>
    </row>
    <row r="53" spans="1:23" ht="15.5" x14ac:dyDescent="0.35">
      <c r="A53" s="18"/>
      <c r="B53" s="18"/>
      <c r="C53" s="18"/>
      <c r="D53" s="18"/>
      <c r="E53" s="18"/>
      <c r="F53" s="18"/>
      <c r="G53" s="9"/>
      <c r="H53" s="9"/>
      <c r="I53" s="18"/>
      <c r="J53" s="18"/>
      <c r="K53" s="18"/>
      <c r="L53" s="18"/>
      <c r="M53" s="18"/>
      <c r="N53" s="18"/>
      <c r="O53" s="18"/>
      <c r="P53" s="18"/>
      <c r="Q53" s="18"/>
      <c r="R53" s="18"/>
      <c r="S53" s="18"/>
      <c r="T53" s="18"/>
      <c r="U53" s="18"/>
      <c r="V53" s="18"/>
      <c r="W53" s="18"/>
    </row>
    <row r="54" spans="1:23" ht="15.5" x14ac:dyDescent="0.35">
      <c r="A54" s="19"/>
      <c r="B54" s="19"/>
      <c r="C54" s="19"/>
      <c r="D54" s="19"/>
      <c r="E54" s="19"/>
      <c r="F54" s="19"/>
      <c r="G54" s="9"/>
      <c r="H54" s="9"/>
      <c r="I54" s="19"/>
      <c r="J54" s="19"/>
      <c r="K54" s="19"/>
      <c r="L54" s="19"/>
      <c r="M54" s="19"/>
      <c r="N54" s="19"/>
      <c r="O54" s="19"/>
      <c r="P54" s="19"/>
      <c r="Q54" s="19"/>
      <c r="R54" s="19"/>
      <c r="S54" s="19"/>
      <c r="T54" s="19"/>
      <c r="U54" s="19"/>
      <c r="V54" s="19"/>
      <c r="W54" s="19"/>
    </row>
    <row r="55" spans="1:23" ht="15.5" x14ac:dyDescent="0.35">
      <c r="A55" s="19"/>
      <c r="B55" s="19"/>
      <c r="C55" s="19"/>
      <c r="D55" s="19"/>
      <c r="E55" s="19"/>
      <c r="F55" s="19"/>
      <c r="G55" s="9"/>
      <c r="H55" s="9"/>
      <c r="I55" s="19"/>
      <c r="J55" s="19"/>
      <c r="K55" s="19"/>
      <c r="L55" s="19"/>
      <c r="M55" s="19"/>
      <c r="N55" s="19"/>
      <c r="O55" s="19"/>
      <c r="P55" s="19"/>
      <c r="Q55" s="19"/>
      <c r="R55" s="19"/>
      <c r="S55" s="19"/>
      <c r="T55" s="19"/>
      <c r="U55" s="19"/>
      <c r="V55" s="19"/>
      <c r="W55" s="19"/>
    </row>
    <row r="56" spans="1:23" ht="15.5" x14ac:dyDescent="0.35">
      <c r="A56" s="19"/>
      <c r="B56" s="19"/>
      <c r="C56" s="19"/>
      <c r="D56" s="19"/>
      <c r="E56" s="19"/>
      <c r="F56" s="19"/>
      <c r="G56" s="9"/>
      <c r="H56" s="9"/>
      <c r="I56" s="19"/>
      <c r="J56" s="19"/>
      <c r="K56" s="19"/>
      <c r="L56" s="19"/>
      <c r="M56" s="19"/>
      <c r="N56" s="19"/>
      <c r="O56" s="19"/>
      <c r="P56" s="19"/>
      <c r="Q56" s="19"/>
      <c r="R56" s="19"/>
      <c r="S56" s="19"/>
      <c r="T56" s="19"/>
      <c r="U56" s="19"/>
      <c r="V56" s="19"/>
      <c r="W56" s="19"/>
    </row>
    <row r="57" spans="1:23" ht="15.5" x14ac:dyDescent="0.35">
      <c r="A57" s="19"/>
      <c r="B57" s="19"/>
      <c r="C57" s="19"/>
      <c r="D57" s="19"/>
      <c r="E57" s="19"/>
      <c r="F57" s="19"/>
      <c r="G57" s="9"/>
      <c r="H57" s="9"/>
      <c r="I57" s="19"/>
      <c r="J57" s="19"/>
      <c r="K57" s="19"/>
      <c r="L57" s="19"/>
      <c r="M57" s="19"/>
      <c r="N57" s="19"/>
      <c r="O57" s="19"/>
      <c r="P57" s="19"/>
      <c r="Q57" s="19"/>
      <c r="R57" s="19"/>
      <c r="S57" s="19"/>
      <c r="T57" s="19"/>
      <c r="U57" s="19"/>
      <c r="V57" s="19"/>
      <c r="W57" s="19"/>
    </row>
    <row r="58" spans="1:23" ht="15.5" x14ac:dyDescent="0.35">
      <c r="A58" s="19"/>
      <c r="B58" s="19"/>
      <c r="C58" s="19"/>
      <c r="D58" s="19"/>
      <c r="E58" s="19"/>
      <c r="F58" s="19"/>
      <c r="G58" s="9"/>
      <c r="H58" s="9"/>
      <c r="I58" s="19"/>
      <c r="J58" s="19"/>
      <c r="K58" s="19"/>
      <c r="L58" s="19"/>
      <c r="M58" s="19"/>
      <c r="N58" s="19"/>
      <c r="O58" s="19"/>
      <c r="P58" s="19"/>
      <c r="Q58" s="19"/>
      <c r="R58" s="19"/>
      <c r="S58" s="19"/>
      <c r="T58" s="19"/>
      <c r="U58" s="19"/>
      <c r="V58" s="19"/>
      <c r="W58" s="19"/>
    </row>
    <row r="59" spans="1:23" ht="15.5" x14ac:dyDescent="0.35">
      <c r="A59" s="19"/>
      <c r="B59" s="19"/>
      <c r="C59" s="19"/>
      <c r="D59" s="19"/>
      <c r="E59" s="19"/>
      <c r="F59" s="19"/>
      <c r="G59" s="9"/>
      <c r="H59" s="9"/>
      <c r="I59" s="19"/>
      <c r="J59" s="19"/>
      <c r="K59" s="19"/>
      <c r="L59" s="19"/>
      <c r="M59" s="19"/>
      <c r="N59" s="19"/>
      <c r="O59" s="19"/>
      <c r="P59" s="19"/>
      <c r="Q59" s="19"/>
      <c r="R59" s="19"/>
      <c r="S59" s="19"/>
      <c r="T59" s="19"/>
      <c r="U59" s="19"/>
      <c r="V59" s="19"/>
      <c r="W59" s="19"/>
    </row>
    <row r="60" spans="1:23" ht="15.5" x14ac:dyDescent="0.35">
      <c r="A60" s="19"/>
      <c r="B60" s="19"/>
      <c r="C60" s="19"/>
      <c r="D60" s="19"/>
      <c r="E60" s="19"/>
      <c r="F60" s="19"/>
      <c r="G60" s="9"/>
      <c r="H60" s="9"/>
      <c r="I60" s="19"/>
      <c r="J60" s="19"/>
      <c r="K60" s="19"/>
      <c r="L60" s="19"/>
      <c r="M60" s="19"/>
      <c r="N60" s="19"/>
      <c r="O60" s="19"/>
      <c r="P60" s="19"/>
      <c r="Q60" s="19"/>
      <c r="R60" s="19"/>
      <c r="S60" s="19"/>
      <c r="T60" s="19"/>
      <c r="U60" s="19"/>
      <c r="V60" s="19"/>
      <c r="W60" s="19"/>
    </row>
    <row r="61" spans="1:23" ht="15.5" x14ac:dyDescent="0.35">
      <c r="A61" s="19"/>
      <c r="B61" s="19"/>
      <c r="C61" s="19"/>
      <c r="D61" s="19"/>
      <c r="E61" s="19"/>
      <c r="F61" s="19"/>
      <c r="G61" s="9"/>
      <c r="H61" s="9"/>
      <c r="I61" s="19"/>
      <c r="J61" s="19"/>
      <c r="K61" s="19"/>
      <c r="L61" s="19"/>
      <c r="M61" s="19"/>
      <c r="N61" s="19"/>
      <c r="O61" s="19"/>
      <c r="P61" s="19"/>
      <c r="Q61" s="19"/>
      <c r="R61" s="19"/>
      <c r="S61" s="19"/>
      <c r="T61" s="19"/>
      <c r="U61" s="19"/>
      <c r="V61" s="19"/>
      <c r="W61" s="19"/>
    </row>
    <row r="62" spans="1:23" ht="15.5" x14ac:dyDescent="0.35">
      <c r="A62" s="19"/>
      <c r="B62" s="19"/>
      <c r="C62" s="19"/>
      <c r="D62" s="19"/>
      <c r="E62" s="19"/>
      <c r="F62" s="19"/>
      <c r="G62" s="9"/>
      <c r="H62" s="9"/>
      <c r="I62" s="19"/>
      <c r="J62" s="19"/>
      <c r="K62" s="19"/>
      <c r="L62" s="19"/>
      <c r="M62" s="19"/>
      <c r="N62" s="19"/>
      <c r="O62" s="19"/>
      <c r="P62" s="19"/>
      <c r="Q62" s="19"/>
      <c r="R62" s="19"/>
      <c r="S62" s="19"/>
      <c r="T62" s="19"/>
      <c r="U62" s="19"/>
      <c r="V62" s="19"/>
      <c r="W62" s="19"/>
    </row>
    <row r="63" spans="1:23" ht="15.5" x14ac:dyDescent="0.35">
      <c r="A63" s="19"/>
      <c r="B63" s="19"/>
      <c r="C63" s="19"/>
      <c r="D63" s="19"/>
      <c r="E63" s="19"/>
      <c r="F63" s="19"/>
      <c r="G63" s="9"/>
      <c r="H63" s="9"/>
      <c r="I63" s="19"/>
      <c r="J63" s="19"/>
      <c r="K63" s="19"/>
      <c r="L63" s="19"/>
      <c r="M63" s="19"/>
      <c r="N63" s="19"/>
      <c r="O63" s="19"/>
      <c r="P63" s="19"/>
      <c r="Q63" s="19"/>
      <c r="R63" s="19"/>
      <c r="S63" s="19"/>
      <c r="T63" s="19"/>
      <c r="U63" s="19"/>
      <c r="V63" s="19"/>
      <c r="W63" s="19"/>
    </row>
    <row r="64" spans="1:23" ht="15.5" x14ac:dyDescent="0.35">
      <c r="A64" s="19"/>
      <c r="B64" s="19"/>
      <c r="C64" s="19"/>
      <c r="D64" s="19"/>
      <c r="E64" s="19"/>
      <c r="F64" s="19"/>
      <c r="G64" s="9"/>
      <c r="H64" s="9"/>
      <c r="I64" s="19"/>
      <c r="J64" s="19"/>
      <c r="K64" s="19"/>
      <c r="L64" s="19"/>
      <c r="M64" s="19"/>
      <c r="N64" s="19"/>
      <c r="O64" s="19"/>
      <c r="P64" s="19"/>
      <c r="Q64" s="19"/>
      <c r="R64" s="19"/>
      <c r="S64" s="19"/>
      <c r="T64" s="19"/>
      <c r="U64" s="19"/>
      <c r="V64" s="19"/>
      <c r="W64" s="19"/>
    </row>
    <row r="65" spans="7:8" ht="15.5" x14ac:dyDescent="0.35">
      <c r="G65" s="9"/>
      <c r="H65" s="9"/>
    </row>
    <row r="66" spans="7:8" ht="15.5" x14ac:dyDescent="0.35">
      <c r="G66" s="9"/>
      <c r="H66" s="9"/>
    </row>
    <row r="67" spans="7:8" ht="15.5" x14ac:dyDescent="0.35">
      <c r="G67" s="9"/>
      <c r="H67" s="9"/>
    </row>
    <row r="68" spans="7:8" ht="15.5" x14ac:dyDescent="0.35">
      <c r="G68" s="9"/>
      <c r="H68" s="9"/>
    </row>
    <row r="69" spans="7:8" ht="15.5" x14ac:dyDescent="0.35">
      <c r="G69" s="9"/>
      <c r="H69" s="9"/>
    </row>
    <row r="70" spans="7:8" ht="15.5" x14ac:dyDescent="0.35">
      <c r="G70" s="9"/>
      <c r="H70" s="9"/>
    </row>
    <row r="71" spans="7:8" ht="15.5" x14ac:dyDescent="0.35">
      <c r="G71" s="9"/>
      <c r="H71" s="9"/>
    </row>
    <row r="72" spans="7:8" ht="15.5" x14ac:dyDescent="0.35">
      <c r="G72" s="9"/>
      <c r="H72" s="9"/>
    </row>
    <row r="73" spans="7:8" ht="15.5" x14ac:dyDescent="0.35">
      <c r="G73" s="9"/>
      <c r="H73" s="9"/>
    </row>
    <row r="74" spans="7:8" ht="15.5" x14ac:dyDescent="0.35">
      <c r="G74" s="19"/>
      <c r="H74" s="18"/>
    </row>
    <row r="75" spans="7:8" ht="15.5" x14ac:dyDescent="0.35">
      <c r="G75" s="19"/>
      <c r="H75" s="18"/>
    </row>
    <row r="76" spans="7:8" ht="15.5" x14ac:dyDescent="0.35">
      <c r="G76" s="19"/>
      <c r="H76" s="18"/>
    </row>
    <row r="77" spans="7:8" ht="15.5" x14ac:dyDescent="0.35">
      <c r="G77" s="19"/>
      <c r="H77" s="18"/>
    </row>
    <row r="78" spans="7:8" ht="15.5" x14ac:dyDescent="0.35">
      <c r="G78" s="19"/>
      <c r="H78" s="18"/>
    </row>
    <row r="79" spans="7:8" ht="15.5" x14ac:dyDescent="0.35">
      <c r="G79" s="19"/>
      <c r="H79" s="18"/>
    </row>
    <row r="80" spans="7:8" ht="15.5" x14ac:dyDescent="0.35">
      <c r="G80" s="19"/>
      <c r="H80" s="18"/>
    </row>
    <row r="81" spans="8:8" ht="15.5" x14ac:dyDescent="0.35">
      <c r="H81" s="18"/>
    </row>
    <row r="82" spans="8:8" ht="15.5" x14ac:dyDescent="0.35">
      <c r="H82" s="18"/>
    </row>
    <row r="83" spans="8:8" ht="15.5" x14ac:dyDescent="0.35">
      <c r="H83" s="18"/>
    </row>
    <row r="84" spans="8:8" ht="15.5" x14ac:dyDescent="0.35">
      <c r="H84" s="18"/>
    </row>
    <row r="85" spans="8:8" ht="15.5" x14ac:dyDescent="0.35">
      <c r="H85" s="18"/>
    </row>
    <row r="86" spans="8:8" ht="15.5" x14ac:dyDescent="0.35">
      <c r="H86" s="18"/>
    </row>
    <row r="87" spans="8:8" ht="15.5" x14ac:dyDescent="0.35">
      <c r="H87" s="18"/>
    </row>
    <row r="88" spans="8:8" ht="15.5" x14ac:dyDescent="0.35">
      <c r="H88" s="18"/>
    </row>
    <row r="89" spans="8:8" ht="15.5" x14ac:dyDescent="0.35">
      <c r="H89" s="18"/>
    </row>
    <row r="90" spans="8:8" ht="15.5" x14ac:dyDescent="0.35">
      <c r="H90" s="18"/>
    </row>
    <row r="91" spans="8:8" ht="15.5" x14ac:dyDescent="0.35">
      <c r="H91" s="18"/>
    </row>
    <row r="92" spans="8:8" ht="15.5" x14ac:dyDescent="0.35">
      <c r="H92" s="18"/>
    </row>
    <row r="93" spans="8:8" ht="15.5" x14ac:dyDescent="0.35">
      <c r="H93" s="18"/>
    </row>
    <row r="94" spans="8:8" ht="15.5" x14ac:dyDescent="0.35">
      <c r="H94" s="18"/>
    </row>
    <row r="95" spans="8:8" ht="15.5" x14ac:dyDescent="0.35">
      <c r="H95" s="18"/>
    </row>
    <row r="96" spans="8:8" ht="15.5" x14ac:dyDescent="0.35">
      <c r="H96" s="18"/>
    </row>
    <row r="97" spans="8:8" ht="15.5" x14ac:dyDescent="0.35">
      <c r="H97" s="18"/>
    </row>
    <row r="98" spans="8:8" ht="15.5" x14ac:dyDescent="0.35">
      <c r="H98" s="18"/>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15DF1F8481386347ABF96E55D6D94A89" ma:contentTypeVersion="10" ma:contentTypeDescription="Create a new document." ma:contentTypeScope="" ma:versionID="d2e173efb28ad5999e42e01dc7c34775">
  <xsd:schema xmlns:xsd="http://www.w3.org/2001/XMLSchema" xmlns:xs="http://www.w3.org/2001/XMLSchema" xmlns:p="http://schemas.microsoft.com/office/2006/metadata/properties" xmlns:ns1="http://schemas.microsoft.com/sharepoint/v3" xmlns:ns2="0409a30b-dac9-499f-8c12-c063c3a6bc32" targetNamespace="http://schemas.microsoft.com/office/2006/metadata/properties" ma:root="true" ma:fieldsID="0c232b6f84f7081db5d550cef47f202b" ns1:_="" ns2:_="">
    <xsd:import namespace="http://schemas.microsoft.com/sharepoint/v3"/>
    <xsd:import namespace="0409a30b-dac9-499f-8c12-c063c3a6bc32"/>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1:_ip_UnifiedCompliancePolicyProperties" minOccurs="0"/>
                <xsd:element ref="ns1:_ip_UnifiedCompliancePolicyUIAction" minOccurs="0"/>
                <xsd:element ref="ns2:MediaServiceDateTaken" minOccurs="0"/>
                <xsd:element ref="ns2:MediaServiceGenerationTime" minOccurs="0"/>
                <xsd:element ref="ns2:MediaServiceEventHashCode"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2" nillable="true" ma:displayName="Unified Compliance Policy Properties" ma:hidden="true" ma:internalName="_ip_UnifiedCompliancePolicyProperties">
      <xsd:simpleType>
        <xsd:restriction base="dms:Note"/>
      </xsd:simpleType>
    </xsd:element>
    <xsd:element name="_ip_UnifiedCompliancePolicyUIAction" ma:index="13"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409a30b-dac9-499f-8c12-c063c3a6bc3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F02FF3F7-325A-48F1-B79D-2D1F26FE87B6}">
  <ds:schemaRefs>
    <ds:schemaRef ds:uri="http://schemas.microsoft.com/sharepoint/v3/contenttype/forms"/>
  </ds:schemaRefs>
</ds:datastoreItem>
</file>

<file path=customXml/itemProps2.xml><?xml version="1.0" encoding="utf-8"?>
<ds:datastoreItem xmlns:ds="http://schemas.openxmlformats.org/officeDocument/2006/customXml" ds:itemID="{8C2E7A46-BE3D-406C-BA90-072A846757A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0409a30b-dac9-499f-8c12-c063c3a6bc3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B7737D94-D3C7-4B7C-9582-9EB2DEF7AA9A}">
  <ds:schemaRefs>
    <ds:schemaRef ds:uri="http://schemas.microsoft.com/DataMashup"/>
  </ds:schemaRefs>
</ds:datastoreItem>
</file>

<file path=customXml/itemProps4.xml><?xml version="1.0" encoding="utf-8"?>
<ds:datastoreItem xmlns:ds="http://schemas.openxmlformats.org/officeDocument/2006/customXml" ds:itemID="{4B46ED47-EC71-4ECB-B6E9-97E0AD5B3356}">
  <ds:schemaRefs>
    <ds:schemaRef ds:uri="http://schemas.microsoft.com/office/2006/metadata/properties"/>
    <ds:schemaRef ds:uri="http://purl.org/dc/dcmitype/"/>
    <ds:schemaRef ds:uri="http://schemas.microsoft.com/sharepoint/v3"/>
    <ds:schemaRef ds:uri="http://schemas.microsoft.com/office/2006/documentManagement/types"/>
    <ds:schemaRef ds:uri="http://purl.org/dc/elements/1.1/"/>
    <ds:schemaRef ds:uri="http://schemas.microsoft.com/office/infopath/2007/PartnerControls"/>
    <ds:schemaRef ds:uri="http://purl.org/dc/terms/"/>
    <ds:schemaRef ds:uri="http://schemas.openxmlformats.org/package/2006/metadata/core-properties"/>
    <ds:schemaRef ds:uri="0409a30b-dac9-499f-8c12-c063c3a6bc32"/>
    <ds:schemaRef ds:uri="http://www.w3.org/XML/1998/namespace"/>
  </ds:schemaRefs>
</ds:datastoreItem>
</file>

<file path=docMetadata/LabelInfo.xml><?xml version="1.0" encoding="utf-8"?>
<clbl:labelList xmlns:clbl="http://schemas.microsoft.com/office/2020/mipLabelMetadata">
  <clbl:label id="{554eecc5-e26c-4620-b240-5a8bb326c33d}" enabled="1" method="Privileged" siteId="{fae6d70f-954b-4811-92b6-0530d6f84c4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Example Self-Score Instructions</vt:lpstr>
      <vt:lpstr>GO_NO-GO Gate</vt:lpstr>
      <vt:lpstr>Self-Scoring Matrix</vt:lpstr>
      <vt:lpstr>XLSX Data Elements</vt:lpstr>
      <vt:lpstr>'Self-Scoring Matrix'!Print_Area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Nulk, Raymond H CTR USARMY JPEO AA (USA)</dc:creator>
  <cp:keywords/>
  <dc:description/>
  <cp:lastModifiedBy>Vanatta, Jessica A CIV USARMY CPE AE (USA)</cp:lastModifiedBy>
  <cp:revision/>
  <cp:lastPrinted>2026-02-26T13:27:39Z</cp:lastPrinted>
  <dcterms:created xsi:type="dcterms:W3CDTF">2015-06-05T18:17:20Z</dcterms:created>
  <dcterms:modified xsi:type="dcterms:W3CDTF">2026-03-03T18:17:27Z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0x01010015DF1F8481386347ABF96E55D6D94A89</vt:lpwstr>
  </property>
</Properties>
</file>