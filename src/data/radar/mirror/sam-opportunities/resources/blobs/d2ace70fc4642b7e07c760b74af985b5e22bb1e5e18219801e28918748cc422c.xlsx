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nna_e_whitcomb2_civ_army_mil/Documents/Desktop/"/>
    </mc:Choice>
  </mc:AlternateContent>
  <xr:revisionPtr revIDLastSave="2" documentId="8_{AC9BED42-AB1A-46BD-A516-2F485A23937E}" xr6:coauthVersionLast="47" xr6:coauthVersionMax="47" xr10:uidLastSave="{0AB354FB-89B4-4BAD-BAAD-EDFE13409648}"/>
  <bookViews>
    <workbookView xWindow="28680" yWindow="-90" windowWidth="29040" windowHeight="15690" xr2:uid="{00000000-000D-0000-FFFF-FFFF00000000}"/>
  </bookViews>
  <sheets>
    <sheet name="Production" sheetId="19" r:id="rId1"/>
    <sheet name="Safety" sheetId="20" r:id="rId2"/>
    <sheet name="Small Business" sheetId="22" r:id="rId3"/>
    <sheet name="Contractual Documents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9" l="1"/>
  <c r="D16" i="22"/>
  <c r="D15" i="22"/>
  <c r="D28" i="20"/>
  <c r="D27" i="20"/>
  <c r="D30" i="19"/>
  <c r="D29" i="19"/>
  <c r="L26" i="19"/>
  <c r="J26" i="19"/>
  <c r="L22" i="19"/>
  <c r="L21" i="19"/>
  <c r="J22" i="19"/>
  <c r="L18" i="19" l="1"/>
  <c r="L21" i="20"/>
  <c r="L20" i="20"/>
  <c r="L14" i="20"/>
  <c r="L15" i="20"/>
  <c r="L17" i="20"/>
  <c r="L18" i="20"/>
  <c r="L12" i="20"/>
  <c r="L11" i="20"/>
  <c r="K13" i="22" l="1"/>
  <c r="K12" i="22"/>
  <c r="K11" i="22"/>
  <c r="L27" i="19"/>
  <c r="L25" i="19"/>
  <c r="L24" i="19"/>
  <c r="L19" i="19"/>
  <c r="L15" i="19"/>
  <c r="L16" i="19"/>
  <c r="L13" i="19"/>
  <c r="L12" i="19"/>
  <c r="L11" i="19"/>
  <c r="J11" i="19"/>
  <c r="J21" i="20"/>
  <c r="J20" i="20"/>
  <c r="J18" i="20"/>
  <c r="J17" i="20"/>
  <c r="J14" i="20"/>
  <c r="J15" i="20"/>
  <c r="J12" i="20"/>
  <c r="J11" i="20"/>
  <c r="J21" i="19"/>
  <c r="J19" i="19"/>
  <c r="J18" i="19"/>
  <c r="J16" i="19"/>
  <c r="J15" i="19"/>
  <c r="J13" i="19"/>
  <c r="J12" i="19"/>
  <c r="J23" i="20"/>
  <c r="M13" i="22"/>
  <c r="M12" i="22"/>
  <c r="M11" i="22"/>
  <c r="L25" i="20"/>
  <c r="J25" i="20"/>
  <c r="L24" i="20"/>
  <c r="J24" i="20"/>
  <c r="L23" i="20"/>
  <c r="J25" i="19"/>
  <c r="J24" i="19"/>
  <c r="J27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tc={97C5B7CE-C688-4B07-81D0-522A181C9D59}</author>
  </authors>
  <commentList>
    <comment ref="D9" authorId="0" shapeId="0" xr:uid="{97C5B7CE-C688-4B07-81D0-522A181C9D59}">
      <text>
        <t>[Threaded comment]
Your version of Excel allows you to read this threaded comment; however, any edits to it will get removed if the file is opened in a newer version of Excel. Learn more: https://go.microsoft.com/fwlink/?linkid=870924
Comment:
    Would we consider adding a 1000 point column for larger scale safety site management?</t>
      </text>
    </comment>
  </commentList>
</comments>
</file>

<file path=xl/sharedStrings.xml><?xml version="1.0" encoding="utf-8"?>
<sst xmlns="http://schemas.openxmlformats.org/spreadsheetml/2006/main" count="254" uniqueCount="107">
  <si>
    <t>Offerors only update the yellow cells below</t>
  </si>
  <si>
    <t> </t>
  </si>
  <si>
    <t>Points:</t>
  </si>
  <si>
    <t>Weight Factor</t>
  </si>
  <si>
    <t>Max Possible Weighted Score</t>
  </si>
  <si>
    <t xml:space="preserve"> Weighted Self-Score</t>
  </si>
  <si>
    <t>Work Sample Title</t>
  </si>
  <si>
    <t>Section L</t>
  </si>
  <si>
    <t xml:space="preserve"> Technical Experience</t>
  </si>
  <si>
    <t xml:space="preserve">Production of chemicals </t>
  </si>
  <si>
    <t>&gt;30M lbs.</t>
  </si>
  <si>
    <t>5-29.9M lbs.</t>
  </si>
  <si>
    <t>&lt;4.9M lbs.</t>
  </si>
  <si>
    <t xml:space="preserve">Work Sample 1 </t>
  </si>
  <si>
    <t xml:space="preserve">Work Sample 2 </t>
  </si>
  <si>
    <t xml:space="preserve">Work Sample 3 </t>
  </si>
  <si>
    <t>Production of NC</t>
  </si>
  <si>
    <t>&gt;10M lbs.</t>
  </si>
  <si>
    <t>3-9.9M lbs.</t>
  </si>
  <si>
    <t>&lt;2.99M lbs.</t>
  </si>
  <si>
    <t xml:space="preserve">Production of Single Base Propellant </t>
  </si>
  <si>
    <t>&gt;4M lbs.</t>
  </si>
  <si>
    <t>2.5-3.99M lbs</t>
  </si>
  <si>
    <t>&lt;2.49M lbs.</t>
  </si>
  <si>
    <t>Production of Double and/or Triple Base Propellant</t>
  </si>
  <si>
    <t>&gt;3M lbs.</t>
  </si>
  <si>
    <t>1.5-2.99M lbs</t>
  </si>
  <si>
    <t>&lt;1.49M lbs.</t>
  </si>
  <si>
    <t>Performance Related Experience</t>
  </si>
  <si>
    <t>Average of the Most Recent CPARS Rating the Offeror has Received on its Production of chemicals Work Samples for the Quality, Schedule, and Management Categories.</t>
  </si>
  <si>
    <t>Exceptional</t>
  </si>
  <si>
    <t>Very Good</t>
  </si>
  <si>
    <t>Satisfactory/ Neutral / No CPARS Available</t>
  </si>
  <si>
    <t>Marginal</t>
  </si>
  <si>
    <r>
      <t>Average of the Most Recent CPARS Rating the Offeror has Received on its Production of NC Work Samples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for the Quality, Schedule, and Management Categories.</t>
    </r>
  </si>
  <si>
    <t>Maximum Possible Weighted Score</t>
  </si>
  <si>
    <t>Offeror's Total Weighted Self-Score</t>
  </si>
  <si>
    <t>Government-Validated Weighted Self-Score</t>
  </si>
  <si>
    <t>Technical Experience</t>
  </si>
  <si>
    <t>Corporate Safety Culture</t>
  </si>
  <si>
    <t>Samples include project-specific safety plans that were accepted by the client</t>
  </si>
  <si>
    <t>Samples do not include project-specific safety plans that were accepted by the client</t>
  </si>
  <si>
    <t>Safety Management System</t>
  </si>
  <si>
    <t>Samples provide an SMS plan (e.g., ISO 45001) that was used on a relevant project.</t>
  </si>
  <si>
    <t>Samples do not provide an SMS plan (e.g., ISO 45001) that was used on a relevant project.</t>
  </si>
  <si>
    <t>Hazard Analysis Process</t>
  </si>
  <si>
    <t>Samples include a completed Process Hazard Analysis (PHA), HAZOP, or similar study for a relevant industrial process.</t>
  </si>
  <si>
    <t>Samples do not include a completed Process Hazard Analysis (PHA), HAZOP, or similar study for a relevant industrial process.</t>
  </si>
  <si>
    <t>Experience Modification Rate (EMR)</t>
  </si>
  <si>
    <t>&lt;0.75</t>
  </si>
  <si>
    <t>0.75-0.85</t>
  </si>
  <si>
    <t>0.85-1.00</t>
  </si>
  <si>
    <t>1.01-1.15</t>
  </si>
  <si>
    <t>&gt;1.15</t>
  </si>
  <si>
    <t>3-Year Average Total Case Incident Rate (TRIR)</t>
  </si>
  <si>
    <t>&lt;1.0</t>
  </si>
  <si>
    <t>1.0-2.0</t>
  </si>
  <si>
    <t>2.1-3.0</t>
  </si>
  <si>
    <t>3.1-4.0</t>
  </si>
  <si>
    <t>&gt;4.0</t>
  </si>
  <si>
    <t>Average of the Most Recent CPARS Rating the Offeror has Received on its Corporate Safety Culture Work Samples for the Quality, Schedule, and Management Categories.</t>
  </si>
  <si>
    <t>Average of the Most Recent CPARS Rating the Offeror has Received on its Safety Management System Work Samples for the Quality, Schedule, and Management Categories.</t>
  </si>
  <si>
    <t>Average of the Most Recent CPARS Rating the Offeror has Received on its Hazard Analysis Process Work Samples for the Quality, Schedule, and Management Categories.</t>
  </si>
  <si>
    <t>Experience</t>
  </si>
  <si>
    <t>Number of Small Business Categories Met or Exceeded (Small Business Concerns, Small Disadvantaged Business Concerns, Women-Owned Small Business Concerns, HUBZone Small Business Concerns, and Service-Disabled Veteran-Owned Small Business Concerns) on ISR/SSR</t>
  </si>
  <si>
    <t>All 5 Categories</t>
  </si>
  <si>
    <t>4 Categories</t>
  </si>
  <si>
    <t>3 Categories</t>
  </si>
  <si>
    <t>2 Categories</t>
  </si>
  <si>
    <t>1 Category</t>
  </si>
  <si>
    <t>0 Categories</t>
  </si>
  <si>
    <t>ISR/SSR Sample 1</t>
  </si>
  <si>
    <t>ISR/SSR Sample 2</t>
  </si>
  <si>
    <t>ISR/SSR Sample 3</t>
  </si>
  <si>
    <t>Document Name</t>
  </si>
  <si>
    <t>File Name</t>
  </si>
  <si>
    <t>Document Submitted</t>
  </si>
  <si>
    <t>Signed SF 33 Solicitation, Offer, and Award</t>
  </si>
  <si>
    <t>[Offeror Name]_SF33</t>
  </si>
  <si>
    <t>Signed SF 30 Amendment(s) of Solicitation (If Applicable)</t>
  </si>
  <si>
    <t>[Offeror Name]_SF30</t>
  </si>
  <si>
    <t>Self-Scoring Matrix</t>
  </si>
  <si>
    <t>[Offeror Name]_Self-Scoring Matrix</t>
  </si>
  <si>
    <t>Section K Representations, Certification, and Other Statements of Offerors</t>
  </si>
  <si>
    <t>[Offeror Name]_Representations Certifications</t>
  </si>
  <si>
    <t>All Section K Clause Fill-Ins</t>
  </si>
  <si>
    <t>[Offeror Name]_Section K Clauses</t>
  </si>
  <si>
    <t>Clause Fill-Ins for All Other Sections</t>
  </si>
  <si>
    <t>[Offeror Name]_Clauses</t>
  </si>
  <si>
    <t>Small Business Size Standard Certification (If Applicable)</t>
  </si>
  <si>
    <t>[Offeror Name]_Small Business Certification</t>
  </si>
  <si>
    <t>Small Business Subcontracting Plan (if Applicable)</t>
  </si>
  <si>
    <t>[Offeror Name]_Small Business Subcontracting Plan</t>
  </si>
  <si>
    <t>Joint Venture or Partnership Agreement (If Applicable)</t>
  </si>
  <si>
    <t>[Offeror Name]_[Name of Document]</t>
  </si>
  <si>
    <t>Attachment 0035</t>
  </si>
  <si>
    <r>
      <t>Average of the Most Recent CPARS Rating the Offeror has Received on its Production of Single Base Propellant Work Samples</t>
    </r>
    <r>
      <rPr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for the Quality, Schedule, and Management Categories.</t>
    </r>
  </si>
  <si>
    <t>Average of the Most Recent CPARS Rating the Offeror has Received on its Production of Double and/or Triple Base Propellant Work Samples for the Quality, Schedule, and Management Categories.</t>
  </si>
  <si>
    <t>Unsatisfactory / No Work Samples Provided</t>
  </si>
  <si>
    <t>OFFEROR NAME:</t>
  </si>
  <si>
    <t>SELF-SCORING MATRIX - PRODUCTION</t>
  </si>
  <si>
    <t>SELF-SCORING MATRIX - SAFETY</t>
  </si>
  <si>
    <t>SELF-SCORING MATRIX - SMALL BUSINESS</t>
  </si>
  <si>
    <t>SELF-SCORING MATRIX - CONTRACTUAL DOCUMENTS</t>
  </si>
  <si>
    <t>Note: See Section L for Instructions</t>
  </si>
  <si>
    <t>Offeror's Self-Score Pts</t>
  </si>
  <si>
    <t>Total Possible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</si>
</sst>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4"/>
      <color rgb="FF3333FF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1"/>
      <color rgb="FF2F75B5"/>
      <name val="Arial"/>
      <family val="2"/>
    </font>
    <font>
      <b/>
      <i/>
      <sz val="11"/>
      <color rgb="FF2F75B5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4" tint="-0.249977111117893"/>
      <name val="Arial"/>
      <family val="2"/>
    </font>
    <font>
      <b/>
      <i/>
      <sz val="11"/>
      <color theme="4" tint="-0.249977111117893"/>
      <name val="Arial"/>
      <family val="2"/>
    </font>
    <font>
      <sz val="11"/>
      <name val="Arial"/>
      <family val="2"/>
    </font>
    <font>
      <sz val="11"/>
      <color rgb="FF3333FF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bgColor theme="2" tint="-9.9978637043366805E-2"/>
      </patternFill>
    </fill>
    <fill>
      <patternFill patternType="solid">
        <fgColor rgb="FFFFFF00"/>
        <bgColor rgb="FF000000"/>
      </patternFill>
    </fill>
    <fill>
      <patternFill patternType="solid">
        <fgColor rgb="FF20376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DEBF7"/>
        <bgColor rgb="FF000000"/>
      </patternFill>
    </fill>
    <fill>
      <patternFill patternType="lightDown">
        <fgColor rgb="FF000000"/>
        <bgColor rgb="FFD0CECE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21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9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1" fillId="0" borderId="0" xfId="0" applyFont="1"/>
    <xf numFmtId="0" fontId="10" fillId="10" borderId="9" xfId="0" applyFont="1" applyFill="1" applyBorder="1" applyAlignment="1">
      <alignment wrapText="1"/>
    </xf>
    <xf numFmtId="0" fontId="10" fillId="10" borderId="10" xfId="0" applyFont="1" applyFill="1" applyBorder="1" applyAlignment="1">
      <alignment wrapText="1"/>
    </xf>
    <xf numFmtId="0" fontId="1" fillId="10" borderId="11" xfId="0" applyFont="1" applyFill="1" applyBorder="1"/>
    <xf numFmtId="0" fontId="1" fillId="11" borderId="9" xfId="0" applyFont="1" applyFill="1" applyBorder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1" fillId="0" borderId="0" xfId="0" applyFont="1"/>
    <xf numFmtId="0" fontId="1" fillId="12" borderId="9" xfId="0" applyFont="1" applyFill="1" applyBorder="1"/>
    <xf numFmtId="3" fontId="12" fillId="14" borderId="8" xfId="0" applyNumberFormat="1" applyFont="1" applyFill="1" applyBorder="1"/>
    <xf numFmtId="0" fontId="12" fillId="14" borderId="12" xfId="0" applyFont="1" applyFill="1" applyBorder="1"/>
    <xf numFmtId="0" fontId="13" fillId="0" borderId="0" xfId="0" applyFont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3" fontId="21" fillId="4" borderId="4" xfId="0" applyNumberFormat="1" applyFont="1" applyFill="1" applyBorder="1"/>
    <xf numFmtId="3" fontId="21" fillId="4" borderId="2" xfId="0" applyNumberFormat="1" applyFont="1" applyFill="1" applyBorder="1"/>
    <xf numFmtId="0" fontId="13" fillId="0" borderId="0" xfId="0" applyFont="1" applyAlignment="1">
      <alignment horizontal="left"/>
    </xf>
    <xf numFmtId="0" fontId="13" fillId="0" borderId="0" xfId="0" quotePrefix="1" applyFont="1" applyAlignment="1">
      <alignment horizontal="right"/>
    </xf>
    <xf numFmtId="9" fontId="13" fillId="0" borderId="0" xfId="0" applyNumberFormat="1" applyFont="1"/>
    <xf numFmtId="9" fontId="13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" fillId="9" borderId="15" xfId="0" applyFont="1" applyFill="1" applyBorder="1"/>
    <xf numFmtId="0" fontId="2" fillId="9" borderId="21" xfId="0" applyFont="1" applyFill="1" applyBorder="1" applyAlignment="1">
      <alignment wrapText="1"/>
    </xf>
    <xf numFmtId="0" fontId="2" fillId="9" borderId="21" xfId="0" applyFont="1" applyFill="1" applyBorder="1"/>
    <xf numFmtId="0" fontId="2" fillId="9" borderId="22" xfId="0" applyFont="1" applyFill="1" applyBorder="1"/>
    <xf numFmtId="0" fontId="2" fillId="9" borderId="23" xfId="0" applyFont="1" applyFill="1" applyBorder="1"/>
    <xf numFmtId="0" fontId="2" fillId="9" borderId="24" xfId="0" applyFont="1" applyFill="1" applyBorder="1"/>
    <xf numFmtId="0" fontId="7" fillId="0" borderId="25" xfId="0" applyFont="1" applyBorder="1" applyAlignment="1">
      <alignment wrapText="1"/>
    </xf>
    <xf numFmtId="0" fontId="9" fillId="10" borderId="25" xfId="0" applyFont="1" applyFill="1" applyBorder="1"/>
    <xf numFmtId="0" fontId="1" fillId="10" borderId="26" xfId="0" applyFont="1" applyFill="1" applyBorder="1"/>
    <xf numFmtId="0" fontId="1" fillId="0" borderId="26" xfId="0" applyFont="1" applyBorder="1"/>
    <xf numFmtId="0" fontId="11" fillId="0" borderId="25" xfId="0" applyFont="1" applyBorder="1"/>
    <xf numFmtId="0" fontId="1" fillId="11" borderId="28" xfId="0" applyFont="1" applyFill="1" applyBorder="1" applyAlignment="1">
      <alignment wrapText="1"/>
    </xf>
    <xf numFmtId="0" fontId="1" fillId="12" borderId="28" xfId="0" applyFont="1" applyFill="1" applyBorder="1"/>
    <xf numFmtId="3" fontId="2" fillId="0" borderId="0" xfId="0" applyNumberFormat="1" applyFont="1"/>
    <xf numFmtId="0" fontId="9" fillId="10" borderId="9" xfId="0" applyFont="1" applyFill="1" applyBorder="1" applyAlignment="1">
      <alignment horizontal="center" wrapText="1"/>
    </xf>
    <xf numFmtId="164" fontId="2" fillId="0" borderId="0" xfId="0" applyNumberFormat="1" applyFont="1"/>
    <xf numFmtId="0" fontId="11" fillId="0" borderId="27" xfId="0" applyFont="1" applyBorder="1"/>
    <xf numFmtId="0" fontId="2" fillId="0" borderId="25" xfId="0" applyFont="1" applyBorder="1"/>
    <xf numFmtId="0" fontId="2" fillId="0" borderId="0" xfId="0" applyFont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10" borderId="33" xfId="0" applyFont="1" applyFill="1" applyBorder="1" applyAlignment="1">
      <alignment horizontal="center" vertical="center" wrapText="1"/>
    </xf>
    <xf numFmtId="0" fontId="9" fillId="10" borderId="34" xfId="0" applyFont="1" applyFill="1" applyBorder="1" applyAlignment="1">
      <alignment horizontal="center" vertical="center" wrapText="1"/>
    </xf>
    <xf numFmtId="0" fontId="2" fillId="9" borderId="35" xfId="0" applyFont="1" applyFill="1" applyBorder="1" applyAlignment="1">
      <alignment horizontal="left" vertical="center"/>
    </xf>
    <xf numFmtId="0" fontId="2" fillId="9" borderId="36" xfId="0" applyFont="1" applyFill="1" applyBorder="1" applyAlignment="1">
      <alignment horizontal="left" vertical="center" wrapText="1"/>
    </xf>
    <xf numFmtId="0" fontId="2" fillId="9" borderId="36" xfId="0" applyFont="1" applyFill="1" applyBorder="1" applyAlignment="1">
      <alignment horizontal="left" vertical="center"/>
    </xf>
    <xf numFmtId="0" fontId="2" fillId="9" borderId="37" xfId="0" applyFont="1" applyFill="1" applyBorder="1" applyAlignment="1">
      <alignment horizontal="left" vertical="center"/>
    </xf>
    <xf numFmtId="0" fontId="9" fillId="10" borderId="32" xfId="0" applyFont="1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/>
    </xf>
    <xf numFmtId="0" fontId="1" fillId="8" borderId="3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 wrapText="1"/>
    </xf>
    <xf numFmtId="0" fontId="1" fillId="11" borderId="38" xfId="0" applyFont="1" applyFill="1" applyBorder="1" applyAlignment="1">
      <alignment horizontal="left" vertical="center" wrapText="1"/>
    </xf>
    <xf numFmtId="0" fontId="1" fillId="13" borderId="38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1" fillId="11" borderId="28" xfId="0" applyFont="1" applyFill="1" applyBorder="1" applyAlignment="1">
      <alignment horizontal="left" vertical="center" wrapText="1"/>
    </xf>
    <xf numFmtId="0" fontId="1" fillId="13" borderId="28" xfId="0" applyFont="1" applyFill="1" applyBorder="1" applyAlignment="1">
      <alignment horizontal="left" vertical="center" wrapText="1"/>
    </xf>
    <xf numFmtId="0" fontId="1" fillId="8" borderId="30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/>
    </xf>
    <xf numFmtId="0" fontId="13" fillId="5" borderId="40" xfId="0" applyFont="1" applyFill="1" applyBorder="1" applyAlignment="1">
      <alignment wrapText="1"/>
    </xf>
    <xf numFmtId="0" fontId="13" fillId="5" borderId="40" xfId="0" applyFont="1" applyFill="1" applyBorder="1"/>
    <xf numFmtId="0" fontId="13" fillId="5" borderId="41" xfId="0" applyFont="1" applyFill="1" applyBorder="1"/>
    <xf numFmtId="0" fontId="2" fillId="9" borderId="37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5" borderId="42" xfId="0" applyFont="1" applyFill="1" applyBorder="1" applyAlignment="1">
      <alignment horizontal="center"/>
    </xf>
    <xf numFmtId="0" fontId="13" fillId="5" borderId="13" xfId="0" applyFont="1" applyFill="1" applyBorder="1" applyAlignment="1">
      <alignment wrapText="1"/>
    </xf>
    <xf numFmtId="0" fontId="13" fillId="5" borderId="13" xfId="0" applyFont="1" applyFill="1" applyBorder="1"/>
    <xf numFmtId="0" fontId="13" fillId="5" borderId="14" xfId="0" applyFont="1" applyFill="1" applyBorder="1"/>
    <xf numFmtId="0" fontId="2" fillId="9" borderId="43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indent="4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 indent="5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16" borderId="26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vertical="center" wrapText="1"/>
    </xf>
    <xf numFmtId="0" fontId="1" fillId="2" borderId="46" xfId="0" applyFont="1" applyFill="1" applyBorder="1" applyAlignment="1">
      <alignment vertical="center" wrapText="1"/>
    </xf>
    <xf numFmtId="0" fontId="13" fillId="0" borderId="47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1" fillId="2" borderId="49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1" fillId="0" borderId="5" xfId="1" applyNumberFormat="1" applyFont="1" applyBorder="1" applyAlignment="1" applyProtection="1">
      <alignment horizontal="center" vertical="center"/>
    </xf>
    <xf numFmtId="0" fontId="27" fillId="0" borderId="4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13" fillId="3" borderId="47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/>
    </xf>
    <xf numFmtId="0" fontId="10" fillId="10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9" fillId="4" borderId="1" xfId="0" applyFont="1" applyFill="1" applyBorder="1"/>
    <xf numFmtId="0" fontId="8" fillId="0" borderId="9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wrapText="1"/>
    </xf>
    <xf numFmtId="0" fontId="1" fillId="0" borderId="1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2" fillId="0" borderId="47" xfId="0" applyFont="1" applyBorder="1" applyAlignment="1">
      <alignment horizontal="left" vertical="center"/>
    </xf>
    <xf numFmtId="0" fontId="1" fillId="11" borderId="45" xfId="0" applyFont="1" applyFill="1" applyBorder="1" applyAlignment="1">
      <alignment horizontal="left" vertical="center" wrapText="1"/>
    </xf>
    <xf numFmtId="0" fontId="1" fillId="13" borderId="45" xfId="0" applyFont="1" applyFill="1" applyBorder="1" applyAlignment="1">
      <alignment horizontal="left" vertical="center" wrapText="1"/>
    </xf>
    <xf numFmtId="0" fontId="1" fillId="8" borderId="26" xfId="0" applyFont="1" applyFill="1" applyBorder="1" applyAlignment="1">
      <alignment horizontal="center" vertical="center"/>
    </xf>
    <xf numFmtId="0" fontId="1" fillId="6" borderId="26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0" xfId="0" applyFont="1" applyFill="1" applyBorder="1"/>
    <xf numFmtId="0" fontId="2" fillId="0" borderId="54" xfId="0" applyFont="1" applyBorder="1" applyAlignment="1">
      <alignment horizontal="left" vertical="center"/>
    </xf>
    <xf numFmtId="0" fontId="15" fillId="0" borderId="0" xfId="0" applyFont="1"/>
    <xf numFmtId="0" fontId="4" fillId="8" borderId="0" xfId="0" applyFont="1" applyFill="1" applyAlignment="1">
      <alignment wrapText="1"/>
    </xf>
    <xf numFmtId="0" fontId="1" fillId="15" borderId="7" xfId="0" applyFont="1" applyFill="1" applyBorder="1" applyAlignment="1">
      <alignment horizontal="center" vertical="center"/>
    </xf>
    <xf numFmtId="10" fontId="13" fillId="0" borderId="0" xfId="2" applyNumberFormat="1" applyFont="1"/>
    <xf numFmtId="3" fontId="9" fillId="4" borderId="4" xfId="0" applyNumberFormat="1" applyFont="1" applyFill="1" applyBorder="1"/>
    <xf numFmtId="0" fontId="13" fillId="0" borderId="0" xfId="0" applyFont="1" applyAlignment="1">
      <alignment horizontal="right"/>
    </xf>
    <xf numFmtId="0" fontId="2" fillId="0" borderId="0" xfId="0" applyFont="1"/>
    <xf numFmtId="0" fontId="14" fillId="6" borderId="0" xfId="0" applyFont="1" applyFill="1" applyAlignment="1">
      <alignment wrapText="1"/>
    </xf>
    <xf numFmtId="0" fontId="17" fillId="0" borderId="17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15" borderId="6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0" fillId="6" borderId="44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1" fillId="4" borderId="3" xfId="0" applyFont="1" applyFill="1" applyBorder="1"/>
    <xf numFmtId="0" fontId="21" fillId="4" borderId="1" xfId="0" applyFont="1" applyFill="1" applyBorder="1"/>
    <xf numFmtId="0" fontId="10" fillId="3" borderId="13" xfId="0" applyFont="1" applyFill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  <protection locked="0"/>
    </xf>
    <xf numFmtId="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7" borderId="5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43" fontId="1" fillId="0" borderId="5" xfId="1" applyFont="1" applyBorder="1" applyAlignment="1" applyProtection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48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vertical="center" wrapText="1"/>
    </xf>
    <xf numFmtId="43" fontId="1" fillId="0" borderId="5" xfId="1" applyFont="1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1" fillId="15" borderId="0" xfId="0" applyFont="1" applyFill="1" applyAlignment="1">
      <alignment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2" fillId="0" borderId="42" xfId="0" applyFont="1" applyBorder="1" applyAlignment="1">
      <alignment horizontal="center" vertical="center"/>
    </xf>
    <xf numFmtId="0" fontId="1" fillId="6" borderId="5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 wrapText="1"/>
    </xf>
    <xf numFmtId="0" fontId="9" fillId="2" borderId="46" xfId="0" applyFont="1" applyFill="1" applyBorder="1" applyAlignment="1">
      <alignment vertical="center" wrapText="1"/>
    </xf>
    <xf numFmtId="0" fontId="9" fillId="2" borderId="51" xfId="0" applyFont="1" applyFill="1" applyBorder="1" applyAlignment="1">
      <alignment vertical="center" wrapText="1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6" borderId="51" xfId="0" applyFont="1" applyFill="1" applyBorder="1" applyAlignment="1">
      <alignment horizontal="left"/>
    </xf>
    <xf numFmtId="0" fontId="14" fillId="6" borderId="56" xfId="0" applyFont="1" applyFill="1" applyBorder="1" applyAlignment="1">
      <alignment horizontal="left"/>
    </xf>
    <xf numFmtId="0" fontId="14" fillId="6" borderId="53" xfId="0" applyFont="1" applyFill="1" applyBorder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6" borderId="51" xfId="0" applyFont="1" applyFill="1" applyBorder="1" applyAlignment="1">
      <alignment horizontal="left"/>
    </xf>
    <xf numFmtId="0" fontId="4" fillId="6" borderId="56" xfId="0" applyFont="1" applyFill="1" applyBorder="1" applyAlignment="1">
      <alignment horizontal="left"/>
    </xf>
    <xf numFmtId="0" fontId="4" fillId="6" borderId="53" xfId="0" applyFont="1" applyFill="1" applyBorder="1" applyAlignment="1">
      <alignment horizontal="left"/>
    </xf>
    <xf numFmtId="3" fontId="13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geant, Jeannette A CIV USARMY JMC (USA)" id="{866F7A80-0D40-4141-9E85-0E2827F88A33}" userId="S::jeannette.a.sergeant.civ@army.mil::5d904736-df58-421e-8bc2-d2022dc186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4-02T15:32:05.44" personId="{866F7A80-0D40-4141-9E85-0E2827F88A33}" id="{97C5B7CE-C688-4B07-81D0-522A181C9D59}">
    <text>Would we consider adding a 1000 point column for larger scale safety site management?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DAA7-B497-4DB5-B2CC-1AC5B776B30B}">
  <dimension ref="B1:W301"/>
  <sheetViews>
    <sheetView tabSelected="1" topLeftCell="A12" zoomScaleNormal="100" workbookViewId="0">
      <selection activeCell="D34" sqref="D34"/>
    </sheetView>
  </sheetViews>
  <sheetFormatPr defaultColWidth="9.33203125" defaultRowHeight="14.4" x14ac:dyDescent="0.25"/>
  <cols>
    <col min="1" max="1" width="3.5546875" style="18" customWidth="1"/>
    <col min="2" max="2" width="9.5546875" style="19" customWidth="1"/>
    <col min="3" max="3" width="61.33203125" style="18" customWidth="1"/>
    <col min="4" max="4" width="15.88671875" style="18" customWidth="1"/>
    <col min="5" max="6" width="15.33203125" style="18" customWidth="1"/>
    <col min="7" max="7" width="16.109375" style="18" customWidth="1"/>
    <col min="8" max="8" width="16" style="18" customWidth="1"/>
    <col min="9" max="9" width="11.33203125" style="18" customWidth="1"/>
    <col min="10" max="10" width="16.33203125" style="18" customWidth="1"/>
    <col min="11" max="12" width="13.6640625" style="18" customWidth="1"/>
    <col min="13" max="13" width="47.6640625" style="52" customWidth="1"/>
    <col min="14" max="14" width="9.33203125" style="18"/>
    <col min="15" max="15" width="40.109375" style="18" customWidth="1"/>
    <col min="16" max="16384" width="9.33203125" style="18"/>
  </cols>
  <sheetData>
    <row r="1" spans="2:23" ht="13.8" x14ac:dyDescent="0.25"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48"/>
    </row>
    <row r="2" spans="2:23" ht="17.399999999999999" x14ac:dyDescent="0.3">
      <c r="B2" s="189" t="s">
        <v>95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9"/>
      <c r="O2" s="19"/>
      <c r="P2" s="19"/>
      <c r="Q2" s="19"/>
      <c r="R2" s="19"/>
    </row>
    <row r="3" spans="2:23" ht="17.399999999999999" x14ac:dyDescent="0.3">
      <c r="B3" s="190" t="s">
        <v>100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"/>
      <c r="O3" s="19"/>
      <c r="P3" s="19"/>
      <c r="Q3" s="19"/>
      <c r="R3" s="19"/>
    </row>
    <row r="4" spans="2:23" ht="17.399999999999999" x14ac:dyDescent="0.3">
      <c r="B4" s="191" t="s">
        <v>104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"/>
      <c r="O4" s="19"/>
      <c r="P4" s="19"/>
      <c r="Q4" s="19"/>
      <c r="R4" s="19"/>
    </row>
    <row r="5" spans="2:23" ht="17.399999999999999" x14ac:dyDescent="0.3">
      <c r="B5" s="200" t="s">
        <v>99</v>
      </c>
      <c r="C5" s="200"/>
      <c r="D5" s="201"/>
      <c r="E5" s="202"/>
      <c r="F5" s="202"/>
      <c r="G5" s="202"/>
      <c r="H5" s="202"/>
      <c r="I5" s="202"/>
      <c r="J5" s="203"/>
      <c r="K5" s="199"/>
      <c r="L5" s="199"/>
      <c r="M5" s="19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2:23" ht="18" thickBot="1" x14ac:dyDescent="0.35">
      <c r="C6" s="137" t="s">
        <v>0</v>
      </c>
      <c r="M6" s="48"/>
      <c r="N6" s="19"/>
      <c r="O6" s="19"/>
      <c r="P6" s="19"/>
      <c r="Q6" s="19"/>
      <c r="R6" s="19"/>
      <c r="S6" s="19"/>
      <c r="T6" s="19"/>
      <c r="U6" s="20"/>
      <c r="V6" s="20"/>
    </row>
    <row r="7" spans="2:23" thickBot="1" x14ac:dyDescent="0.3">
      <c r="B7" s="77"/>
      <c r="C7" s="78"/>
      <c r="D7" s="79"/>
      <c r="E7" s="79"/>
      <c r="F7" s="79"/>
      <c r="G7" s="79"/>
      <c r="H7" s="79"/>
      <c r="I7" s="79"/>
      <c r="J7" s="79"/>
      <c r="K7" s="79"/>
      <c r="L7" s="80"/>
      <c r="M7" s="81" t="s">
        <v>1</v>
      </c>
      <c r="N7" s="19"/>
      <c r="O7" s="19"/>
      <c r="P7" s="19"/>
      <c r="Q7" s="19"/>
      <c r="R7" s="19"/>
      <c r="S7" s="19"/>
      <c r="T7" s="19"/>
      <c r="U7" s="20"/>
      <c r="V7" s="20"/>
    </row>
    <row r="8" spans="2:23" ht="43.95" customHeight="1" x14ac:dyDescent="0.25">
      <c r="B8" s="73"/>
      <c r="C8" s="74"/>
      <c r="D8" s="119" t="s">
        <v>2</v>
      </c>
      <c r="E8" s="75"/>
      <c r="F8" s="75"/>
      <c r="G8" s="75"/>
      <c r="H8" s="75"/>
      <c r="I8" s="75" t="s">
        <v>3</v>
      </c>
      <c r="J8" s="75" t="s">
        <v>4</v>
      </c>
      <c r="K8" s="75" t="s">
        <v>105</v>
      </c>
      <c r="L8" s="138" t="s">
        <v>5</v>
      </c>
      <c r="M8" s="76" t="s">
        <v>6</v>
      </c>
      <c r="N8" s="19"/>
      <c r="O8" s="19"/>
      <c r="P8" s="19"/>
      <c r="Q8" s="19"/>
      <c r="R8" s="19"/>
      <c r="S8" s="19"/>
      <c r="T8" s="19"/>
      <c r="U8" s="20"/>
      <c r="V8" s="19"/>
    </row>
    <row r="9" spans="2:23" s="21" customFormat="1" ht="15" x14ac:dyDescent="0.3">
      <c r="B9" s="139" t="s">
        <v>7</v>
      </c>
      <c r="C9" s="140" t="s">
        <v>8</v>
      </c>
      <c r="D9" s="141">
        <v>1000</v>
      </c>
      <c r="E9" s="141"/>
      <c r="F9" s="141">
        <v>750</v>
      </c>
      <c r="G9" s="141"/>
      <c r="H9" s="141">
        <v>250</v>
      </c>
      <c r="I9" s="141"/>
      <c r="J9" s="141"/>
      <c r="K9" s="141"/>
      <c r="L9" s="142"/>
      <c r="M9" s="49" t="s">
        <v>1</v>
      </c>
      <c r="N9" s="143"/>
      <c r="O9" s="88"/>
      <c r="P9" s="143"/>
      <c r="Q9" s="143"/>
      <c r="R9" s="143"/>
      <c r="S9" s="143"/>
      <c r="T9" s="143"/>
      <c r="U9" s="144"/>
      <c r="V9" s="143"/>
      <c r="W9" s="145"/>
    </row>
    <row r="10" spans="2:23" s="21" customFormat="1" ht="15" x14ac:dyDescent="0.3">
      <c r="B10" s="146"/>
      <c r="C10" s="196" t="s">
        <v>9</v>
      </c>
      <c r="D10" s="95" t="s">
        <v>10</v>
      </c>
      <c r="E10" s="97"/>
      <c r="F10" s="147" t="s">
        <v>11</v>
      </c>
      <c r="G10" s="97"/>
      <c r="H10" s="97" t="s">
        <v>12</v>
      </c>
      <c r="I10" s="148"/>
      <c r="J10" s="148"/>
      <c r="K10" s="149"/>
      <c r="L10" s="132"/>
      <c r="M10" s="96"/>
      <c r="N10" s="143"/>
      <c r="O10" s="88"/>
      <c r="P10" s="143"/>
      <c r="Q10" s="143"/>
      <c r="R10" s="143"/>
      <c r="S10" s="143"/>
      <c r="T10" s="143"/>
      <c r="U10" s="144"/>
      <c r="V10" s="143"/>
      <c r="W10" s="145"/>
    </row>
    <row r="11" spans="2:23" s="21" customFormat="1" ht="15" x14ac:dyDescent="0.3">
      <c r="B11" s="146"/>
      <c r="C11" s="94" t="s">
        <v>13</v>
      </c>
      <c r="D11" s="150"/>
      <c r="E11" s="150"/>
      <c r="F11" s="150"/>
      <c r="G11" s="150"/>
      <c r="H11" s="150"/>
      <c r="I11" s="97">
        <v>2</v>
      </c>
      <c r="J11" s="97">
        <f>I11*D9</f>
        <v>2000</v>
      </c>
      <c r="K11" s="151"/>
      <c r="L11" s="132">
        <f>K11*I11</f>
        <v>0</v>
      </c>
      <c r="M11" s="125"/>
      <c r="N11" s="143"/>
      <c r="O11" s="88"/>
      <c r="P11" s="143"/>
      <c r="Q11" s="143"/>
      <c r="R11" s="143"/>
      <c r="S11" s="143"/>
      <c r="T11" s="143"/>
      <c r="U11" s="144"/>
      <c r="V11" s="143"/>
      <c r="W11" s="145"/>
    </row>
    <row r="12" spans="2:23" s="21" customFormat="1" ht="15" x14ac:dyDescent="0.3">
      <c r="B12" s="146"/>
      <c r="C12" s="94" t="s">
        <v>14</v>
      </c>
      <c r="D12" s="150"/>
      <c r="E12" s="150"/>
      <c r="F12" s="150"/>
      <c r="G12" s="150"/>
      <c r="H12" s="150"/>
      <c r="I12" s="97">
        <v>2</v>
      </c>
      <c r="J12" s="97">
        <f>I12*D9</f>
        <v>2000</v>
      </c>
      <c r="K12" s="151"/>
      <c r="L12" s="132">
        <f>I12*K12</f>
        <v>0</v>
      </c>
      <c r="M12" s="125"/>
      <c r="N12" s="143"/>
      <c r="O12" s="88"/>
      <c r="P12" s="143"/>
      <c r="Q12" s="143"/>
      <c r="R12" s="143"/>
      <c r="S12" s="143"/>
      <c r="T12" s="143"/>
      <c r="U12" s="144"/>
      <c r="V12" s="143"/>
      <c r="W12" s="145"/>
    </row>
    <row r="13" spans="2:23" s="21" customFormat="1" ht="15" x14ac:dyDescent="0.3">
      <c r="B13" s="146"/>
      <c r="C13" s="94" t="s">
        <v>15</v>
      </c>
      <c r="D13" s="150"/>
      <c r="E13" s="150"/>
      <c r="F13" s="150"/>
      <c r="G13" s="150"/>
      <c r="H13" s="150"/>
      <c r="I13" s="97">
        <v>2</v>
      </c>
      <c r="J13" s="97">
        <f>I13*D9</f>
        <v>2000</v>
      </c>
      <c r="K13" s="151"/>
      <c r="L13" s="132">
        <f>I13*K13</f>
        <v>0</v>
      </c>
      <c r="M13" s="125"/>
      <c r="N13" s="143"/>
      <c r="O13" s="88"/>
      <c r="P13" s="143"/>
      <c r="Q13" s="143"/>
      <c r="R13" s="143"/>
      <c r="S13" s="143"/>
      <c r="T13" s="143"/>
      <c r="U13" s="144"/>
      <c r="V13" s="143"/>
      <c r="W13" s="145"/>
    </row>
    <row r="14" spans="2:23" s="21" customFormat="1" ht="15" x14ac:dyDescent="0.3">
      <c r="B14" s="152"/>
      <c r="C14" s="196" t="s">
        <v>16</v>
      </c>
      <c r="D14" s="95" t="s">
        <v>17</v>
      </c>
      <c r="E14" s="95"/>
      <c r="F14" s="147" t="s">
        <v>18</v>
      </c>
      <c r="G14" s="147"/>
      <c r="H14" s="147" t="s">
        <v>19</v>
      </c>
      <c r="I14" s="95"/>
      <c r="J14" s="97"/>
      <c r="K14" s="153"/>
      <c r="L14" s="132"/>
      <c r="M14" s="50"/>
      <c r="N14" s="154"/>
      <c r="O14" s="93"/>
      <c r="P14" s="155"/>
      <c r="Q14" s="155"/>
      <c r="R14" s="155"/>
      <c r="S14" s="155"/>
      <c r="T14" s="155"/>
      <c r="U14" s="144"/>
      <c r="V14" s="144"/>
      <c r="W14" s="145"/>
    </row>
    <row r="15" spans="2:23" s="21" customFormat="1" ht="15" x14ac:dyDescent="0.3">
      <c r="B15" s="152"/>
      <c r="C15" s="94" t="s">
        <v>13</v>
      </c>
      <c r="D15" s="150"/>
      <c r="E15" s="150"/>
      <c r="F15" s="150"/>
      <c r="G15" s="150"/>
      <c r="H15" s="150"/>
      <c r="I15" s="95">
        <v>3</v>
      </c>
      <c r="J15" s="97">
        <f>I15*D9</f>
        <v>3000</v>
      </c>
      <c r="K15" s="151"/>
      <c r="L15" s="132">
        <f>I15*K15</f>
        <v>0</v>
      </c>
      <c r="M15" s="126"/>
      <c r="N15" s="154"/>
      <c r="O15" s="89"/>
      <c r="P15" s="143"/>
      <c r="Q15" s="143"/>
      <c r="R15" s="143"/>
      <c r="S15" s="143"/>
      <c r="T15" s="143"/>
      <c r="U15" s="144"/>
      <c r="V15" s="144"/>
      <c r="W15" s="145"/>
    </row>
    <row r="16" spans="2:23" s="21" customFormat="1" ht="15" x14ac:dyDescent="0.3">
      <c r="B16" s="152"/>
      <c r="C16" s="94" t="s">
        <v>14</v>
      </c>
      <c r="D16" s="150"/>
      <c r="E16" s="150"/>
      <c r="F16" s="150"/>
      <c r="G16" s="150"/>
      <c r="H16" s="150"/>
      <c r="I16" s="95">
        <v>3</v>
      </c>
      <c r="J16" s="97">
        <f>I16*D9</f>
        <v>3000</v>
      </c>
      <c r="K16" s="151"/>
      <c r="L16" s="132">
        <f>I16*K16</f>
        <v>0</v>
      </c>
      <c r="M16" s="126"/>
      <c r="N16" s="154"/>
      <c r="O16" s="90"/>
      <c r="P16" s="143"/>
      <c r="Q16" s="143"/>
      <c r="R16" s="143"/>
      <c r="S16" s="143"/>
      <c r="T16" s="143"/>
      <c r="U16" s="144"/>
      <c r="V16" s="144"/>
      <c r="W16" s="145"/>
    </row>
    <row r="17" spans="2:22" s="21" customFormat="1" ht="15" x14ac:dyDescent="0.3">
      <c r="B17" s="152"/>
      <c r="C17" s="196" t="s">
        <v>20</v>
      </c>
      <c r="D17" s="95" t="s">
        <v>21</v>
      </c>
      <c r="E17" s="156"/>
      <c r="F17" s="156" t="s">
        <v>22</v>
      </c>
      <c r="G17" s="156"/>
      <c r="H17" s="147" t="s">
        <v>23</v>
      </c>
      <c r="I17" s="95"/>
      <c r="J17" s="97"/>
      <c r="K17" s="153"/>
      <c r="L17" s="132"/>
      <c r="M17" s="50"/>
      <c r="N17" s="154"/>
      <c r="O17" s="90"/>
      <c r="P17" s="143"/>
      <c r="Q17" s="143"/>
      <c r="R17" s="143"/>
      <c r="S17" s="143"/>
      <c r="T17" s="143"/>
      <c r="U17" s="144"/>
      <c r="V17" s="144"/>
    </row>
    <row r="18" spans="2:22" s="21" customFormat="1" ht="15" x14ac:dyDescent="0.3">
      <c r="B18" s="152"/>
      <c r="C18" s="94" t="s">
        <v>13</v>
      </c>
      <c r="D18" s="150"/>
      <c r="E18" s="150"/>
      <c r="F18" s="150"/>
      <c r="G18" s="150"/>
      <c r="H18" s="150"/>
      <c r="I18" s="95">
        <v>1</v>
      </c>
      <c r="J18" s="97">
        <f>I18*D9</f>
        <v>1000</v>
      </c>
      <c r="K18" s="151"/>
      <c r="L18" s="132">
        <f>I18*K18</f>
        <v>0</v>
      </c>
      <c r="M18" s="126"/>
      <c r="N18" s="154"/>
      <c r="O18" s="90"/>
      <c r="P18" s="143"/>
      <c r="Q18" s="143"/>
      <c r="R18" s="143"/>
      <c r="S18" s="143"/>
      <c r="T18" s="143"/>
      <c r="U18" s="144"/>
      <c r="V18" s="144"/>
    </row>
    <row r="19" spans="2:22" s="21" customFormat="1" ht="15" x14ac:dyDescent="0.3">
      <c r="B19" s="152"/>
      <c r="C19" s="94" t="s">
        <v>14</v>
      </c>
      <c r="D19" s="150"/>
      <c r="E19" s="150"/>
      <c r="F19" s="150"/>
      <c r="G19" s="150"/>
      <c r="H19" s="150"/>
      <c r="I19" s="95">
        <v>1</v>
      </c>
      <c r="J19" s="97">
        <f>I19*D9</f>
        <v>1000</v>
      </c>
      <c r="K19" s="151"/>
      <c r="L19" s="132">
        <f>I19*K19</f>
        <v>0</v>
      </c>
      <c r="M19" s="126"/>
      <c r="N19" s="154"/>
      <c r="O19" s="90"/>
      <c r="P19" s="143"/>
      <c r="Q19" s="143"/>
      <c r="R19" s="143"/>
      <c r="S19" s="143"/>
      <c r="T19" s="143"/>
      <c r="U19" s="144"/>
      <c r="V19" s="144"/>
    </row>
    <row r="20" spans="2:22" s="21" customFormat="1" ht="15" x14ac:dyDescent="0.3">
      <c r="B20" s="152"/>
      <c r="C20" s="196" t="s">
        <v>24</v>
      </c>
      <c r="D20" s="95" t="s">
        <v>25</v>
      </c>
      <c r="E20" s="156"/>
      <c r="F20" s="156" t="s">
        <v>26</v>
      </c>
      <c r="G20" s="156"/>
      <c r="H20" s="147" t="s">
        <v>27</v>
      </c>
      <c r="I20" s="95"/>
      <c r="J20" s="97"/>
      <c r="K20" s="153"/>
      <c r="L20" s="132"/>
      <c r="M20" s="50"/>
      <c r="N20" s="154"/>
      <c r="O20" s="90"/>
      <c r="P20" s="143"/>
      <c r="Q20" s="143"/>
      <c r="R20" s="143"/>
      <c r="S20" s="143"/>
      <c r="T20" s="143"/>
      <c r="U20" s="144"/>
      <c r="V20" s="144"/>
    </row>
    <row r="21" spans="2:22" s="21" customFormat="1" ht="15" x14ac:dyDescent="0.3">
      <c r="B21" s="152"/>
      <c r="C21" s="94" t="s">
        <v>13</v>
      </c>
      <c r="D21" s="150"/>
      <c r="E21" s="150"/>
      <c r="F21" s="150"/>
      <c r="G21" s="150"/>
      <c r="H21" s="150"/>
      <c r="I21" s="95">
        <v>3</v>
      </c>
      <c r="J21" s="97">
        <f>I21*D9</f>
        <v>3000</v>
      </c>
      <c r="K21" s="151"/>
      <c r="L21" s="132">
        <f>I21*K21</f>
        <v>0</v>
      </c>
      <c r="M21" s="126"/>
      <c r="N21" s="154"/>
      <c r="O21" s="90"/>
      <c r="P21" s="143"/>
      <c r="Q21" s="143"/>
      <c r="R21" s="143"/>
      <c r="S21" s="143"/>
      <c r="T21" s="143"/>
      <c r="U21" s="144"/>
      <c r="V21" s="144"/>
    </row>
    <row r="22" spans="2:22" s="21" customFormat="1" ht="15" x14ac:dyDescent="0.3">
      <c r="B22" s="152"/>
      <c r="C22" s="94" t="s">
        <v>14</v>
      </c>
      <c r="D22" s="150"/>
      <c r="E22" s="150"/>
      <c r="F22" s="150"/>
      <c r="G22" s="150"/>
      <c r="H22" s="150"/>
      <c r="I22" s="95">
        <v>3</v>
      </c>
      <c r="J22" s="97">
        <f>I22*D9</f>
        <v>3000</v>
      </c>
      <c r="K22" s="151"/>
      <c r="L22" s="132">
        <f>I22*K22</f>
        <v>0</v>
      </c>
      <c r="M22" s="126"/>
      <c r="N22" s="154"/>
      <c r="O22" s="90"/>
      <c r="P22" s="143"/>
      <c r="Q22" s="143"/>
      <c r="R22" s="143"/>
      <c r="S22" s="143"/>
      <c r="T22" s="143"/>
      <c r="U22" s="144"/>
      <c r="V22" s="144"/>
    </row>
    <row r="23" spans="2:22" s="21" customFormat="1" ht="13.8" x14ac:dyDescent="0.3">
      <c r="B23" s="157"/>
      <c r="C23" s="140" t="s">
        <v>28</v>
      </c>
      <c r="D23" s="141">
        <v>1000</v>
      </c>
      <c r="E23" s="141">
        <v>900</v>
      </c>
      <c r="F23" s="141">
        <v>750</v>
      </c>
      <c r="G23" s="141">
        <v>500</v>
      </c>
      <c r="H23" s="141">
        <v>0</v>
      </c>
      <c r="I23" s="141"/>
      <c r="J23" s="141"/>
      <c r="K23" s="141"/>
      <c r="L23" s="142"/>
      <c r="M23" s="51"/>
      <c r="N23" s="154"/>
      <c r="O23" s="92"/>
      <c r="P23" s="143"/>
      <c r="Q23" s="143"/>
      <c r="R23" s="143"/>
      <c r="S23" s="143"/>
      <c r="T23" s="143"/>
      <c r="U23" s="144"/>
      <c r="V23" s="143"/>
    </row>
    <row r="24" spans="2:22" s="21" customFormat="1" ht="55.2" x14ac:dyDescent="0.3">
      <c r="B24" s="152"/>
      <c r="C24" s="94" t="s">
        <v>29</v>
      </c>
      <c r="D24" s="156" t="s">
        <v>30</v>
      </c>
      <c r="E24" s="156" t="s">
        <v>31</v>
      </c>
      <c r="F24" s="156" t="s">
        <v>32</v>
      </c>
      <c r="G24" s="156" t="s">
        <v>33</v>
      </c>
      <c r="H24" s="156" t="s">
        <v>98</v>
      </c>
      <c r="I24" s="95">
        <v>2</v>
      </c>
      <c r="J24" s="95">
        <f>I24*1000</f>
        <v>2000</v>
      </c>
      <c r="K24" s="151"/>
      <c r="L24" s="158">
        <f>I24*K24</f>
        <v>0</v>
      </c>
      <c r="M24" s="126"/>
      <c r="N24" s="154"/>
      <c r="O24" s="92"/>
      <c r="P24" s="143"/>
      <c r="Q24" s="143"/>
      <c r="R24" s="143"/>
      <c r="S24" s="143"/>
      <c r="T24" s="143"/>
      <c r="U24" s="144"/>
      <c r="V24" s="143"/>
    </row>
    <row r="25" spans="2:22" s="21" customFormat="1" ht="55.2" x14ac:dyDescent="0.3">
      <c r="B25" s="152"/>
      <c r="C25" s="94" t="s">
        <v>34</v>
      </c>
      <c r="D25" s="156" t="s">
        <v>30</v>
      </c>
      <c r="E25" s="156" t="s">
        <v>31</v>
      </c>
      <c r="F25" s="156" t="s">
        <v>32</v>
      </c>
      <c r="G25" s="156" t="s">
        <v>33</v>
      </c>
      <c r="H25" s="156" t="s">
        <v>98</v>
      </c>
      <c r="I25" s="95">
        <v>2</v>
      </c>
      <c r="J25" s="95">
        <f>I25*1000</f>
        <v>2000</v>
      </c>
      <c r="K25" s="151"/>
      <c r="L25" s="158">
        <f>I25*K25</f>
        <v>0</v>
      </c>
      <c r="M25" s="126"/>
      <c r="N25" s="154"/>
      <c r="O25" s="92"/>
      <c r="P25" s="143"/>
      <c r="Q25" s="143"/>
      <c r="R25" s="143"/>
      <c r="S25" s="143"/>
      <c r="T25" s="143"/>
      <c r="U25" s="144"/>
      <c r="V25" s="143"/>
    </row>
    <row r="26" spans="2:22" s="21" customFormat="1" ht="55.2" x14ac:dyDescent="0.3">
      <c r="B26" s="194"/>
      <c r="C26" s="94" t="s">
        <v>96</v>
      </c>
      <c r="D26" s="156" t="s">
        <v>30</v>
      </c>
      <c r="E26" s="156" t="s">
        <v>31</v>
      </c>
      <c r="F26" s="156" t="s">
        <v>32</v>
      </c>
      <c r="G26" s="156" t="s">
        <v>33</v>
      </c>
      <c r="H26" s="156" t="s">
        <v>98</v>
      </c>
      <c r="I26" s="95">
        <v>2</v>
      </c>
      <c r="J26" s="95">
        <f>I26*1000</f>
        <v>2000</v>
      </c>
      <c r="K26" s="151"/>
      <c r="L26" s="158">
        <f>I26*K26</f>
        <v>0</v>
      </c>
      <c r="M26" s="195"/>
      <c r="N26" s="154"/>
      <c r="O26" s="92"/>
      <c r="P26" s="143"/>
      <c r="Q26" s="143"/>
      <c r="R26" s="143"/>
      <c r="S26" s="143"/>
      <c r="T26" s="143"/>
      <c r="U26" s="144"/>
      <c r="V26" s="143"/>
    </row>
    <row r="27" spans="2:22" s="21" customFormat="1" ht="55.8" thickBot="1" x14ac:dyDescent="0.35">
      <c r="B27" s="159"/>
      <c r="C27" s="98" t="s">
        <v>97</v>
      </c>
      <c r="D27" s="160" t="s">
        <v>30</v>
      </c>
      <c r="E27" s="160" t="s">
        <v>31</v>
      </c>
      <c r="F27" s="161" t="s">
        <v>32</v>
      </c>
      <c r="G27" s="160" t="s">
        <v>33</v>
      </c>
      <c r="H27" s="161" t="s">
        <v>98</v>
      </c>
      <c r="I27" s="162">
        <v>2</v>
      </c>
      <c r="J27" s="162">
        <f>I27*1000</f>
        <v>2000</v>
      </c>
      <c r="K27" s="163"/>
      <c r="L27" s="164">
        <f>I27*K27</f>
        <v>0</v>
      </c>
      <c r="M27" s="127"/>
      <c r="N27" s="154"/>
      <c r="O27" s="92"/>
      <c r="P27" s="143"/>
      <c r="Q27" s="143"/>
      <c r="R27" s="143"/>
      <c r="S27" s="143"/>
      <c r="T27" s="143"/>
      <c r="U27" s="144"/>
      <c r="V27" s="143"/>
    </row>
    <row r="28" spans="2:22" thickBot="1" x14ac:dyDescent="0.3">
      <c r="M28" s="48"/>
      <c r="N28" s="19"/>
      <c r="O28" s="91"/>
      <c r="P28" s="19"/>
      <c r="Q28" s="19"/>
      <c r="R28" s="19"/>
      <c r="S28" s="19"/>
      <c r="T28" s="19"/>
      <c r="U28" s="19"/>
      <c r="V28" s="19"/>
    </row>
    <row r="29" spans="2:22" x14ac:dyDescent="0.3">
      <c r="C29" s="165" t="s">
        <v>35</v>
      </c>
      <c r="D29" s="134">
        <f>SUM(J11:J27)</f>
        <v>28000</v>
      </c>
      <c r="F29"/>
      <c r="M29" s="48"/>
      <c r="N29" s="19"/>
      <c r="O29" s="91"/>
      <c r="P29" s="19"/>
      <c r="Q29" s="19"/>
      <c r="R29" s="19"/>
      <c r="S29" s="19"/>
      <c r="T29" s="19"/>
      <c r="U29" s="19"/>
      <c r="V29" s="19"/>
    </row>
    <row r="30" spans="2:22" ht="15" thickBot="1" x14ac:dyDescent="0.35">
      <c r="C30" s="166" t="s">
        <v>36</v>
      </c>
      <c r="D30" s="24">
        <f>SUM(L11:L27)</f>
        <v>0</v>
      </c>
      <c r="F30"/>
      <c r="M30" s="48"/>
      <c r="N30" s="19"/>
      <c r="O30" s="92"/>
      <c r="P30" s="19"/>
      <c r="Q30" s="19"/>
      <c r="R30" s="19"/>
      <c r="S30" s="19"/>
      <c r="T30" s="19"/>
      <c r="U30" s="19"/>
      <c r="V30" s="19"/>
    </row>
    <row r="31" spans="2:22" thickBot="1" x14ac:dyDescent="0.3">
      <c r="C31" s="116" t="s">
        <v>37</v>
      </c>
      <c r="D31" s="24"/>
      <c r="E31" s="133"/>
      <c r="M31" s="48"/>
      <c r="N31" s="19"/>
      <c r="O31" s="92"/>
      <c r="P31" s="19"/>
      <c r="Q31" s="19"/>
      <c r="R31" s="19"/>
      <c r="S31" s="19"/>
      <c r="T31" s="19"/>
      <c r="U31" s="19"/>
      <c r="V31" s="19"/>
    </row>
    <row r="32" spans="2:22" x14ac:dyDescent="0.3">
      <c r="E32"/>
      <c r="F32" s="19"/>
      <c r="G32" s="19"/>
      <c r="H32" s="19"/>
      <c r="I32" s="19"/>
      <c r="J32" s="19"/>
      <c r="K32" s="19"/>
      <c r="L32" s="19"/>
      <c r="M32" s="48"/>
      <c r="N32" s="19"/>
      <c r="O32" s="19"/>
      <c r="P32" s="19"/>
      <c r="Q32" s="19"/>
      <c r="R32" s="19"/>
      <c r="S32" s="19"/>
      <c r="T32" s="19"/>
      <c r="U32" s="19"/>
      <c r="V32" s="19"/>
    </row>
    <row r="33" spans="2:22" ht="13.8" x14ac:dyDescent="0.25">
      <c r="B33" s="135"/>
      <c r="C33" s="25" t="s">
        <v>106</v>
      </c>
      <c r="D33" s="209">
        <f>D29+Safety!D27+'Small Business'!D15</f>
        <v>50000</v>
      </c>
      <c r="E33" s="19"/>
      <c r="F33" s="19"/>
      <c r="G33" s="19"/>
      <c r="H33" s="19"/>
      <c r="I33" s="19"/>
      <c r="J33" s="19"/>
      <c r="K33" s="19"/>
      <c r="L33" s="19"/>
      <c r="M33" s="48"/>
      <c r="N33" s="19"/>
      <c r="O33" s="19"/>
      <c r="P33" s="19"/>
      <c r="Q33" s="19"/>
      <c r="R33" s="19"/>
      <c r="S33" s="19"/>
      <c r="T33" s="19"/>
      <c r="U33" s="19"/>
      <c r="V33" s="19"/>
    </row>
    <row r="34" spans="2:22" ht="13.8" x14ac:dyDescent="0.25">
      <c r="B34" s="135"/>
      <c r="E34" s="19"/>
      <c r="F34" s="19"/>
      <c r="G34" s="19"/>
      <c r="H34" s="19"/>
      <c r="I34" s="19"/>
      <c r="J34" s="19"/>
      <c r="K34" s="19"/>
      <c r="L34" s="19"/>
      <c r="M34" s="48"/>
      <c r="N34" s="19"/>
      <c r="O34" s="19"/>
      <c r="P34" s="19"/>
      <c r="Q34" s="19"/>
      <c r="R34" s="19"/>
      <c r="S34" s="19"/>
      <c r="T34" s="19"/>
      <c r="U34" s="19"/>
      <c r="V34" s="19"/>
    </row>
    <row r="35" spans="2:22" ht="13.8" x14ac:dyDescent="0.25">
      <c r="B35" s="135"/>
      <c r="E35" s="19"/>
      <c r="F35" s="19"/>
      <c r="G35" s="19"/>
      <c r="H35" s="19"/>
      <c r="I35" s="19"/>
      <c r="J35" s="19"/>
      <c r="K35" s="19"/>
      <c r="L35" s="19"/>
      <c r="M35" s="48"/>
      <c r="N35" s="19"/>
      <c r="O35" s="19"/>
      <c r="P35" s="19"/>
      <c r="Q35" s="19"/>
      <c r="R35" s="19"/>
      <c r="S35" s="19"/>
      <c r="T35" s="19"/>
      <c r="U35" s="19"/>
      <c r="V35" s="19"/>
    </row>
    <row r="36" spans="2:22" ht="13.8" x14ac:dyDescent="0.25">
      <c r="B36" s="26"/>
      <c r="E36" s="19"/>
      <c r="F36" s="19"/>
      <c r="G36" s="19"/>
      <c r="H36" s="19"/>
      <c r="I36" s="19"/>
      <c r="J36" s="19"/>
      <c r="K36" s="19"/>
      <c r="L36" s="19"/>
      <c r="M36" s="48"/>
      <c r="N36" s="19"/>
      <c r="O36" s="19"/>
      <c r="P36" s="19"/>
      <c r="Q36" s="19"/>
      <c r="R36" s="19"/>
      <c r="S36" s="19"/>
      <c r="T36" s="19"/>
      <c r="U36" s="19"/>
      <c r="V36" s="19"/>
    </row>
    <row r="37" spans="2:22" ht="13.8" x14ac:dyDescent="0.25">
      <c r="E37" s="19"/>
      <c r="F37" s="19"/>
      <c r="G37" s="19"/>
      <c r="H37" s="19"/>
      <c r="I37" s="19"/>
      <c r="J37" s="19"/>
      <c r="K37" s="19"/>
      <c r="L37" s="19"/>
      <c r="M37" s="48"/>
      <c r="N37" s="19"/>
      <c r="O37" s="19"/>
      <c r="P37" s="19"/>
      <c r="Q37" s="19"/>
      <c r="R37" s="19"/>
      <c r="S37" s="19"/>
      <c r="T37" s="19"/>
      <c r="U37" s="19"/>
      <c r="V37" s="19"/>
    </row>
    <row r="38" spans="2:22" ht="13.8" x14ac:dyDescent="0.25">
      <c r="E38" s="19"/>
      <c r="F38" s="19"/>
      <c r="G38" s="19"/>
      <c r="H38" s="19"/>
      <c r="I38" s="19"/>
      <c r="J38" s="19"/>
      <c r="K38" s="19"/>
      <c r="L38" s="19"/>
      <c r="M38" s="48"/>
      <c r="N38" s="19"/>
      <c r="O38" s="19"/>
      <c r="P38" s="19"/>
      <c r="Q38" s="19"/>
      <c r="R38" s="19"/>
      <c r="S38" s="19"/>
      <c r="T38" s="19"/>
      <c r="U38" s="19"/>
      <c r="V38" s="19"/>
    </row>
    <row r="39" spans="2:22" ht="13.8" x14ac:dyDescent="0.25">
      <c r="E39" s="19"/>
      <c r="F39" s="19"/>
      <c r="G39" s="19"/>
      <c r="H39" s="19"/>
      <c r="I39" s="19"/>
      <c r="J39" s="19"/>
      <c r="K39" s="19"/>
      <c r="L39" s="19"/>
      <c r="M39" s="48"/>
      <c r="N39" s="19"/>
      <c r="O39" s="19"/>
      <c r="P39" s="19"/>
      <c r="Q39" s="19"/>
      <c r="R39" s="19"/>
      <c r="S39" s="19"/>
      <c r="T39" s="19"/>
      <c r="U39" s="19"/>
      <c r="V39" s="19"/>
    </row>
    <row r="40" spans="2:22" ht="13.8" x14ac:dyDescent="0.25">
      <c r="E40" s="19"/>
      <c r="F40" s="19"/>
      <c r="G40" s="19"/>
      <c r="H40" s="19"/>
      <c r="I40" s="19"/>
      <c r="J40" s="19"/>
      <c r="K40" s="19"/>
      <c r="L40" s="19"/>
      <c r="M40" s="48"/>
      <c r="N40" s="19"/>
      <c r="O40" s="19"/>
      <c r="P40" s="19"/>
      <c r="Q40" s="19"/>
      <c r="R40" s="19"/>
      <c r="S40" s="19"/>
      <c r="T40" s="19"/>
      <c r="U40" s="19"/>
      <c r="V40" s="19"/>
    </row>
    <row r="41" spans="2:22" ht="13.8" x14ac:dyDescent="0.25">
      <c r="E41" s="19"/>
      <c r="F41" s="19"/>
      <c r="G41" s="19"/>
      <c r="H41" s="19"/>
      <c r="I41" s="19"/>
      <c r="J41" s="19"/>
      <c r="K41" s="19"/>
      <c r="L41" s="19"/>
      <c r="M41" s="48"/>
      <c r="N41" s="19"/>
      <c r="O41" s="19"/>
      <c r="P41" s="19"/>
      <c r="Q41" s="19"/>
      <c r="R41" s="19"/>
      <c r="S41" s="19"/>
      <c r="T41" s="19"/>
      <c r="U41" s="19"/>
      <c r="V41" s="19"/>
    </row>
    <row r="42" spans="2:22" ht="13.8" x14ac:dyDescent="0.25">
      <c r="E42" s="19"/>
      <c r="F42" s="19"/>
      <c r="G42" s="19"/>
      <c r="H42" s="19"/>
      <c r="I42" s="19"/>
      <c r="J42" s="19"/>
      <c r="K42" s="19"/>
      <c r="L42" s="19"/>
      <c r="M42" s="48"/>
      <c r="N42" s="19"/>
      <c r="O42" s="19"/>
      <c r="P42" s="19"/>
      <c r="Q42" s="19"/>
      <c r="R42" s="19"/>
      <c r="S42" s="19"/>
      <c r="T42" s="19"/>
      <c r="U42" s="19"/>
      <c r="V42" s="19"/>
    </row>
    <row r="43" spans="2:22" ht="13.8" x14ac:dyDescent="0.25">
      <c r="E43" s="19"/>
      <c r="F43" s="19"/>
      <c r="G43" s="19"/>
      <c r="H43" s="19"/>
      <c r="I43" s="19"/>
      <c r="J43" s="19"/>
      <c r="K43" s="19"/>
      <c r="L43" s="19"/>
      <c r="M43" s="48"/>
      <c r="N43" s="19"/>
      <c r="O43" s="19"/>
      <c r="P43" s="19"/>
      <c r="Q43" s="19"/>
      <c r="R43" s="19"/>
      <c r="S43" s="19"/>
      <c r="T43" s="19"/>
      <c r="U43" s="19"/>
      <c r="V43" s="19"/>
    </row>
    <row r="44" spans="2:22" ht="13.8" x14ac:dyDescent="0.25">
      <c r="E44" s="19"/>
      <c r="F44" s="19"/>
      <c r="G44" s="19"/>
      <c r="H44" s="19"/>
      <c r="I44" s="19"/>
      <c r="J44" s="19"/>
      <c r="K44" s="19"/>
      <c r="L44" s="19"/>
      <c r="M44" s="48"/>
      <c r="N44" s="19"/>
      <c r="O44" s="19"/>
      <c r="P44" s="19"/>
      <c r="Q44" s="19"/>
      <c r="R44" s="19"/>
      <c r="S44" s="19"/>
      <c r="T44" s="19"/>
      <c r="U44" s="19"/>
      <c r="V44" s="19"/>
    </row>
    <row r="45" spans="2:22" ht="13.8" x14ac:dyDescent="0.25">
      <c r="E45" s="19"/>
      <c r="F45" s="19"/>
      <c r="G45" s="19"/>
      <c r="H45" s="19"/>
      <c r="I45" s="19"/>
      <c r="J45" s="19"/>
      <c r="K45" s="19"/>
      <c r="L45" s="19"/>
      <c r="M45" s="48"/>
      <c r="N45" s="19"/>
      <c r="O45" s="19"/>
      <c r="P45" s="19"/>
      <c r="Q45" s="19"/>
      <c r="R45" s="19"/>
      <c r="S45" s="19"/>
      <c r="T45" s="19"/>
      <c r="U45" s="19"/>
      <c r="V45" s="19"/>
    </row>
    <row r="46" spans="2:22" ht="13.8" x14ac:dyDescent="0.25">
      <c r="E46" s="19"/>
      <c r="F46" s="19"/>
      <c r="G46" s="19"/>
      <c r="H46" s="19"/>
      <c r="I46" s="19"/>
      <c r="J46" s="19"/>
      <c r="K46" s="19"/>
      <c r="L46" s="19"/>
      <c r="M46" s="48"/>
      <c r="N46" s="19"/>
      <c r="O46" s="19"/>
      <c r="P46" s="19"/>
      <c r="Q46" s="19"/>
      <c r="R46" s="19"/>
      <c r="S46" s="19"/>
      <c r="T46" s="19"/>
      <c r="U46" s="19"/>
      <c r="V46" s="19"/>
    </row>
    <row r="47" spans="2:22" ht="13.8" x14ac:dyDescent="0.25">
      <c r="E47" s="19"/>
      <c r="F47" s="19"/>
      <c r="G47" s="19"/>
      <c r="H47" s="19"/>
      <c r="I47" s="19"/>
      <c r="J47" s="19"/>
      <c r="K47" s="19"/>
      <c r="L47" s="19"/>
      <c r="M47" s="48"/>
      <c r="N47" s="19"/>
      <c r="O47" s="19"/>
      <c r="P47" s="19"/>
      <c r="Q47" s="19"/>
      <c r="R47" s="19"/>
      <c r="S47" s="19"/>
      <c r="T47" s="19"/>
      <c r="U47" s="19"/>
      <c r="V47" s="19"/>
    </row>
    <row r="48" spans="2:22" ht="13.8" x14ac:dyDescent="0.25">
      <c r="E48" s="19"/>
      <c r="F48" s="19"/>
      <c r="G48" s="19"/>
      <c r="H48" s="19"/>
      <c r="I48" s="19"/>
      <c r="J48" s="19"/>
      <c r="K48" s="19"/>
      <c r="L48" s="19"/>
      <c r="M48" s="48"/>
      <c r="N48" s="19"/>
      <c r="O48" s="19"/>
      <c r="P48" s="19"/>
      <c r="Q48" s="19"/>
      <c r="R48" s="19"/>
      <c r="S48" s="19"/>
      <c r="T48" s="19"/>
      <c r="U48" s="19"/>
      <c r="V48" s="19"/>
    </row>
    <row r="49" spans="5:22" ht="13.8" x14ac:dyDescent="0.25">
      <c r="E49" s="19"/>
      <c r="F49" s="19"/>
      <c r="G49" s="19"/>
      <c r="H49" s="19"/>
      <c r="I49" s="19"/>
      <c r="J49" s="19"/>
      <c r="K49" s="19"/>
      <c r="L49" s="19"/>
      <c r="M49" s="48"/>
      <c r="N49" s="19"/>
      <c r="O49" s="19"/>
      <c r="P49" s="19"/>
      <c r="Q49" s="19"/>
      <c r="R49" s="19"/>
      <c r="S49" s="19"/>
      <c r="T49" s="19"/>
      <c r="U49" s="19"/>
      <c r="V49" s="19"/>
    </row>
    <row r="50" spans="5:22" ht="13.8" x14ac:dyDescent="0.25">
      <c r="E50" s="19"/>
      <c r="F50" s="19"/>
      <c r="G50" s="19"/>
      <c r="H50" s="19"/>
      <c r="I50" s="19"/>
      <c r="J50" s="19"/>
      <c r="K50" s="19"/>
      <c r="L50" s="19"/>
      <c r="M50" s="48"/>
      <c r="N50" s="19"/>
      <c r="O50" s="19"/>
      <c r="P50" s="19"/>
      <c r="Q50" s="19"/>
      <c r="R50" s="19"/>
      <c r="S50" s="19"/>
      <c r="T50" s="19"/>
      <c r="U50" s="19"/>
      <c r="V50" s="19"/>
    </row>
    <row r="51" spans="5:22" ht="13.8" x14ac:dyDescent="0.25">
      <c r="E51" s="19"/>
      <c r="F51" s="19"/>
      <c r="G51" s="19"/>
      <c r="H51" s="19"/>
      <c r="I51" s="19"/>
      <c r="J51" s="19"/>
      <c r="K51" s="19"/>
      <c r="L51" s="19"/>
      <c r="M51" s="48"/>
      <c r="N51" s="19"/>
      <c r="O51" s="19"/>
      <c r="P51" s="19"/>
      <c r="Q51" s="19"/>
      <c r="R51" s="19"/>
      <c r="S51" s="19"/>
      <c r="T51" s="19"/>
      <c r="U51" s="19"/>
      <c r="V51" s="19"/>
    </row>
    <row r="52" spans="5:22" ht="13.8" x14ac:dyDescent="0.25">
      <c r="E52" s="19"/>
      <c r="F52" s="19"/>
      <c r="G52" s="19"/>
      <c r="H52" s="19"/>
      <c r="I52" s="19"/>
      <c r="J52" s="19"/>
      <c r="K52" s="19"/>
      <c r="L52" s="19"/>
      <c r="M52" s="48"/>
      <c r="N52" s="19"/>
      <c r="O52" s="19"/>
      <c r="P52" s="19"/>
      <c r="Q52" s="19"/>
      <c r="R52" s="19"/>
      <c r="S52" s="19"/>
      <c r="T52" s="19"/>
      <c r="U52" s="19"/>
      <c r="V52" s="19"/>
    </row>
    <row r="53" spans="5:22" ht="13.8" x14ac:dyDescent="0.25">
      <c r="E53" s="19"/>
      <c r="F53" s="19"/>
      <c r="G53" s="19"/>
      <c r="H53" s="19"/>
      <c r="I53" s="19"/>
      <c r="J53" s="19"/>
      <c r="K53" s="19"/>
      <c r="L53" s="19"/>
      <c r="M53" s="48"/>
      <c r="N53" s="19"/>
      <c r="O53" s="19"/>
      <c r="P53" s="19"/>
      <c r="Q53" s="19"/>
      <c r="R53" s="19"/>
      <c r="S53" s="19"/>
      <c r="T53" s="19"/>
      <c r="U53" s="19"/>
      <c r="V53" s="19"/>
    </row>
    <row r="54" spans="5:22" ht="13.8" x14ac:dyDescent="0.25">
      <c r="E54" s="19"/>
      <c r="F54" s="19"/>
      <c r="G54" s="19"/>
      <c r="H54" s="19"/>
      <c r="I54" s="19"/>
      <c r="J54" s="19"/>
      <c r="K54" s="19"/>
      <c r="L54" s="19"/>
      <c r="M54" s="48"/>
      <c r="N54" s="19"/>
      <c r="O54" s="19"/>
      <c r="P54" s="19"/>
      <c r="Q54" s="19"/>
      <c r="R54" s="19"/>
      <c r="S54" s="19"/>
      <c r="T54" s="19"/>
      <c r="U54" s="19"/>
      <c r="V54" s="19"/>
    </row>
    <row r="55" spans="5:22" ht="13.8" x14ac:dyDescent="0.25">
      <c r="E55" s="19"/>
      <c r="F55" s="19"/>
      <c r="G55" s="19"/>
      <c r="H55" s="19"/>
      <c r="I55" s="19"/>
      <c r="J55" s="19"/>
      <c r="K55" s="19"/>
      <c r="L55" s="19"/>
      <c r="M55" s="48"/>
      <c r="N55" s="19"/>
      <c r="O55" s="19"/>
      <c r="P55" s="19"/>
      <c r="Q55" s="19"/>
      <c r="R55" s="19"/>
      <c r="S55" s="19"/>
      <c r="T55" s="19"/>
      <c r="U55" s="19"/>
      <c r="V55" s="19"/>
    </row>
    <row r="56" spans="5:22" ht="13.8" x14ac:dyDescent="0.25">
      <c r="E56" s="19"/>
      <c r="F56" s="19"/>
      <c r="G56" s="19"/>
      <c r="H56" s="19"/>
      <c r="I56" s="19"/>
      <c r="J56" s="19"/>
      <c r="K56" s="19"/>
      <c r="L56" s="19"/>
      <c r="M56" s="48"/>
      <c r="N56" s="19"/>
      <c r="O56" s="19"/>
      <c r="P56" s="19"/>
      <c r="Q56" s="19"/>
      <c r="R56" s="19"/>
      <c r="S56" s="19"/>
      <c r="T56" s="19"/>
      <c r="U56" s="19"/>
      <c r="V56" s="19"/>
    </row>
    <row r="57" spans="5:22" ht="13.8" x14ac:dyDescent="0.25">
      <c r="E57" s="19"/>
      <c r="F57" s="19"/>
      <c r="G57" s="19"/>
      <c r="H57" s="19"/>
      <c r="I57" s="19"/>
      <c r="J57" s="19"/>
      <c r="K57" s="19"/>
      <c r="L57" s="19"/>
      <c r="M57" s="48"/>
      <c r="N57" s="19"/>
      <c r="O57" s="19"/>
      <c r="P57" s="19"/>
      <c r="Q57" s="19"/>
      <c r="R57" s="19"/>
      <c r="S57" s="19"/>
      <c r="T57" s="19"/>
      <c r="U57" s="19"/>
      <c r="V57" s="19"/>
    </row>
    <row r="58" spans="5:22" ht="13.8" x14ac:dyDescent="0.25">
      <c r="E58" s="19"/>
      <c r="F58" s="19"/>
      <c r="G58" s="19"/>
      <c r="H58" s="19"/>
      <c r="I58" s="19"/>
      <c r="J58" s="19"/>
      <c r="K58" s="19"/>
      <c r="L58" s="19"/>
      <c r="M58" s="48"/>
      <c r="N58" s="19"/>
      <c r="O58" s="19"/>
      <c r="P58" s="19"/>
      <c r="Q58" s="19"/>
      <c r="R58" s="19"/>
      <c r="S58" s="19"/>
      <c r="T58" s="19"/>
      <c r="U58" s="19"/>
      <c r="V58" s="19"/>
    </row>
    <row r="59" spans="5:22" ht="13.8" x14ac:dyDescent="0.25">
      <c r="E59" s="19"/>
      <c r="F59" s="19"/>
      <c r="G59" s="19"/>
      <c r="H59" s="19"/>
      <c r="I59" s="19"/>
      <c r="J59" s="19"/>
      <c r="K59" s="19"/>
      <c r="L59" s="19"/>
      <c r="M59" s="48"/>
      <c r="N59" s="19"/>
      <c r="O59" s="19"/>
      <c r="P59" s="19"/>
      <c r="Q59" s="19"/>
      <c r="R59" s="19"/>
      <c r="S59" s="19"/>
      <c r="T59" s="19"/>
      <c r="U59" s="19"/>
      <c r="V59" s="19"/>
    </row>
    <row r="60" spans="5:22" ht="13.8" x14ac:dyDescent="0.25">
      <c r="E60" s="19"/>
      <c r="F60" s="19"/>
      <c r="G60" s="19"/>
      <c r="H60" s="19"/>
      <c r="I60" s="19"/>
      <c r="J60" s="19"/>
      <c r="K60" s="19"/>
      <c r="L60" s="19"/>
      <c r="M60" s="48"/>
      <c r="N60" s="19"/>
      <c r="O60" s="19"/>
      <c r="P60" s="19"/>
      <c r="Q60" s="19"/>
      <c r="R60" s="19"/>
      <c r="S60" s="19"/>
      <c r="T60" s="19"/>
      <c r="U60" s="19"/>
      <c r="V60" s="19"/>
    </row>
    <row r="61" spans="5:22" ht="13.8" x14ac:dyDescent="0.25">
      <c r="E61" s="19"/>
      <c r="F61" s="19"/>
      <c r="G61" s="19"/>
      <c r="H61" s="19"/>
      <c r="I61" s="19"/>
      <c r="J61" s="19"/>
      <c r="K61" s="19"/>
      <c r="L61" s="19"/>
      <c r="M61" s="48"/>
      <c r="N61" s="19"/>
      <c r="O61" s="19"/>
      <c r="P61" s="19"/>
      <c r="Q61" s="19"/>
      <c r="R61" s="19"/>
      <c r="S61" s="19"/>
      <c r="T61" s="19"/>
      <c r="U61" s="19"/>
      <c r="V61" s="19"/>
    </row>
    <row r="62" spans="5:22" ht="13.8" x14ac:dyDescent="0.25">
      <c r="E62" s="19"/>
      <c r="F62" s="19"/>
      <c r="G62" s="19"/>
      <c r="H62" s="19"/>
      <c r="I62" s="19"/>
      <c r="J62" s="19"/>
      <c r="K62" s="19"/>
      <c r="L62" s="19"/>
      <c r="M62" s="48"/>
      <c r="N62" s="19"/>
      <c r="O62" s="19"/>
      <c r="P62" s="19"/>
      <c r="Q62" s="19"/>
      <c r="R62" s="19"/>
      <c r="S62" s="19"/>
      <c r="T62" s="19"/>
      <c r="U62" s="19"/>
      <c r="V62" s="19"/>
    </row>
    <row r="63" spans="5:22" ht="13.8" x14ac:dyDescent="0.25">
      <c r="E63" s="19"/>
      <c r="F63" s="19"/>
      <c r="G63" s="19"/>
      <c r="H63" s="19"/>
      <c r="I63" s="19"/>
      <c r="J63" s="19"/>
      <c r="K63" s="19"/>
      <c r="L63" s="19"/>
      <c r="M63" s="48"/>
      <c r="N63" s="19"/>
      <c r="O63" s="19"/>
      <c r="P63" s="19"/>
      <c r="Q63" s="19"/>
      <c r="R63" s="19"/>
      <c r="S63" s="19"/>
      <c r="T63" s="19"/>
      <c r="U63" s="19"/>
      <c r="V63" s="19"/>
    </row>
    <row r="64" spans="5:22" ht="13.8" x14ac:dyDescent="0.25">
      <c r="E64" s="19"/>
      <c r="F64" s="19"/>
      <c r="G64" s="19"/>
      <c r="H64" s="19"/>
      <c r="I64" s="19"/>
      <c r="J64" s="19"/>
      <c r="K64" s="19"/>
      <c r="L64" s="19"/>
      <c r="M64" s="48"/>
      <c r="N64" s="19"/>
      <c r="O64" s="19"/>
      <c r="P64" s="19"/>
      <c r="Q64" s="19"/>
      <c r="R64" s="19"/>
      <c r="S64" s="19"/>
      <c r="T64" s="19"/>
      <c r="U64" s="19"/>
      <c r="V64" s="19"/>
    </row>
    <row r="65" spans="5:22" ht="13.8" x14ac:dyDescent="0.25">
      <c r="E65" s="19"/>
      <c r="F65" s="19"/>
      <c r="G65" s="19"/>
      <c r="H65" s="19"/>
      <c r="I65" s="19"/>
      <c r="J65" s="19"/>
      <c r="K65" s="19"/>
      <c r="L65" s="19"/>
      <c r="M65" s="48"/>
      <c r="N65" s="19"/>
      <c r="O65" s="19"/>
      <c r="P65" s="19"/>
      <c r="Q65" s="19"/>
      <c r="R65" s="19"/>
      <c r="S65" s="19"/>
      <c r="T65" s="19"/>
      <c r="U65" s="19"/>
      <c r="V65" s="19"/>
    </row>
    <row r="66" spans="5:22" ht="13.8" x14ac:dyDescent="0.25">
      <c r="E66" s="19"/>
      <c r="F66" s="19"/>
      <c r="G66" s="19"/>
      <c r="H66" s="19"/>
      <c r="I66" s="19"/>
      <c r="J66" s="19"/>
      <c r="K66" s="19"/>
      <c r="L66" s="19"/>
      <c r="M66" s="48"/>
      <c r="N66" s="19"/>
      <c r="O66" s="19"/>
      <c r="P66" s="19"/>
      <c r="Q66" s="19"/>
      <c r="R66" s="19"/>
      <c r="S66" s="19"/>
      <c r="T66" s="19"/>
      <c r="U66" s="19"/>
      <c r="V66" s="19"/>
    </row>
    <row r="67" spans="5:22" ht="13.8" x14ac:dyDescent="0.25">
      <c r="E67" s="19"/>
      <c r="F67" s="19"/>
      <c r="G67" s="19"/>
      <c r="H67" s="19"/>
      <c r="I67" s="19"/>
      <c r="J67" s="19"/>
      <c r="K67" s="19"/>
      <c r="L67" s="19"/>
      <c r="M67" s="48"/>
      <c r="N67" s="19"/>
      <c r="O67" s="19"/>
      <c r="P67" s="19"/>
      <c r="Q67" s="19"/>
      <c r="R67" s="19"/>
      <c r="S67" s="19"/>
      <c r="T67" s="19"/>
      <c r="U67" s="19"/>
      <c r="V67" s="19"/>
    </row>
    <row r="68" spans="5:22" ht="13.8" x14ac:dyDescent="0.25">
      <c r="E68" s="19"/>
      <c r="F68" s="19"/>
      <c r="G68" s="19"/>
      <c r="H68" s="19"/>
      <c r="I68" s="19"/>
      <c r="J68" s="19"/>
      <c r="K68" s="19"/>
      <c r="L68" s="19"/>
      <c r="M68" s="48"/>
      <c r="N68" s="19"/>
      <c r="O68" s="19"/>
      <c r="P68" s="19"/>
      <c r="Q68" s="19"/>
      <c r="R68" s="19"/>
      <c r="S68" s="19"/>
      <c r="T68" s="19"/>
      <c r="U68" s="19"/>
      <c r="V68" s="19"/>
    </row>
    <row r="69" spans="5:22" ht="13.8" x14ac:dyDescent="0.25">
      <c r="E69" s="19"/>
      <c r="F69" s="19"/>
      <c r="G69" s="19"/>
      <c r="H69" s="19"/>
      <c r="I69" s="19"/>
      <c r="J69" s="19"/>
      <c r="K69" s="19"/>
      <c r="L69" s="19"/>
      <c r="M69" s="48"/>
      <c r="N69" s="19"/>
      <c r="O69" s="19"/>
      <c r="P69" s="19"/>
      <c r="Q69" s="19"/>
      <c r="R69" s="19"/>
      <c r="S69" s="19"/>
      <c r="T69" s="19"/>
      <c r="U69" s="19"/>
      <c r="V69" s="19"/>
    </row>
    <row r="70" spans="5:22" ht="13.8" x14ac:dyDescent="0.25">
      <c r="E70" s="19"/>
      <c r="F70" s="19"/>
      <c r="G70" s="19"/>
      <c r="H70" s="19"/>
      <c r="I70" s="19"/>
      <c r="J70" s="19"/>
      <c r="K70" s="19"/>
      <c r="L70" s="19"/>
      <c r="M70" s="48"/>
      <c r="N70" s="19"/>
      <c r="O70" s="19"/>
      <c r="P70" s="19"/>
      <c r="Q70" s="19"/>
      <c r="R70" s="19"/>
      <c r="S70" s="19"/>
      <c r="T70" s="19"/>
      <c r="U70" s="19"/>
      <c r="V70" s="19"/>
    </row>
    <row r="71" spans="5:22" ht="13.8" x14ac:dyDescent="0.25">
      <c r="E71" s="19"/>
      <c r="F71" s="19"/>
      <c r="G71" s="19"/>
      <c r="H71" s="19"/>
      <c r="I71" s="19"/>
      <c r="J71" s="19"/>
      <c r="K71" s="19"/>
      <c r="L71" s="19"/>
      <c r="M71" s="48"/>
      <c r="N71" s="19"/>
      <c r="O71" s="19"/>
      <c r="P71" s="19"/>
      <c r="Q71" s="19"/>
      <c r="R71" s="19"/>
      <c r="S71" s="19"/>
      <c r="T71" s="19"/>
      <c r="U71" s="19"/>
      <c r="V71" s="19"/>
    </row>
    <row r="72" spans="5:22" ht="13.8" x14ac:dyDescent="0.25">
      <c r="E72" s="19"/>
      <c r="F72" s="19"/>
      <c r="G72" s="19"/>
      <c r="H72" s="19"/>
      <c r="I72" s="19"/>
      <c r="J72" s="19"/>
      <c r="K72" s="19"/>
      <c r="L72" s="19"/>
      <c r="M72" s="48"/>
      <c r="N72" s="19"/>
      <c r="O72" s="19"/>
      <c r="P72" s="19"/>
      <c r="Q72" s="19"/>
      <c r="R72" s="19"/>
      <c r="S72" s="19"/>
      <c r="T72" s="19"/>
      <c r="U72" s="19"/>
      <c r="V72" s="19"/>
    </row>
    <row r="73" spans="5:22" ht="13.8" x14ac:dyDescent="0.25">
      <c r="E73" s="19"/>
      <c r="F73" s="19"/>
      <c r="G73" s="19"/>
      <c r="H73" s="19"/>
      <c r="I73" s="19"/>
      <c r="J73" s="19"/>
      <c r="K73" s="19"/>
      <c r="L73" s="19"/>
      <c r="M73" s="48"/>
      <c r="N73" s="19"/>
      <c r="O73" s="19"/>
      <c r="P73" s="19"/>
      <c r="Q73" s="19"/>
      <c r="R73" s="19"/>
      <c r="S73" s="19"/>
      <c r="T73" s="19"/>
      <c r="U73" s="19"/>
      <c r="V73" s="19"/>
    </row>
    <row r="74" spans="5:22" ht="13.8" x14ac:dyDescent="0.25">
      <c r="E74" s="19"/>
      <c r="F74" s="19"/>
      <c r="G74" s="19"/>
      <c r="H74" s="19"/>
      <c r="I74" s="19"/>
      <c r="J74" s="19"/>
      <c r="K74" s="19"/>
      <c r="L74" s="19"/>
      <c r="M74" s="48"/>
      <c r="N74" s="19"/>
      <c r="O74" s="19"/>
      <c r="P74" s="19"/>
      <c r="Q74" s="19"/>
      <c r="R74" s="19"/>
      <c r="S74" s="19"/>
      <c r="T74" s="19"/>
      <c r="U74" s="19"/>
      <c r="V74" s="19"/>
    </row>
    <row r="75" spans="5:22" ht="13.8" x14ac:dyDescent="0.25">
      <c r="E75" s="19"/>
      <c r="F75" s="19"/>
      <c r="G75" s="19"/>
      <c r="H75" s="19"/>
      <c r="I75" s="19"/>
      <c r="J75" s="19"/>
      <c r="K75" s="19"/>
      <c r="L75" s="19"/>
      <c r="M75" s="48"/>
      <c r="N75" s="19"/>
      <c r="O75" s="19"/>
      <c r="P75" s="19"/>
      <c r="Q75" s="19"/>
      <c r="R75" s="19"/>
      <c r="S75" s="19"/>
      <c r="T75" s="19"/>
      <c r="U75" s="19"/>
      <c r="V75" s="19"/>
    </row>
    <row r="76" spans="5:22" ht="13.8" x14ac:dyDescent="0.25">
      <c r="E76" s="19"/>
      <c r="F76" s="19"/>
      <c r="G76" s="19"/>
      <c r="H76" s="19"/>
      <c r="I76" s="19"/>
      <c r="J76" s="19"/>
      <c r="K76" s="19"/>
      <c r="L76" s="19"/>
      <c r="M76" s="48"/>
      <c r="N76" s="19"/>
      <c r="O76" s="19"/>
      <c r="P76" s="19"/>
      <c r="Q76" s="19"/>
      <c r="R76" s="19"/>
      <c r="S76" s="19"/>
      <c r="T76" s="19"/>
      <c r="U76" s="19"/>
      <c r="V76" s="19"/>
    </row>
    <row r="77" spans="5:22" ht="13.8" x14ac:dyDescent="0.25">
      <c r="E77" s="19"/>
      <c r="F77" s="19"/>
      <c r="G77" s="19"/>
      <c r="H77" s="19"/>
      <c r="I77" s="19"/>
      <c r="J77" s="19"/>
      <c r="K77" s="19"/>
      <c r="L77" s="19"/>
      <c r="M77" s="48"/>
      <c r="N77" s="19"/>
      <c r="O77" s="19"/>
      <c r="P77" s="19"/>
      <c r="Q77" s="19"/>
      <c r="R77" s="19"/>
      <c r="S77" s="19"/>
      <c r="T77" s="19"/>
      <c r="U77" s="19"/>
      <c r="V77" s="19"/>
    </row>
    <row r="78" spans="5:22" ht="13.8" x14ac:dyDescent="0.25">
      <c r="E78" s="19"/>
      <c r="F78" s="19"/>
      <c r="G78" s="19"/>
      <c r="H78" s="19"/>
      <c r="I78" s="19"/>
      <c r="J78" s="19"/>
      <c r="K78" s="19"/>
      <c r="L78" s="19"/>
      <c r="M78" s="48"/>
      <c r="N78" s="19"/>
      <c r="O78" s="19"/>
      <c r="P78" s="19"/>
      <c r="Q78" s="19"/>
      <c r="R78" s="19"/>
      <c r="S78" s="19"/>
      <c r="T78" s="19"/>
      <c r="U78" s="19"/>
      <c r="V78" s="19"/>
    </row>
    <row r="79" spans="5:22" ht="13.8" x14ac:dyDescent="0.25">
      <c r="E79" s="19"/>
      <c r="F79" s="19"/>
      <c r="G79" s="19"/>
      <c r="H79" s="19"/>
      <c r="I79" s="19"/>
      <c r="J79" s="19"/>
      <c r="K79" s="19"/>
      <c r="L79" s="19"/>
      <c r="M79" s="48"/>
      <c r="N79" s="19"/>
      <c r="O79" s="19"/>
      <c r="P79" s="19"/>
      <c r="Q79" s="19"/>
      <c r="R79" s="19"/>
      <c r="S79" s="19"/>
      <c r="T79" s="19"/>
      <c r="U79" s="19"/>
      <c r="V79" s="19"/>
    </row>
    <row r="80" spans="5:22" ht="13.8" x14ac:dyDescent="0.25">
      <c r="E80" s="19"/>
      <c r="F80" s="19"/>
      <c r="G80" s="19"/>
      <c r="H80" s="19"/>
      <c r="I80" s="19"/>
      <c r="J80" s="19"/>
      <c r="K80" s="19"/>
      <c r="L80" s="19"/>
      <c r="M80" s="48"/>
      <c r="N80" s="19"/>
      <c r="O80" s="19"/>
      <c r="P80" s="19"/>
      <c r="Q80" s="19"/>
      <c r="R80" s="19"/>
      <c r="S80" s="19"/>
      <c r="T80" s="19"/>
      <c r="U80" s="19"/>
      <c r="V80" s="19"/>
    </row>
    <row r="81" spans="5:22" ht="13.8" x14ac:dyDescent="0.25">
      <c r="E81" s="19"/>
      <c r="F81" s="19"/>
      <c r="G81" s="19"/>
      <c r="H81" s="19"/>
      <c r="I81" s="19"/>
      <c r="J81" s="19"/>
      <c r="K81" s="19"/>
      <c r="L81" s="19"/>
      <c r="M81" s="48"/>
      <c r="N81" s="19"/>
      <c r="O81" s="19"/>
      <c r="P81" s="19"/>
      <c r="Q81" s="19"/>
      <c r="R81" s="19"/>
      <c r="S81" s="19"/>
      <c r="T81" s="19"/>
      <c r="U81" s="19"/>
      <c r="V81" s="19"/>
    </row>
    <row r="82" spans="5:22" ht="13.8" x14ac:dyDescent="0.25">
      <c r="E82" s="19"/>
      <c r="F82" s="19"/>
      <c r="G82" s="19"/>
      <c r="H82" s="19"/>
      <c r="I82" s="19"/>
      <c r="J82" s="19"/>
      <c r="K82" s="19"/>
      <c r="L82" s="19"/>
      <c r="M82" s="48"/>
      <c r="N82" s="19"/>
      <c r="O82" s="19"/>
      <c r="P82" s="19"/>
      <c r="Q82" s="19"/>
      <c r="R82" s="19"/>
      <c r="S82" s="19"/>
      <c r="T82" s="19"/>
      <c r="U82" s="19"/>
      <c r="V82" s="19"/>
    </row>
    <row r="83" spans="5:22" ht="13.8" x14ac:dyDescent="0.25">
      <c r="E83" s="19"/>
      <c r="F83" s="19"/>
      <c r="G83" s="19"/>
      <c r="H83" s="19"/>
      <c r="I83" s="19"/>
      <c r="J83" s="19"/>
      <c r="K83" s="19"/>
      <c r="L83" s="19"/>
      <c r="M83" s="48"/>
      <c r="N83" s="19"/>
      <c r="O83" s="19"/>
      <c r="P83" s="19"/>
      <c r="Q83" s="19"/>
      <c r="R83" s="19"/>
      <c r="S83" s="19"/>
      <c r="T83" s="19"/>
      <c r="U83" s="19"/>
      <c r="V83" s="19"/>
    </row>
    <row r="84" spans="5:22" ht="13.8" x14ac:dyDescent="0.25">
      <c r="E84" s="19"/>
      <c r="F84" s="19"/>
      <c r="G84" s="19"/>
      <c r="H84" s="19"/>
      <c r="I84" s="19"/>
      <c r="J84" s="19"/>
      <c r="K84" s="19"/>
      <c r="L84" s="19"/>
      <c r="M84" s="48"/>
      <c r="N84" s="19"/>
      <c r="O84" s="19"/>
      <c r="P84" s="19"/>
      <c r="Q84" s="19"/>
      <c r="R84" s="19"/>
      <c r="S84" s="19"/>
      <c r="T84" s="19"/>
      <c r="U84" s="19"/>
      <c r="V84" s="19"/>
    </row>
    <row r="85" spans="5:22" ht="13.8" x14ac:dyDescent="0.25">
      <c r="E85" s="19"/>
      <c r="F85" s="19"/>
      <c r="G85" s="19"/>
      <c r="H85" s="19"/>
      <c r="I85" s="19"/>
      <c r="J85" s="19"/>
      <c r="K85" s="19"/>
      <c r="L85" s="19"/>
      <c r="M85" s="48"/>
      <c r="N85" s="19"/>
      <c r="O85" s="19"/>
      <c r="P85" s="19"/>
      <c r="Q85" s="19"/>
      <c r="R85" s="19"/>
      <c r="S85" s="19"/>
      <c r="T85" s="19"/>
      <c r="U85" s="19"/>
      <c r="V85" s="19"/>
    </row>
    <row r="86" spans="5:22" ht="13.8" x14ac:dyDescent="0.25">
      <c r="E86" s="19"/>
      <c r="F86" s="19"/>
      <c r="G86" s="19"/>
      <c r="H86" s="19"/>
      <c r="I86" s="19"/>
      <c r="J86" s="19"/>
      <c r="K86" s="19"/>
      <c r="L86" s="19"/>
      <c r="M86" s="48"/>
      <c r="N86" s="19"/>
      <c r="O86" s="19"/>
      <c r="P86" s="19"/>
      <c r="Q86" s="19"/>
      <c r="R86" s="19"/>
      <c r="S86" s="19"/>
      <c r="T86" s="19"/>
      <c r="U86" s="19"/>
      <c r="V86" s="19"/>
    </row>
    <row r="87" spans="5:22" ht="13.8" x14ac:dyDescent="0.25">
      <c r="E87" s="19"/>
      <c r="F87" s="19"/>
      <c r="G87" s="19"/>
      <c r="H87" s="19"/>
      <c r="I87" s="19"/>
      <c r="J87" s="19"/>
      <c r="K87" s="19"/>
      <c r="L87" s="19"/>
      <c r="M87" s="48"/>
      <c r="N87" s="19"/>
      <c r="O87" s="19"/>
      <c r="P87" s="19"/>
      <c r="Q87" s="19"/>
      <c r="R87" s="19"/>
      <c r="S87" s="19"/>
      <c r="T87" s="19"/>
      <c r="U87" s="19"/>
      <c r="V87" s="19"/>
    </row>
    <row r="88" spans="5:22" ht="13.8" x14ac:dyDescent="0.25">
      <c r="E88" s="19"/>
      <c r="F88" s="19"/>
      <c r="G88" s="19"/>
      <c r="H88" s="19"/>
      <c r="I88" s="19"/>
      <c r="J88" s="19"/>
      <c r="K88" s="19"/>
      <c r="L88" s="19"/>
      <c r="M88" s="48"/>
      <c r="N88" s="19"/>
      <c r="O88" s="19"/>
      <c r="P88" s="19"/>
      <c r="Q88" s="19"/>
      <c r="R88" s="19"/>
      <c r="S88" s="19"/>
      <c r="T88" s="19"/>
      <c r="U88" s="19"/>
      <c r="V88" s="19"/>
    </row>
    <row r="89" spans="5:22" ht="13.8" x14ac:dyDescent="0.25">
      <c r="E89" s="19"/>
      <c r="F89" s="19"/>
      <c r="G89" s="19"/>
      <c r="H89" s="19"/>
      <c r="I89" s="19"/>
      <c r="J89" s="19"/>
      <c r="K89" s="19"/>
      <c r="L89" s="19"/>
      <c r="M89" s="48"/>
      <c r="N89" s="19"/>
      <c r="O89" s="19"/>
      <c r="P89" s="19"/>
      <c r="Q89" s="19"/>
      <c r="R89" s="19"/>
      <c r="S89" s="19"/>
      <c r="T89" s="19"/>
      <c r="U89" s="19"/>
      <c r="V89" s="19"/>
    </row>
    <row r="90" spans="5:22" ht="13.8" x14ac:dyDescent="0.25">
      <c r="E90" s="19"/>
      <c r="F90" s="19"/>
      <c r="G90" s="19"/>
      <c r="H90" s="19"/>
      <c r="I90" s="19"/>
      <c r="J90" s="19"/>
      <c r="K90" s="19"/>
      <c r="L90" s="19"/>
      <c r="M90" s="48"/>
      <c r="N90" s="19"/>
      <c r="O90" s="19"/>
      <c r="P90" s="19"/>
      <c r="Q90" s="19"/>
      <c r="R90" s="19"/>
      <c r="S90" s="19"/>
      <c r="T90" s="19"/>
      <c r="U90" s="19"/>
      <c r="V90" s="19"/>
    </row>
    <row r="91" spans="5:22" ht="13.8" x14ac:dyDescent="0.25">
      <c r="E91" s="19"/>
      <c r="F91" s="19"/>
      <c r="G91" s="19"/>
      <c r="H91" s="19"/>
      <c r="I91" s="19"/>
      <c r="J91" s="19"/>
      <c r="K91" s="19"/>
      <c r="L91" s="19"/>
      <c r="M91" s="48"/>
      <c r="N91" s="19"/>
      <c r="O91" s="19"/>
      <c r="P91" s="19"/>
      <c r="Q91" s="19"/>
      <c r="R91" s="19"/>
      <c r="S91" s="19"/>
      <c r="T91" s="19"/>
      <c r="U91" s="19"/>
      <c r="V91" s="19"/>
    </row>
    <row r="92" spans="5:22" ht="13.8" x14ac:dyDescent="0.25">
      <c r="E92" s="19"/>
      <c r="F92" s="19"/>
      <c r="G92" s="19"/>
      <c r="H92" s="19"/>
      <c r="I92" s="19"/>
      <c r="J92" s="19"/>
      <c r="K92" s="19"/>
      <c r="L92" s="19"/>
      <c r="M92" s="48"/>
      <c r="N92" s="19"/>
      <c r="O92" s="19"/>
      <c r="P92" s="19"/>
      <c r="Q92" s="19"/>
      <c r="R92" s="19"/>
      <c r="S92" s="19"/>
      <c r="T92" s="19"/>
      <c r="U92" s="19"/>
      <c r="V92" s="19"/>
    </row>
    <row r="93" spans="5:22" ht="13.8" x14ac:dyDescent="0.25">
      <c r="E93" s="19"/>
      <c r="F93" s="19"/>
      <c r="G93" s="19"/>
      <c r="H93" s="19"/>
      <c r="I93" s="19"/>
      <c r="J93" s="19"/>
      <c r="K93" s="19"/>
      <c r="L93" s="19"/>
      <c r="M93" s="48"/>
      <c r="N93" s="19"/>
      <c r="O93" s="19"/>
      <c r="P93" s="19"/>
      <c r="Q93" s="19"/>
      <c r="R93" s="19"/>
      <c r="S93" s="19"/>
      <c r="T93" s="19"/>
      <c r="U93" s="19"/>
      <c r="V93" s="19"/>
    </row>
    <row r="94" spans="5:22" ht="13.8" x14ac:dyDescent="0.25">
      <c r="E94" s="19"/>
      <c r="F94" s="19"/>
      <c r="G94" s="19"/>
      <c r="H94" s="19"/>
      <c r="I94" s="19"/>
      <c r="J94" s="19"/>
      <c r="K94" s="19"/>
      <c r="L94" s="19"/>
      <c r="M94" s="48"/>
      <c r="N94" s="19"/>
      <c r="O94" s="19"/>
      <c r="P94" s="19"/>
      <c r="Q94" s="19"/>
      <c r="R94" s="19"/>
      <c r="S94" s="19"/>
      <c r="T94" s="19"/>
      <c r="U94" s="19"/>
      <c r="V94" s="19"/>
    </row>
    <row r="95" spans="5:22" ht="13.8" x14ac:dyDescent="0.25">
      <c r="E95" s="19"/>
      <c r="F95" s="19"/>
      <c r="G95" s="19"/>
      <c r="H95" s="19"/>
      <c r="I95" s="19"/>
      <c r="J95" s="19"/>
      <c r="K95" s="19"/>
      <c r="L95" s="19"/>
      <c r="M95" s="48"/>
      <c r="N95" s="19"/>
      <c r="O95" s="19"/>
      <c r="P95" s="19"/>
      <c r="Q95" s="19"/>
      <c r="R95" s="19"/>
      <c r="S95" s="19"/>
      <c r="T95" s="19"/>
      <c r="U95" s="19"/>
      <c r="V95" s="19"/>
    </row>
    <row r="96" spans="5:22" ht="13.8" x14ac:dyDescent="0.25">
      <c r="E96" s="19"/>
      <c r="F96" s="19"/>
      <c r="G96" s="19"/>
      <c r="H96" s="19"/>
      <c r="I96" s="19"/>
      <c r="J96" s="19"/>
      <c r="K96" s="19"/>
      <c r="L96" s="19"/>
      <c r="M96" s="48"/>
      <c r="N96" s="19"/>
      <c r="O96" s="19"/>
      <c r="P96" s="19"/>
      <c r="Q96" s="19"/>
      <c r="R96" s="19"/>
      <c r="S96" s="19"/>
      <c r="T96" s="19"/>
      <c r="U96" s="19"/>
      <c r="V96" s="19"/>
    </row>
    <row r="97" spans="5:22" ht="13.8" x14ac:dyDescent="0.25">
      <c r="E97" s="19"/>
      <c r="F97" s="19"/>
      <c r="G97" s="19"/>
      <c r="H97" s="19"/>
      <c r="I97" s="19"/>
      <c r="J97" s="19"/>
      <c r="K97" s="19"/>
      <c r="L97" s="19"/>
      <c r="M97" s="48"/>
      <c r="N97" s="19"/>
      <c r="O97" s="19"/>
      <c r="P97" s="19"/>
      <c r="Q97" s="19"/>
      <c r="R97" s="19"/>
      <c r="S97" s="19"/>
      <c r="T97" s="19"/>
      <c r="U97" s="19"/>
      <c r="V97" s="19"/>
    </row>
    <row r="98" spans="5:22" ht="13.8" x14ac:dyDescent="0.25">
      <c r="E98" s="19"/>
      <c r="F98" s="19"/>
      <c r="G98" s="19"/>
      <c r="H98" s="19"/>
      <c r="I98" s="19"/>
      <c r="J98" s="19"/>
      <c r="K98" s="19"/>
      <c r="L98" s="19"/>
      <c r="M98" s="48"/>
      <c r="N98" s="19"/>
      <c r="O98" s="19"/>
      <c r="P98" s="19"/>
      <c r="Q98" s="19"/>
      <c r="R98" s="19"/>
      <c r="S98" s="19"/>
      <c r="T98" s="19"/>
      <c r="U98" s="19"/>
      <c r="V98" s="19"/>
    </row>
    <row r="99" spans="5:22" ht="13.8" x14ac:dyDescent="0.25">
      <c r="E99" s="19"/>
      <c r="F99" s="19"/>
      <c r="G99" s="19"/>
      <c r="H99" s="19"/>
      <c r="I99" s="19"/>
      <c r="J99" s="19"/>
      <c r="K99" s="19"/>
      <c r="L99" s="19"/>
      <c r="M99" s="48"/>
      <c r="N99" s="19"/>
      <c r="O99" s="19"/>
      <c r="P99" s="19"/>
      <c r="Q99" s="19"/>
      <c r="R99" s="19"/>
      <c r="S99" s="19"/>
      <c r="T99" s="19"/>
      <c r="U99" s="19"/>
      <c r="V99" s="19"/>
    </row>
    <row r="100" spans="5:22" ht="13.8" x14ac:dyDescent="0.25">
      <c r="E100" s="19"/>
      <c r="F100" s="19"/>
      <c r="G100" s="19"/>
      <c r="H100" s="19"/>
      <c r="I100" s="19"/>
      <c r="J100" s="19"/>
      <c r="K100" s="19"/>
      <c r="L100" s="19"/>
      <c r="M100" s="48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5:22" ht="13.8" x14ac:dyDescent="0.25">
      <c r="E101" s="19"/>
      <c r="F101" s="19"/>
      <c r="G101" s="19"/>
      <c r="H101" s="19"/>
      <c r="I101" s="19"/>
      <c r="J101" s="19"/>
      <c r="K101" s="19"/>
      <c r="L101" s="19"/>
      <c r="M101" s="48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5:22" ht="13.8" x14ac:dyDescent="0.25">
      <c r="E102" s="19"/>
      <c r="F102" s="19"/>
      <c r="G102" s="19"/>
      <c r="H102" s="19"/>
      <c r="I102" s="19"/>
      <c r="J102" s="19"/>
      <c r="K102" s="19"/>
      <c r="L102" s="19"/>
      <c r="M102" s="48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5:22" ht="13.8" x14ac:dyDescent="0.25">
      <c r="E103" s="19"/>
      <c r="F103" s="19"/>
      <c r="G103" s="19"/>
      <c r="H103" s="19"/>
      <c r="I103" s="19"/>
      <c r="J103" s="19"/>
      <c r="K103" s="19"/>
      <c r="L103" s="19"/>
      <c r="M103" s="48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5:22" ht="13.8" x14ac:dyDescent="0.25">
      <c r="E104" s="19"/>
      <c r="F104" s="19"/>
      <c r="G104" s="19"/>
      <c r="H104" s="19"/>
      <c r="I104" s="19"/>
      <c r="J104" s="19"/>
      <c r="K104" s="19"/>
      <c r="L104" s="19"/>
      <c r="M104" s="48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5:22" ht="13.8" x14ac:dyDescent="0.25">
      <c r="E105" s="19"/>
      <c r="F105" s="19"/>
      <c r="G105" s="19"/>
      <c r="H105" s="19"/>
      <c r="I105" s="19"/>
      <c r="J105" s="19"/>
      <c r="K105" s="19"/>
      <c r="L105" s="19"/>
      <c r="M105" s="48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5:22" ht="13.8" x14ac:dyDescent="0.25">
      <c r="E106" s="19"/>
      <c r="F106" s="19"/>
      <c r="G106" s="19"/>
      <c r="H106" s="19"/>
      <c r="I106" s="19"/>
      <c r="J106" s="19"/>
      <c r="K106" s="19"/>
      <c r="L106" s="19"/>
      <c r="M106" s="48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5:22" ht="13.8" x14ac:dyDescent="0.25">
      <c r="E107" s="19"/>
      <c r="F107" s="19"/>
      <c r="G107" s="19"/>
      <c r="H107" s="19"/>
      <c r="I107" s="19"/>
      <c r="J107" s="19"/>
      <c r="K107" s="19"/>
      <c r="L107" s="19"/>
      <c r="M107" s="48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5:22" ht="13.8" x14ac:dyDescent="0.25">
      <c r="E108" s="19"/>
      <c r="F108" s="19"/>
      <c r="G108" s="19"/>
      <c r="H108" s="19"/>
      <c r="I108" s="19"/>
      <c r="J108" s="19"/>
      <c r="K108" s="19"/>
      <c r="L108" s="19"/>
      <c r="M108" s="48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5:22" ht="13.8" x14ac:dyDescent="0.25">
      <c r="E109" s="19"/>
      <c r="F109" s="19"/>
      <c r="G109" s="19"/>
      <c r="H109" s="19"/>
      <c r="I109" s="19"/>
      <c r="J109" s="19"/>
      <c r="K109" s="19"/>
      <c r="L109" s="19"/>
      <c r="M109" s="48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5:22" ht="13.8" x14ac:dyDescent="0.25">
      <c r="E110" s="19"/>
      <c r="F110" s="19"/>
      <c r="G110" s="19"/>
      <c r="H110" s="19"/>
      <c r="I110" s="19"/>
      <c r="J110" s="19"/>
      <c r="K110" s="19"/>
      <c r="L110" s="19"/>
      <c r="M110" s="48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5:22" ht="13.8" x14ac:dyDescent="0.25">
      <c r="E111" s="19"/>
      <c r="F111" s="19"/>
      <c r="G111" s="19"/>
      <c r="H111" s="19"/>
      <c r="I111" s="19"/>
      <c r="J111" s="19"/>
      <c r="K111" s="19"/>
      <c r="L111" s="19"/>
      <c r="M111" s="48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5:22" ht="13.8" x14ac:dyDescent="0.25">
      <c r="E112" s="19"/>
      <c r="F112" s="19"/>
      <c r="G112" s="19"/>
      <c r="H112" s="19"/>
      <c r="I112" s="19"/>
      <c r="J112" s="19"/>
      <c r="K112" s="19"/>
      <c r="L112" s="19"/>
      <c r="M112" s="48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5:22" ht="13.8" x14ac:dyDescent="0.25">
      <c r="E113" s="19"/>
      <c r="F113" s="19"/>
      <c r="G113" s="19"/>
      <c r="H113" s="19"/>
      <c r="I113" s="19"/>
      <c r="J113" s="19"/>
      <c r="K113" s="19"/>
      <c r="L113" s="19"/>
      <c r="M113" s="48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5:22" ht="13.8" x14ac:dyDescent="0.25">
      <c r="E114" s="19"/>
      <c r="F114" s="19"/>
      <c r="G114" s="19"/>
      <c r="H114" s="19"/>
      <c r="I114" s="19"/>
      <c r="J114" s="19"/>
      <c r="K114" s="19"/>
      <c r="L114" s="19"/>
      <c r="M114" s="48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5:22" ht="13.8" x14ac:dyDescent="0.25">
      <c r="E115" s="19"/>
      <c r="F115" s="19"/>
      <c r="G115" s="19"/>
      <c r="H115" s="19"/>
      <c r="I115" s="19"/>
      <c r="J115" s="19"/>
      <c r="K115" s="19"/>
      <c r="L115" s="19"/>
      <c r="M115" s="48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5:22" ht="13.8" x14ac:dyDescent="0.25">
      <c r="E116" s="19"/>
      <c r="F116" s="19"/>
      <c r="G116" s="19"/>
      <c r="H116" s="19"/>
      <c r="I116" s="19"/>
      <c r="J116" s="19"/>
      <c r="K116" s="19"/>
      <c r="L116" s="19"/>
      <c r="M116" s="48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5:22" ht="13.8" x14ac:dyDescent="0.25">
      <c r="E117" s="19"/>
      <c r="F117" s="19"/>
      <c r="G117" s="19"/>
      <c r="H117" s="19"/>
      <c r="I117" s="19"/>
      <c r="J117" s="19"/>
      <c r="K117" s="19"/>
      <c r="L117" s="19"/>
      <c r="M117" s="48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5:22" ht="13.8" x14ac:dyDescent="0.25">
      <c r="E118" s="19"/>
      <c r="F118" s="19"/>
      <c r="G118" s="19"/>
      <c r="H118" s="19"/>
      <c r="I118" s="19"/>
      <c r="J118" s="19"/>
      <c r="K118" s="19"/>
      <c r="L118" s="19"/>
      <c r="M118" s="48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5:22" ht="13.8" x14ac:dyDescent="0.25">
      <c r="E119" s="19"/>
      <c r="F119" s="19"/>
      <c r="G119" s="19"/>
      <c r="H119" s="19"/>
      <c r="I119" s="19"/>
      <c r="J119" s="19"/>
      <c r="K119" s="19"/>
      <c r="L119" s="19"/>
      <c r="M119" s="48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5:22" ht="13.8" x14ac:dyDescent="0.25">
      <c r="E120" s="19"/>
      <c r="F120" s="19"/>
      <c r="G120" s="19"/>
      <c r="H120" s="19"/>
      <c r="I120" s="19"/>
      <c r="J120" s="19"/>
      <c r="K120" s="19"/>
      <c r="L120" s="19"/>
      <c r="M120" s="48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5:22" ht="13.8" x14ac:dyDescent="0.25">
      <c r="E121" s="19"/>
      <c r="F121" s="19"/>
      <c r="G121" s="19"/>
      <c r="H121" s="19"/>
      <c r="I121" s="19"/>
      <c r="J121" s="19"/>
      <c r="K121" s="19"/>
      <c r="L121" s="19"/>
      <c r="M121" s="48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5:22" ht="13.8" x14ac:dyDescent="0.25">
      <c r="E122" s="19"/>
      <c r="F122" s="19"/>
      <c r="G122" s="19"/>
      <c r="H122" s="19"/>
      <c r="I122" s="19"/>
      <c r="J122" s="19"/>
      <c r="K122" s="19"/>
      <c r="L122" s="19"/>
      <c r="M122" s="48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5:22" ht="13.8" x14ac:dyDescent="0.25">
      <c r="E123" s="19"/>
      <c r="F123" s="19"/>
      <c r="G123" s="19"/>
      <c r="H123" s="19"/>
      <c r="I123" s="19"/>
      <c r="J123" s="19"/>
      <c r="K123" s="19"/>
      <c r="L123" s="19"/>
      <c r="M123" s="48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5:22" ht="13.8" x14ac:dyDescent="0.25">
      <c r="E124" s="19"/>
      <c r="F124" s="19"/>
      <c r="G124" s="19"/>
      <c r="H124" s="19"/>
      <c r="I124" s="19"/>
      <c r="J124" s="19"/>
      <c r="K124" s="19"/>
      <c r="L124" s="19"/>
      <c r="M124" s="48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5:22" ht="13.8" x14ac:dyDescent="0.25">
      <c r="E125" s="19"/>
      <c r="F125" s="19"/>
      <c r="G125" s="19"/>
      <c r="H125" s="19"/>
      <c r="I125" s="19"/>
      <c r="J125" s="19"/>
      <c r="K125" s="19"/>
      <c r="L125" s="19"/>
      <c r="M125" s="48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5:22" ht="13.8" x14ac:dyDescent="0.25">
      <c r="E126" s="19"/>
      <c r="F126" s="19"/>
      <c r="G126" s="19"/>
      <c r="H126" s="19"/>
      <c r="I126" s="19"/>
      <c r="J126" s="19"/>
      <c r="K126" s="19"/>
      <c r="L126" s="19"/>
      <c r="M126" s="48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5:22" ht="13.8" x14ac:dyDescent="0.25">
      <c r="E127" s="19"/>
      <c r="F127" s="19"/>
      <c r="G127" s="19"/>
      <c r="H127" s="19"/>
      <c r="I127" s="19"/>
      <c r="J127" s="19"/>
      <c r="K127" s="19"/>
      <c r="L127" s="19"/>
      <c r="M127" s="48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5:22" ht="13.8" x14ac:dyDescent="0.25">
      <c r="E128" s="19"/>
      <c r="F128" s="19"/>
      <c r="G128" s="19"/>
      <c r="H128" s="19"/>
      <c r="I128" s="19"/>
      <c r="J128" s="19"/>
      <c r="K128" s="19"/>
      <c r="L128" s="19"/>
      <c r="M128" s="48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5:22" ht="13.8" x14ac:dyDescent="0.25">
      <c r="E129" s="19"/>
      <c r="F129" s="19"/>
      <c r="G129" s="19"/>
      <c r="H129" s="19"/>
      <c r="I129" s="19"/>
      <c r="J129" s="19"/>
      <c r="K129" s="19"/>
      <c r="L129" s="19"/>
      <c r="M129" s="48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5:22" ht="13.8" x14ac:dyDescent="0.25">
      <c r="E130" s="19"/>
      <c r="F130" s="19"/>
      <c r="G130" s="19"/>
      <c r="H130" s="19"/>
      <c r="I130" s="19"/>
      <c r="J130" s="19"/>
      <c r="K130" s="19"/>
      <c r="L130" s="19"/>
      <c r="M130" s="48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5:22" ht="13.8" x14ac:dyDescent="0.25">
      <c r="E131" s="19"/>
      <c r="F131" s="19"/>
      <c r="G131" s="19"/>
      <c r="H131" s="19"/>
      <c r="I131" s="19"/>
      <c r="J131" s="19"/>
      <c r="K131" s="19"/>
      <c r="L131" s="19"/>
      <c r="M131" s="48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5:22" ht="13.8" x14ac:dyDescent="0.25">
      <c r="E132" s="19"/>
      <c r="F132" s="19"/>
      <c r="G132" s="19"/>
      <c r="H132" s="19"/>
      <c r="I132" s="19"/>
      <c r="J132" s="19"/>
      <c r="K132" s="19"/>
      <c r="L132" s="19"/>
      <c r="M132" s="48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5:22" ht="13.8" x14ac:dyDescent="0.25">
      <c r="E133" s="19"/>
      <c r="F133" s="19"/>
      <c r="G133" s="19"/>
      <c r="H133" s="19"/>
      <c r="I133" s="19"/>
      <c r="J133" s="19"/>
      <c r="K133" s="19"/>
      <c r="L133" s="19"/>
      <c r="M133" s="48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5:22" ht="13.8" x14ac:dyDescent="0.25">
      <c r="E134" s="19"/>
      <c r="F134" s="19"/>
      <c r="G134" s="19"/>
      <c r="H134" s="19"/>
      <c r="I134" s="19"/>
      <c r="J134" s="19"/>
      <c r="K134" s="19"/>
      <c r="L134" s="19"/>
      <c r="M134" s="48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5:22" ht="13.8" x14ac:dyDescent="0.25">
      <c r="E135" s="19"/>
      <c r="F135" s="19"/>
      <c r="G135" s="19"/>
      <c r="H135" s="19"/>
      <c r="I135" s="19"/>
      <c r="J135" s="19"/>
      <c r="K135" s="19"/>
      <c r="L135" s="19"/>
      <c r="M135" s="48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5:22" ht="13.8" x14ac:dyDescent="0.25">
      <c r="E136" s="19"/>
      <c r="F136" s="19"/>
      <c r="G136" s="19"/>
      <c r="H136" s="19"/>
      <c r="I136" s="19"/>
      <c r="J136" s="19"/>
      <c r="K136" s="19"/>
      <c r="L136" s="19"/>
      <c r="M136" s="48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5:22" ht="13.8" x14ac:dyDescent="0.25">
      <c r="E137" s="19"/>
      <c r="F137" s="19"/>
      <c r="G137" s="19"/>
      <c r="H137" s="19"/>
      <c r="I137" s="19"/>
      <c r="J137" s="19"/>
      <c r="K137" s="19"/>
      <c r="L137" s="19"/>
      <c r="M137" s="48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5:22" ht="13.8" x14ac:dyDescent="0.25">
      <c r="E138" s="19"/>
      <c r="F138" s="19"/>
      <c r="G138" s="19"/>
      <c r="H138" s="19"/>
      <c r="I138" s="19"/>
      <c r="J138" s="19"/>
      <c r="K138" s="19"/>
      <c r="L138" s="19"/>
      <c r="M138" s="48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5:22" ht="13.8" x14ac:dyDescent="0.25">
      <c r="E139" s="19"/>
      <c r="F139" s="19"/>
      <c r="G139" s="19"/>
      <c r="H139" s="19"/>
      <c r="I139" s="19"/>
      <c r="J139" s="19"/>
      <c r="K139" s="19"/>
      <c r="L139" s="19"/>
      <c r="M139" s="48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5:22" ht="13.8" x14ac:dyDescent="0.25">
      <c r="E140" s="19"/>
      <c r="F140" s="19"/>
      <c r="G140" s="19"/>
      <c r="H140" s="19"/>
      <c r="I140" s="19"/>
      <c r="J140" s="19"/>
      <c r="K140" s="19"/>
      <c r="L140" s="19"/>
      <c r="M140" s="48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5:22" ht="13.8" x14ac:dyDescent="0.25">
      <c r="E141" s="19"/>
      <c r="F141" s="19"/>
      <c r="G141" s="19"/>
      <c r="H141" s="19"/>
      <c r="I141" s="19"/>
      <c r="J141" s="19"/>
      <c r="K141" s="19"/>
      <c r="L141" s="19"/>
      <c r="M141" s="48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5:22" ht="13.8" x14ac:dyDescent="0.25">
      <c r="E142" s="19"/>
      <c r="F142" s="19"/>
      <c r="G142" s="19"/>
      <c r="H142" s="19"/>
      <c r="I142" s="19"/>
      <c r="J142" s="19"/>
      <c r="K142" s="19"/>
      <c r="L142" s="19"/>
      <c r="M142" s="48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5:22" ht="13.8" x14ac:dyDescent="0.25">
      <c r="E143" s="19"/>
      <c r="F143" s="19"/>
      <c r="G143" s="19"/>
      <c r="H143" s="19"/>
      <c r="I143" s="19"/>
      <c r="J143" s="19"/>
      <c r="K143" s="19"/>
      <c r="L143" s="19"/>
      <c r="M143" s="48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5:22" ht="13.8" x14ac:dyDescent="0.25">
      <c r="E144" s="19"/>
      <c r="F144" s="19"/>
      <c r="G144" s="19"/>
      <c r="H144" s="19"/>
      <c r="I144" s="19"/>
      <c r="J144" s="19"/>
      <c r="K144" s="19"/>
      <c r="L144" s="19"/>
      <c r="M144" s="48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5:22" ht="13.8" x14ac:dyDescent="0.25">
      <c r="E145" s="19"/>
      <c r="F145" s="19"/>
      <c r="G145" s="19"/>
      <c r="H145" s="19"/>
      <c r="I145" s="19"/>
      <c r="J145" s="19"/>
      <c r="K145" s="19"/>
      <c r="L145" s="19"/>
      <c r="M145" s="48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5:22" ht="13.8" x14ac:dyDescent="0.25">
      <c r="E146" s="19"/>
      <c r="F146" s="19"/>
      <c r="G146" s="19"/>
      <c r="H146" s="19"/>
      <c r="I146" s="19"/>
      <c r="J146" s="19"/>
      <c r="K146" s="19"/>
      <c r="L146" s="19"/>
      <c r="M146" s="48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5:22" ht="13.8" x14ac:dyDescent="0.25">
      <c r="E147" s="19"/>
      <c r="F147" s="19"/>
      <c r="G147" s="19"/>
      <c r="H147" s="19"/>
      <c r="I147" s="19"/>
      <c r="J147" s="19"/>
      <c r="K147" s="19"/>
      <c r="L147" s="19"/>
      <c r="M147" s="48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5:22" ht="13.8" x14ac:dyDescent="0.25">
      <c r="E148" s="19"/>
      <c r="F148" s="19"/>
      <c r="G148" s="19"/>
      <c r="H148" s="19"/>
      <c r="I148" s="19"/>
      <c r="J148" s="19"/>
      <c r="K148" s="19"/>
      <c r="L148" s="19"/>
      <c r="M148" s="48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5:22" ht="13.8" x14ac:dyDescent="0.25">
      <c r="E149" s="19"/>
      <c r="F149" s="19"/>
      <c r="G149" s="19"/>
      <c r="H149" s="19"/>
      <c r="I149" s="19"/>
      <c r="J149" s="19"/>
      <c r="K149" s="19"/>
      <c r="L149" s="19"/>
      <c r="M149" s="48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5:22" ht="13.8" x14ac:dyDescent="0.25">
      <c r="E150" s="19"/>
      <c r="F150" s="19"/>
      <c r="G150" s="19"/>
      <c r="H150" s="19"/>
      <c r="I150" s="19"/>
      <c r="J150" s="19"/>
      <c r="K150" s="19"/>
      <c r="L150" s="19"/>
      <c r="M150" s="48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5:22" ht="13.8" x14ac:dyDescent="0.25">
      <c r="E151" s="19"/>
      <c r="F151" s="19"/>
      <c r="G151" s="19"/>
      <c r="H151" s="19"/>
      <c r="I151" s="19"/>
      <c r="J151" s="19"/>
      <c r="K151" s="19"/>
      <c r="L151" s="19"/>
      <c r="M151" s="48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5:22" ht="13.8" x14ac:dyDescent="0.25">
      <c r="E152" s="19"/>
      <c r="F152" s="19"/>
      <c r="G152" s="19"/>
      <c r="H152" s="19"/>
      <c r="I152" s="19"/>
      <c r="J152" s="19"/>
      <c r="K152" s="19"/>
      <c r="L152" s="19"/>
      <c r="M152" s="48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5:22" ht="13.8" x14ac:dyDescent="0.25">
      <c r="E153" s="19"/>
      <c r="F153" s="19"/>
      <c r="G153" s="19"/>
      <c r="H153" s="19"/>
      <c r="I153" s="19"/>
      <c r="J153" s="19"/>
      <c r="K153" s="19"/>
      <c r="L153" s="19"/>
      <c r="M153" s="48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5:22" ht="13.8" x14ac:dyDescent="0.25">
      <c r="E154" s="19"/>
      <c r="F154" s="19"/>
      <c r="G154" s="19"/>
      <c r="H154" s="19"/>
      <c r="I154" s="19"/>
      <c r="J154" s="19"/>
      <c r="K154" s="19"/>
      <c r="L154" s="19"/>
      <c r="M154" s="48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5:22" ht="13.8" x14ac:dyDescent="0.25">
      <c r="E155" s="19"/>
      <c r="F155" s="19"/>
      <c r="G155" s="19"/>
      <c r="H155" s="19"/>
      <c r="I155" s="19"/>
      <c r="J155" s="19"/>
      <c r="K155" s="19"/>
      <c r="L155" s="19"/>
      <c r="M155" s="48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5:22" ht="13.8" x14ac:dyDescent="0.25">
      <c r="E156" s="19"/>
      <c r="F156" s="19"/>
      <c r="G156" s="19"/>
      <c r="H156" s="19"/>
      <c r="I156" s="19"/>
      <c r="J156" s="19"/>
      <c r="K156" s="19"/>
      <c r="L156" s="19"/>
      <c r="M156" s="48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5:22" ht="13.8" x14ac:dyDescent="0.25">
      <c r="E157" s="19"/>
      <c r="F157" s="19"/>
      <c r="G157" s="19"/>
      <c r="H157" s="19"/>
      <c r="I157" s="19"/>
      <c r="J157" s="19"/>
      <c r="K157" s="19"/>
      <c r="L157" s="19"/>
      <c r="M157" s="48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5:22" ht="13.8" x14ac:dyDescent="0.25">
      <c r="E158" s="19"/>
      <c r="F158" s="19"/>
      <c r="G158" s="19"/>
      <c r="H158" s="19"/>
      <c r="I158" s="19"/>
      <c r="J158" s="19"/>
      <c r="K158" s="19"/>
      <c r="L158" s="19"/>
      <c r="M158" s="48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5:22" ht="13.8" x14ac:dyDescent="0.25">
      <c r="E159" s="19"/>
      <c r="F159" s="19"/>
      <c r="G159" s="19"/>
      <c r="H159" s="19"/>
      <c r="I159" s="19"/>
      <c r="J159" s="19"/>
      <c r="K159" s="19"/>
      <c r="L159" s="19"/>
      <c r="M159" s="48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5:22" ht="13.8" x14ac:dyDescent="0.25">
      <c r="E160" s="19"/>
      <c r="F160" s="19"/>
      <c r="G160" s="19"/>
      <c r="H160" s="19"/>
      <c r="I160" s="19"/>
      <c r="J160" s="19"/>
      <c r="K160" s="19"/>
      <c r="L160" s="19"/>
      <c r="M160" s="48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5:22" ht="13.8" x14ac:dyDescent="0.25">
      <c r="E161" s="19"/>
      <c r="F161" s="19"/>
      <c r="G161" s="19"/>
      <c r="H161" s="19"/>
      <c r="I161" s="19"/>
      <c r="J161" s="19"/>
      <c r="K161" s="19"/>
      <c r="L161" s="19"/>
      <c r="M161" s="48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5:22" ht="13.8" x14ac:dyDescent="0.25">
      <c r="E162" s="19"/>
      <c r="F162" s="19"/>
      <c r="G162" s="19"/>
      <c r="H162" s="19"/>
      <c r="I162" s="19"/>
      <c r="J162" s="19"/>
      <c r="K162" s="19"/>
      <c r="L162" s="19"/>
      <c r="M162" s="48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5:22" ht="13.8" x14ac:dyDescent="0.25">
      <c r="E163" s="19"/>
      <c r="F163" s="19"/>
      <c r="G163" s="19"/>
      <c r="H163" s="19"/>
      <c r="I163" s="19"/>
      <c r="J163" s="19"/>
      <c r="K163" s="19"/>
      <c r="L163" s="19"/>
      <c r="M163" s="48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5:22" ht="13.8" x14ac:dyDescent="0.25">
      <c r="E164" s="19"/>
      <c r="F164" s="19"/>
      <c r="G164" s="19"/>
      <c r="H164" s="19"/>
      <c r="I164" s="19"/>
      <c r="J164" s="19"/>
      <c r="K164" s="19"/>
      <c r="L164" s="19"/>
      <c r="M164" s="48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5:22" ht="13.8" x14ac:dyDescent="0.25">
      <c r="E165" s="19"/>
      <c r="F165" s="19"/>
      <c r="G165" s="19"/>
      <c r="H165" s="19"/>
      <c r="I165" s="19"/>
      <c r="J165" s="19"/>
      <c r="K165" s="19"/>
      <c r="L165" s="19"/>
      <c r="M165" s="48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5:22" ht="13.8" x14ac:dyDescent="0.25">
      <c r="E166" s="19"/>
      <c r="F166" s="19"/>
      <c r="G166" s="19"/>
      <c r="H166" s="19"/>
      <c r="I166" s="19"/>
      <c r="J166" s="19"/>
      <c r="K166" s="19"/>
      <c r="L166" s="19"/>
      <c r="M166" s="48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5:22" ht="13.8" x14ac:dyDescent="0.25">
      <c r="E167" s="19"/>
      <c r="F167" s="19"/>
      <c r="G167" s="19"/>
      <c r="H167" s="19"/>
      <c r="I167" s="19"/>
      <c r="J167" s="19"/>
      <c r="K167" s="19"/>
      <c r="L167" s="19"/>
      <c r="M167" s="48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5:22" ht="13.8" x14ac:dyDescent="0.25">
      <c r="E168" s="19"/>
      <c r="F168" s="19"/>
      <c r="G168" s="19"/>
      <c r="H168" s="19"/>
      <c r="I168" s="19"/>
      <c r="J168" s="19"/>
      <c r="K168" s="19"/>
      <c r="L168" s="19"/>
      <c r="M168" s="48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5:22" ht="13.8" x14ac:dyDescent="0.25">
      <c r="E169" s="19"/>
      <c r="F169" s="19"/>
      <c r="G169" s="19"/>
      <c r="H169" s="19"/>
      <c r="I169" s="19"/>
      <c r="J169" s="19"/>
      <c r="K169" s="19"/>
      <c r="L169" s="19"/>
      <c r="M169" s="48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5:22" ht="13.8" x14ac:dyDescent="0.25">
      <c r="E170" s="19"/>
      <c r="F170" s="19"/>
      <c r="G170" s="19"/>
      <c r="H170" s="19"/>
      <c r="I170" s="19"/>
      <c r="J170" s="19"/>
      <c r="K170" s="19"/>
      <c r="L170" s="19"/>
      <c r="M170" s="48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5:22" ht="13.8" x14ac:dyDescent="0.25">
      <c r="E171" s="19"/>
      <c r="F171" s="19"/>
      <c r="G171" s="19"/>
      <c r="H171" s="19"/>
      <c r="I171" s="19"/>
      <c r="J171" s="19"/>
      <c r="K171" s="19"/>
      <c r="L171" s="19"/>
      <c r="M171" s="48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5:22" ht="13.8" x14ac:dyDescent="0.25">
      <c r="E172" s="19"/>
      <c r="F172" s="19"/>
      <c r="G172" s="19"/>
      <c r="H172" s="19"/>
      <c r="I172" s="19"/>
      <c r="J172" s="19"/>
      <c r="K172" s="19"/>
      <c r="L172" s="19"/>
      <c r="M172" s="48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5:22" ht="13.8" x14ac:dyDescent="0.25">
      <c r="E173" s="19"/>
      <c r="F173" s="19"/>
      <c r="G173" s="19"/>
      <c r="H173" s="19"/>
      <c r="I173" s="19"/>
      <c r="J173" s="19"/>
      <c r="K173" s="19"/>
      <c r="L173" s="19"/>
      <c r="M173" s="48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5:22" ht="13.8" x14ac:dyDescent="0.25">
      <c r="E174" s="19"/>
      <c r="F174" s="19"/>
      <c r="G174" s="19"/>
      <c r="H174" s="19"/>
      <c r="I174" s="19"/>
      <c r="J174" s="19"/>
      <c r="K174" s="19"/>
      <c r="L174" s="19"/>
      <c r="M174" s="48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5:22" ht="13.8" x14ac:dyDescent="0.25">
      <c r="E175" s="19"/>
      <c r="F175" s="19"/>
      <c r="G175" s="19"/>
      <c r="H175" s="19"/>
      <c r="I175" s="19"/>
      <c r="J175" s="19"/>
      <c r="K175" s="19"/>
      <c r="L175" s="19"/>
      <c r="M175" s="48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5:22" ht="13.8" x14ac:dyDescent="0.25">
      <c r="E176" s="19"/>
      <c r="F176" s="19"/>
      <c r="G176" s="19"/>
      <c r="H176" s="19"/>
      <c r="I176" s="19"/>
      <c r="J176" s="19"/>
      <c r="K176" s="19"/>
      <c r="L176" s="19"/>
      <c r="M176" s="48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5:22" ht="13.8" x14ac:dyDescent="0.25">
      <c r="E177" s="19"/>
      <c r="F177" s="19"/>
      <c r="G177" s="19"/>
      <c r="H177" s="19"/>
      <c r="I177" s="19"/>
      <c r="J177" s="19"/>
      <c r="K177" s="19"/>
      <c r="L177" s="19"/>
      <c r="M177" s="48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5:22" ht="13.8" x14ac:dyDescent="0.25">
      <c r="E178" s="19"/>
      <c r="F178" s="19"/>
      <c r="G178" s="19"/>
      <c r="H178" s="19"/>
      <c r="I178" s="19"/>
      <c r="J178" s="19"/>
      <c r="K178" s="19"/>
      <c r="L178" s="19"/>
      <c r="M178" s="48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5:22" ht="13.8" x14ac:dyDescent="0.25">
      <c r="E179" s="19"/>
      <c r="F179" s="19"/>
      <c r="G179" s="19"/>
      <c r="H179" s="19"/>
      <c r="I179" s="19"/>
      <c r="J179" s="19"/>
      <c r="K179" s="19"/>
      <c r="L179" s="19"/>
      <c r="M179" s="48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5:22" ht="13.8" x14ac:dyDescent="0.25">
      <c r="E180" s="19"/>
      <c r="F180" s="19"/>
      <c r="G180" s="19"/>
      <c r="H180" s="19"/>
      <c r="I180" s="19"/>
      <c r="J180" s="19"/>
      <c r="K180" s="19"/>
      <c r="L180" s="19"/>
      <c r="M180" s="48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5:22" ht="13.8" x14ac:dyDescent="0.25">
      <c r="E181" s="19"/>
      <c r="F181" s="19"/>
      <c r="G181" s="19"/>
      <c r="H181" s="19"/>
      <c r="I181" s="19"/>
      <c r="J181" s="19"/>
      <c r="K181" s="19"/>
      <c r="L181" s="19"/>
      <c r="M181" s="48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5:22" ht="13.8" x14ac:dyDescent="0.25">
      <c r="E182" s="19"/>
      <c r="F182" s="19"/>
      <c r="G182" s="19"/>
      <c r="H182" s="19"/>
      <c r="I182" s="19"/>
      <c r="J182" s="19"/>
      <c r="K182" s="19"/>
      <c r="L182" s="19"/>
      <c r="M182" s="48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5:22" ht="13.8" x14ac:dyDescent="0.25">
      <c r="E183" s="19"/>
      <c r="F183" s="19"/>
      <c r="G183" s="19"/>
      <c r="H183" s="19"/>
      <c r="I183" s="19"/>
      <c r="J183" s="19"/>
      <c r="K183" s="19"/>
      <c r="L183" s="19"/>
      <c r="M183" s="48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5:22" ht="13.8" x14ac:dyDescent="0.25">
      <c r="E184" s="19"/>
      <c r="F184" s="19"/>
      <c r="G184" s="19"/>
      <c r="H184" s="19"/>
      <c r="I184" s="19"/>
      <c r="J184" s="19"/>
      <c r="K184" s="19"/>
      <c r="L184" s="19"/>
      <c r="M184" s="48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5:22" ht="13.8" x14ac:dyDescent="0.25">
      <c r="E185" s="19"/>
      <c r="F185" s="19"/>
      <c r="G185" s="19"/>
      <c r="H185" s="19"/>
      <c r="I185" s="19"/>
      <c r="J185" s="19"/>
      <c r="K185" s="19"/>
      <c r="L185" s="19"/>
      <c r="M185" s="48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5:22" ht="13.8" x14ac:dyDescent="0.25">
      <c r="E186" s="19"/>
      <c r="F186" s="19"/>
      <c r="G186" s="19"/>
      <c r="H186" s="19"/>
      <c r="I186" s="19"/>
      <c r="J186" s="19"/>
      <c r="K186" s="19"/>
      <c r="L186" s="19"/>
      <c r="M186" s="48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5:22" ht="13.8" x14ac:dyDescent="0.25">
      <c r="E187" s="19"/>
      <c r="F187" s="19"/>
      <c r="G187" s="19"/>
      <c r="H187" s="19"/>
      <c r="I187" s="19"/>
      <c r="J187" s="19"/>
      <c r="K187" s="19"/>
      <c r="L187" s="19"/>
      <c r="M187" s="48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5:22" ht="13.8" x14ac:dyDescent="0.25">
      <c r="E188" s="19"/>
      <c r="F188" s="19"/>
      <c r="G188" s="19"/>
      <c r="H188" s="19"/>
      <c r="I188" s="19"/>
      <c r="J188" s="19"/>
      <c r="K188" s="19"/>
      <c r="L188" s="19"/>
      <c r="M188" s="48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5:22" ht="13.8" x14ac:dyDescent="0.25">
      <c r="E189" s="19"/>
      <c r="F189" s="19"/>
      <c r="G189" s="19"/>
      <c r="H189" s="19"/>
      <c r="I189" s="19"/>
      <c r="J189" s="19"/>
      <c r="K189" s="19"/>
      <c r="L189" s="19"/>
      <c r="M189" s="48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5:22" ht="13.8" x14ac:dyDescent="0.25">
      <c r="E190" s="19"/>
      <c r="F190" s="19"/>
      <c r="G190" s="19"/>
      <c r="H190" s="19"/>
      <c r="I190" s="19"/>
      <c r="J190" s="19"/>
      <c r="K190" s="19"/>
      <c r="L190" s="19"/>
      <c r="M190" s="48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5:22" ht="13.8" x14ac:dyDescent="0.25">
      <c r="E191" s="19"/>
      <c r="F191" s="19"/>
      <c r="G191" s="19"/>
      <c r="H191" s="19"/>
      <c r="I191" s="19"/>
      <c r="J191" s="19"/>
      <c r="K191" s="19"/>
      <c r="L191" s="19"/>
      <c r="M191" s="48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5:22" ht="13.8" x14ac:dyDescent="0.25">
      <c r="E192" s="19"/>
      <c r="F192" s="19"/>
      <c r="G192" s="19"/>
      <c r="H192" s="19"/>
      <c r="I192" s="19"/>
      <c r="J192" s="19"/>
      <c r="K192" s="19"/>
      <c r="L192" s="19"/>
      <c r="M192" s="48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5:22" ht="13.8" x14ac:dyDescent="0.25">
      <c r="E193" s="19"/>
      <c r="F193" s="19"/>
      <c r="G193" s="19"/>
      <c r="H193" s="19"/>
      <c r="I193" s="19"/>
      <c r="J193" s="19"/>
      <c r="K193" s="19"/>
      <c r="L193" s="19"/>
      <c r="M193" s="48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5:22" ht="13.8" x14ac:dyDescent="0.25">
      <c r="E194" s="19"/>
      <c r="F194" s="19"/>
      <c r="G194" s="19"/>
      <c r="H194" s="19"/>
      <c r="I194" s="19"/>
      <c r="J194" s="19"/>
      <c r="K194" s="19"/>
      <c r="L194" s="19"/>
      <c r="M194" s="48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5:22" ht="13.8" x14ac:dyDescent="0.25">
      <c r="E195" s="19"/>
      <c r="F195" s="19"/>
      <c r="G195" s="19"/>
      <c r="H195" s="19"/>
      <c r="I195" s="19"/>
      <c r="J195" s="19"/>
      <c r="K195" s="19"/>
      <c r="L195" s="19"/>
      <c r="M195" s="48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5:22" ht="13.8" x14ac:dyDescent="0.25">
      <c r="E196" s="19"/>
      <c r="F196" s="19"/>
      <c r="G196" s="19"/>
      <c r="H196" s="19"/>
      <c r="I196" s="19"/>
      <c r="J196" s="19"/>
      <c r="K196" s="19"/>
      <c r="L196" s="19"/>
      <c r="M196" s="48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5:22" ht="13.8" x14ac:dyDescent="0.25">
      <c r="E197" s="19"/>
      <c r="F197" s="19"/>
      <c r="G197" s="19"/>
      <c r="H197" s="19"/>
      <c r="I197" s="19"/>
      <c r="J197" s="19"/>
      <c r="K197" s="19"/>
      <c r="L197" s="19"/>
      <c r="M197" s="48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5:22" ht="13.8" x14ac:dyDescent="0.25">
      <c r="E198" s="19"/>
      <c r="F198" s="19"/>
      <c r="G198" s="19"/>
      <c r="H198" s="19"/>
      <c r="I198" s="19"/>
      <c r="J198" s="19"/>
      <c r="K198" s="19"/>
      <c r="L198" s="19"/>
      <c r="M198" s="48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5:22" ht="13.8" x14ac:dyDescent="0.25">
      <c r="E199" s="19"/>
      <c r="F199" s="19"/>
      <c r="G199" s="19"/>
      <c r="H199" s="19"/>
      <c r="I199" s="19"/>
      <c r="J199" s="19"/>
      <c r="K199" s="19"/>
      <c r="L199" s="19"/>
      <c r="M199" s="48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5:22" ht="13.8" x14ac:dyDescent="0.25">
      <c r="E200" s="19"/>
      <c r="F200" s="19"/>
      <c r="G200" s="19"/>
      <c r="H200" s="19"/>
      <c r="I200" s="19"/>
      <c r="J200" s="19"/>
      <c r="K200" s="19"/>
      <c r="L200" s="19"/>
      <c r="M200" s="48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5:22" ht="13.8" x14ac:dyDescent="0.25">
      <c r="E201" s="19"/>
      <c r="F201" s="19"/>
      <c r="G201" s="19"/>
      <c r="H201" s="19"/>
      <c r="I201" s="19"/>
      <c r="J201" s="19"/>
      <c r="K201" s="19"/>
      <c r="L201" s="19"/>
      <c r="M201" s="48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5:22" ht="13.8" x14ac:dyDescent="0.25">
      <c r="E202" s="19"/>
      <c r="F202" s="19"/>
      <c r="G202" s="19"/>
      <c r="H202" s="19"/>
      <c r="I202" s="19"/>
      <c r="J202" s="19"/>
      <c r="K202" s="19"/>
      <c r="L202" s="19"/>
      <c r="M202" s="48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5:22" ht="13.8" x14ac:dyDescent="0.25">
      <c r="E203" s="19"/>
      <c r="F203" s="19"/>
      <c r="G203" s="19"/>
      <c r="H203" s="19"/>
      <c r="I203" s="19"/>
      <c r="J203" s="19"/>
      <c r="K203" s="19"/>
      <c r="L203" s="19"/>
      <c r="M203" s="48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5:22" ht="13.8" x14ac:dyDescent="0.25">
      <c r="E204" s="19"/>
      <c r="F204" s="19"/>
      <c r="G204" s="19"/>
      <c r="H204" s="19"/>
      <c r="I204" s="19"/>
      <c r="J204" s="19"/>
      <c r="K204" s="19"/>
      <c r="L204" s="19"/>
      <c r="M204" s="48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5:22" ht="13.8" x14ac:dyDescent="0.25">
      <c r="E205" s="19"/>
      <c r="F205" s="19"/>
      <c r="G205" s="19"/>
      <c r="H205" s="19"/>
      <c r="I205" s="19"/>
      <c r="J205" s="19"/>
      <c r="K205" s="19"/>
      <c r="L205" s="19"/>
      <c r="M205" s="48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5:22" ht="13.8" x14ac:dyDescent="0.25">
      <c r="E206" s="19"/>
      <c r="F206" s="19"/>
      <c r="G206" s="19"/>
      <c r="H206" s="19"/>
      <c r="I206" s="19"/>
      <c r="J206" s="19"/>
      <c r="K206" s="19"/>
      <c r="L206" s="19"/>
      <c r="M206" s="48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5:22" ht="13.8" x14ac:dyDescent="0.25">
      <c r="E207" s="19"/>
      <c r="F207" s="19"/>
      <c r="G207" s="19"/>
      <c r="H207" s="19"/>
      <c r="I207" s="19"/>
      <c r="J207" s="19"/>
      <c r="K207" s="19"/>
      <c r="L207" s="19"/>
      <c r="M207" s="48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5:22" ht="13.8" x14ac:dyDescent="0.25">
      <c r="E208" s="19"/>
      <c r="F208" s="19"/>
      <c r="G208" s="19"/>
      <c r="H208" s="19"/>
      <c r="I208" s="19"/>
      <c r="J208" s="19"/>
      <c r="K208" s="19"/>
      <c r="L208" s="19"/>
      <c r="M208" s="48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5:22" ht="13.8" x14ac:dyDescent="0.25">
      <c r="E209" s="19"/>
      <c r="F209" s="19"/>
      <c r="G209" s="19"/>
      <c r="H209" s="19"/>
      <c r="I209" s="19"/>
      <c r="J209" s="19"/>
      <c r="K209" s="19"/>
      <c r="L209" s="19"/>
      <c r="M209" s="48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5:22" ht="13.8" x14ac:dyDescent="0.25">
      <c r="E210" s="19"/>
      <c r="F210" s="19"/>
      <c r="G210" s="19"/>
      <c r="H210" s="19"/>
      <c r="I210" s="19"/>
      <c r="J210" s="19"/>
      <c r="K210" s="19"/>
      <c r="L210" s="19"/>
      <c r="M210" s="48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5:22" ht="13.8" x14ac:dyDescent="0.25">
      <c r="E211" s="19"/>
      <c r="F211" s="19"/>
      <c r="G211" s="19"/>
      <c r="H211" s="19"/>
      <c r="I211" s="19"/>
      <c r="J211" s="19"/>
      <c r="K211" s="19"/>
      <c r="L211" s="19"/>
      <c r="M211" s="48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5:22" ht="13.8" x14ac:dyDescent="0.25">
      <c r="E212" s="19"/>
      <c r="F212" s="19"/>
      <c r="G212" s="19"/>
      <c r="H212" s="19"/>
      <c r="I212" s="19"/>
      <c r="J212" s="19"/>
      <c r="K212" s="19"/>
      <c r="L212" s="19"/>
      <c r="M212" s="48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5:22" ht="13.8" x14ac:dyDescent="0.25">
      <c r="E213" s="19"/>
      <c r="F213" s="19"/>
      <c r="G213" s="19"/>
      <c r="H213" s="19"/>
      <c r="I213" s="19"/>
      <c r="J213" s="19"/>
      <c r="K213" s="19"/>
      <c r="L213" s="19"/>
      <c r="M213" s="48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5:22" ht="13.8" x14ac:dyDescent="0.25">
      <c r="E214" s="19"/>
      <c r="F214" s="19"/>
      <c r="G214" s="19"/>
      <c r="H214" s="19"/>
      <c r="I214" s="19"/>
      <c r="J214" s="19"/>
      <c r="K214" s="19"/>
      <c r="L214" s="19"/>
      <c r="M214" s="48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5:22" ht="13.8" x14ac:dyDescent="0.25">
      <c r="E215" s="19"/>
      <c r="F215" s="19"/>
      <c r="G215" s="19"/>
      <c r="H215" s="19"/>
      <c r="I215" s="19"/>
      <c r="J215" s="19"/>
      <c r="K215" s="19"/>
      <c r="L215" s="19"/>
      <c r="M215" s="48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5:22" ht="13.8" x14ac:dyDescent="0.25">
      <c r="E216" s="19"/>
      <c r="F216" s="19"/>
      <c r="G216" s="19"/>
      <c r="H216" s="19"/>
      <c r="I216" s="19"/>
      <c r="J216" s="19"/>
      <c r="K216" s="19"/>
      <c r="L216" s="19"/>
      <c r="M216" s="48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5:22" ht="13.8" x14ac:dyDescent="0.25">
      <c r="E217" s="19"/>
      <c r="F217" s="19"/>
      <c r="G217" s="19"/>
      <c r="H217" s="19"/>
      <c r="I217" s="19"/>
      <c r="J217" s="19"/>
      <c r="K217" s="19"/>
      <c r="L217" s="19"/>
      <c r="M217" s="48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5:22" ht="13.8" x14ac:dyDescent="0.25">
      <c r="E218" s="19"/>
      <c r="F218" s="19"/>
      <c r="G218" s="19"/>
      <c r="H218" s="19"/>
      <c r="I218" s="19"/>
      <c r="J218" s="19"/>
      <c r="K218" s="19"/>
      <c r="L218" s="19"/>
      <c r="M218" s="48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5:22" ht="13.8" x14ac:dyDescent="0.25">
      <c r="E219" s="19"/>
      <c r="F219" s="19"/>
      <c r="G219" s="19"/>
      <c r="H219" s="19"/>
      <c r="I219" s="19"/>
      <c r="J219" s="19"/>
      <c r="K219" s="19"/>
      <c r="L219" s="19"/>
      <c r="M219" s="48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5:22" ht="13.8" x14ac:dyDescent="0.25">
      <c r="E220" s="19"/>
      <c r="F220" s="19"/>
      <c r="G220" s="19"/>
      <c r="H220" s="19"/>
      <c r="I220" s="19"/>
      <c r="J220" s="19"/>
      <c r="K220" s="19"/>
      <c r="L220" s="19"/>
      <c r="M220" s="48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5:22" ht="13.8" x14ac:dyDescent="0.25">
      <c r="E221" s="19"/>
      <c r="F221" s="19"/>
      <c r="G221" s="19"/>
      <c r="H221" s="19"/>
      <c r="I221" s="19"/>
      <c r="J221" s="19"/>
      <c r="K221" s="19"/>
      <c r="L221" s="19"/>
      <c r="M221" s="48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5:22" ht="13.8" x14ac:dyDescent="0.25">
      <c r="E222" s="19"/>
      <c r="F222" s="19"/>
      <c r="G222" s="19"/>
      <c r="H222" s="19"/>
      <c r="I222" s="19"/>
      <c r="J222" s="19"/>
      <c r="K222" s="19"/>
      <c r="L222" s="19"/>
      <c r="M222" s="48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5:22" ht="13.8" x14ac:dyDescent="0.25">
      <c r="E223" s="19"/>
      <c r="F223" s="19"/>
      <c r="G223" s="19"/>
      <c r="H223" s="19"/>
      <c r="I223" s="19"/>
      <c r="J223" s="19"/>
      <c r="K223" s="19"/>
      <c r="L223" s="19"/>
      <c r="M223" s="48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5:22" ht="13.8" x14ac:dyDescent="0.25">
      <c r="E224" s="19"/>
      <c r="F224" s="19"/>
      <c r="G224" s="19"/>
      <c r="H224" s="19"/>
      <c r="I224" s="19"/>
      <c r="J224" s="19"/>
      <c r="K224" s="19"/>
      <c r="L224" s="19"/>
      <c r="M224" s="48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5:22" ht="13.8" x14ac:dyDescent="0.25">
      <c r="E225" s="19"/>
      <c r="F225" s="19"/>
      <c r="G225" s="19"/>
      <c r="H225" s="19"/>
      <c r="I225" s="19"/>
      <c r="J225" s="19"/>
      <c r="K225" s="19"/>
      <c r="L225" s="19"/>
      <c r="M225" s="48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5:22" ht="13.8" x14ac:dyDescent="0.25">
      <c r="E226" s="19"/>
      <c r="F226" s="19"/>
      <c r="G226" s="19"/>
      <c r="H226" s="19"/>
      <c r="I226" s="19"/>
      <c r="J226" s="19"/>
      <c r="K226" s="19"/>
      <c r="L226" s="19"/>
      <c r="M226" s="48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5:22" ht="13.8" x14ac:dyDescent="0.25">
      <c r="E227" s="19"/>
      <c r="F227" s="19"/>
      <c r="G227" s="19"/>
      <c r="H227" s="19"/>
      <c r="I227" s="19"/>
      <c r="J227" s="19"/>
      <c r="K227" s="19"/>
      <c r="L227" s="19"/>
      <c r="M227" s="48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5:22" ht="13.8" x14ac:dyDescent="0.25">
      <c r="E228" s="19"/>
      <c r="F228" s="19"/>
      <c r="G228" s="19"/>
      <c r="H228" s="19"/>
      <c r="I228" s="19"/>
      <c r="J228" s="19"/>
      <c r="K228" s="19"/>
      <c r="L228" s="19"/>
      <c r="M228" s="48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5:22" ht="13.8" x14ac:dyDescent="0.25">
      <c r="E229" s="19"/>
      <c r="F229" s="19"/>
      <c r="G229" s="19"/>
      <c r="H229" s="19"/>
      <c r="I229" s="19"/>
      <c r="J229" s="19"/>
      <c r="K229" s="19"/>
      <c r="L229" s="19"/>
      <c r="M229" s="48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5:22" ht="13.8" x14ac:dyDescent="0.25">
      <c r="E230" s="19"/>
      <c r="F230" s="19"/>
      <c r="G230" s="19"/>
      <c r="H230" s="19"/>
      <c r="I230" s="19"/>
      <c r="J230" s="19"/>
      <c r="K230" s="19"/>
      <c r="L230" s="19"/>
      <c r="M230" s="48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5:22" ht="13.8" x14ac:dyDescent="0.25">
      <c r="E231" s="19"/>
      <c r="F231" s="19"/>
      <c r="G231" s="19"/>
      <c r="H231" s="19"/>
      <c r="I231" s="19"/>
      <c r="J231" s="19"/>
      <c r="K231" s="19"/>
      <c r="L231" s="19"/>
      <c r="M231" s="48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5:22" ht="13.8" x14ac:dyDescent="0.25">
      <c r="E232" s="19"/>
      <c r="F232" s="19"/>
      <c r="G232" s="19"/>
      <c r="H232" s="19"/>
      <c r="I232" s="19"/>
      <c r="J232" s="19"/>
      <c r="K232" s="19"/>
      <c r="L232" s="19"/>
      <c r="M232" s="48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5:22" ht="13.8" x14ac:dyDescent="0.25">
      <c r="E233" s="19"/>
      <c r="F233" s="19"/>
      <c r="G233" s="19"/>
      <c r="H233" s="19"/>
      <c r="I233" s="19"/>
      <c r="J233" s="19"/>
      <c r="K233" s="19"/>
      <c r="L233" s="19"/>
      <c r="M233" s="48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5:22" ht="13.8" x14ac:dyDescent="0.25">
      <c r="E234" s="19"/>
      <c r="F234" s="19"/>
      <c r="G234" s="19"/>
      <c r="H234" s="19"/>
      <c r="I234" s="19"/>
      <c r="J234" s="19"/>
      <c r="K234" s="19"/>
      <c r="L234" s="19"/>
      <c r="M234" s="48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5:22" ht="13.8" x14ac:dyDescent="0.25">
      <c r="E235" s="19"/>
      <c r="F235" s="19"/>
      <c r="G235" s="19"/>
      <c r="H235" s="19"/>
      <c r="I235" s="19"/>
      <c r="J235" s="19"/>
      <c r="K235" s="19"/>
      <c r="L235" s="19"/>
      <c r="M235" s="48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5:22" ht="13.8" x14ac:dyDescent="0.25">
      <c r="E236" s="19"/>
      <c r="F236" s="19"/>
      <c r="G236" s="19"/>
      <c r="H236" s="19"/>
      <c r="I236" s="19"/>
      <c r="J236" s="19"/>
      <c r="K236" s="19"/>
      <c r="L236" s="19"/>
      <c r="M236" s="48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5:22" ht="13.8" x14ac:dyDescent="0.25">
      <c r="E237" s="19"/>
      <c r="F237" s="19"/>
      <c r="G237" s="19"/>
      <c r="H237" s="19"/>
      <c r="I237" s="19"/>
      <c r="J237" s="19"/>
      <c r="K237" s="19"/>
      <c r="L237" s="19"/>
      <c r="M237" s="48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5:22" ht="13.8" x14ac:dyDescent="0.25">
      <c r="E238" s="19"/>
      <c r="F238" s="19"/>
      <c r="G238" s="19"/>
      <c r="H238" s="19"/>
      <c r="I238" s="19"/>
      <c r="J238" s="19"/>
      <c r="K238" s="19"/>
      <c r="L238" s="19"/>
      <c r="M238" s="48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5:22" ht="13.8" x14ac:dyDescent="0.25">
      <c r="E239" s="19"/>
      <c r="F239" s="19"/>
      <c r="G239" s="19"/>
      <c r="H239" s="19"/>
      <c r="I239" s="19"/>
      <c r="J239" s="19"/>
      <c r="K239" s="19"/>
      <c r="L239" s="19"/>
      <c r="M239" s="48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5:22" ht="13.8" x14ac:dyDescent="0.25">
      <c r="E240" s="19"/>
      <c r="F240" s="19"/>
      <c r="G240" s="19"/>
      <c r="H240" s="19"/>
      <c r="I240" s="19"/>
      <c r="J240" s="19"/>
      <c r="K240" s="19"/>
      <c r="L240" s="19"/>
      <c r="M240" s="48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5:22" ht="13.8" x14ac:dyDescent="0.25">
      <c r="E241" s="19"/>
      <c r="F241" s="19"/>
      <c r="G241" s="19"/>
      <c r="H241" s="19"/>
      <c r="I241" s="19"/>
      <c r="J241" s="19"/>
      <c r="K241" s="19"/>
      <c r="L241" s="19"/>
      <c r="M241" s="48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5:22" ht="13.8" x14ac:dyDescent="0.25">
      <c r="E242" s="19"/>
      <c r="F242" s="19"/>
      <c r="G242" s="19"/>
      <c r="H242" s="19"/>
      <c r="I242" s="19"/>
      <c r="J242" s="19"/>
      <c r="K242" s="19"/>
      <c r="L242" s="19"/>
      <c r="M242" s="48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5:22" ht="13.8" x14ac:dyDescent="0.25">
      <c r="E243" s="19"/>
      <c r="F243" s="19"/>
      <c r="G243" s="19"/>
      <c r="H243" s="19"/>
      <c r="I243" s="19"/>
      <c r="J243" s="19"/>
      <c r="K243" s="19"/>
      <c r="L243" s="19"/>
      <c r="M243" s="48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5:22" ht="13.8" x14ac:dyDescent="0.25">
      <c r="E244" s="19"/>
      <c r="F244" s="19"/>
      <c r="G244" s="19"/>
      <c r="H244" s="19"/>
      <c r="I244" s="19"/>
      <c r="J244" s="19"/>
      <c r="K244" s="19"/>
      <c r="L244" s="19"/>
      <c r="M244" s="48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5:22" ht="13.8" x14ac:dyDescent="0.25">
      <c r="E245" s="19"/>
      <c r="F245" s="19"/>
      <c r="G245" s="19"/>
      <c r="H245" s="19"/>
      <c r="I245" s="19"/>
      <c r="J245" s="19"/>
      <c r="K245" s="19"/>
      <c r="L245" s="19"/>
      <c r="M245" s="48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5:22" ht="13.8" x14ac:dyDescent="0.25">
      <c r="E246" s="19"/>
      <c r="F246" s="19"/>
      <c r="G246" s="19"/>
      <c r="H246" s="19"/>
      <c r="I246" s="19"/>
      <c r="J246" s="19"/>
      <c r="K246" s="19"/>
      <c r="L246" s="19"/>
      <c r="M246" s="48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5:22" ht="13.8" x14ac:dyDescent="0.25">
      <c r="E247" s="19"/>
      <c r="F247" s="19"/>
      <c r="G247" s="19"/>
      <c r="H247" s="19"/>
      <c r="I247" s="19"/>
      <c r="J247" s="19"/>
      <c r="K247" s="19"/>
      <c r="L247" s="19"/>
      <c r="M247" s="48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5:22" ht="13.8" x14ac:dyDescent="0.25">
      <c r="E248" s="19"/>
      <c r="F248" s="19"/>
      <c r="G248" s="19"/>
      <c r="H248" s="19"/>
      <c r="I248" s="19"/>
      <c r="J248" s="19"/>
      <c r="K248" s="19"/>
      <c r="L248" s="19"/>
      <c r="M248" s="48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5:22" ht="13.8" x14ac:dyDescent="0.25">
      <c r="E249" s="19"/>
      <c r="F249" s="19"/>
      <c r="G249" s="19"/>
      <c r="H249" s="19"/>
      <c r="I249" s="19"/>
      <c r="J249" s="19"/>
      <c r="K249" s="19"/>
      <c r="L249" s="19"/>
      <c r="M249" s="48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5:22" ht="13.8" x14ac:dyDescent="0.25">
      <c r="E250" s="19"/>
      <c r="F250" s="19"/>
      <c r="G250" s="19"/>
      <c r="H250" s="19"/>
      <c r="I250" s="19"/>
      <c r="J250" s="19"/>
      <c r="K250" s="19"/>
      <c r="L250" s="19"/>
      <c r="M250" s="48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5:22" ht="13.8" x14ac:dyDescent="0.25">
      <c r="E251" s="19"/>
      <c r="F251" s="19"/>
      <c r="G251" s="19"/>
      <c r="H251" s="19"/>
      <c r="I251" s="19"/>
      <c r="J251" s="19"/>
      <c r="K251" s="19"/>
      <c r="L251" s="19"/>
      <c r="M251" s="48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5:22" ht="13.8" x14ac:dyDescent="0.25">
      <c r="E252" s="19"/>
      <c r="F252" s="19"/>
      <c r="G252" s="19"/>
      <c r="H252" s="19"/>
      <c r="I252" s="19"/>
      <c r="J252" s="19"/>
      <c r="K252" s="19"/>
      <c r="L252" s="19"/>
      <c r="M252" s="48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5:22" ht="13.8" x14ac:dyDescent="0.25">
      <c r="E253" s="19"/>
      <c r="F253" s="19"/>
      <c r="G253" s="19"/>
      <c r="H253" s="19"/>
      <c r="I253" s="19"/>
      <c r="J253" s="19"/>
      <c r="K253" s="19"/>
      <c r="L253" s="19"/>
      <c r="M253" s="48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5:22" ht="13.8" x14ac:dyDescent="0.25">
      <c r="E254" s="19"/>
      <c r="F254" s="19"/>
      <c r="G254" s="19"/>
      <c r="H254" s="19"/>
      <c r="I254" s="19"/>
      <c r="J254" s="19"/>
      <c r="K254" s="19"/>
      <c r="L254" s="19"/>
      <c r="M254" s="48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5:22" ht="13.8" x14ac:dyDescent="0.25">
      <c r="E255" s="19"/>
      <c r="F255" s="19"/>
      <c r="G255" s="19"/>
      <c r="H255" s="19"/>
      <c r="I255" s="19"/>
      <c r="J255" s="19"/>
      <c r="K255" s="19"/>
      <c r="L255" s="19"/>
      <c r="M255" s="48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5:22" ht="13.8" x14ac:dyDescent="0.25">
      <c r="E256" s="19"/>
      <c r="F256" s="19"/>
      <c r="G256" s="19"/>
      <c r="H256" s="19"/>
      <c r="I256" s="19"/>
      <c r="J256" s="19"/>
      <c r="K256" s="19"/>
      <c r="L256" s="19"/>
      <c r="M256" s="48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5:22" ht="13.8" x14ac:dyDescent="0.25">
      <c r="E257" s="19"/>
      <c r="F257" s="19"/>
      <c r="G257" s="19"/>
      <c r="H257" s="19"/>
      <c r="I257" s="19"/>
      <c r="J257" s="19"/>
      <c r="K257" s="19"/>
      <c r="L257" s="19"/>
      <c r="M257" s="48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5:22" ht="13.8" x14ac:dyDescent="0.25">
      <c r="E258" s="19"/>
      <c r="F258" s="19"/>
      <c r="G258" s="19"/>
      <c r="H258" s="19"/>
      <c r="I258" s="19"/>
      <c r="J258" s="19"/>
      <c r="K258" s="19"/>
      <c r="L258" s="19"/>
      <c r="M258" s="48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5:22" ht="13.8" x14ac:dyDescent="0.25">
      <c r="E259" s="19"/>
      <c r="F259" s="19"/>
      <c r="G259" s="19"/>
      <c r="H259" s="19"/>
      <c r="I259" s="19"/>
      <c r="J259" s="19"/>
      <c r="K259" s="19"/>
      <c r="L259" s="19"/>
      <c r="M259" s="48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5:22" ht="13.8" x14ac:dyDescent="0.25">
      <c r="E260" s="19"/>
      <c r="F260" s="19"/>
      <c r="G260" s="19"/>
      <c r="H260" s="19"/>
      <c r="I260" s="19"/>
      <c r="J260" s="19"/>
      <c r="K260" s="19"/>
      <c r="L260" s="19"/>
      <c r="M260" s="48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5:22" ht="13.8" x14ac:dyDescent="0.25">
      <c r="E261" s="19"/>
      <c r="F261" s="19"/>
      <c r="G261" s="19"/>
      <c r="H261" s="19"/>
      <c r="I261" s="19"/>
      <c r="J261" s="19"/>
      <c r="K261" s="19"/>
      <c r="L261" s="19"/>
      <c r="M261" s="48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5:22" ht="13.8" x14ac:dyDescent="0.25">
      <c r="E262" s="19"/>
      <c r="F262" s="19"/>
      <c r="G262" s="19"/>
      <c r="H262" s="19"/>
      <c r="I262" s="19"/>
      <c r="J262" s="19"/>
      <c r="K262" s="19"/>
      <c r="L262" s="19"/>
      <c r="M262" s="48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5:22" ht="13.8" x14ac:dyDescent="0.25">
      <c r="E263" s="19"/>
      <c r="F263" s="19"/>
      <c r="G263" s="19"/>
      <c r="H263" s="19"/>
      <c r="I263" s="19"/>
      <c r="J263" s="19"/>
      <c r="K263" s="19"/>
      <c r="L263" s="19"/>
      <c r="M263" s="48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5:22" ht="13.8" x14ac:dyDescent="0.25">
      <c r="E264" s="19"/>
      <c r="F264" s="19"/>
      <c r="G264" s="19"/>
      <c r="H264" s="19"/>
      <c r="I264" s="19"/>
      <c r="J264" s="19"/>
      <c r="K264" s="19"/>
      <c r="L264" s="19"/>
      <c r="M264" s="48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5:22" ht="13.8" x14ac:dyDescent="0.25">
      <c r="E265" s="19"/>
      <c r="F265" s="19"/>
      <c r="G265" s="19"/>
      <c r="H265" s="19"/>
      <c r="I265" s="19"/>
      <c r="J265" s="19"/>
      <c r="K265" s="19"/>
      <c r="L265" s="19"/>
      <c r="M265" s="48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5:22" ht="13.8" x14ac:dyDescent="0.25">
      <c r="E266" s="19"/>
      <c r="F266" s="19"/>
      <c r="G266" s="19"/>
      <c r="H266" s="19"/>
      <c r="I266" s="19"/>
      <c r="J266" s="19"/>
      <c r="K266" s="19"/>
      <c r="L266" s="19"/>
      <c r="M266" s="48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5:22" ht="13.8" x14ac:dyDescent="0.25">
      <c r="E267" s="19"/>
      <c r="F267" s="19"/>
      <c r="G267" s="19"/>
      <c r="H267" s="19"/>
      <c r="I267" s="19"/>
      <c r="J267" s="19"/>
      <c r="K267" s="19"/>
      <c r="L267" s="19"/>
      <c r="M267" s="48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5:22" ht="13.8" x14ac:dyDescent="0.25">
      <c r="E268" s="19"/>
      <c r="F268" s="19"/>
      <c r="G268" s="19"/>
      <c r="H268" s="19"/>
      <c r="I268" s="19"/>
      <c r="J268" s="19"/>
      <c r="K268" s="19"/>
      <c r="L268" s="19"/>
      <c r="M268" s="48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5:22" ht="13.8" x14ac:dyDescent="0.25">
      <c r="E269" s="19"/>
      <c r="F269" s="19"/>
      <c r="G269" s="19"/>
      <c r="H269" s="19"/>
      <c r="I269" s="19"/>
      <c r="J269" s="19"/>
      <c r="K269" s="19"/>
      <c r="L269" s="19"/>
      <c r="M269" s="48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5:22" ht="13.8" x14ac:dyDescent="0.25">
      <c r="E270" s="19"/>
      <c r="F270" s="19"/>
      <c r="G270" s="19"/>
      <c r="H270" s="19"/>
      <c r="I270" s="19"/>
      <c r="J270" s="19"/>
      <c r="K270" s="19"/>
      <c r="L270" s="19"/>
      <c r="M270" s="48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5:22" ht="13.8" x14ac:dyDescent="0.25">
      <c r="E271" s="19"/>
      <c r="F271" s="19"/>
      <c r="G271" s="19"/>
      <c r="H271" s="19"/>
      <c r="I271" s="19"/>
      <c r="J271" s="19"/>
      <c r="K271" s="19"/>
      <c r="L271" s="19"/>
      <c r="M271" s="48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5:22" ht="13.8" x14ac:dyDescent="0.25">
      <c r="E272" s="19"/>
      <c r="F272" s="19"/>
      <c r="G272" s="19"/>
      <c r="H272" s="19"/>
      <c r="I272" s="19"/>
      <c r="J272" s="19"/>
      <c r="K272" s="19"/>
      <c r="L272" s="19"/>
      <c r="M272" s="48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5:22" ht="13.8" x14ac:dyDescent="0.25">
      <c r="E273" s="19"/>
      <c r="F273" s="19"/>
      <c r="G273" s="19"/>
      <c r="H273" s="19"/>
      <c r="I273" s="19"/>
      <c r="J273" s="19"/>
      <c r="K273" s="19"/>
      <c r="L273" s="19"/>
      <c r="M273" s="48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5:22" ht="13.8" x14ac:dyDescent="0.25">
      <c r="E274" s="19"/>
      <c r="F274" s="19"/>
      <c r="G274" s="19"/>
      <c r="H274" s="19"/>
      <c r="I274" s="19"/>
      <c r="J274" s="19"/>
      <c r="K274" s="19"/>
      <c r="L274" s="19"/>
      <c r="M274" s="48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5:22" ht="13.8" x14ac:dyDescent="0.25">
      <c r="E275" s="19"/>
      <c r="F275" s="19"/>
      <c r="G275" s="19"/>
      <c r="H275" s="19"/>
      <c r="I275" s="19"/>
      <c r="J275" s="19"/>
      <c r="K275" s="19"/>
      <c r="L275" s="19"/>
      <c r="M275" s="48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5:22" ht="13.8" x14ac:dyDescent="0.25">
      <c r="E276" s="19"/>
      <c r="F276" s="19"/>
      <c r="G276" s="19"/>
      <c r="H276" s="19"/>
      <c r="I276" s="19"/>
      <c r="J276" s="19"/>
      <c r="K276" s="19"/>
      <c r="L276" s="19"/>
      <c r="M276" s="48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5:22" ht="13.8" x14ac:dyDescent="0.25">
      <c r="E277" s="19"/>
      <c r="F277" s="19"/>
      <c r="G277" s="19"/>
      <c r="H277" s="19"/>
      <c r="I277" s="19"/>
      <c r="J277" s="19"/>
      <c r="K277" s="19"/>
      <c r="L277" s="19"/>
      <c r="M277" s="48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5:22" ht="13.8" x14ac:dyDescent="0.25">
      <c r="E278" s="19"/>
      <c r="F278" s="19"/>
      <c r="G278" s="19"/>
      <c r="H278" s="19"/>
      <c r="I278" s="19"/>
      <c r="J278" s="19"/>
      <c r="K278" s="19"/>
      <c r="L278" s="19"/>
      <c r="M278" s="48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5:22" ht="13.8" x14ac:dyDescent="0.25">
      <c r="E279" s="19"/>
      <c r="F279" s="19"/>
      <c r="G279" s="19"/>
      <c r="H279" s="19"/>
      <c r="I279" s="19"/>
      <c r="J279" s="19"/>
      <c r="K279" s="19"/>
      <c r="L279" s="19"/>
      <c r="M279" s="48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5:22" ht="13.8" x14ac:dyDescent="0.25">
      <c r="E280" s="19"/>
      <c r="F280" s="19"/>
      <c r="G280" s="19"/>
      <c r="H280" s="19"/>
      <c r="I280" s="19"/>
      <c r="J280" s="19"/>
      <c r="K280" s="19"/>
      <c r="L280" s="19"/>
      <c r="M280" s="48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5:22" ht="13.8" x14ac:dyDescent="0.25">
      <c r="E281" s="19"/>
      <c r="F281" s="19"/>
      <c r="G281" s="19"/>
      <c r="H281" s="19"/>
      <c r="I281" s="19"/>
      <c r="J281" s="19"/>
      <c r="K281" s="19"/>
      <c r="L281" s="19"/>
      <c r="M281" s="48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5:22" ht="13.8" x14ac:dyDescent="0.25">
      <c r="E282" s="19"/>
      <c r="F282" s="19"/>
      <c r="G282" s="19"/>
      <c r="H282" s="19"/>
      <c r="I282" s="19"/>
      <c r="J282" s="19"/>
      <c r="K282" s="19"/>
      <c r="L282" s="19"/>
      <c r="M282" s="48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5:22" ht="13.8" x14ac:dyDescent="0.25">
      <c r="E283" s="19"/>
      <c r="F283" s="19"/>
      <c r="G283" s="19"/>
      <c r="H283" s="19"/>
      <c r="I283" s="19"/>
      <c r="J283" s="19"/>
      <c r="K283" s="19"/>
      <c r="L283" s="19"/>
      <c r="M283" s="48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5:22" ht="13.8" x14ac:dyDescent="0.25">
      <c r="E284" s="19"/>
      <c r="F284" s="19"/>
      <c r="G284" s="19"/>
      <c r="H284" s="19"/>
      <c r="I284" s="19"/>
      <c r="J284" s="19"/>
      <c r="K284" s="19"/>
      <c r="L284" s="19"/>
      <c r="M284" s="48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5:22" ht="13.8" x14ac:dyDescent="0.25">
      <c r="E285" s="19"/>
      <c r="F285" s="19"/>
      <c r="G285" s="19"/>
      <c r="H285" s="19"/>
      <c r="I285" s="19"/>
      <c r="J285" s="19"/>
      <c r="K285" s="19"/>
      <c r="L285" s="19"/>
      <c r="M285" s="48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5:22" ht="13.8" x14ac:dyDescent="0.25">
      <c r="E286" s="19"/>
      <c r="F286" s="19"/>
      <c r="G286" s="19"/>
      <c r="H286" s="19"/>
      <c r="I286" s="19"/>
      <c r="J286" s="19"/>
      <c r="K286" s="19"/>
      <c r="L286" s="19"/>
      <c r="M286" s="48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5:22" ht="13.8" x14ac:dyDescent="0.25">
      <c r="E287" s="19"/>
      <c r="F287" s="19"/>
      <c r="G287" s="19"/>
      <c r="H287" s="19"/>
      <c r="I287" s="19"/>
      <c r="J287" s="19"/>
      <c r="K287" s="19"/>
      <c r="L287" s="19"/>
      <c r="M287" s="48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5:22" ht="13.8" x14ac:dyDescent="0.25">
      <c r="E288" s="19"/>
      <c r="F288" s="19"/>
      <c r="G288" s="19"/>
      <c r="H288" s="19"/>
      <c r="I288" s="19"/>
      <c r="J288" s="19"/>
      <c r="K288" s="19"/>
      <c r="L288" s="19"/>
      <c r="M288" s="48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5:22" ht="13.8" x14ac:dyDescent="0.25">
      <c r="E289" s="19"/>
      <c r="F289" s="19"/>
      <c r="G289" s="19"/>
      <c r="H289" s="19"/>
      <c r="I289" s="19"/>
      <c r="J289" s="19"/>
      <c r="K289" s="19"/>
      <c r="L289" s="19"/>
      <c r="M289" s="48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5:22" ht="13.8" x14ac:dyDescent="0.25">
      <c r="E290" s="19"/>
      <c r="F290" s="19"/>
      <c r="G290" s="19"/>
      <c r="H290" s="19"/>
      <c r="I290" s="19"/>
      <c r="J290" s="19"/>
      <c r="K290" s="19"/>
      <c r="L290" s="19"/>
      <c r="M290" s="48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5:22" ht="13.8" x14ac:dyDescent="0.25">
      <c r="E291" s="19"/>
      <c r="F291" s="19"/>
      <c r="G291" s="19"/>
      <c r="H291" s="19"/>
      <c r="I291" s="19"/>
      <c r="J291" s="19"/>
      <c r="K291" s="19"/>
      <c r="L291" s="19"/>
      <c r="M291" s="48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5:22" ht="13.8" x14ac:dyDescent="0.25">
      <c r="E292" s="19"/>
      <c r="F292" s="19"/>
      <c r="G292" s="19"/>
      <c r="H292" s="19"/>
      <c r="I292" s="19"/>
      <c r="J292" s="19"/>
      <c r="K292" s="19"/>
      <c r="L292" s="19"/>
      <c r="M292" s="48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5:22" ht="13.8" x14ac:dyDescent="0.25">
      <c r="E293" s="19"/>
      <c r="F293" s="19"/>
      <c r="G293" s="19"/>
      <c r="H293" s="19"/>
      <c r="I293" s="19"/>
      <c r="J293" s="19"/>
      <c r="K293" s="19"/>
      <c r="L293" s="19"/>
      <c r="M293" s="48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5:22" ht="13.8" x14ac:dyDescent="0.25">
      <c r="E294" s="19"/>
      <c r="F294" s="19"/>
      <c r="G294" s="19"/>
      <c r="H294" s="19"/>
      <c r="I294" s="19"/>
      <c r="J294" s="19"/>
      <c r="K294" s="19"/>
      <c r="L294" s="19"/>
      <c r="M294" s="48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5:22" ht="13.8" x14ac:dyDescent="0.25">
      <c r="E295" s="19"/>
      <c r="F295" s="19"/>
      <c r="G295" s="19"/>
      <c r="H295" s="19"/>
      <c r="I295" s="19"/>
      <c r="J295" s="19"/>
      <c r="K295" s="19"/>
      <c r="L295" s="19"/>
      <c r="M295" s="48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5:22" ht="13.8" x14ac:dyDescent="0.25">
      <c r="E296" s="19"/>
      <c r="F296" s="19"/>
      <c r="G296" s="19"/>
      <c r="H296" s="19"/>
      <c r="I296" s="19"/>
      <c r="J296" s="19"/>
      <c r="K296" s="19"/>
      <c r="L296" s="19"/>
      <c r="M296" s="48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5:22" ht="13.8" x14ac:dyDescent="0.25">
      <c r="E297" s="19"/>
      <c r="F297" s="19"/>
      <c r="G297" s="19"/>
      <c r="H297" s="19"/>
      <c r="I297" s="19"/>
      <c r="J297" s="19"/>
      <c r="K297" s="19"/>
      <c r="L297" s="19"/>
      <c r="M297" s="48"/>
      <c r="N297" s="19"/>
      <c r="O297" s="19"/>
      <c r="P297" s="19"/>
      <c r="Q297" s="19"/>
      <c r="R297" s="19"/>
      <c r="S297" s="19"/>
      <c r="T297" s="19"/>
      <c r="U297" s="20"/>
      <c r="V297" s="20"/>
    </row>
    <row r="298" spans="5:22" ht="13.8" x14ac:dyDescent="0.25">
      <c r="E298" s="19"/>
      <c r="F298" s="19"/>
      <c r="G298" s="19"/>
      <c r="H298" s="19"/>
      <c r="I298" s="19"/>
      <c r="J298" s="19"/>
      <c r="K298" s="19"/>
      <c r="L298" s="19"/>
      <c r="M298" s="48"/>
      <c r="N298" s="19"/>
      <c r="O298" s="19"/>
      <c r="P298" s="19"/>
      <c r="Q298" s="19"/>
      <c r="R298" s="19"/>
      <c r="S298" s="19"/>
      <c r="T298" s="19"/>
      <c r="U298" s="20"/>
      <c r="V298" s="19"/>
    </row>
    <row r="299" spans="5:22" ht="13.8" x14ac:dyDescent="0.25">
      <c r="E299" s="19"/>
      <c r="F299" s="19"/>
      <c r="G299" s="19"/>
      <c r="H299" s="19"/>
      <c r="I299" s="19"/>
      <c r="J299" s="19"/>
      <c r="K299" s="19"/>
      <c r="L299" s="19"/>
      <c r="M299" s="48"/>
      <c r="N299" s="19"/>
      <c r="O299" s="19"/>
      <c r="P299" s="19"/>
      <c r="Q299" s="19"/>
      <c r="R299" s="19"/>
      <c r="S299" s="19"/>
      <c r="T299" s="19"/>
      <c r="U299" s="20"/>
      <c r="V299" s="19"/>
    </row>
    <row r="300" spans="5:22" ht="13.8" x14ac:dyDescent="0.25">
      <c r="E300" s="19"/>
      <c r="F300" s="19"/>
      <c r="G300" s="19"/>
      <c r="H300" s="19"/>
      <c r="I300" s="19"/>
      <c r="J300" s="19"/>
      <c r="K300" s="19"/>
      <c r="L300" s="19"/>
      <c r="M300" s="48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5:22" ht="13.8" x14ac:dyDescent="0.25">
      <c r="E301" s="19"/>
      <c r="F301" s="19"/>
      <c r="G301" s="19"/>
      <c r="H301" s="19"/>
      <c r="I301" s="19"/>
      <c r="J301" s="19"/>
      <c r="K301" s="19"/>
      <c r="L301" s="19"/>
      <c r="M301" s="48"/>
      <c r="N301" s="19"/>
      <c r="O301" s="19"/>
      <c r="P301" s="19"/>
      <c r="Q301" s="19"/>
      <c r="R301" s="19"/>
      <c r="S301" s="19"/>
      <c r="T301" s="19"/>
    </row>
  </sheetData>
  <mergeCells count="6">
    <mergeCell ref="B1:L1"/>
    <mergeCell ref="B2:M2"/>
    <mergeCell ref="B3:M3"/>
    <mergeCell ref="B4:M4"/>
    <mergeCell ref="B5:C5"/>
    <mergeCell ref="D5:J5"/>
  </mergeCells>
  <dataValidations count="4">
    <dataValidation type="list" allowBlank="1" showDropDown="1" showInputMessage="1" showErrorMessage="1" sqref="K23 J6:J7 J1:J2 J9:J10 J23:J31" xr:uid="{11159023-8853-4F35-BA43-320DA5A3CDEA}">
      <formula1>"0,250,500,750,900,1500"</formula1>
    </dataValidation>
    <dataValidation allowBlank="1" showDropDown="1" showInputMessage="1" showErrorMessage="1" sqref="J8" xr:uid="{AC4FAF50-0578-4566-8854-7F875A996E1D}"/>
    <dataValidation type="list" allowBlank="1" showInputMessage="1" showErrorMessage="1" sqref="K24:K27" xr:uid="{0B8A9FA7-4561-4197-A07B-DAE66A0F8851}">
      <formula1>"0,500,750,900,1000"</formula1>
    </dataValidation>
    <dataValidation type="list" allowBlank="1" showInputMessage="1" showErrorMessage="1" sqref="K18:K19 K15:K16 K11:K13 K21:K22" xr:uid="{38A86F69-0710-434F-96A3-F19279E733D7}">
      <formula1>"1000,750,250"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AC75-6072-4495-B1BD-2ED8CE546F4C}">
  <dimension ref="B1:W301"/>
  <sheetViews>
    <sheetView topLeftCell="A15" zoomScaleNormal="100" workbookViewId="0">
      <selection activeCell="K9" sqref="K9"/>
    </sheetView>
  </sheetViews>
  <sheetFormatPr defaultColWidth="9.33203125" defaultRowHeight="14.4" x14ac:dyDescent="0.25"/>
  <cols>
    <col min="1" max="1" width="3.5546875" style="18" customWidth="1"/>
    <col min="2" max="2" width="10.5546875" style="19" customWidth="1"/>
    <col min="3" max="3" width="61.33203125" style="18" customWidth="1"/>
    <col min="4" max="5" width="17.109375" style="18" customWidth="1"/>
    <col min="6" max="6" width="23.6640625" style="18" customWidth="1"/>
    <col min="7" max="7" width="14.33203125" style="18" customWidth="1"/>
    <col min="8" max="8" width="23.6640625" style="18" customWidth="1"/>
    <col min="9" max="9" width="11.33203125" style="18" customWidth="1"/>
    <col min="10" max="10" width="15.6640625" style="18" customWidth="1"/>
    <col min="11" max="12" width="13.6640625" style="18" customWidth="1"/>
    <col min="13" max="13" width="48.6640625" style="52" customWidth="1"/>
    <col min="14" max="14" width="9.33203125" style="27"/>
    <col min="15" max="16384" width="9.33203125" style="18"/>
  </cols>
  <sheetData>
    <row r="1" spans="2:23" ht="13.8" x14ac:dyDescent="0.25"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48"/>
    </row>
    <row r="2" spans="2:23" ht="17.399999999999999" x14ac:dyDescent="0.3">
      <c r="B2" s="189" t="s">
        <v>95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28"/>
      <c r="O2" s="19"/>
      <c r="P2" s="19"/>
      <c r="Q2" s="19"/>
      <c r="R2" s="19"/>
    </row>
    <row r="3" spans="2:23" ht="17.399999999999999" x14ac:dyDescent="0.3">
      <c r="B3" s="190" t="s">
        <v>101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28"/>
      <c r="O3" s="19"/>
      <c r="P3" s="19"/>
      <c r="Q3" s="19"/>
      <c r="R3" s="19"/>
    </row>
    <row r="4" spans="2:23" ht="17.399999999999999" x14ac:dyDescent="0.3">
      <c r="B4" s="191" t="s">
        <v>104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28"/>
      <c r="O4" s="19"/>
      <c r="P4" s="19"/>
      <c r="Q4" s="19"/>
      <c r="R4" s="19"/>
    </row>
    <row r="5" spans="2:23" ht="17.399999999999999" x14ac:dyDescent="0.3">
      <c r="B5" s="200" t="s">
        <v>99</v>
      </c>
      <c r="C5" s="200"/>
      <c r="D5" s="201"/>
      <c r="E5" s="202"/>
      <c r="F5" s="202"/>
      <c r="G5" s="202"/>
      <c r="H5" s="202"/>
      <c r="I5" s="202"/>
      <c r="J5" s="203"/>
      <c r="K5" s="199"/>
      <c r="L5" s="199"/>
      <c r="M5" s="199"/>
      <c r="N5" s="28"/>
      <c r="O5" s="19"/>
      <c r="P5" s="19"/>
      <c r="Q5" s="19"/>
      <c r="R5" s="19"/>
      <c r="S5" s="19"/>
      <c r="T5" s="19"/>
      <c r="U5" s="19"/>
      <c r="V5" s="19"/>
      <c r="W5" s="19"/>
    </row>
    <row r="6" spans="2:23" ht="18" thickBot="1" x14ac:dyDescent="0.35">
      <c r="C6" s="137" t="s">
        <v>0</v>
      </c>
      <c r="M6" s="48"/>
      <c r="N6" s="28"/>
      <c r="O6" s="19"/>
      <c r="P6" s="19"/>
      <c r="Q6" s="19"/>
      <c r="R6" s="19"/>
      <c r="S6" s="19"/>
      <c r="T6" s="19"/>
      <c r="U6" s="20"/>
      <c r="V6" s="20"/>
    </row>
    <row r="7" spans="2:23" thickBot="1" x14ac:dyDescent="0.3">
      <c r="B7" s="83"/>
      <c r="C7" s="84"/>
      <c r="D7" s="85"/>
      <c r="E7" s="85"/>
      <c r="F7" s="85"/>
      <c r="G7" s="85"/>
      <c r="H7" s="85"/>
      <c r="I7" s="85"/>
      <c r="J7" s="85"/>
      <c r="K7" s="85"/>
      <c r="L7" s="86"/>
      <c r="M7" s="87" t="s">
        <v>1</v>
      </c>
      <c r="N7" s="28"/>
      <c r="O7" s="19"/>
      <c r="P7" s="19"/>
      <c r="Q7" s="19"/>
      <c r="R7" s="19"/>
      <c r="S7" s="19"/>
      <c r="T7" s="19"/>
      <c r="U7" s="20"/>
      <c r="V7" s="20"/>
    </row>
    <row r="8" spans="2:23" ht="45" customHeight="1" x14ac:dyDescent="0.25">
      <c r="B8" s="73"/>
      <c r="C8" s="74"/>
      <c r="D8" s="119" t="s">
        <v>2</v>
      </c>
      <c r="E8" s="75"/>
      <c r="F8" s="75"/>
      <c r="G8" s="75"/>
      <c r="H8" s="75"/>
      <c r="I8" s="75" t="s">
        <v>3</v>
      </c>
      <c r="J8" s="75" t="s">
        <v>4</v>
      </c>
      <c r="K8" s="75" t="s">
        <v>105</v>
      </c>
      <c r="L8" s="138" t="s">
        <v>5</v>
      </c>
      <c r="M8" s="76" t="s">
        <v>6</v>
      </c>
      <c r="N8" s="28"/>
      <c r="O8" s="19"/>
      <c r="P8" s="19"/>
      <c r="Q8" s="19"/>
      <c r="R8" s="19"/>
      <c r="S8" s="19"/>
      <c r="T8" s="19"/>
      <c r="U8" s="20"/>
      <c r="V8" s="19"/>
    </row>
    <row r="9" spans="2:23" s="21" customFormat="1" ht="13.8" x14ac:dyDescent="0.3">
      <c r="B9" s="139" t="s">
        <v>7</v>
      </c>
      <c r="C9" s="140" t="s">
        <v>38</v>
      </c>
      <c r="D9" s="167"/>
      <c r="E9" s="167"/>
      <c r="F9" s="167">
        <v>500</v>
      </c>
      <c r="G9" s="141"/>
      <c r="H9" s="141">
        <v>0</v>
      </c>
      <c r="I9" s="141"/>
      <c r="J9" s="141"/>
      <c r="K9" s="141"/>
      <c r="L9" s="142"/>
      <c r="M9" s="49" t="s">
        <v>1</v>
      </c>
      <c r="N9" s="154"/>
      <c r="O9" s="143"/>
      <c r="P9" s="143"/>
      <c r="Q9" s="143"/>
      <c r="R9" s="143"/>
      <c r="S9" s="143"/>
      <c r="T9" s="143"/>
      <c r="U9" s="144"/>
      <c r="V9" s="143"/>
      <c r="W9" s="145"/>
    </row>
    <row r="10" spans="2:23" s="21" customFormat="1" ht="60.6" customHeight="1" x14ac:dyDescent="0.3">
      <c r="B10" s="71"/>
      <c r="C10" s="197" t="s">
        <v>39</v>
      </c>
      <c r="D10" s="106"/>
      <c r="E10" s="106"/>
      <c r="F10" s="101" t="s">
        <v>40</v>
      </c>
      <c r="G10" s="104"/>
      <c r="H10" s="101" t="s">
        <v>41</v>
      </c>
      <c r="I10" s="103"/>
      <c r="J10" s="95"/>
      <c r="K10" s="95"/>
      <c r="L10" s="158"/>
      <c r="M10" s="50" t="s">
        <v>1</v>
      </c>
      <c r="N10" s="154"/>
      <c r="O10" s="143"/>
      <c r="P10" s="143"/>
      <c r="Q10" s="143"/>
      <c r="R10" s="143"/>
      <c r="S10" s="143"/>
      <c r="T10" s="143"/>
      <c r="U10" s="144"/>
      <c r="V10" s="144"/>
      <c r="W10" s="145"/>
    </row>
    <row r="11" spans="2:23" s="22" customFormat="1" ht="13.8" x14ac:dyDescent="0.3">
      <c r="B11" s="71"/>
      <c r="C11" s="99" t="s">
        <v>13</v>
      </c>
      <c r="D11" s="168"/>
      <c r="E11" s="168"/>
      <c r="F11" s="168"/>
      <c r="G11" s="169"/>
      <c r="H11" s="150"/>
      <c r="I11" s="95">
        <v>2</v>
      </c>
      <c r="J11" s="95">
        <f>I11*F9</f>
        <v>1000</v>
      </c>
      <c r="K11" s="170"/>
      <c r="L11" s="158">
        <f>I11*K11</f>
        <v>0</v>
      </c>
      <c r="M11" s="126"/>
      <c r="N11" s="171"/>
      <c r="O11" s="172"/>
      <c r="P11" s="172"/>
      <c r="Q11" s="172"/>
      <c r="R11" s="172"/>
      <c r="S11" s="172"/>
      <c r="T11" s="173"/>
      <c r="U11" s="173"/>
      <c r="V11" s="174"/>
      <c r="W11" s="174"/>
    </row>
    <row r="12" spans="2:23" s="22" customFormat="1" ht="13.8" x14ac:dyDescent="0.3">
      <c r="B12" s="71"/>
      <c r="C12" s="99" t="s">
        <v>14</v>
      </c>
      <c r="D12" s="168"/>
      <c r="E12" s="168"/>
      <c r="F12" s="168"/>
      <c r="G12" s="175"/>
      <c r="H12" s="176"/>
      <c r="I12" s="95">
        <v>2</v>
      </c>
      <c r="J12" s="95">
        <f>I12*F9</f>
        <v>1000</v>
      </c>
      <c r="K12" s="170"/>
      <c r="L12" s="158">
        <f>I12*K12</f>
        <v>0</v>
      </c>
      <c r="M12" s="126"/>
      <c r="N12" s="171"/>
      <c r="O12" s="172"/>
      <c r="P12" s="172"/>
      <c r="Q12" s="172"/>
      <c r="R12" s="172"/>
      <c r="S12" s="172"/>
      <c r="T12" s="173"/>
      <c r="U12" s="173"/>
      <c r="V12" s="174"/>
      <c r="W12" s="174"/>
    </row>
    <row r="13" spans="2:23" s="22" customFormat="1" ht="59.4" customHeight="1" x14ac:dyDescent="0.3">
      <c r="B13" s="71"/>
      <c r="C13" s="197" t="s">
        <v>42</v>
      </c>
      <c r="D13" s="101"/>
      <c r="E13" s="101"/>
      <c r="F13" s="108" t="s">
        <v>43</v>
      </c>
      <c r="G13" s="105"/>
      <c r="H13" s="108" t="s">
        <v>44</v>
      </c>
      <c r="I13" s="177"/>
      <c r="J13" s="178"/>
      <c r="K13" s="153"/>
      <c r="L13" s="158"/>
      <c r="M13" s="50"/>
      <c r="N13" s="171"/>
      <c r="O13" s="172"/>
      <c r="P13" s="172"/>
      <c r="Q13" s="172"/>
      <c r="R13" s="172"/>
      <c r="S13" s="172"/>
      <c r="T13" s="173"/>
      <c r="U13" s="173"/>
      <c r="V13" s="174"/>
      <c r="W13" s="174"/>
    </row>
    <row r="14" spans="2:23" s="22" customFormat="1" ht="13.8" x14ac:dyDescent="0.3">
      <c r="B14" s="71"/>
      <c r="C14" s="99" t="s">
        <v>13</v>
      </c>
      <c r="D14" s="168"/>
      <c r="E14" s="168"/>
      <c r="F14" s="168"/>
      <c r="G14" s="179"/>
      <c r="H14" s="180"/>
      <c r="I14" s="95">
        <v>3</v>
      </c>
      <c r="J14" s="107">
        <f>I14*F9</f>
        <v>1500</v>
      </c>
      <c r="K14" s="170"/>
      <c r="L14" s="158">
        <f t="shared" ref="L14:L18" si="0">I14*K14</f>
        <v>0</v>
      </c>
      <c r="M14" s="126"/>
      <c r="N14" s="171"/>
      <c r="O14" s="172"/>
      <c r="P14" s="172"/>
      <c r="Q14" s="172"/>
      <c r="R14" s="172"/>
      <c r="S14" s="172"/>
      <c r="T14" s="173"/>
      <c r="U14" s="173"/>
      <c r="V14" s="174"/>
      <c r="W14" s="174"/>
    </row>
    <row r="15" spans="2:23" s="22" customFormat="1" ht="13.8" x14ac:dyDescent="0.3">
      <c r="B15" s="71"/>
      <c r="C15" s="181" t="s">
        <v>14</v>
      </c>
      <c r="D15" s="168"/>
      <c r="E15" s="168"/>
      <c r="F15" s="168"/>
      <c r="G15" s="175"/>
      <c r="H15" s="176"/>
      <c r="I15" s="95">
        <v>3</v>
      </c>
      <c r="J15" s="107">
        <f>I15*F9</f>
        <v>1500</v>
      </c>
      <c r="K15" s="170"/>
      <c r="L15" s="158">
        <f t="shared" si="0"/>
        <v>0</v>
      </c>
      <c r="M15" s="126"/>
      <c r="N15" s="171"/>
      <c r="O15" s="172"/>
      <c r="P15" s="172"/>
      <c r="Q15" s="172"/>
      <c r="R15" s="172"/>
      <c r="S15" s="172"/>
      <c r="T15" s="173"/>
      <c r="U15" s="173"/>
      <c r="V15" s="174"/>
      <c r="W15" s="174"/>
    </row>
    <row r="16" spans="2:23" s="21" customFormat="1" ht="70.95" customHeight="1" x14ac:dyDescent="0.3">
      <c r="B16" s="100"/>
      <c r="C16" s="198" t="s">
        <v>45</v>
      </c>
      <c r="D16" s="101"/>
      <c r="E16" s="101"/>
      <c r="F16" s="101" t="s">
        <v>46</v>
      </c>
      <c r="G16" s="105"/>
      <c r="H16" s="101" t="s">
        <v>47</v>
      </c>
      <c r="I16" s="177"/>
      <c r="J16" s="182"/>
      <c r="K16" s="153"/>
      <c r="L16" s="158"/>
      <c r="M16" s="50"/>
      <c r="N16" s="154"/>
      <c r="O16" s="143"/>
      <c r="P16" s="143"/>
      <c r="Q16" s="143"/>
      <c r="R16" s="143"/>
      <c r="S16" s="143"/>
      <c r="T16" s="143"/>
      <c r="U16" s="144"/>
      <c r="V16" s="143"/>
      <c r="W16" s="145"/>
    </row>
    <row r="17" spans="2:22" s="21" customFormat="1" ht="13.8" x14ac:dyDescent="0.3">
      <c r="B17" s="100"/>
      <c r="C17" s="94" t="s">
        <v>13</v>
      </c>
      <c r="D17" s="180"/>
      <c r="E17" s="180"/>
      <c r="F17" s="180"/>
      <c r="G17" s="180"/>
      <c r="H17" s="180"/>
      <c r="I17" s="177">
        <v>2</v>
      </c>
      <c r="J17" s="95">
        <f>I17*F9</f>
        <v>1000</v>
      </c>
      <c r="K17" s="170"/>
      <c r="L17" s="158">
        <f t="shared" si="0"/>
        <v>0</v>
      </c>
      <c r="M17" s="126"/>
      <c r="N17" s="154"/>
      <c r="O17" s="143"/>
      <c r="P17" s="143"/>
      <c r="Q17" s="143"/>
      <c r="R17" s="143"/>
      <c r="S17" s="143"/>
      <c r="T17" s="143"/>
      <c r="U17" s="144"/>
      <c r="V17" s="143"/>
    </row>
    <row r="18" spans="2:22" s="21" customFormat="1" ht="13.8" x14ac:dyDescent="0.3">
      <c r="B18" s="100"/>
      <c r="C18" s="183" t="s">
        <v>14</v>
      </c>
      <c r="D18" s="176"/>
      <c r="E18" s="176"/>
      <c r="F18" s="176"/>
      <c r="G18" s="176"/>
      <c r="H18" s="176"/>
      <c r="I18" s="177">
        <v>2</v>
      </c>
      <c r="J18" s="95">
        <f>I18*F9</f>
        <v>1000</v>
      </c>
      <c r="K18" s="170"/>
      <c r="L18" s="158">
        <f t="shared" si="0"/>
        <v>0</v>
      </c>
      <c r="M18" s="126"/>
      <c r="N18" s="154"/>
      <c r="O18" s="143"/>
      <c r="P18" s="143"/>
      <c r="Q18" s="143"/>
      <c r="R18" s="143"/>
      <c r="S18" s="143"/>
      <c r="T18" s="143"/>
      <c r="U18" s="144"/>
      <c r="V18" s="143"/>
    </row>
    <row r="19" spans="2:22" s="21" customFormat="1" ht="13.8" x14ac:dyDescent="0.3">
      <c r="B19" s="110"/>
      <c r="C19" s="111"/>
      <c r="D19" s="184">
        <v>1000</v>
      </c>
      <c r="E19" s="141">
        <v>900</v>
      </c>
      <c r="F19" s="141">
        <v>750</v>
      </c>
      <c r="G19" s="141">
        <v>500</v>
      </c>
      <c r="H19" s="141">
        <v>0</v>
      </c>
      <c r="I19" s="141"/>
      <c r="J19" s="141"/>
      <c r="K19" s="141"/>
      <c r="L19" s="142"/>
      <c r="M19" s="49" t="s">
        <v>1</v>
      </c>
      <c r="N19" s="154"/>
      <c r="O19" s="143"/>
      <c r="P19" s="143"/>
      <c r="Q19" s="143"/>
      <c r="R19" s="143"/>
      <c r="S19" s="143"/>
      <c r="T19" s="143"/>
      <c r="U19" s="144"/>
      <c r="V19" s="143"/>
    </row>
    <row r="20" spans="2:22" s="21" customFormat="1" x14ac:dyDescent="0.3">
      <c r="B20" s="71"/>
      <c r="C20" s="102" t="s">
        <v>48</v>
      </c>
      <c r="D20" s="109" t="s">
        <v>49</v>
      </c>
      <c r="E20" s="109" t="s">
        <v>50</v>
      </c>
      <c r="F20" s="109" t="s">
        <v>51</v>
      </c>
      <c r="G20" s="109" t="s">
        <v>52</v>
      </c>
      <c r="H20" s="109" t="s">
        <v>53</v>
      </c>
      <c r="I20" s="177">
        <v>3</v>
      </c>
      <c r="J20" s="95">
        <f>I20*D19</f>
        <v>3000</v>
      </c>
      <c r="K20" s="170"/>
      <c r="L20" s="158">
        <f>I20*K20</f>
        <v>0</v>
      </c>
      <c r="M20" s="126"/>
      <c r="N20" s="154"/>
      <c r="O20" s="143"/>
      <c r="P20" s="143"/>
      <c r="Q20" s="143"/>
      <c r="R20" s="143"/>
      <c r="S20" s="143"/>
      <c r="T20" s="143"/>
      <c r="U20" s="144"/>
      <c r="V20" s="143"/>
    </row>
    <row r="21" spans="2:22" s="21" customFormat="1" x14ac:dyDescent="0.3">
      <c r="B21" s="71"/>
      <c r="C21" s="99" t="s">
        <v>54</v>
      </c>
      <c r="D21" s="109" t="s">
        <v>55</v>
      </c>
      <c r="E21" s="109" t="s">
        <v>56</v>
      </c>
      <c r="F21" s="109" t="s">
        <v>57</v>
      </c>
      <c r="G21" s="109" t="s">
        <v>58</v>
      </c>
      <c r="H21" s="109" t="s">
        <v>59</v>
      </c>
      <c r="I21" s="177">
        <v>3</v>
      </c>
      <c r="J21" s="95">
        <f>I21*D19</f>
        <v>3000</v>
      </c>
      <c r="K21" s="170"/>
      <c r="L21" s="158">
        <f>I21*K21</f>
        <v>0</v>
      </c>
      <c r="M21" s="126"/>
      <c r="N21" s="154"/>
      <c r="O21" s="143"/>
      <c r="P21" s="143"/>
      <c r="Q21" s="143"/>
      <c r="R21" s="143"/>
      <c r="S21" s="143"/>
      <c r="T21" s="143"/>
      <c r="U21" s="144"/>
      <c r="V21" s="143"/>
    </row>
    <row r="22" spans="2:22" s="21" customFormat="1" ht="13.8" x14ac:dyDescent="0.3">
      <c r="B22" s="72"/>
      <c r="C22" s="140" t="s">
        <v>28</v>
      </c>
      <c r="D22" s="141">
        <v>1000</v>
      </c>
      <c r="E22" s="141">
        <v>900</v>
      </c>
      <c r="F22" s="141">
        <v>750</v>
      </c>
      <c r="G22" s="141">
        <v>500</v>
      </c>
      <c r="H22" s="141">
        <v>0</v>
      </c>
      <c r="I22" s="141"/>
      <c r="J22" s="141"/>
      <c r="K22" s="141"/>
      <c r="L22" s="142"/>
      <c r="M22" s="51" t="s">
        <v>1</v>
      </c>
      <c r="N22" s="154"/>
      <c r="O22" s="143"/>
      <c r="P22" s="143"/>
      <c r="Q22" s="143"/>
      <c r="R22" s="143"/>
      <c r="S22" s="143"/>
      <c r="T22" s="143"/>
      <c r="U22" s="144"/>
      <c r="V22" s="143"/>
    </row>
    <row r="23" spans="2:22" s="21" customFormat="1" ht="41.4" x14ac:dyDescent="0.3">
      <c r="B23" s="71"/>
      <c r="C23" s="94" t="s">
        <v>60</v>
      </c>
      <c r="D23" s="156" t="s">
        <v>30</v>
      </c>
      <c r="E23" s="156" t="s">
        <v>31</v>
      </c>
      <c r="F23" s="156" t="s">
        <v>32</v>
      </c>
      <c r="G23" s="156" t="s">
        <v>33</v>
      </c>
      <c r="H23" s="156" t="s">
        <v>98</v>
      </c>
      <c r="I23" s="95">
        <v>2</v>
      </c>
      <c r="J23" s="95">
        <f>I23*1000</f>
        <v>2000</v>
      </c>
      <c r="K23" s="170"/>
      <c r="L23" s="158">
        <f>K23*I23</f>
        <v>0</v>
      </c>
      <c r="M23" s="126"/>
      <c r="N23" s="154"/>
      <c r="O23" s="143"/>
      <c r="P23" s="143"/>
      <c r="Q23" s="143"/>
      <c r="R23" s="143"/>
      <c r="S23" s="143"/>
      <c r="T23" s="143"/>
      <c r="U23" s="144"/>
      <c r="V23" s="143"/>
    </row>
    <row r="24" spans="2:22" s="21" customFormat="1" ht="41.4" x14ac:dyDescent="0.3">
      <c r="B24" s="71"/>
      <c r="C24" s="94" t="s">
        <v>61</v>
      </c>
      <c r="D24" s="156" t="s">
        <v>30</v>
      </c>
      <c r="E24" s="156" t="s">
        <v>31</v>
      </c>
      <c r="F24" s="156" t="s">
        <v>32</v>
      </c>
      <c r="G24" s="156" t="s">
        <v>33</v>
      </c>
      <c r="H24" s="156" t="s">
        <v>98</v>
      </c>
      <c r="I24" s="95">
        <v>2</v>
      </c>
      <c r="J24" s="95">
        <f>I24*1000</f>
        <v>2000</v>
      </c>
      <c r="K24" s="170"/>
      <c r="L24" s="158">
        <f>K24*I24</f>
        <v>0</v>
      </c>
      <c r="M24" s="126"/>
      <c r="N24" s="154"/>
      <c r="O24" s="143"/>
      <c r="P24" s="143"/>
      <c r="Q24" s="143"/>
      <c r="R24" s="143"/>
      <c r="S24" s="143"/>
      <c r="T24" s="143"/>
      <c r="U24" s="144"/>
      <c r="V24" s="143"/>
    </row>
    <row r="25" spans="2:22" s="21" customFormat="1" ht="42" thickBot="1" x14ac:dyDescent="0.35">
      <c r="B25" s="82"/>
      <c r="C25" s="98" t="s">
        <v>62</v>
      </c>
      <c r="D25" s="160" t="s">
        <v>30</v>
      </c>
      <c r="E25" s="160" t="s">
        <v>31</v>
      </c>
      <c r="F25" s="161" t="s">
        <v>32</v>
      </c>
      <c r="G25" s="160" t="s">
        <v>33</v>
      </c>
      <c r="H25" s="161" t="s">
        <v>98</v>
      </c>
      <c r="I25" s="162">
        <v>2</v>
      </c>
      <c r="J25" s="162">
        <f>I25*1000</f>
        <v>2000</v>
      </c>
      <c r="K25" s="185"/>
      <c r="L25" s="164">
        <f>K25*I25</f>
        <v>0</v>
      </c>
      <c r="M25" s="127"/>
      <c r="N25" s="154"/>
      <c r="O25" s="143"/>
      <c r="P25" s="143"/>
      <c r="Q25" s="143"/>
      <c r="R25" s="143"/>
      <c r="S25" s="143"/>
      <c r="T25" s="143"/>
      <c r="U25" s="144"/>
      <c r="V25" s="143"/>
    </row>
    <row r="26" spans="2:22" s="21" customFormat="1" thickBot="1" x14ac:dyDescent="0.35">
      <c r="B26" s="29"/>
      <c r="C26" s="186"/>
      <c r="D26" s="155"/>
      <c r="E26" s="155"/>
      <c r="F26" s="155"/>
      <c r="G26" s="155"/>
      <c r="H26" s="155"/>
      <c r="I26" s="143"/>
      <c r="J26" s="143"/>
      <c r="K26" s="187"/>
      <c r="L26" s="143"/>
      <c r="M26" s="143"/>
      <c r="N26" s="143"/>
      <c r="O26" s="143"/>
      <c r="P26" s="143"/>
      <c r="Q26" s="143"/>
      <c r="R26" s="143"/>
      <c r="S26" s="143"/>
      <c r="T26" s="144"/>
      <c r="U26" s="143"/>
      <c r="V26" s="145"/>
    </row>
    <row r="27" spans="2:22" ht="13.8" x14ac:dyDescent="0.25">
      <c r="C27" s="165" t="s">
        <v>35</v>
      </c>
      <c r="D27" s="23">
        <f>SUM(J11:J25)</f>
        <v>19000</v>
      </c>
      <c r="M27" s="53"/>
      <c r="N27" s="19"/>
      <c r="O27" s="19"/>
      <c r="P27" s="19"/>
      <c r="Q27" s="19"/>
      <c r="R27" s="19"/>
      <c r="S27" s="19"/>
      <c r="T27" s="19"/>
      <c r="U27" s="19"/>
    </row>
    <row r="28" spans="2:22" ht="13.8" x14ac:dyDescent="0.25">
      <c r="C28" s="166" t="s">
        <v>36</v>
      </c>
      <c r="D28" s="24">
        <f>SUM(L11:L25)</f>
        <v>0</v>
      </c>
      <c r="M28" s="48"/>
      <c r="N28" s="28"/>
      <c r="O28" s="19"/>
      <c r="P28" s="19"/>
      <c r="Q28" s="19"/>
      <c r="R28" s="19"/>
      <c r="S28" s="19"/>
      <c r="T28" s="19"/>
      <c r="U28" s="19"/>
      <c r="V28" s="19"/>
    </row>
    <row r="29" spans="2:22" ht="13.8" x14ac:dyDescent="0.25">
      <c r="C29" s="116" t="s">
        <v>37</v>
      </c>
      <c r="D29" s="24"/>
      <c r="M29" s="48"/>
      <c r="N29" s="28"/>
      <c r="O29" s="19"/>
      <c r="P29" s="19"/>
      <c r="Q29" s="19"/>
      <c r="R29" s="19"/>
      <c r="S29" s="19"/>
      <c r="T29" s="19"/>
      <c r="U29" s="19"/>
      <c r="V29" s="19"/>
    </row>
    <row r="30" spans="2:22" ht="13.8" x14ac:dyDescent="0.25">
      <c r="E30" s="19"/>
      <c r="F30" s="19"/>
      <c r="G30" s="19"/>
      <c r="H30" s="19"/>
      <c r="I30" s="19"/>
      <c r="J30" s="19"/>
      <c r="K30" s="19"/>
      <c r="L30" s="19"/>
      <c r="M30" s="48"/>
      <c r="N30" s="28"/>
      <c r="O30" s="19"/>
      <c r="P30" s="19"/>
      <c r="Q30" s="19"/>
      <c r="R30" s="19"/>
      <c r="S30" s="19"/>
      <c r="T30" s="19"/>
      <c r="U30" s="19"/>
      <c r="V30" s="19"/>
    </row>
    <row r="31" spans="2:22" ht="13.8" x14ac:dyDescent="0.25">
      <c r="E31" s="19"/>
      <c r="F31" s="19"/>
      <c r="G31" s="19"/>
      <c r="H31" s="19"/>
      <c r="I31" s="19"/>
      <c r="J31" s="19"/>
      <c r="K31" s="19"/>
      <c r="L31" s="19"/>
      <c r="M31" s="48"/>
      <c r="N31" s="28"/>
      <c r="O31" s="19"/>
      <c r="P31" s="19"/>
      <c r="Q31" s="19"/>
      <c r="R31" s="19"/>
      <c r="S31" s="19"/>
      <c r="T31" s="19"/>
      <c r="U31" s="19"/>
      <c r="V31" s="19"/>
    </row>
    <row r="32" spans="2:22" ht="13.8" x14ac:dyDescent="0.25">
      <c r="B32" s="135"/>
      <c r="C32" s="25"/>
      <c r="D32" s="19"/>
      <c r="F32" s="19"/>
      <c r="G32" s="19"/>
      <c r="H32" s="19"/>
      <c r="I32" s="19"/>
      <c r="J32" s="19"/>
      <c r="K32" s="19"/>
      <c r="L32" s="19"/>
      <c r="M32" s="48"/>
      <c r="N32" s="28"/>
      <c r="O32" s="19"/>
      <c r="P32" s="19"/>
      <c r="Q32" s="19"/>
      <c r="R32" s="19"/>
      <c r="S32" s="19"/>
      <c r="T32" s="19"/>
      <c r="U32" s="19"/>
      <c r="V32" s="19"/>
    </row>
    <row r="33" spans="2:22" ht="13.8" x14ac:dyDescent="0.25">
      <c r="B33" s="135"/>
      <c r="D33" s="19"/>
      <c r="F33" s="19"/>
      <c r="G33" s="19"/>
      <c r="H33" s="19"/>
      <c r="I33" s="19"/>
      <c r="J33" s="19"/>
      <c r="K33" s="19"/>
      <c r="L33" s="19"/>
      <c r="M33" s="48"/>
      <c r="N33" s="28"/>
      <c r="O33" s="19"/>
      <c r="P33" s="19"/>
      <c r="Q33" s="19"/>
      <c r="R33" s="19"/>
      <c r="S33" s="19"/>
      <c r="T33" s="19"/>
      <c r="U33" s="19"/>
      <c r="V33" s="19"/>
    </row>
    <row r="34" spans="2:22" ht="13.8" x14ac:dyDescent="0.25">
      <c r="B34" s="135"/>
      <c r="D34" s="19"/>
      <c r="F34" s="19"/>
      <c r="G34" s="19"/>
      <c r="H34" s="19"/>
      <c r="I34" s="19"/>
      <c r="J34" s="19"/>
      <c r="K34" s="19"/>
      <c r="L34" s="19"/>
      <c r="M34" s="48"/>
      <c r="N34" s="28"/>
      <c r="O34" s="19"/>
      <c r="P34" s="19"/>
      <c r="Q34" s="19"/>
      <c r="R34" s="19"/>
      <c r="S34" s="19"/>
      <c r="T34" s="19"/>
      <c r="U34" s="19"/>
      <c r="V34" s="19"/>
    </row>
    <row r="35" spans="2:22" ht="13.8" x14ac:dyDescent="0.25">
      <c r="B35" s="26"/>
      <c r="D35" s="19"/>
      <c r="F35" s="19"/>
      <c r="G35" s="19"/>
      <c r="H35" s="19"/>
      <c r="I35" s="19"/>
      <c r="J35" s="19"/>
      <c r="K35" s="19"/>
      <c r="L35" s="19"/>
      <c r="M35" s="48"/>
      <c r="N35" s="28"/>
      <c r="O35" s="19"/>
      <c r="P35" s="19"/>
      <c r="Q35" s="19"/>
      <c r="R35" s="19"/>
      <c r="S35" s="19"/>
      <c r="T35" s="19"/>
      <c r="U35" s="19"/>
      <c r="V35" s="19"/>
    </row>
    <row r="36" spans="2:22" ht="13.8" x14ac:dyDescent="0.25">
      <c r="E36" s="19"/>
      <c r="F36" s="19"/>
      <c r="G36" s="19"/>
      <c r="H36" s="19"/>
      <c r="I36" s="19"/>
      <c r="J36" s="19"/>
      <c r="K36" s="19"/>
      <c r="L36" s="19"/>
      <c r="M36" s="48"/>
      <c r="N36" s="28"/>
      <c r="O36" s="19"/>
      <c r="P36" s="19"/>
      <c r="Q36" s="19"/>
      <c r="R36" s="19"/>
      <c r="S36" s="19"/>
      <c r="T36" s="19"/>
      <c r="U36" s="19"/>
      <c r="V36" s="19"/>
    </row>
    <row r="37" spans="2:22" ht="13.8" x14ac:dyDescent="0.25">
      <c r="E37" s="19"/>
      <c r="F37" s="19"/>
      <c r="G37" s="19"/>
      <c r="H37" s="19"/>
      <c r="I37" s="19"/>
      <c r="J37" s="19"/>
      <c r="K37" s="19"/>
      <c r="L37" s="19"/>
      <c r="M37" s="48"/>
      <c r="N37" s="28"/>
      <c r="O37" s="19"/>
      <c r="P37" s="19"/>
      <c r="Q37" s="19"/>
      <c r="R37" s="19"/>
      <c r="S37" s="19"/>
      <c r="T37" s="19"/>
      <c r="U37" s="19"/>
      <c r="V37" s="19"/>
    </row>
    <row r="38" spans="2:22" ht="13.8" x14ac:dyDescent="0.25">
      <c r="E38" s="19"/>
      <c r="F38" s="19"/>
      <c r="G38" s="19"/>
      <c r="H38" s="19"/>
      <c r="I38" s="19"/>
      <c r="J38" s="19"/>
      <c r="K38" s="19"/>
      <c r="L38" s="19"/>
      <c r="M38" s="48"/>
      <c r="N38" s="28"/>
      <c r="O38" s="19"/>
      <c r="P38" s="19"/>
      <c r="Q38" s="19"/>
      <c r="R38" s="19"/>
      <c r="S38" s="19"/>
      <c r="T38" s="19"/>
      <c r="U38" s="19"/>
      <c r="V38" s="19"/>
    </row>
    <row r="39" spans="2:22" ht="13.8" x14ac:dyDescent="0.25">
      <c r="E39" s="19"/>
      <c r="F39" s="19"/>
      <c r="G39" s="19"/>
      <c r="H39" s="19"/>
      <c r="I39" s="19"/>
      <c r="J39" s="19"/>
      <c r="K39" s="19"/>
      <c r="L39" s="19"/>
      <c r="M39" s="48"/>
      <c r="N39" s="28"/>
      <c r="O39" s="19"/>
      <c r="P39" s="19"/>
      <c r="Q39" s="19"/>
      <c r="R39" s="19"/>
      <c r="S39" s="19"/>
      <c r="T39" s="19"/>
      <c r="U39" s="19"/>
      <c r="V39" s="19"/>
    </row>
    <row r="40" spans="2:22" ht="13.8" x14ac:dyDescent="0.25">
      <c r="E40" s="19"/>
      <c r="F40" s="19"/>
      <c r="G40" s="19"/>
      <c r="H40" s="19"/>
      <c r="I40" s="19"/>
      <c r="J40" s="19"/>
      <c r="K40" s="19"/>
      <c r="L40" s="19"/>
      <c r="M40" s="48"/>
      <c r="N40" s="28"/>
      <c r="O40" s="19"/>
      <c r="P40" s="19"/>
      <c r="Q40" s="19"/>
      <c r="R40" s="19"/>
      <c r="S40" s="19"/>
      <c r="T40" s="19"/>
      <c r="U40" s="19"/>
      <c r="V40" s="19"/>
    </row>
    <row r="41" spans="2:22" ht="13.8" x14ac:dyDescent="0.25">
      <c r="E41" s="19"/>
      <c r="F41" s="19"/>
      <c r="G41" s="19"/>
      <c r="H41" s="19"/>
      <c r="I41" s="19"/>
      <c r="J41" s="19"/>
      <c r="K41" s="19"/>
      <c r="L41" s="19"/>
      <c r="M41" s="48"/>
      <c r="N41" s="28"/>
      <c r="O41" s="19"/>
      <c r="P41" s="19"/>
      <c r="Q41" s="19"/>
      <c r="R41" s="19"/>
      <c r="S41" s="19"/>
      <c r="T41" s="19"/>
      <c r="U41" s="19"/>
      <c r="V41" s="19"/>
    </row>
    <row r="42" spans="2:22" ht="13.8" x14ac:dyDescent="0.25">
      <c r="E42" s="19"/>
      <c r="F42" s="19"/>
      <c r="G42" s="19"/>
      <c r="H42" s="19"/>
      <c r="I42" s="19"/>
      <c r="J42" s="19"/>
      <c r="K42" s="19"/>
      <c r="L42" s="19"/>
      <c r="M42" s="48"/>
      <c r="N42" s="28"/>
      <c r="O42" s="19"/>
      <c r="P42" s="19"/>
      <c r="Q42" s="19"/>
      <c r="R42" s="19"/>
      <c r="S42" s="19"/>
      <c r="T42" s="19"/>
      <c r="U42" s="19"/>
      <c r="V42" s="19"/>
    </row>
    <row r="43" spans="2:22" ht="13.8" x14ac:dyDescent="0.25">
      <c r="E43" s="19"/>
      <c r="F43" s="19"/>
      <c r="G43" s="19"/>
      <c r="H43" s="19"/>
      <c r="I43" s="19"/>
      <c r="J43" s="19"/>
      <c r="K43" s="19"/>
      <c r="L43" s="19"/>
      <c r="M43" s="48"/>
      <c r="N43" s="28"/>
      <c r="O43" s="19"/>
      <c r="P43" s="19"/>
      <c r="Q43" s="19"/>
      <c r="R43" s="19"/>
      <c r="S43" s="19"/>
      <c r="T43" s="19"/>
      <c r="U43" s="19"/>
      <c r="V43" s="19"/>
    </row>
    <row r="44" spans="2:22" ht="13.8" x14ac:dyDescent="0.25">
      <c r="E44" s="19"/>
      <c r="F44" s="19"/>
      <c r="G44" s="19"/>
      <c r="H44" s="19"/>
      <c r="I44" s="19"/>
      <c r="J44" s="19"/>
      <c r="K44" s="19"/>
      <c r="L44" s="19"/>
      <c r="M44" s="48"/>
      <c r="N44" s="28"/>
      <c r="O44" s="19"/>
      <c r="P44" s="19"/>
      <c r="Q44" s="19"/>
      <c r="R44" s="19"/>
      <c r="S44" s="19"/>
      <c r="T44" s="19"/>
      <c r="U44" s="19"/>
      <c r="V44" s="19"/>
    </row>
    <row r="45" spans="2:22" ht="13.8" x14ac:dyDescent="0.25">
      <c r="E45" s="19"/>
      <c r="F45" s="19"/>
      <c r="G45" s="19"/>
      <c r="H45" s="19"/>
      <c r="I45" s="19"/>
      <c r="J45" s="19"/>
      <c r="K45" s="19"/>
      <c r="L45" s="19"/>
      <c r="M45" s="48"/>
      <c r="N45" s="28"/>
      <c r="O45" s="19"/>
      <c r="P45" s="19"/>
      <c r="Q45" s="19"/>
      <c r="R45" s="19"/>
      <c r="S45" s="19"/>
      <c r="T45" s="19"/>
      <c r="U45" s="19"/>
      <c r="V45" s="19"/>
    </row>
    <row r="46" spans="2:22" ht="13.8" x14ac:dyDescent="0.25">
      <c r="E46" s="19"/>
      <c r="F46" s="19"/>
      <c r="G46" s="19"/>
      <c r="H46" s="19"/>
      <c r="I46" s="19"/>
      <c r="J46" s="19"/>
      <c r="K46" s="19"/>
      <c r="L46" s="19"/>
      <c r="M46" s="48"/>
      <c r="N46" s="28"/>
      <c r="O46" s="19"/>
      <c r="P46" s="19"/>
      <c r="Q46" s="19"/>
      <c r="R46" s="19"/>
      <c r="S46" s="19"/>
      <c r="T46" s="19"/>
      <c r="U46" s="19"/>
      <c r="V46" s="19"/>
    </row>
    <row r="47" spans="2:22" ht="13.8" x14ac:dyDescent="0.25">
      <c r="E47" s="19"/>
      <c r="F47" s="19"/>
      <c r="G47" s="19"/>
      <c r="H47" s="19"/>
      <c r="I47" s="19"/>
      <c r="J47" s="19"/>
      <c r="K47" s="19"/>
      <c r="L47" s="19"/>
      <c r="M47" s="48"/>
      <c r="N47" s="28"/>
      <c r="O47" s="19"/>
      <c r="P47" s="19"/>
      <c r="Q47" s="19"/>
      <c r="R47" s="19"/>
      <c r="S47" s="19"/>
      <c r="T47" s="19"/>
      <c r="U47" s="19"/>
      <c r="V47" s="19"/>
    </row>
    <row r="48" spans="2:22" ht="13.8" x14ac:dyDescent="0.25">
      <c r="E48" s="19"/>
      <c r="F48" s="19"/>
      <c r="G48" s="19"/>
      <c r="H48" s="19"/>
      <c r="I48" s="19"/>
      <c r="J48" s="19"/>
      <c r="K48" s="19"/>
      <c r="L48" s="19"/>
      <c r="M48" s="48"/>
      <c r="N48" s="28"/>
      <c r="O48" s="19"/>
      <c r="P48" s="19"/>
      <c r="Q48" s="19"/>
      <c r="R48" s="19"/>
      <c r="S48" s="19"/>
      <c r="T48" s="19"/>
      <c r="U48" s="19"/>
      <c r="V48" s="19"/>
    </row>
    <row r="49" spans="5:22" ht="13.8" x14ac:dyDescent="0.25">
      <c r="E49" s="19"/>
      <c r="F49" s="19"/>
      <c r="G49" s="19"/>
      <c r="H49" s="19"/>
      <c r="I49" s="19"/>
      <c r="J49" s="19"/>
      <c r="K49" s="19"/>
      <c r="L49" s="19"/>
      <c r="M49" s="48"/>
      <c r="N49" s="28"/>
      <c r="O49" s="19"/>
      <c r="P49" s="19"/>
      <c r="Q49" s="19"/>
      <c r="R49" s="19"/>
      <c r="S49" s="19"/>
      <c r="T49" s="19"/>
      <c r="U49" s="19"/>
      <c r="V49" s="19"/>
    </row>
    <row r="50" spans="5:22" ht="13.8" x14ac:dyDescent="0.25">
      <c r="E50" s="19"/>
      <c r="F50" s="19"/>
      <c r="G50" s="19"/>
      <c r="H50" s="19"/>
      <c r="I50" s="19"/>
      <c r="J50" s="19"/>
      <c r="K50" s="19"/>
      <c r="L50" s="19"/>
      <c r="M50" s="48"/>
      <c r="N50" s="28"/>
      <c r="O50" s="19"/>
      <c r="P50" s="19"/>
      <c r="Q50" s="19"/>
      <c r="R50" s="19"/>
      <c r="S50" s="19"/>
      <c r="T50" s="19"/>
      <c r="U50" s="19"/>
      <c r="V50" s="19"/>
    </row>
    <row r="51" spans="5:22" ht="13.8" x14ac:dyDescent="0.25">
      <c r="E51" s="19"/>
      <c r="F51" s="19"/>
      <c r="G51" s="19"/>
      <c r="H51" s="19"/>
      <c r="I51" s="19"/>
      <c r="J51" s="19"/>
      <c r="K51" s="19"/>
      <c r="L51" s="19"/>
      <c r="M51" s="48"/>
      <c r="N51" s="28"/>
      <c r="O51" s="19"/>
      <c r="P51" s="19"/>
      <c r="Q51" s="19"/>
      <c r="R51" s="19"/>
      <c r="S51" s="19"/>
      <c r="T51" s="19"/>
      <c r="U51" s="19"/>
      <c r="V51" s="19"/>
    </row>
    <row r="52" spans="5:22" ht="13.8" x14ac:dyDescent="0.25">
      <c r="E52" s="19"/>
      <c r="F52" s="19"/>
      <c r="G52" s="19"/>
      <c r="H52" s="19"/>
      <c r="I52" s="19"/>
      <c r="J52" s="19"/>
      <c r="K52" s="19"/>
      <c r="L52" s="19"/>
      <c r="M52" s="48"/>
      <c r="N52" s="28"/>
      <c r="O52" s="19"/>
      <c r="P52" s="19"/>
      <c r="Q52" s="19"/>
      <c r="R52" s="19"/>
      <c r="S52" s="19"/>
      <c r="T52" s="19"/>
      <c r="U52" s="19"/>
      <c r="V52" s="19"/>
    </row>
    <row r="53" spans="5:22" ht="13.8" x14ac:dyDescent="0.25">
      <c r="E53" s="19"/>
      <c r="F53" s="19"/>
      <c r="G53" s="19"/>
      <c r="H53" s="19"/>
      <c r="I53" s="19"/>
      <c r="J53" s="19"/>
      <c r="K53" s="19"/>
      <c r="L53" s="19"/>
      <c r="M53" s="48"/>
      <c r="N53" s="28"/>
      <c r="O53" s="19"/>
      <c r="P53" s="19"/>
      <c r="Q53" s="19"/>
      <c r="R53" s="19"/>
      <c r="S53" s="19"/>
      <c r="T53" s="19"/>
      <c r="U53" s="19"/>
      <c r="V53" s="19"/>
    </row>
    <row r="54" spans="5:22" ht="13.8" x14ac:dyDescent="0.25">
      <c r="E54" s="19"/>
      <c r="F54" s="19"/>
      <c r="G54" s="19"/>
      <c r="H54" s="19"/>
      <c r="I54" s="19"/>
      <c r="J54" s="19"/>
      <c r="K54" s="19"/>
      <c r="L54" s="19"/>
      <c r="M54" s="48"/>
      <c r="N54" s="28"/>
      <c r="O54" s="19"/>
      <c r="P54" s="19"/>
      <c r="Q54" s="19"/>
      <c r="R54" s="19"/>
      <c r="S54" s="19"/>
      <c r="T54" s="19"/>
      <c r="U54" s="19"/>
      <c r="V54" s="19"/>
    </row>
    <row r="55" spans="5:22" ht="13.8" x14ac:dyDescent="0.25">
      <c r="E55" s="19"/>
      <c r="F55" s="19"/>
      <c r="G55" s="19"/>
      <c r="H55" s="19"/>
      <c r="I55" s="19"/>
      <c r="J55" s="19"/>
      <c r="K55" s="19"/>
      <c r="L55" s="19"/>
      <c r="M55" s="48"/>
      <c r="N55" s="28"/>
      <c r="O55" s="19"/>
      <c r="P55" s="19"/>
      <c r="Q55" s="19"/>
      <c r="R55" s="19"/>
      <c r="S55" s="19"/>
      <c r="T55" s="19"/>
      <c r="U55" s="19"/>
      <c r="V55" s="19"/>
    </row>
    <row r="56" spans="5:22" ht="13.8" x14ac:dyDescent="0.25">
      <c r="E56" s="19"/>
      <c r="F56" s="19"/>
      <c r="G56" s="19"/>
      <c r="H56" s="19"/>
      <c r="I56" s="19"/>
      <c r="J56" s="19"/>
      <c r="K56" s="19"/>
      <c r="L56" s="19"/>
      <c r="M56" s="48"/>
      <c r="N56" s="28"/>
      <c r="O56" s="19"/>
      <c r="P56" s="19"/>
      <c r="Q56" s="19"/>
      <c r="R56" s="19"/>
      <c r="S56" s="19"/>
      <c r="T56" s="19"/>
      <c r="U56" s="19"/>
      <c r="V56" s="19"/>
    </row>
    <row r="57" spans="5:22" ht="13.8" x14ac:dyDescent="0.25">
      <c r="E57" s="19"/>
      <c r="F57" s="19"/>
      <c r="G57" s="19"/>
      <c r="H57" s="19"/>
      <c r="I57" s="19"/>
      <c r="J57" s="19"/>
      <c r="K57" s="19"/>
      <c r="L57" s="19"/>
      <c r="M57" s="48"/>
      <c r="N57" s="28"/>
      <c r="O57" s="19"/>
      <c r="P57" s="19"/>
      <c r="Q57" s="19"/>
      <c r="R57" s="19"/>
      <c r="S57" s="19"/>
      <c r="T57" s="19"/>
      <c r="U57" s="19"/>
      <c r="V57" s="19"/>
    </row>
    <row r="58" spans="5:22" ht="13.8" x14ac:dyDescent="0.25">
      <c r="E58" s="19"/>
      <c r="F58" s="19"/>
      <c r="G58" s="19"/>
      <c r="H58" s="19"/>
      <c r="I58" s="19"/>
      <c r="J58" s="19"/>
      <c r="K58" s="19"/>
      <c r="L58" s="19"/>
      <c r="M58" s="48"/>
      <c r="N58" s="28"/>
      <c r="O58" s="19"/>
      <c r="P58" s="19"/>
      <c r="Q58" s="19"/>
      <c r="R58" s="19"/>
      <c r="S58" s="19"/>
      <c r="T58" s="19"/>
      <c r="U58" s="19"/>
      <c r="V58" s="19"/>
    </row>
    <row r="59" spans="5:22" ht="13.8" x14ac:dyDescent="0.25">
      <c r="E59" s="19"/>
      <c r="F59" s="19"/>
      <c r="G59" s="19"/>
      <c r="H59" s="19"/>
      <c r="I59" s="19"/>
      <c r="J59" s="19"/>
      <c r="K59" s="19"/>
      <c r="L59" s="19"/>
      <c r="M59" s="48"/>
      <c r="N59" s="28"/>
      <c r="O59" s="19"/>
      <c r="P59" s="19"/>
      <c r="Q59" s="19"/>
      <c r="R59" s="19"/>
      <c r="S59" s="19"/>
      <c r="T59" s="19"/>
      <c r="U59" s="19"/>
      <c r="V59" s="19"/>
    </row>
    <row r="60" spans="5:22" ht="13.8" x14ac:dyDescent="0.25">
      <c r="E60" s="19"/>
      <c r="F60" s="19"/>
      <c r="G60" s="19"/>
      <c r="H60" s="19"/>
      <c r="I60" s="19"/>
      <c r="J60" s="19"/>
      <c r="K60" s="19"/>
      <c r="L60" s="19"/>
      <c r="M60" s="48"/>
      <c r="N60" s="28"/>
      <c r="O60" s="19"/>
      <c r="P60" s="19"/>
      <c r="Q60" s="19"/>
      <c r="R60" s="19"/>
      <c r="S60" s="19"/>
      <c r="T60" s="19"/>
      <c r="U60" s="19"/>
      <c r="V60" s="19"/>
    </row>
    <row r="61" spans="5:22" ht="13.8" x14ac:dyDescent="0.25">
      <c r="E61" s="19"/>
      <c r="F61" s="19"/>
      <c r="G61" s="19"/>
      <c r="H61" s="19"/>
      <c r="I61" s="19"/>
      <c r="J61" s="19"/>
      <c r="K61" s="19"/>
      <c r="L61" s="19"/>
      <c r="M61" s="48"/>
      <c r="N61" s="28"/>
      <c r="O61" s="19"/>
      <c r="P61" s="19"/>
      <c r="Q61" s="19"/>
      <c r="R61" s="19"/>
      <c r="S61" s="19"/>
      <c r="T61" s="19"/>
      <c r="U61" s="19"/>
      <c r="V61" s="19"/>
    </row>
    <row r="62" spans="5:22" ht="13.8" x14ac:dyDescent="0.25">
      <c r="E62" s="19"/>
      <c r="F62" s="19"/>
      <c r="G62" s="19"/>
      <c r="H62" s="19"/>
      <c r="I62" s="19"/>
      <c r="J62" s="19"/>
      <c r="K62" s="19"/>
      <c r="L62" s="19"/>
      <c r="M62" s="48"/>
      <c r="N62" s="28"/>
      <c r="O62" s="19"/>
      <c r="P62" s="19"/>
      <c r="Q62" s="19"/>
      <c r="R62" s="19"/>
      <c r="S62" s="19"/>
      <c r="T62" s="19"/>
      <c r="U62" s="19"/>
      <c r="V62" s="19"/>
    </row>
    <row r="63" spans="5:22" ht="13.8" x14ac:dyDescent="0.25">
      <c r="E63" s="19"/>
      <c r="F63" s="19"/>
      <c r="G63" s="19"/>
      <c r="H63" s="19"/>
      <c r="I63" s="19"/>
      <c r="J63" s="19"/>
      <c r="K63" s="19"/>
      <c r="L63" s="19"/>
      <c r="M63" s="48"/>
      <c r="N63" s="28"/>
      <c r="O63" s="19"/>
      <c r="P63" s="19"/>
      <c r="Q63" s="19"/>
      <c r="R63" s="19"/>
      <c r="S63" s="19"/>
      <c r="T63" s="19"/>
      <c r="U63" s="19"/>
      <c r="V63" s="19"/>
    </row>
    <row r="64" spans="5:22" ht="13.8" x14ac:dyDescent="0.25">
      <c r="E64" s="19"/>
      <c r="F64" s="19"/>
      <c r="G64" s="19"/>
      <c r="H64" s="19"/>
      <c r="I64" s="19"/>
      <c r="J64" s="19"/>
      <c r="K64" s="19"/>
      <c r="L64" s="19"/>
      <c r="M64" s="48"/>
      <c r="N64" s="28"/>
      <c r="O64" s="19"/>
      <c r="P64" s="19"/>
      <c r="Q64" s="19"/>
      <c r="R64" s="19"/>
      <c r="S64" s="19"/>
      <c r="T64" s="19"/>
      <c r="U64" s="19"/>
      <c r="V64" s="19"/>
    </row>
    <row r="65" spans="5:22" ht="13.8" x14ac:dyDescent="0.25">
      <c r="E65" s="19"/>
      <c r="F65" s="19"/>
      <c r="G65" s="19"/>
      <c r="H65" s="19"/>
      <c r="I65" s="19"/>
      <c r="J65" s="19"/>
      <c r="K65" s="19"/>
      <c r="L65" s="19"/>
      <c r="M65" s="48"/>
      <c r="N65" s="28"/>
      <c r="O65" s="19"/>
      <c r="P65" s="19"/>
      <c r="Q65" s="19"/>
      <c r="R65" s="19"/>
      <c r="S65" s="19"/>
      <c r="T65" s="19"/>
      <c r="U65" s="19"/>
      <c r="V65" s="19"/>
    </row>
    <row r="66" spans="5:22" ht="13.8" x14ac:dyDescent="0.25">
      <c r="E66" s="19"/>
      <c r="F66" s="19"/>
      <c r="G66" s="19"/>
      <c r="H66" s="19"/>
      <c r="I66" s="19"/>
      <c r="J66" s="19"/>
      <c r="K66" s="19"/>
      <c r="L66" s="19"/>
      <c r="M66" s="48"/>
      <c r="N66" s="28"/>
      <c r="O66" s="19"/>
      <c r="P66" s="19"/>
      <c r="Q66" s="19"/>
      <c r="R66" s="19"/>
      <c r="S66" s="19"/>
      <c r="T66" s="19"/>
      <c r="U66" s="19"/>
      <c r="V66" s="19"/>
    </row>
    <row r="67" spans="5:22" ht="13.8" x14ac:dyDescent="0.25">
      <c r="E67" s="19"/>
      <c r="F67" s="19"/>
      <c r="G67" s="19"/>
      <c r="H67" s="19"/>
      <c r="I67" s="19"/>
      <c r="J67" s="19"/>
      <c r="K67" s="19"/>
      <c r="L67" s="19"/>
      <c r="M67" s="48"/>
      <c r="N67" s="28"/>
      <c r="O67" s="19"/>
      <c r="P67" s="19"/>
      <c r="Q67" s="19"/>
      <c r="R67" s="19"/>
      <c r="S67" s="19"/>
      <c r="T67" s="19"/>
      <c r="U67" s="19"/>
      <c r="V67" s="19"/>
    </row>
    <row r="68" spans="5:22" ht="13.8" x14ac:dyDescent="0.25">
      <c r="E68" s="19"/>
      <c r="F68" s="19"/>
      <c r="G68" s="19"/>
      <c r="H68" s="19"/>
      <c r="I68" s="19"/>
      <c r="J68" s="19"/>
      <c r="K68" s="19"/>
      <c r="L68" s="19"/>
      <c r="M68" s="48"/>
      <c r="N68" s="28"/>
      <c r="O68" s="19"/>
      <c r="P68" s="19"/>
      <c r="Q68" s="19"/>
      <c r="R68" s="19"/>
      <c r="S68" s="19"/>
      <c r="T68" s="19"/>
      <c r="U68" s="19"/>
      <c r="V68" s="19"/>
    </row>
    <row r="69" spans="5:22" ht="13.8" x14ac:dyDescent="0.25">
      <c r="E69" s="19"/>
      <c r="F69" s="19"/>
      <c r="G69" s="19"/>
      <c r="H69" s="19"/>
      <c r="I69" s="19"/>
      <c r="J69" s="19"/>
      <c r="K69" s="19"/>
      <c r="L69" s="19"/>
      <c r="M69" s="48"/>
      <c r="N69" s="28"/>
      <c r="O69" s="19"/>
      <c r="P69" s="19"/>
      <c r="Q69" s="19"/>
      <c r="R69" s="19"/>
      <c r="S69" s="19"/>
      <c r="T69" s="19"/>
      <c r="U69" s="19"/>
      <c r="V69" s="19"/>
    </row>
    <row r="70" spans="5:22" ht="13.8" x14ac:dyDescent="0.25">
      <c r="E70" s="19"/>
      <c r="F70" s="19"/>
      <c r="G70" s="19"/>
      <c r="H70" s="19"/>
      <c r="I70" s="19"/>
      <c r="J70" s="19"/>
      <c r="K70" s="19"/>
      <c r="L70" s="19"/>
      <c r="M70" s="48"/>
      <c r="N70" s="28"/>
      <c r="O70" s="19"/>
      <c r="P70" s="19"/>
      <c r="Q70" s="19"/>
      <c r="R70" s="19"/>
      <c r="S70" s="19"/>
      <c r="T70" s="19"/>
      <c r="U70" s="19"/>
      <c r="V70" s="19"/>
    </row>
    <row r="71" spans="5:22" ht="13.8" x14ac:dyDescent="0.25">
      <c r="E71" s="19"/>
      <c r="F71" s="19"/>
      <c r="G71" s="19"/>
      <c r="H71" s="19"/>
      <c r="I71" s="19"/>
      <c r="J71" s="19"/>
      <c r="K71" s="19"/>
      <c r="L71" s="19"/>
      <c r="M71" s="48"/>
      <c r="N71" s="28"/>
      <c r="O71" s="19"/>
      <c r="P71" s="19"/>
      <c r="Q71" s="19"/>
      <c r="R71" s="19"/>
      <c r="S71" s="19"/>
      <c r="T71" s="19"/>
      <c r="U71" s="19"/>
      <c r="V71" s="19"/>
    </row>
    <row r="72" spans="5:22" ht="13.8" x14ac:dyDescent="0.25">
      <c r="E72" s="19"/>
      <c r="F72" s="19"/>
      <c r="G72" s="19"/>
      <c r="H72" s="19"/>
      <c r="I72" s="19"/>
      <c r="J72" s="19"/>
      <c r="K72" s="19"/>
      <c r="L72" s="19"/>
      <c r="M72" s="48"/>
      <c r="N72" s="28"/>
      <c r="O72" s="19"/>
      <c r="P72" s="19"/>
      <c r="Q72" s="19"/>
      <c r="R72" s="19"/>
      <c r="S72" s="19"/>
      <c r="T72" s="19"/>
      <c r="U72" s="19"/>
      <c r="V72" s="19"/>
    </row>
    <row r="73" spans="5:22" ht="13.8" x14ac:dyDescent="0.25">
      <c r="E73" s="19"/>
      <c r="F73" s="19"/>
      <c r="G73" s="19"/>
      <c r="H73" s="19"/>
      <c r="I73" s="19"/>
      <c r="J73" s="19"/>
      <c r="K73" s="19"/>
      <c r="L73" s="19"/>
      <c r="M73" s="48"/>
      <c r="N73" s="28"/>
      <c r="O73" s="19"/>
      <c r="P73" s="19"/>
      <c r="Q73" s="19"/>
      <c r="R73" s="19"/>
      <c r="S73" s="19"/>
      <c r="T73" s="19"/>
      <c r="U73" s="19"/>
      <c r="V73" s="19"/>
    </row>
    <row r="74" spans="5:22" ht="13.8" x14ac:dyDescent="0.25">
      <c r="E74" s="19"/>
      <c r="F74" s="19"/>
      <c r="G74" s="19"/>
      <c r="H74" s="19"/>
      <c r="I74" s="19"/>
      <c r="J74" s="19"/>
      <c r="K74" s="19"/>
      <c r="L74" s="19"/>
      <c r="M74" s="48"/>
      <c r="N74" s="28"/>
      <c r="O74" s="19"/>
      <c r="P74" s="19"/>
      <c r="Q74" s="19"/>
      <c r="R74" s="19"/>
      <c r="S74" s="19"/>
      <c r="T74" s="19"/>
      <c r="U74" s="19"/>
      <c r="V74" s="19"/>
    </row>
    <row r="75" spans="5:22" ht="13.8" x14ac:dyDescent="0.25">
      <c r="E75" s="19"/>
      <c r="F75" s="19"/>
      <c r="G75" s="19"/>
      <c r="H75" s="19"/>
      <c r="I75" s="19"/>
      <c r="J75" s="19"/>
      <c r="K75" s="19"/>
      <c r="L75" s="19"/>
      <c r="M75" s="48"/>
      <c r="N75" s="28"/>
      <c r="O75" s="19"/>
      <c r="P75" s="19"/>
      <c r="Q75" s="19"/>
      <c r="R75" s="19"/>
      <c r="S75" s="19"/>
      <c r="T75" s="19"/>
      <c r="U75" s="19"/>
      <c r="V75" s="19"/>
    </row>
    <row r="76" spans="5:22" ht="13.8" x14ac:dyDescent="0.25">
      <c r="E76" s="19"/>
      <c r="F76" s="19"/>
      <c r="G76" s="19"/>
      <c r="H76" s="19"/>
      <c r="I76" s="19"/>
      <c r="J76" s="19"/>
      <c r="K76" s="19"/>
      <c r="L76" s="19"/>
      <c r="M76" s="48"/>
      <c r="N76" s="28"/>
      <c r="O76" s="19"/>
      <c r="P76" s="19"/>
      <c r="Q76" s="19"/>
      <c r="R76" s="19"/>
      <c r="S76" s="19"/>
      <c r="T76" s="19"/>
      <c r="U76" s="19"/>
      <c r="V76" s="19"/>
    </row>
    <row r="77" spans="5:22" ht="13.8" x14ac:dyDescent="0.25">
      <c r="E77" s="19"/>
      <c r="F77" s="19"/>
      <c r="G77" s="19"/>
      <c r="H77" s="19"/>
      <c r="I77" s="19"/>
      <c r="J77" s="19"/>
      <c r="K77" s="19"/>
      <c r="L77" s="19"/>
      <c r="M77" s="48"/>
      <c r="N77" s="28"/>
      <c r="O77" s="19"/>
      <c r="P77" s="19"/>
      <c r="Q77" s="19"/>
      <c r="R77" s="19"/>
      <c r="S77" s="19"/>
      <c r="T77" s="19"/>
      <c r="U77" s="19"/>
      <c r="V77" s="19"/>
    </row>
    <row r="78" spans="5:22" ht="13.8" x14ac:dyDescent="0.25">
      <c r="E78" s="19"/>
      <c r="F78" s="19"/>
      <c r="G78" s="19"/>
      <c r="H78" s="19"/>
      <c r="I78" s="19"/>
      <c r="J78" s="19"/>
      <c r="K78" s="19"/>
      <c r="L78" s="19"/>
      <c r="M78" s="48"/>
      <c r="N78" s="28"/>
      <c r="O78" s="19"/>
      <c r="P78" s="19"/>
      <c r="Q78" s="19"/>
      <c r="R78" s="19"/>
      <c r="S78" s="19"/>
      <c r="T78" s="19"/>
      <c r="U78" s="19"/>
      <c r="V78" s="19"/>
    </row>
    <row r="79" spans="5:22" ht="13.8" x14ac:dyDescent="0.25">
      <c r="E79" s="19"/>
      <c r="F79" s="19"/>
      <c r="G79" s="19"/>
      <c r="H79" s="19"/>
      <c r="I79" s="19"/>
      <c r="J79" s="19"/>
      <c r="K79" s="19"/>
      <c r="L79" s="19"/>
      <c r="M79" s="48"/>
      <c r="N79" s="28"/>
      <c r="O79" s="19"/>
      <c r="P79" s="19"/>
      <c r="Q79" s="19"/>
      <c r="R79" s="19"/>
      <c r="S79" s="19"/>
      <c r="T79" s="19"/>
      <c r="U79" s="19"/>
      <c r="V79" s="19"/>
    </row>
    <row r="80" spans="5:22" ht="13.8" x14ac:dyDescent="0.25">
      <c r="E80" s="19"/>
      <c r="F80" s="19"/>
      <c r="G80" s="19"/>
      <c r="H80" s="19"/>
      <c r="I80" s="19"/>
      <c r="J80" s="19"/>
      <c r="K80" s="19"/>
      <c r="L80" s="19"/>
      <c r="M80" s="48"/>
      <c r="N80" s="28"/>
      <c r="O80" s="19"/>
      <c r="P80" s="19"/>
      <c r="Q80" s="19"/>
      <c r="R80" s="19"/>
      <c r="S80" s="19"/>
      <c r="T80" s="19"/>
      <c r="U80" s="19"/>
      <c r="V80" s="19"/>
    </row>
    <row r="81" spans="5:22" ht="13.8" x14ac:dyDescent="0.25">
      <c r="E81" s="19"/>
      <c r="F81" s="19"/>
      <c r="G81" s="19"/>
      <c r="H81" s="19"/>
      <c r="I81" s="19"/>
      <c r="J81" s="19"/>
      <c r="K81" s="19"/>
      <c r="L81" s="19"/>
      <c r="M81" s="48"/>
      <c r="N81" s="28"/>
      <c r="O81" s="19"/>
      <c r="P81" s="19"/>
      <c r="Q81" s="19"/>
      <c r="R81" s="19"/>
      <c r="S81" s="19"/>
      <c r="T81" s="19"/>
      <c r="U81" s="19"/>
      <c r="V81" s="19"/>
    </row>
    <row r="82" spans="5:22" ht="13.8" x14ac:dyDescent="0.25">
      <c r="E82" s="19"/>
      <c r="F82" s="19"/>
      <c r="G82" s="19"/>
      <c r="H82" s="19"/>
      <c r="I82" s="19"/>
      <c r="J82" s="19"/>
      <c r="K82" s="19"/>
      <c r="L82" s="19"/>
      <c r="M82" s="48"/>
      <c r="N82" s="28"/>
      <c r="O82" s="19"/>
      <c r="P82" s="19"/>
      <c r="Q82" s="19"/>
      <c r="R82" s="19"/>
      <c r="S82" s="19"/>
      <c r="T82" s="19"/>
      <c r="U82" s="19"/>
      <c r="V82" s="19"/>
    </row>
    <row r="83" spans="5:22" ht="13.8" x14ac:dyDescent="0.25">
      <c r="E83" s="19"/>
      <c r="F83" s="19"/>
      <c r="G83" s="19"/>
      <c r="H83" s="19"/>
      <c r="I83" s="19"/>
      <c r="J83" s="19"/>
      <c r="K83" s="19"/>
      <c r="L83" s="19"/>
      <c r="M83" s="48"/>
      <c r="N83" s="28"/>
      <c r="O83" s="19"/>
      <c r="P83" s="19"/>
      <c r="Q83" s="19"/>
      <c r="R83" s="19"/>
      <c r="S83" s="19"/>
      <c r="T83" s="19"/>
      <c r="U83" s="19"/>
      <c r="V83" s="19"/>
    </row>
    <row r="84" spans="5:22" ht="13.8" x14ac:dyDescent="0.25">
      <c r="E84" s="19"/>
      <c r="F84" s="19"/>
      <c r="G84" s="19"/>
      <c r="H84" s="19"/>
      <c r="I84" s="19"/>
      <c r="J84" s="19"/>
      <c r="K84" s="19"/>
      <c r="L84" s="19"/>
      <c r="M84" s="48"/>
      <c r="N84" s="28"/>
      <c r="O84" s="19"/>
      <c r="P84" s="19"/>
      <c r="Q84" s="19"/>
      <c r="R84" s="19"/>
      <c r="S84" s="19"/>
      <c r="T84" s="19"/>
      <c r="U84" s="19"/>
      <c r="V84" s="19"/>
    </row>
    <row r="85" spans="5:22" ht="13.8" x14ac:dyDescent="0.25">
      <c r="E85" s="19"/>
      <c r="F85" s="19"/>
      <c r="G85" s="19"/>
      <c r="H85" s="19"/>
      <c r="I85" s="19"/>
      <c r="J85" s="19"/>
      <c r="K85" s="19"/>
      <c r="L85" s="19"/>
      <c r="M85" s="48"/>
      <c r="N85" s="28"/>
      <c r="O85" s="19"/>
      <c r="P85" s="19"/>
      <c r="Q85" s="19"/>
      <c r="R85" s="19"/>
      <c r="S85" s="19"/>
      <c r="T85" s="19"/>
      <c r="U85" s="19"/>
      <c r="V85" s="19"/>
    </row>
    <row r="86" spans="5:22" ht="13.8" x14ac:dyDescent="0.25">
      <c r="E86" s="19"/>
      <c r="F86" s="19"/>
      <c r="G86" s="19"/>
      <c r="H86" s="19"/>
      <c r="I86" s="19"/>
      <c r="J86" s="19"/>
      <c r="K86" s="19"/>
      <c r="L86" s="19"/>
      <c r="M86" s="48"/>
      <c r="N86" s="28"/>
      <c r="O86" s="19"/>
      <c r="P86" s="19"/>
      <c r="Q86" s="19"/>
      <c r="R86" s="19"/>
      <c r="S86" s="19"/>
      <c r="T86" s="19"/>
      <c r="U86" s="19"/>
      <c r="V86" s="19"/>
    </row>
    <row r="87" spans="5:22" ht="13.8" x14ac:dyDescent="0.25">
      <c r="E87" s="19"/>
      <c r="F87" s="19"/>
      <c r="G87" s="19"/>
      <c r="H87" s="19"/>
      <c r="I87" s="19"/>
      <c r="J87" s="19"/>
      <c r="K87" s="19"/>
      <c r="L87" s="19"/>
      <c r="M87" s="48"/>
      <c r="N87" s="28"/>
      <c r="O87" s="19"/>
      <c r="P87" s="19"/>
      <c r="Q87" s="19"/>
      <c r="R87" s="19"/>
      <c r="S87" s="19"/>
      <c r="T87" s="19"/>
      <c r="U87" s="19"/>
      <c r="V87" s="19"/>
    </row>
    <row r="88" spans="5:22" ht="13.8" x14ac:dyDescent="0.25">
      <c r="E88" s="19"/>
      <c r="F88" s="19"/>
      <c r="G88" s="19"/>
      <c r="H88" s="19"/>
      <c r="I88" s="19"/>
      <c r="J88" s="19"/>
      <c r="K88" s="19"/>
      <c r="L88" s="19"/>
      <c r="M88" s="48"/>
      <c r="N88" s="28"/>
      <c r="O88" s="19"/>
      <c r="P88" s="19"/>
      <c r="Q88" s="19"/>
      <c r="R88" s="19"/>
      <c r="S88" s="19"/>
      <c r="T88" s="19"/>
      <c r="U88" s="19"/>
      <c r="V88" s="19"/>
    </row>
    <row r="89" spans="5:22" ht="13.8" x14ac:dyDescent="0.25">
      <c r="E89" s="19"/>
      <c r="F89" s="19"/>
      <c r="G89" s="19"/>
      <c r="H89" s="19"/>
      <c r="I89" s="19"/>
      <c r="J89" s="19"/>
      <c r="K89" s="19"/>
      <c r="L89" s="19"/>
      <c r="M89" s="48"/>
      <c r="N89" s="28"/>
      <c r="O89" s="19"/>
      <c r="P89" s="19"/>
      <c r="Q89" s="19"/>
      <c r="R89" s="19"/>
      <c r="S89" s="19"/>
      <c r="T89" s="19"/>
      <c r="U89" s="19"/>
      <c r="V89" s="19"/>
    </row>
    <row r="90" spans="5:22" ht="13.8" x14ac:dyDescent="0.25">
      <c r="E90" s="19"/>
      <c r="F90" s="19"/>
      <c r="G90" s="19"/>
      <c r="H90" s="19"/>
      <c r="I90" s="19"/>
      <c r="J90" s="19"/>
      <c r="K90" s="19"/>
      <c r="L90" s="19"/>
      <c r="M90" s="48"/>
      <c r="N90" s="28"/>
      <c r="O90" s="19"/>
      <c r="P90" s="19"/>
      <c r="Q90" s="19"/>
      <c r="R90" s="19"/>
      <c r="S90" s="19"/>
      <c r="T90" s="19"/>
      <c r="U90" s="19"/>
      <c r="V90" s="19"/>
    </row>
    <row r="91" spans="5:22" ht="13.8" x14ac:dyDescent="0.25">
      <c r="E91" s="19"/>
      <c r="F91" s="19"/>
      <c r="G91" s="19"/>
      <c r="H91" s="19"/>
      <c r="I91" s="19"/>
      <c r="J91" s="19"/>
      <c r="K91" s="19"/>
      <c r="L91" s="19"/>
      <c r="M91" s="48"/>
      <c r="N91" s="28"/>
      <c r="O91" s="19"/>
      <c r="P91" s="19"/>
      <c r="Q91" s="19"/>
      <c r="R91" s="19"/>
      <c r="S91" s="19"/>
      <c r="T91" s="19"/>
      <c r="U91" s="19"/>
      <c r="V91" s="19"/>
    </row>
    <row r="92" spans="5:22" ht="13.8" x14ac:dyDescent="0.25">
      <c r="E92" s="19"/>
      <c r="F92" s="19"/>
      <c r="G92" s="19"/>
      <c r="H92" s="19"/>
      <c r="I92" s="19"/>
      <c r="J92" s="19"/>
      <c r="K92" s="19"/>
      <c r="L92" s="19"/>
      <c r="M92" s="48"/>
      <c r="N92" s="28"/>
      <c r="O92" s="19"/>
      <c r="P92" s="19"/>
      <c r="Q92" s="19"/>
      <c r="R92" s="19"/>
      <c r="S92" s="19"/>
      <c r="T92" s="19"/>
      <c r="U92" s="19"/>
      <c r="V92" s="19"/>
    </row>
    <row r="93" spans="5:22" ht="13.8" x14ac:dyDescent="0.25">
      <c r="E93" s="19"/>
      <c r="F93" s="19"/>
      <c r="G93" s="19"/>
      <c r="H93" s="19"/>
      <c r="I93" s="19"/>
      <c r="J93" s="19"/>
      <c r="K93" s="19"/>
      <c r="L93" s="19"/>
      <c r="M93" s="48"/>
      <c r="N93" s="28"/>
      <c r="O93" s="19"/>
      <c r="P93" s="19"/>
      <c r="Q93" s="19"/>
      <c r="R93" s="19"/>
      <c r="S93" s="19"/>
      <c r="T93" s="19"/>
      <c r="U93" s="19"/>
      <c r="V93" s="19"/>
    </row>
    <row r="94" spans="5:22" ht="13.8" x14ac:dyDescent="0.25">
      <c r="E94" s="19"/>
      <c r="F94" s="19"/>
      <c r="G94" s="19"/>
      <c r="H94" s="19"/>
      <c r="I94" s="19"/>
      <c r="J94" s="19"/>
      <c r="K94" s="19"/>
      <c r="L94" s="19"/>
      <c r="M94" s="48"/>
      <c r="N94" s="28"/>
      <c r="O94" s="19"/>
      <c r="P94" s="19"/>
      <c r="Q94" s="19"/>
      <c r="R94" s="19"/>
      <c r="S94" s="19"/>
      <c r="T94" s="19"/>
      <c r="U94" s="19"/>
      <c r="V94" s="19"/>
    </row>
    <row r="95" spans="5:22" ht="13.8" x14ac:dyDescent="0.25">
      <c r="E95" s="19"/>
      <c r="F95" s="19"/>
      <c r="G95" s="19"/>
      <c r="H95" s="19"/>
      <c r="I95" s="19"/>
      <c r="J95" s="19"/>
      <c r="K95" s="19"/>
      <c r="L95" s="19"/>
      <c r="M95" s="48"/>
      <c r="N95" s="28"/>
      <c r="O95" s="19"/>
      <c r="P95" s="19"/>
      <c r="Q95" s="19"/>
      <c r="R95" s="19"/>
      <c r="S95" s="19"/>
      <c r="T95" s="19"/>
      <c r="U95" s="19"/>
      <c r="V95" s="19"/>
    </row>
    <row r="96" spans="5:22" ht="13.8" x14ac:dyDescent="0.25">
      <c r="E96" s="19"/>
      <c r="F96" s="19"/>
      <c r="G96" s="19"/>
      <c r="H96" s="19"/>
      <c r="I96" s="19"/>
      <c r="J96" s="19"/>
      <c r="K96" s="19"/>
      <c r="L96" s="19"/>
      <c r="M96" s="48"/>
      <c r="N96" s="28"/>
      <c r="O96" s="19"/>
      <c r="P96" s="19"/>
      <c r="Q96" s="19"/>
      <c r="R96" s="19"/>
      <c r="S96" s="19"/>
      <c r="T96" s="19"/>
      <c r="U96" s="19"/>
      <c r="V96" s="19"/>
    </row>
    <row r="97" spans="5:22" ht="13.8" x14ac:dyDescent="0.25">
      <c r="E97" s="19"/>
      <c r="F97" s="19"/>
      <c r="G97" s="19"/>
      <c r="H97" s="19"/>
      <c r="I97" s="19"/>
      <c r="J97" s="19"/>
      <c r="K97" s="19"/>
      <c r="L97" s="19"/>
      <c r="M97" s="48"/>
      <c r="N97" s="28"/>
      <c r="O97" s="19"/>
      <c r="P97" s="19"/>
      <c r="Q97" s="19"/>
      <c r="R97" s="19"/>
      <c r="S97" s="19"/>
      <c r="T97" s="19"/>
      <c r="U97" s="19"/>
      <c r="V97" s="19"/>
    </row>
    <row r="98" spans="5:22" ht="13.8" x14ac:dyDescent="0.25">
      <c r="E98" s="19"/>
      <c r="F98" s="19"/>
      <c r="G98" s="19"/>
      <c r="H98" s="19"/>
      <c r="I98" s="19"/>
      <c r="J98" s="19"/>
      <c r="K98" s="19"/>
      <c r="L98" s="19"/>
      <c r="M98" s="48"/>
      <c r="N98" s="28"/>
      <c r="O98" s="19"/>
      <c r="P98" s="19"/>
      <c r="Q98" s="19"/>
      <c r="R98" s="19"/>
      <c r="S98" s="19"/>
      <c r="T98" s="19"/>
      <c r="U98" s="19"/>
      <c r="V98" s="19"/>
    </row>
    <row r="99" spans="5:22" ht="13.8" x14ac:dyDescent="0.25">
      <c r="E99" s="19"/>
      <c r="F99" s="19"/>
      <c r="G99" s="19"/>
      <c r="H99" s="19"/>
      <c r="I99" s="19"/>
      <c r="J99" s="19"/>
      <c r="K99" s="19"/>
      <c r="L99" s="19"/>
      <c r="M99" s="48"/>
      <c r="N99" s="28"/>
      <c r="O99" s="19"/>
      <c r="P99" s="19"/>
      <c r="Q99" s="19"/>
      <c r="R99" s="19"/>
      <c r="S99" s="19"/>
      <c r="T99" s="19"/>
      <c r="U99" s="19"/>
      <c r="V99" s="19"/>
    </row>
    <row r="100" spans="5:22" ht="13.8" x14ac:dyDescent="0.25">
      <c r="E100" s="19"/>
      <c r="F100" s="19"/>
      <c r="G100" s="19"/>
      <c r="H100" s="19"/>
      <c r="I100" s="19"/>
      <c r="J100" s="19"/>
      <c r="K100" s="19"/>
      <c r="L100" s="19"/>
      <c r="M100" s="48"/>
      <c r="N100" s="28"/>
      <c r="O100" s="19"/>
      <c r="P100" s="19"/>
      <c r="Q100" s="19"/>
      <c r="R100" s="19"/>
      <c r="S100" s="19"/>
      <c r="T100" s="19"/>
      <c r="U100" s="19"/>
      <c r="V100" s="19"/>
    </row>
    <row r="101" spans="5:22" ht="13.8" x14ac:dyDescent="0.25">
      <c r="E101" s="19"/>
      <c r="F101" s="19"/>
      <c r="G101" s="19"/>
      <c r="H101" s="19"/>
      <c r="I101" s="19"/>
      <c r="J101" s="19"/>
      <c r="K101" s="19"/>
      <c r="L101" s="19"/>
      <c r="M101" s="48"/>
      <c r="N101" s="28"/>
      <c r="O101" s="19"/>
      <c r="P101" s="19"/>
      <c r="Q101" s="19"/>
      <c r="R101" s="19"/>
      <c r="S101" s="19"/>
      <c r="T101" s="19"/>
      <c r="U101" s="19"/>
      <c r="V101" s="19"/>
    </row>
    <row r="102" spans="5:22" ht="13.8" x14ac:dyDescent="0.25">
      <c r="E102" s="19"/>
      <c r="F102" s="19"/>
      <c r="G102" s="19"/>
      <c r="H102" s="19"/>
      <c r="I102" s="19"/>
      <c r="J102" s="19"/>
      <c r="K102" s="19"/>
      <c r="L102" s="19"/>
      <c r="M102" s="48"/>
      <c r="N102" s="28"/>
      <c r="O102" s="19"/>
      <c r="P102" s="19"/>
      <c r="Q102" s="19"/>
      <c r="R102" s="19"/>
      <c r="S102" s="19"/>
      <c r="T102" s="19"/>
      <c r="U102" s="19"/>
      <c r="V102" s="19"/>
    </row>
    <row r="103" spans="5:22" ht="13.8" x14ac:dyDescent="0.25">
      <c r="E103" s="19"/>
      <c r="F103" s="19"/>
      <c r="G103" s="19"/>
      <c r="H103" s="19"/>
      <c r="I103" s="19"/>
      <c r="J103" s="19"/>
      <c r="K103" s="19"/>
      <c r="L103" s="19"/>
      <c r="M103" s="48"/>
      <c r="N103" s="28"/>
      <c r="O103" s="19"/>
      <c r="P103" s="19"/>
      <c r="Q103" s="19"/>
      <c r="R103" s="19"/>
      <c r="S103" s="19"/>
      <c r="T103" s="19"/>
      <c r="U103" s="19"/>
      <c r="V103" s="19"/>
    </row>
    <row r="104" spans="5:22" ht="13.8" x14ac:dyDescent="0.25">
      <c r="E104" s="19"/>
      <c r="F104" s="19"/>
      <c r="G104" s="19"/>
      <c r="H104" s="19"/>
      <c r="I104" s="19"/>
      <c r="J104" s="19"/>
      <c r="K104" s="19"/>
      <c r="L104" s="19"/>
      <c r="M104" s="48"/>
      <c r="N104" s="28"/>
      <c r="O104" s="19"/>
      <c r="P104" s="19"/>
      <c r="Q104" s="19"/>
      <c r="R104" s="19"/>
      <c r="S104" s="19"/>
      <c r="T104" s="19"/>
      <c r="U104" s="19"/>
      <c r="V104" s="19"/>
    </row>
    <row r="105" spans="5:22" ht="13.8" x14ac:dyDescent="0.25">
      <c r="E105" s="19"/>
      <c r="F105" s="19"/>
      <c r="G105" s="19"/>
      <c r="H105" s="19"/>
      <c r="I105" s="19"/>
      <c r="J105" s="19"/>
      <c r="K105" s="19"/>
      <c r="L105" s="19"/>
      <c r="M105" s="48"/>
      <c r="N105" s="28"/>
      <c r="O105" s="19"/>
      <c r="P105" s="19"/>
      <c r="Q105" s="19"/>
      <c r="R105" s="19"/>
      <c r="S105" s="19"/>
      <c r="T105" s="19"/>
      <c r="U105" s="19"/>
      <c r="V105" s="19"/>
    </row>
    <row r="106" spans="5:22" ht="13.8" x14ac:dyDescent="0.25">
      <c r="E106" s="19"/>
      <c r="F106" s="19"/>
      <c r="G106" s="19"/>
      <c r="H106" s="19"/>
      <c r="I106" s="19"/>
      <c r="J106" s="19"/>
      <c r="K106" s="19"/>
      <c r="L106" s="19"/>
      <c r="M106" s="48"/>
      <c r="N106" s="28"/>
      <c r="O106" s="19"/>
      <c r="P106" s="19"/>
      <c r="Q106" s="19"/>
      <c r="R106" s="19"/>
      <c r="S106" s="19"/>
      <c r="T106" s="19"/>
      <c r="U106" s="19"/>
      <c r="V106" s="19"/>
    </row>
    <row r="107" spans="5:22" ht="13.8" x14ac:dyDescent="0.25">
      <c r="E107" s="19"/>
      <c r="F107" s="19"/>
      <c r="G107" s="19"/>
      <c r="H107" s="19"/>
      <c r="I107" s="19"/>
      <c r="J107" s="19"/>
      <c r="K107" s="19"/>
      <c r="L107" s="19"/>
      <c r="M107" s="48"/>
      <c r="N107" s="28"/>
      <c r="O107" s="19"/>
      <c r="P107" s="19"/>
      <c r="Q107" s="19"/>
      <c r="R107" s="19"/>
      <c r="S107" s="19"/>
      <c r="T107" s="19"/>
      <c r="U107" s="19"/>
      <c r="V107" s="19"/>
    </row>
    <row r="108" spans="5:22" ht="13.8" x14ac:dyDescent="0.25">
      <c r="E108" s="19"/>
      <c r="F108" s="19"/>
      <c r="G108" s="19"/>
      <c r="H108" s="19"/>
      <c r="I108" s="19"/>
      <c r="J108" s="19"/>
      <c r="K108" s="19"/>
      <c r="L108" s="19"/>
      <c r="M108" s="48"/>
      <c r="N108" s="28"/>
      <c r="O108" s="19"/>
      <c r="P108" s="19"/>
      <c r="Q108" s="19"/>
      <c r="R108" s="19"/>
      <c r="S108" s="19"/>
      <c r="T108" s="19"/>
      <c r="U108" s="19"/>
      <c r="V108" s="19"/>
    </row>
    <row r="109" spans="5:22" ht="13.8" x14ac:dyDescent="0.25">
      <c r="E109" s="19"/>
      <c r="F109" s="19"/>
      <c r="G109" s="19"/>
      <c r="H109" s="19"/>
      <c r="I109" s="19"/>
      <c r="J109" s="19"/>
      <c r="K109" s="19"/>
      <c r="L109" s="19"/>
      <c r="M109" s="48"/>
      <c r="N109" s="28"/>
      <c r="O109" s="19"/>
      <c r="P109" s="19"/>
      <c r="Q109" s="19"/>
      <c r="R109" s="19"/>
      <c r="S109" s="19"/>
      <c r="T109" s="19"/>
      <c r="U109" s="19"/>
      <c r="V109" s="19"/>
    </row>
    <row r="110" spans="5:22" ht="13.8" x14ac:dyDescent="0.25">
      <c r="E110" s="19"/>
      <c r="F110" s="19"/>
      <c r="G110" s="19"/>
      <c r="H110" s="19"/>
      <c r="I110" s="19"/>
      <c r="J110" s="19"/>
      <c r="K110" s="19"/>
      <c r="L110" s="19"/>
      <c r="M110" s="48"/>
      <c r="N110" s="28"/>
      <c r="O110" s="19"/>
      <c r="P110" s="19"/>
      <c r="Q110" s="19"/>
      <c r="R110" s="19"/>
      <c r="S110" s="19"/>
      <c r="T110" s="19"/>
      <c r="U110" s="19"/>
      <c r="V110" s="19"/>
    </row>
    <row r="111" spans="5:22" ht="13.8" x14ac:dyDescent="0.25">
      <c r="E111" s="19"/>
      <c r="F111" s="19"/>
      <c r="G111" s="19"/>
      <c r="H111" s="19"/>
      <c r="I111" s="19"/>
      <c r="J111" s="19"/>
      <c r="K111" s="19"/>
      <c r="L111" s="19"/>
      <c r="M111" s="48"/>
      <c r="N111" s="28"/>
      <c r="O111" s="19"/>
      <c r="P111" s="19"/>
      <c r="Q111" s="19"/>
      <c r="R111" s="19"/>
      <c r="S111" s="19"/>
      <c r="T111" s="19"/>
      <c r="U111" s="19"/>
      <c r="V111" s="19"/>
    </row>
    <row r="112" spans="5:22" ht="13.8" x14ac:dyDescent="0.25">
      <c r="E112" s="19"/>
      <c r="F112" s="19"/>
      <c r="G112" s="19"/>
      <c r="H112" s="19"/>
      <c r="I112" s="19"/>
      <c r="J112" s="19"/>
      <c r="K112" s="19"/>
      <c r="L112" s="19"/>
      <c r="M112" s="48"/>
      <c r="N112" s="28"/>
      <c r="O112" s="19"/>
      <c r="P112" s="19"/>
      <c r="Q112" s="19"/>
      <c r="R112" s="19"/>
      <c r="S112" s="19"/>
      <c r="T112" s="19"/>
      <c r="U112" s="19"/>
      <c r="V112" s="19"/>
    </row>
    <row r="113" spans="5:22" ht="13.8" x14ac:dyDescent="0.25">
      <c r="E113" s="19"/>
      <c r="F113" s="19"/>
      <c r="G113" s="19"/>
      <c r="H113" s="19"/>
      <c r="I113" s="19"/>
      <c r="J113" s="19"/>
      <c r="K113" s="19"/>
      <c r="L113" s="19"/>
      <c r="M113" s="48"/>
      <c r="N113" s="28"/>
      <c r="O113" s="19"/>
      <c r="P113" s="19"/>
      <c r="Q113" s="19"/>
      <c r="R113" s="19"/>
      <c r="S113" s="19"/>
      <c r="T113" s="19"/>
      <c r="U113" s="19"/>
      <c r="V113" s="19"/>
    </row>
    <row r="114" spans="5:22" ht="13.8" x14ac:dyDescent="0.25">
      <c r="E114" s="19"/>
      <c r="F114" s="19"/>
      <c r="G114" s="19"/>
      <c r="H114" s="19"/>
      <c r="I114" s="19"/>
      <c r="J114" s="19"/>
      <c r="K114" s="19"/>
      <c r="L114" s="19"/>
      <c r="M114" s="48"/>
      <c r="N114" s="28"/>
      <c r="O114" s="19"/>
      <c r="P114" s="19"/>
      <c r="Q114" s="19"/>
      <c r="R114" s="19"/>
      <c r="S114" s="19"/>
      <c r="T114" s="19"/>
      <c r="U114" s="19"/>
      <c r="V114" s="19"/>
    </row>
    <row r="115" spans="5:22" ht="13.8" x14ac:dyDescent="0.25">
      <c r="E115" s="19"/>
      <c r="F115" s="19"/>
      <c r="G115" s="19"/>
      <c r="H115" s="19"/>
      <c r="I115" s="19"/>
      <c r="J115" s="19"/>
      <c r="K115" s="19"/>
      <c r="L115" s="19"/>
      <c r="M115" s="48"/>
      <c r="N115" s="28"/>
      <c r="O115" s="19"/>
      <c r="P115" s="19"/>
      <c r="Q115" s="19"/>
      <c r="R115" s="19"/>
      <c r="S115" s="19"/>
      <c r="T115" s="19"/>
      <c r="U115" s="19"/>
      <c r="V115" s="19"/>
    </row>
    <row r="116" spans="5:22" ht="13.8" x14ac:dyDescent="0.25">
      <c r="E116" s="19"/>
      <c r="F116" s="19"/>
      <c r="G116" s="19"/>
      <c r="H116" s="19"/>
      <c r="I116" s="19"/>
      <c r="J116" s="19"/>
      <c r="K116" s="19"/>
      <c r="L116" s="19"/>
      <c r="M116" s="48"/>
      <c r="N116" s="28"/>
      <c r="O116" s="19"/>
      <c r="P116" s="19"/>
      <c r="Q116" s="19"/>
      <c r="R116" s="19"/>
      <c r="S116" s="19"/>
      <c r="T116" s="19"/>
      <c r="U116" s="19"/>
      <c r="V116" s="19"/>
    </row>
    <row r="117" spans="5:22" ht="13.8" x14ac:dyDescent="0.25">
      <c r="E117" s="19"/>
      <c r="F117" s="19"/>
      <c r="G117" s="19"/>
      <c r="H117" s="19"/>
      <c r="I117" s="19"/>
      <c r="J117" s="19"/>
      <c r="K117" s="19"/>
      <c r="L117" s="19"/>
      <c r="M117" s="48"/>
      <c r="N117" s="28"/>
      <c r="O117" s="19"/>
      <c r="P117" s="19"/>
      <c r="Q117" s="19"/>
      <c r="R117" s="19"/>
      <c r="S117" s="19"/>
      <c r="T117" s="19"/>
      <c r="U117" s="19"/>
      <c r="V117" s="19"/>
    </row>
    <row r="118" spans="5:22" ht="13.8" x14ac:dyDescent="0.25">
      <c r="E118" s="19"/>
      <c r="F118" s="19"/>
      <c r="G118" s="19"/>
      <c r="H118" s="19"/>
      <c r="I118" s="19"/>
      <c r="J118" s="19"/>
      <c r="K118" s="19"/>
      <c r="L118" s="19"/>
      <c r="M118" s="48"/>
      <c r="N118" s="28"/>
      <c r="O118" s="19"/>
      <c r="P118" s="19"/>
      <c r="Q118" s="19"/>
      <c r="R118" s="19"/>
      <c r="S118" s="19"/>
      <c r="T118" s="19"/>
      <c r="U118" s="19"/>
      <c r="V118" s="19"/>
    </row>
    <row r="119" spans="5:22" ht="13.8" x14ac:dyDescent="0.25">
      <c r="E119" s="19"/>
      <c r="F119" s="19"/>
      <c r="G119" s="19"/>
      <c r="H119" s="19"/>
      <c r="I119" s="19"/>
      <c r="J119" s="19"/>
      <c r="K119" s="19"/>
      <c r="L119" s="19"/>
      <c r="M119" s="48"/>
      <c r="N119" s="28"/>
      <c r="O119" s="19"/>
      <c r="P119" s="19"/>
      <c r="Q119" s="19"/>
      <c r="R119" s="19"/>
      <c r="S119" s="19"/>
      <c r="T119" s="19"/>
      <c r="U119" s="19"/>
      <c r="V119" s="19"/>
    </row>
    <row r="120" spans="5:22" ht="13.8" x14ac:dyDescent="0.25">
      <c r="E120" s="19"/>
      <c r="F120" s="19"/>
      <c r="G120" s="19"/>
      <c r="H120" s="19"/>
      <c r="I120" s="19"/>
      <c r="J120" s="19"/>
      <c r="K120" s="19"/>
      <c r="L120" s="19"/>
      <c r="M120" s="48"/>
      <c r="N120" s="28"/>
      <c r="O120" s="19"/>
      <c r="P120" s="19"/>
      <c r="Q120" s="19"/>
      <c r="R120" s="19"/>
      <c r="S120" s="19"/>
      <c r="T120" s="19"/>
      <c r="U120" s="19"/>
      <c r="V120" s="19"/>
    </row>
    <row r="121" spans="5:22" ht="13.8" x14ac:dyDescent="0.25">
      <c r="E121" s="19"/>
      <c r="F121" s="19"/>
      <c r="G121" s="19"/>
      <c r="H121" s="19"/>
      <c r="I121" s="19"/>
      <c r="J121" s="19"/>
      <c r="K121" s="19"/>
      <c r="L121" s="19"/>
      <c r="M121" s="48"/>
      <c r="N121" s="28"/>
      <c r="O121" s="19"/>
      <c r="P121" s="19"/>
      <c r="Q121" s="19"/>
      <c r="R121" s="19"/>
      <c r="S121" s="19"/>
      <c r="T121" s="19"/>
      <c r="U121" s="19"/>
      <c r="V121" s="19"/>
    </row>
    <row r="122" spans="5:22" ht="13.8" x14ac:dyDescent="0.25">
      <c r="E122" s="19"/>
      <c r="F122" s="19"/>
      <c r="G122" s="19"/>
      <c r="H122" s="19"/>
      <c r="I122" s="19"/>
      <c r="J122" s="19"/>
      <c r="K122" s="19"/>
      <c r="L122" s="19"/>
      <c r="M122" s="48"/>
      <c r="N122" s="28"/>
      <c r="O122" s="19"/>
      <c r="P122" s="19"/>
      <c r="Q122" s="19"/>
      <c r="R122" s="19"/>
      <c r="S122" s="19"/>
      <c r="T122" s="19"/>
      <c r="U122" s="19"/>
      <c r="V122" s="19"/>
    </row>
    <row r="123" spans="5:22" ht="13.8" x14ac:dyDescent="0.25">
      <c r="E123" s="19"/>
      <c r="F123" s="19"/>
      <c r="G123" s="19"/>
      <c r="H123" s="19"/>
      <c r="I123" s="19"/>
      <c r="J123" s="19"/>
      <c r="K123" s="19"/>
      <c r="L123" s="19"/>
      <c r="M123" s="48"/>
      <c r="N123" s="28"/>
      <c r="O123" s="19"/>
      <c r="P123" s="19"/>
      <c r="Q123" s="19"/>
      <c r="R123" s="19"/>
      <c r="S123" s="19"/>
      <c r="T123" s="19"/>
      <c r="U123" s="19"/>
      <c r="V123" s="19"/>
    </row>
    <row r="124" spans="5:22" ht="13.8" x14ac:dyDescent="0.25">
      <c r="E124" s="19"/>
      <c r="F124" s="19"/>
      <c r="G124" s="19"/>
      <c r="H124" s="19"/>
      <c r="I124" s="19"/>
      <c r="J124" s="19"/>
      <c r="K124" s="19"/>
      <c r="L124" s="19"/>
      <c r="M124" s="48"/>
      <c r="N124" s="28"/>
      <c r="O124" s="19"/>
      <c r="P124" s="19"/>
      <c r="Q124" s="19"/>
      <c r="R124" s="19"/>
      <c r="S124" s="19"/>
      <c r="T124" s="19"/>
      <c r="U124" s="19"/>
      <c r="V124" s="19"/>
    </row>
    <row r="125" spans="5:22" ht="13.8" x14ac:dyDescent="0.25">
      <c r="E125" s="19"/>
      <c r="F125" s="19"/>
      <c r="G125" s="19"/>
      <c r="H125" s="19"/>
      <c r="I125" s="19"/>
      <c r="J125" s="19"/>
      <c r="K125" s="19"/>
      <c r="L125" s="19"/>
      <c r="M125" s="48"/>
      <c r="N125" s="28"/>
      <c r="O125" s="19"/>
      <c r="P125" s="19"/>
      <c r="Q125" s="19"/>
      <c r="R125" s="19"/>
      <c r="S125" s="19"/>
      <c r="T125" s="19"/>
      <c r="U125" s="19"/>
      <c r="V125" s="19"/>
    </row>
    <row r="126" spans="5:22" ht="13.8" x14ac:dyDescent="0.25">
      <c r="E126" s="19"/>
      <c r="F126" s="19"/>
      <c r="G126" s="19"/>
      <c r="H126" s="19"/>
      <c r="I126" s="19"/>
      <c r="J126" s="19"/>
      <c r="K126" s="19"/>
      <c r="L126" s="19"/>
      <c r="M126" s="48"/>
      <c r="N126" s="28"/>
      <c r="O126" s="19"/>
      <c r="P126" s="19"/>
      <c r="Q126" s="19"/>
      <c r="R126" s="19"/>
      <c r="S126" s="19"/>
      <c r="T126" s="19"/>
      <c r="U126" s="19"/>
      <c r="V126" s="19"/>
    </row>
    <row r="127" spans="5:22" ht="13.8" x14ac:dyDescent="0.25">
      <c r="E127" s="19"/>
      <c r="F127" s="19"/>
      <c r="G127" s="19"/>
      <c r="H127" s="19"/>
      <c r="I127" s="19"/>
      <c r="J127" s="19"/>
      <c r="K127" s="19"/>
      <c r="L127" s="19"/>
      <c r="M127" s="48"/>
      <c r="N127" s="28"/>
      <c r="O127" s="19"/>
      <c r="P127" s="19"/>
      <c r="Q127" s="19"/>
      <c r="R127" s="19"/>
      <c r="S127" s="19"/>
      <c r="T127" s="19"/>
      <c r="U127" s="19"/>
      <c r="V127" s="19"/>
    </row>
    <row r="128" spans="5:22" ht="13.8" x14ac:dyDescent="0.25">
      <c r="E128" s="19"/>
      <c r="F128" s="19"/>
      <c r="G128" s="19"/>
      <c r="H128" s="19"/>
      <c r="I128" s="19"/>
      <c r="J128" s="19"/>
      <c r="K128" s="19"/>
      <c r="L128" s="19"/>
      <c r="M128" s="48"/>
      <c r="N128" s="28"/>
      <c r="O128" s="19"/>
      <c r="P128" s="19"/>
      <c r="Q128" s="19"/>
      <c r="R128" s="19"/>
      <c r="S128" s="19"/>
      <c r="T128" s="19"/>
      <c r="U128" s="19"/>
      <c r="V128" s="19"/>
    </row>
    <row r="129" spans="5:22" ht="13.8" x14ac:dyDescent="0.25">
      <c r="E129" s="19"/>
      <c r="F129" s="19"/>
      <c r="G129" s="19"/>
      <c r="H129" s="19"/>
      <c r="I129" s="19"/>
      <c r="J129" s="19"/>
      <c r="K129" s="19"/>
      <c r="L129" s="19"/>
      <c r="M129" s="48"/>
      <c r="N129" s="28"/>
      <c r="O129" s="19"/>
      <c r="P129" s="19"/>
      <c r="Q129" s="19"/>
      <c r="R129" s="19"/>
      <c r="S129" s="19"/>
      <c r="T129" s="19"/>
      <c r="U129" s="19"/>
      <c r="V129" s="19"/>
    </row>
    <row r="130" spans="5:22" ht="13.8" x14ac:dyDescent="0.25">
      <c r="E130" s="19"/>
      <c r="F130" s="19"/>
      <c r="G130" s="19"/>
      <c r="H130" s="19"/>
      <c r="I130" s="19"/>
      <c r="J130" s="19"/>
      <c r="K130" s="19"/>
      <c r="L130" s="19"/>
      <c r="M130" s="48"/>
      <c r="N130" s="28"/>
      <c r="O130" s="19"/>
      <c r="P130" s="19"/>
      <c r="Q130" s="19"/>
      <c r="R130" s="19"/>
      <c r="S130" s="19"/>
      <c r="T130" s="19"/>
      <c r="U130" s="19"/>
      <c r="V130" s="19"/>
    </row>
    <row r="131" spans="5:22" ht="13.8" x14ac:dyDescent="0.25">
      <c r="E131" s="19"/>
      <c r="F131" s="19"/>
      <c r="G131" s="19"/>
      <c r="H131" s="19"/>
      <c r="I131" s="19"/>
      <c r="J131" s="19"/>
      <c r="K131" s="19"/>
      <c r="L131" s="19"/>
      <c r="M131" s="48"/>
      <c r="N131" s="28"/>
      <c r="O131" s="19"/>
      <c r="P131" s="19"/>
      <c r="Q131" s="19"/>
      <c r="R131" s="19"/>
      <c r="S131" s="19"/>
      <c r="T131" s="19"/>
      <c r="U131" s="19"/>
      <c r="V131" s="19"/>
    </row>
    <row r="132" spans="5:22" ht="13.8" x14ac:dyDescent="0.25">
      <c r="E132" s="19"/>
      <c r="F132" s="19"/>
      <c r="G132" s="19"/>
      <c r="H132" s="19"/>
      <c r="I132" s="19"/>
      <c r="J132" s="19"/>
      <c r="K132" s="19"/>
      <c r="L132" s="19"/>
      <c r="M132" s="48"/>
      <c r="N132" s="28"/>
      <c r="O132" s="19"/>
      <c r="P132" s="19"/>
      <c r="Q132" s="19"/>
      <c r="R132" s="19"/>
      <c r="S132" s="19"/>
      <c r="T132" s="19"/>
      <c r="U132" s="19"/>
      <c r="V132" s="19"/>
    </row>
    <row r="133" spans="5:22" ht="13.8" x14ac:dyDescent="0.25">
      <c r="E133" s="19"/>
      <c r="F133" s="19"/>
      <c r="G133" s="19"/>
      <c r="H133" s="19"/>
      <c r="I133" s="19"/>
      <c r="J133" s="19"/>
      <c r="K133" s="19"/>
      <c r="L133" s="19"/>
      <c r="M133" s="48"/>
      <c r="N133" s="28"/>
      <c r="O133" s="19"/>
      <c r="P133" s="19"/>
      <c r="Q133" s="19"/>
      <c r="R133" s="19"/>
      <c r="S133" s="19"/>
      <c r="T133" s="19"/>
      <c r="U133" s="19"/>
      <c r="V133" s="19"/>
    </row>
    <row r="134" spans="5:22" ht="13.8" x14ac:dyDescent="0.25">
      <c r="E134" s="19"/>
      <c r="F134" s="19"/>
      <c r="G134" s="19"/>
      <c r="H134" s="19"/>
      <c r="I134" s="19"/>
      <c r="J134" s="19"/>
      <c r="K134" s="19"/>
      <c r="L134" s="19"/>
      <c r="M134" s="48"/>
      <c r="N134" s="28"/>
      <c r="O134" s="19"/>
      <c r="P134" s="19"/>
      <c r="Q134" s="19"/>
      <c r="R134" s="19"/>
      <c r="S134" s="19"/>
      <c r="T134" s="19"/>
      <c r="U134" s="19"/>
      <c r="V134" s="19"/>
    </row>
    <row r="135" spans="5:22" ht="13.8" x14ac:dyDescent="0.25">
      <c r="E135" s="19"/>
      <c r="F135" s="19"/>
      <c r="G135" s="19"/>
      <c r="H135" s="19"/>
      <c r="I135" s="19"/>
      <c r="J135" s="19"/>
      <c r="K135" s="19"/>
      <c r="L135" s="19"/>
      <c r="M135" s="48"/>
      <c r="N135" s="28"/>
      <c r="O135" s="19"/>
      <c r="P135" s="19"/>
      <c r="Q135" s="19"/>
      <c r="R135" s="19"/>
      <c r="S135" s="19"/>
      <c r="T135" s="19"/>
      <c r="U135" s="19"/>
      <c r="V135" s="19"/>
    </row>
    <row r="136" spans="5:22" ht="13.8" x14ac:dyDescent="0.25">
      <c r="E136" s="19"/>
      <c r="F136" s="19"/>
      <c r="G136" s="19"/>
      <c r="H136" s="19"/>
      <c r="I136" s="19"/>
      <c r="J136" s="19"/>
      <c r="K136" s="19"/>
      <c r="L136" s="19"/>
      <c r="M136" s="48"/>
      <c r="N136" s="28"/>
      <c r="O136" s="19"/>
      <c r="P136" s="19"/>
      <c r="Q136" s="19"/>
      <c r="R136" s="19"/>
      <c r="S136" s="19"/>
      <c r="T136" s="19"/>
      <c r="U136" s="19"/>
      <c r="V136" s="19"/>
    </row>
    <row r="137" spans="5:22" ht="13.8" x14ac:dyDescent="0.25">
      <c r="E137" s="19"/>
      <c r="F137" s="19"/>
      <c r="G137" s="19"/>
      <c r="H137" s="19"/>
      <c r="I137" s="19"/>
      <c r="J137" s="19"/>
      <c r="K137" s="19"/>
      <c r="L137" s="19"/>
      <c r="M137" s="48"/>
      <c r="N137" s="28"/>
      <c r="O137" s="19"/>
      <c r="P137" s="19"/>
      <c r="Q137" s="19"/>
      <c r="R137" s="19"/>
      <c r="S137" s="19"/>
      <c r="T137" s="19"/>
      <c r="U137" s="19"/>
      <c r="V137" s="19"/>
    </row>
    <row r="138" spans="5:22" ht="13.8" x14ac:dyDescent="0.25">
      <c r="E138" s="19"/>
      <c r="F138" s="19"/>
      <c r="G138" s="19"/>
      <c r="H138" s="19"/>
      <c r="I138" s="19"/>
      <c r="J138" s="19"/>
      <c r="K138" s="19"/>
      <c r="L138" s="19"/>
      <c r="M138" s="48"/>
      <c r="N138" s="28"/>
      <c r="O138" s="19"/>
      <c r="P138" s="19"/>
      <c r="Q138" s="19"/>
      <c r="R138" s="19"/>
      <c r="S138" s="19"/>
      <c r="T138" s="19"/>
      <c r="U138" s="19"/>
      <c r="V138" s="19"/>
    </row>
    <row r="139" spans="5:22" ht="13.8" x14ac:dyDescent="0.25">
      <c r="E139" s="19"/>
      <c r="F139" s="19"/>
      <c r="G139" s="19"/>
      <c r="H139" s="19"/>
      <c r="I139" s="19"/>
      <c r="J139" s="19"/>
      <c r="K139" s="19"/>
      <c r="L139" s="19"/>
      <c r="M139" s="48"/>
      <c r="N139" s="28"/>
      <c r="O139" s="19"/>
      <c r="P139" s="19"/>
      <c r="Q139" s="19"/>
      <c r="R139" s="19"/>
      <c r="S139" s="19"/>
      <c r="T139" s="19"/>
      <c r="U139" s="19"/>
      <c r="V139" s="19"/>
    </row>
    <row r="140" spans="5:22" ht="13.8" x14ac:dyDescent="0.25">
      <c r="E140" s="19"/>
      <c r="F140" s="19"/>
      <c r="G140" s="19"/>
      <c r="H140" s="19"/>
      <c r="I140" s="19"/>
      <c r="J140" s="19"/>
      <c r="K140" s="19"/>
      <c r="L140" s="19"/>
      <c r="M140" s="48"/>
      <c r="N140" s="28"/>
      <c r="O140" s="19"/>
      <c r="P140" s="19"/>
      <c r="Q140" s="19"/>
      <c r="R140" s="19"/>
      <c r="S140" s="19"/>
      <c r="T140" s="19"/>
      <c r="U140" s="19"/>
      <c r="V140" s="19"/>
    </row>
    <row r="141" spans="5:22" ht="13.8" x14ac:dyDescent="0.25">
      <c r="E141" s="19"/>
      <c r="F141" s="19"/>
      <c r="G141" s="19"/>
      <c r="H141" s="19"/>
      <c r="I141" s="19"/>
      <c r="J141" s="19"/>
      <c r="K141" s="19"/>
      <c r="L141" s="19"/>
      <c r="M141" s="48"/>
      <c r="N141" s="28"/>
      <c r="O141" s="19"/>
      <c r="P141" s="19"/>
      <c r="Q141" s="19"/>
      <c r="R141" s="19"/>
      <c r="S141" s="19"/>
      <c r="T141" s="19"/>
      <c r="U141" s="19"/>
      <c r="V141" s="19"/>
    </row>
    <row r="142" spans="5:22" ht="13.8" x14ac:dyDescent="0.25">
      <c r="E142" s="19"/>
      <c r="F142" s="19"/>
      <c r="G142" s="19"/>
      <c r="H142" s="19"/>
      <c r="I142" s="19"/>
      <c r="J142" s="19"/>
      <c r="K142" s="19"/>
      <c r="L142" s="19"/>
      <c r="M142" s="48"/>
      <c r="N142" s="28"/>
      <c r="O142" s="19"/>
      <c r="P142" s="19"/>
      <c r="Q142" s="19"/>
      <c r="R142" s="19"/>
      <c r="S142" s="19"/>
      <c r="T142" s="19"/>
      <c r="U142" s="19"/>
      <c r="V142" s="19"/>
    </row>
    <row r="143" spans="5:22" ht="13.8" x14ac:dyDescent="0.25">
      <c r="E143" s="19"/>
      <c r="F143" s="19"/>
      <c r="G143" s="19"/>
      <c r="H143" s="19"/>
      <c r="I143" s="19"/>
      <c r="J143" s="19"/>
      <c r="K143" s="19"/>
      <c r="L143" s="19"/>
      <c r="M143" s="48"/>
      <c r="N143" s="28"/>
      <c r="O143" s="19"/>
      <c r="P143" s="19"/>
      <c r="Q143" s="19"/>
      <c r="R143" s="19"/>
      <c r="S143" s="19"/>
      <c r="T143" s="19"/>
      <c r="U143" s="19"/>
      <c r="V143" s="19"/>
    </row>
    <row r="144" spans="5:22" ht="13.8" x14ac:dyDescent="0.25">
      <c r="E144" s="19"/>
      <c r="F144" s="19"/>
      <c r="G144" s="19"/>
      <c r="H144" s="19"/>
      <c r="I144" s="19"/>
      <c r="J144" s="19"/>
      <c r="K144" s="19"/>
      <c r="L144" s="19"/>
      <c r="M144" s="48"/>
      <c r="N144" s="28"/>
      <c r="O144" s="19"/>
      <c r="P144" s="19"/>
      <c r="Q144" s="19"/>
      <c r="R144" s="19"/>
      <c r="S144" s="19"/>
      <c r="T144" s="19"/>
      <c r="U144" s="19"/>
      <c r="V144" s="19"/>
    </row>
    <row r="145" spans="5:22" ht="13.8" x14ac:dyDescent="0.25">
      <c r="E145" s="19"/>
      <c r="F145" s="19"/>
      <c r="G145" s="19"/>
      <c r="H145" s="19"/>
      <c r="I145" s="19"/>
      <c r="J145" s="19"/>
      <c r="K145" s="19"/>
      <c r="L145" s="19"/>
      <c r="M145" s="48"/>
      <c r="N145" s="28"/>
      <c r="O145" s="19"/>
      <c r="P145" s="19"/>
      <c r="Q145" s="19"/>
      <c r="R145" s="19"/>
      <c r="S145" s="19"/>
      <c r="T145" s="19"/>
      <c r="U145" s="19"/>
      <c r="V145" s="19"/>
    </row>
    <row r="146" spans="5:22" ht="13.8" x14ac:dyDescent="0.25">
      <c r="E146" s="19"/>
      <c r="F146" s="19"/>
      <c r="G146" s="19"/>
      <c r="H146" s="19"/>
      <c r="I146" s="19"/>
      <c r="J146" s="19"/>
      <c r="K146" s="19"/>
      <c r="L146" s="19"/>
      <c r="M146" s="48"/>
      <c r="N146" s="28"/>
      <c r="O146" s="19"/>
      <c r="P146" s="19"/>
      <c r="Q146" s="19"/>
      <c r="R146" s="19"/>
      <c r="S146" s="19"/>
      <c r="T146" s="19"/>
      <c r="U146" s="19"/>
      <c r="V146" s="19"/>
    </row>
    <row r="147" spans="5:22" ht="13.8" x14ac:dyDescent="0.25">
      <c r="E147" s="19"/>
      <c r="F147" s="19"/>
      <c r="G147" s="19"/>
      <c r="H147" s="19"/>
      <c r="I147" s="19"/>
      <c r="J147" s="19"/>
      <c r="K147" s="19"/>
      <c r="L147" s="19"/>
      <c r="M147" s="48"/>
      <c r="N147" s="28"/>
      <c r="O147" s="19"/>
      <c r="P147" s="19"/>
      <c r="Q147" s="19"/>
      <c r="R147" s="19"/>
      <c r="S147" s="19"/>
      <c r="T147" s="19"/>
      <c r="U147" s="19"/>
      <c r="V147" s="19"/>
    </row>
    <row r="148" spans="5:22" ht="13.8" x14ac:dyDescent="0.25">
      <c r="E148" s="19"/>
      <c r="F148" s="19"/>
      <c r="G148" s="19"/>
      <c r="H148" s="19"/>
      <c r="I148" s="19"/>
      <c r="J148" s="19"/>
      <c r="K148" s="19"/>
      <c r="L148" s="19"/>
      <c r="M148" s="48"/>
      <c r="N148" s="28"/>
      <c r="O148" s="19"/>
      <c r="P148" s="19"/>
      <c r="Q148" s="19"/>
      <c r="R148" s="19"/>
      <c r="S148" s="19"/>
      <c r="T148" s="19"/>
      <c r="U148" s="19"/>
      <c r="V148" s="19"/>
    </row>
    <row r="149" spans="5:22" ht="13.8" x14ac:dyDescent="0.25">
      <c r="E149" s="19"/>
      <c r="F149" s="19"/>
      <c r="G149" s="19"/>
      <c r="H149" s="19"/>
      <c r="I149" s="19"/>
      <c r="J149" s="19"/>
      <c r="K149" s="19"/>
      <c r="L149" s="19"/>
      <c r="M149" s="48"/>
      <c r="N149" s="28"/>
      <c r="O149" s="19"/>
      <c r="P149" s="19"/>
      <c r="Q149" s="19"/>
      <c r="R149" s="19"/>
      <c r="S149" s="19"/>
      <c r="T149" s="19"/>
      <c r="U149" s="19"/>
      <c r="V149" s="19"/>
    </row>
    <row r="150" spans="5:22" ht="13.8" x14ac:dyDescent="0.25">
      <c r="E150" s="19"/>
      <c r="F150" s="19"/>
      <c r="G150" s="19"/>
      <c r="H150" s="19"/>
      <c r="I150" s="19"/>
      <c r="J150" s="19"/>
      <c r="K150" s="19"/>
      <c r="L150" s="19"/>
      <c r="M150" s="48"/>
      <c r="N150" s="28"/>
      <c r="O150" s="19"/>
      <c r="P150" s="19"/>
      <c r="Q150" s="19"/>
      <c r="R150" s="19"/>
      <c r="S150" s="19"/>
      <c r="T150" s="19"/>
      <c r="U150" s="19"/>
      <c r="V150" s="19"/>
    </row>
    <row r="151" spans="5:22" ht="13.8" x14ac:dyDescent="0.25">
      <c r="E151" s="19"/>
      <c r="F151" s="19"/>
      <c r="G151" s="19"/>
      <c r="H151" s="19"/>
      <c r="I151" s="19"/>
      <c r="J151" s="19"/>
      <c r="K151" s="19"/>
      <c r="L151" s="19"/>
      <c r="M151" s="48"/>
      <c r="N151" s="28"/>
      <c r="O151" s="19"/>
      <c r="P151" s="19"/>
      <c r="Q151" s="19"/>
      <c r="R151" s="19"/>
      <c r="S151" s="19"/>
      <c r="T151" s="19"/>
      <c r="U151" s="19"/>
      <c r="V151" s="19"/>
    </row>
    <row r="152" spans="5:22" ht="13.8" x14ac:dyDescent="0.25">
      <c r="E152" s="19"/>
      <c r="F152" s="19"/>
      <c r="G152" s="19"/>
      <c r="H152" s="19"/>
      <c r="I152" s="19"/>
      <c r="J152" s="19"/>
      <c r="K152" s="19"/>
      <c r="L152" s="19"/>
      <c r="M152" s="48"/>
      <c r="N152" s="28"/>
      <c r="O152" s="19"/>
      <c r="P152" s="19"/>
      <c r="Q152" s="19"/>
      <c r="R152" s="19"/>
      <c r="S152" s="19"/>
      <c r="T152" s="19"/>
      <c r="U152" s="19"/>
      <c r="V152" s="19"/>
    </row>
    <row r="153" spans="5:22" ht="13.8" x14ac:dyDescent="0.25">
      <c r="E153" s="19"/>
      <c r="F153" s="19"/>
      <c r="G153" s="19"/>
      <c r="H153" s="19"/>
      <c r="I153" s="19"/>
      <c r="J153" s="19"/>
      <c r="K153" s="19"/>
      <c r="L153" s="19"/>
      <c r="M153" s="48"/>
      <c r="N153" s="28"/>
      <c r="O153" s="19"/>
      <c r="P153" s="19"/>
      <c r="Q153" s="19"/>
      <c r="R153" s="19"/>
      <c r="S153" s="19"/>
      <c r="T153" s="19"/>
      <c r="U153" s="19"/>
      <c r="V153" s="19"/>
    </row>
    <row r="154" spans="5:22" ht="13.8" x14ac:dyDescent="0.25">
      <c r="E154" s="19"/>
      <c r="F154" s="19"/>
      <c r="G154" s="19"/>
      <c r="H154" s="19"/>
      <c r="I154" s="19"/>
      <c r="J154" s="19"/>
      <c r="K154" s="19"/>
      <c r="L154" s="19"/>
      <c r="M154" s="48"/>
      <c r="N154" s="28"/>
      <c r="O154" s="19"/>
      <c r="P154" s="19"/>
      <c r="Q154" s="19"/>
      <c r="R154" s="19"/>
      <c r="S154" s="19"/>
      <c r="T154" s="19"/>
      <c r="U154" s="19"/>
      <c r="V154" s="19"/>
    </row>
    <row r="155" spans="5:22" ht="13.8" x14ac:dyDescent="0.25">
      <c r="E155" s="19"/>
      <c r="F155" s="19"/>
      <c r="G155" s="19"/>
      <c r="H155" s="19"/>
      <c r="I155" s="19"/>
      <c r="J155" s="19"/>
      <c r="K155" s="19"/>
      <c r="L155" s="19"/>
      <c r="M155" s="48"/>
      <c r="N155" s="28"/>
      <c r="O155" s="19"/>
      <c r="P155" s="19"/>
      <c r="Q155" s="19"/>
      <c r="R155" s="19"/>
      <c r="S155" s="19"/>
      <c r="T155" s="19"/>
      <c r="U155" s="19"/>
      <c r="V155" s="19"/>
    </row>
    <row r="156" spans="5:22" ht="13.8" x14ac:dyDescent="0.25">
      <c r="E156" s="19"/>
      <c r="F156" s="19"/>
      <c r="G156" s="19"/>
      <c r="H156" s="19"/>
      <c r="I156" s="19"/>
      <c r="J156" s="19"/>
      <c r="K156" s="19"/>
      <c r="L156" s="19"/>
      <c r="M156" s="48"/>
      <c r="N156" s="28"/>
      <c r="O156" s="19"/>
      <c r="P156" s="19"/>
      <c r="Q156" s="19"/>
      <c r="R156" s="19"/>
      <c r="S156" s="19"/>
      <c r="T156" s="19"/>
      <c r="U156" s="19"/>
      <c r="V156" s="19"/>
    </row>
    <row r="157" spans="5:22" ht="13.8" x14ac:dyDescent="0.25">
      <c r="E157" s="19"/>
      <c r="F157" s="19"/>
      <c r="G157" s="19"/>
      <c r="H157" s="19"/>
      <c r="I157" s="19"/>
      <c r="J157" s="19"/>
      <c r="K157" s="19"/>
      <c r="L157" s="19"/>
      <c r="M157" s="48"/>
      <c r="N157" s="28"/>
      <c r="O157" s="19"/>
      <c r="P157" s="19"/>
      <c r="Q157" s="19"/>
      <c r="R157" s="19"/>
      <c r="S157" s="19"/>
      <c r="T157" s="19"/>
      <c r="U157" s="19"/>
      <c r="V157" s="19"/>
    </row>
    <row r="158" spans="5:22" ht="13.8" x14ac:dyDescent="0.25">
      <c r="E158" s="19"/>
      <c r="F158" s="19"/>
      <c r="G158" s="19"/>
      <c r="H158" s="19"/>
      <c r="I158" s="19"/>
      <c r="J158" s="19"/>
      <c r="K158" s="19"/>
      <c r="L158" s="19"/>
      <c r="M158" s="48"/>
      <c r="N158" s="28"/>
      <c r="O158" s="19"/>
      <c r="P158" s="19"/>
      <c r="Q158" s="19"/>
      <c r="R158" s="19"/>
      <c r="S158" s="19"/>
      <c r="T158" s="19"/>
      <c r="U158" s="19"/>
      <c r="V158" s="19"/>
    </row>
    <row r="159" spans="5:22" ht="13.8" x14ac:dyDescent="0.25">
      <c r="E159" s="19"/>
      <c r="F159" s="19"/>
      <c r="G159" s="19"/>
      <c r="H159" s="19"/>
      <c r="I159" s="19"/>
      <c r="J159" s="19"/>
      <c r="K159" s="19"/>
      <c r="L159" s="19"/>
      <c r="M159" s="48"/>
      <c r="N159" s="28"/>
      <c r="O159" s="19"/>
      <c r="P159" s="19"/>
      <c r="Q159" s="19"/>
      <c r="R159" s="19"/>
      <c r="S159" s="19"/>
      <c r="T159" s="19"/>
      <c r="U159" s="19"/>
      <c r="V159" s="19"/>
    </row>
    <row r="160" spans="5:22" ht="13.8" x14ac:dyDescent="0.25">
      <c r="E160" s="19"/>
      <c r="F160" s="19"/>
      <c r="G160" s="19"/>
      <c r="H160" s="19"/>
      <c r="I160" s="19"/>
      <c r="J160" s="19"/>
      <c r="K160" s="19"/>
      <c r="L160" s="19"/>
      <c r="M160" s="48"/>
      <c r="N160" s="28"/>
      <c r="O160" s="19"/>
      <c r="P160" s="19"/>
      <c r="Q160" s="19"/>
      <c r="R160" s="19"/>
      <c r="S160" s="19"/>
      <c r="T160" s="19"/>
      <c r="U160" s="19"/>
      <c r="V160" s="19"/>
    </row>
    <row r="161" spans="5:22" ht="13.8" x14ac:dyDescent="0.25">
      <c r="E161" s="19"/>
      <c r="F161" s="19"/>
      <c r="G161" s="19"/>
      <c r="H161" s="19"/>
      <c r="I161" s="19"/>
      <c r="J161" s="19"/>
      <c r="K161" s="19"/>
      <c r="L161" s="19"/>
      <c r="M161" s="48"/>
      <c r="N161" s="28"/>
      <c r="O161" s="19"/>
      <c r="P161" s="19"/>
      <c r="Q161" s="19"/>
      <c r="R161" s="19"/>
      <c r="S161" s="19"/>
      <c r="T161" s="19"/>
      <c r="U161" s="19"/>
      <c r="V161" s="19"/>
    </row>
    <row r="162" spans="5:22" ht="13.8" x14ac:dyDescent="0.25">
      <c r="E162" s="19"/>
      <c r="F162" s="19"/>
      <c r="G162" s="19"/>
      <c r="H162" s="19"/>
      <c r="I162" s="19"/>
      <c r="J162" s="19"/>
      <c r="K162" s="19"/>
      <c r="L162" s="19"/>
      <c r="M162" s="48"/>
      <c r="N162" s="28"/>
      <c r="O162" s="19"/>
      <c r="P162" s="19"/>
      <c r="Q162" s="19"/>
      <c r="R162" s="19"/>
      <c r="S162" s="19"/>
      <c r="T162" s="19"/>
      <c r="U162" s="19"/>
      <c r="V162" s="19"/>
    </row>
    <row r="163" spans="5:22" ht="13.8" x14ac:dyDescent="0.25">
      <c r="E163" s="19"/>
      <c r="F163" s="19"/>
      <c r="G163" s="19"/>
      <c r="H163" s="19"/>
      <c r="I163" s="19"/>
      <c r="J163" s="19"/>
      <c r="K163" s="19"/>
      <c r="L163" s="19"/>
      <c r="M163" s="48"/>
      <c r="N163" s="28"/>
      <c r="O163" s="19"/>
      <c r="P163" s="19"/>
      <c r="Q163" s="19"/>
      <c r="R163" s="19"/>
      <c r="S163" s="19"/>
      <c r="T163" s="19"/>
      <c r="U163" s="19"/>
      <c r="V163" s="19"/>
    </row>
    <row r="164" spans="5:22" ht="13.8" x14ac:dyDescent="0.25">
      <c r="E164" s="19"/>
      <c r="F164" s="19"/>
      <c r="G164" s="19"/>
      <c r="H164" s="19"/>
      <c r="I164" s="19"/>
      <c r="J164" s="19"/>
      <c r="K164" s="19"/>
      <c r="L164" s="19"/>
      <c r="M164" s="48"/>
      <c r="N164" s="28"/>
      <c r="O164" s="19"/>
      <c r="P164" s="19"/>
      <c r="Q164" s="19"/>
      <c r="R164" s="19"/>
      <c r="S164" s="19"/>
      <c r="T164" s="19"/>
      <c r="U164" s="19"/>
      <c r="V164" s="19"/>
    </row>
    <row r="165" spans="5:22" ht="13.8" x14ac:dyDescent="0.25">
      <c r="E165" s="19"/>
      <c r="F165" s="19"/>
      <c r="G165" s="19"/>
      <c r="H165" s="19"/>
      <c r="I165" s="19"/>
      <c r="J165" s="19"/>
      <c r="K165" s="19"/>
      <c r="L165" s="19"/>
      <c r="M165" s="48"/>
      <c r="N165" s="28"/>
      <c r="O165" s="19"/>
      <c r="P165" s="19"/>
      <c r="Q165" s="19"/>
      <c r="R165" s="19"/>
      <c r="S165" s="19"/>
      <c r="T165" s="19"/>
      <c r="U165" s="19"/>
      <c r="V165" s="19"/>
    </row>
    <row r="166" spans="5:22" ht="13.8" x14ac:dyDescent="0.25">
      <c r="E166" s="19"/>
      <c r="F166" s="19"/>
      <c r="G166" s="19"/>
      <c r="H166" s="19"/>
      <c r="I166" s="19"/>
      <c r="J166" s="19"/>
      <c r="K166" s="19"/>
      <c r="L166" s="19"/>
      <c r="M166" s="48"/>
      <c r="N166" s="28"/>
      <c r="O166" s="19"/>
      <c r="P166" s="19"/>
      <c r="Q166" s="19"/>
      <c r="R166" s="19"/>
      <c r="S166" s="19"/>
      <c r="T166" s="19"/>
      <c r="U166" s="19"/>
      <c r="V166" s="19"/>
    </row>
    <row r="167" spans="5:22" ht="13.8" x14ac:dyDescent="0.25">
      <c r="E167" s="19"/>
      <c r="F167" s="19"/>
      <c r="G167" s="19"/>
      <c r="H167" s="19"/>
      <c r="I167" s="19"/>
      <c r="J167" s="19"/>
      <c r="K167" s="19"/>
      <c r="L167" s="19"/>
      <c r="M167" s="48"/>
      <c r="N167" s="28"/>
      <c r="O167" s="19"/>
      <c r="P167" s="19"/>
      <c r="Q167" s="19"/>
      <c r="R167" s="19"/>
      <c r="S167" s="19"/>
      <c r="T167" s="19"/>
      <c r="U167" s="19"/>
      <c r="V167" s="19"/>
    </row>
    <row r="168" spans="5:22" ht="13.8" x14ac:dyDescent="0.25">
      <c r="E168" s="19"/>
      <c r="F168" s="19"/>
      <c r="G168" s="19"/>
      <c r="H168" s="19"/>
      <c r="I168" s="19"/>
      <c r="J168" s="19"/>
      <c r="K168" s="19"/>
      <c r="L168" s="19"/>
      <c r="M168" s="48"/>
      <c r="N168" s="28"/>
      <c r="O168" s="19"/>
      <c r="P168" s="19"/>
      <c r="Q168" s="19"/>
      <c r="R168" s="19"/>
      <c r="S168" s="19"/>
      <c r="T168" s="19"/>
      <c r="U168" s="19"/>
      <c r="V168" s="19"/>
    </row>
    <row r="169" spans="5:22" ht="13.8" x14ac:dyDescent="0.25">
      <c r="E169" s="19"/>
      <c r="F169" s="19"/>
      <c r="G169" s="19"/>
      <c r="H169" s="19"/>
      <c r="I169" s="19"/>
      <c r="J169" s="19"/>
      <c r="K169" s="19"/>
      <c r="L169" s="19"/>
      <c r="M169" s="48"/>
      <c r="N169" s="28"/>
      <c r="O169" s="19"/>
      <c r="P169" s="19"/>
      <c r="Q169" s="19"/>
      <c r="R169" s="19"/>
      <c r="S169" s="19"/>
      <c r="T169" s="19"/>
      <c r="U169" s="19"/>
      <c r="V169" s="19"/>
    </row>
    <row r="170" spans="5:22" ht="13.8" x14ac:dyDescent="0.25">
      <c r="E170" s="19"/>
      <c r="F170" s="19"/>
      <c r="G170" s="19"/>
      <c r="H170" s="19"/>
      <c r="I170" s="19"/>
      <c r="J170" s="19"/>
      <c r="K170" s="19"/>
      <c r="L170" s="19"/>
      <c r="M170" s="48"/>
      <c r="N170" s="28"/>
      <c r="O170" s="19"/>
      <c r="P170" s="19"/>
      <c r="Q170" s="19"/>
      <c r="R170" s="19"/>
      <c r="S170" s="19"/>
      <c r="T170" s="19"/>
      <c r="U170" s="19"/>
      <c r="V170" s="19"/>
    </row>
    <row r="171" spans="5:22" ht="13.8" x14ac:dyDescent="0.25">
      <c r="E171" s="19"/>
      <c r="F171" s="19"/>
      <c r="G171" s="19"/>
      <c r="H171" s="19"/>
      <c r="I171" s="19"/>
      <c r="J171" s="19"/>
      <c r="K171" s="19"/>
      <c r="L171" s="19"/>
      <c r="M171" s="48"/>
      <c r="N171" s="28"/>
      <c r="O171" s="19"/>
      <c r="P171" s="19"/>
      <c r="Q171" s="19"/>
      <c r="R171" s="19"/>
      <c r="S171" s="19"/>
      <c r="T171" s="19"/>
      <c r="U171" s="19"/>
      <c r="V171" s="19"/>
    </row>
    <row r="172" spans="5:22" ht="13.8" x14ac:dyDescent="0.25">
      <c r="E172" s="19"/>
      <c r="F172" s="19"/>
      <c r="G172" s="19"/>
      <c r="H172" s="19"/>
      <c r="I172" s="19"/>
      <c r="J172" s="19"/>
      <c r="K172" s="19"/>
      <c r="L172" s="19"/>
      <c r="M172" s="48"/>
      <c r="N172" s="28"/>
      <c r="O172" s="19"/>
      <c r="P172" s="19"/>
      <c r="Q172" s="19"/>
      <c r="R172" s="19"/>
      <c r="S172" s="19"/>
      <c r="T172" s="19"/>
      <c r="U172" s="19"/>
      <c r="V172" s="19"/>
    </row>
    <row r="173" spans="5:22" ht="13.8" x14ac:dyDescent="0.25">
      <c r="E173" s="19"/>
      <c r="F173" s="19"/>
      <c r="G173" s="19"/>
      <c r="H173" s="19"/>
      <c r="I173" s="19"/>
      <c r="J173" s="19"/>
      <c r="K173" s="19"/>
      <c r="L173" s="19"/>
      <c r="M173" s="48"/>
      <c r="N173" s="28"/>
      <c r="O173" s="19"/>
      <c r="P173" s="19"/>
      <c r="Q173" s="19"/>
      <c r="R173" s="19"/>
      <c r="S173" s="19"/>
      <c r="T173" s="19"/>
      <c r="U173" s="19"/>
      <c r="V173" s="19"/>
    </row>
    <row r="174" spans="5:22" ht="13.8" x14ac:dyDescent="0.25">
      <c r="E174" s="19"/>
      <c r="F174" s="19"/>
      <c r="G174" s="19"/>
      <c r="H174" s="19"/>
      <c r="I174" s="19"/>
      <c r="J174" s="19"/>
      <c r="K174" s="19"/>
      <c r="L174" s="19"/>
      <c r="M174" s="48"/>
      <c r="N174" s="28"/>
      <c r="O174" s="19"/>
      <c r="P174" s="19"/>
      <c r="Q174" s="19"/>
      <c r="R174" s="19"/>
      <c r="S174" s="19"/>
      <c r="T174" s="19"/>
      <c r="U174" s="19"/>
      <c r="V174" s="19"/>
    </row>
    <row r="175" spans="5:22" ht="13.8" x14ac:dyDescent="0.25">
      <c r="E175" s="19"/>
      <c r="F175" s="19"/>
      <c r="G175" s="19"/>
      <c r="H175" s="19"/>
      <c r="I175" s="19"/>
      <c r="J175" s="19"/>
      <c r="K175" s="19"/>
      <c r="L175" s="19"/>
      <c r="M175" s="48"/>
      <c r="N175" s="28"/>
      <c r="O175" s="19"/>
      <c r="P175" s="19"/>
      <c r="Q175" s="19"/>
      <c r="R175" s="19"/>
      <c r="S175" s="19"/>
      <c r="T175" s="19"/>
      <c r="U175" s="19"/>
      <c r="V175" s="19"/>
    </row>
    <row r="176" spans="5:22" ht="13.8" x14ac:dyDescent="0.25">
      <c r="E176" s="19"/>
      <c r="F176" s="19"/>
      <c r="G176" s="19"/>
      <c r="H176" s="19"/>
      <c r="I176" s="19"/>
      <c r="J176" s="19"/>
      <c r="K176" s="19"/>
      <c r="L176" s="19"/>
      <c r="M176" s="48"/>
      <c r="N176" s="28"/>
      <c r="O176" s="19"/>
      <c r="P176" s="19"/>
      <c r="Q176" s="19"/>
      <c r="R176" s="19"/>
      <c r="S176" s="19"/>
      <c r="T176" s="19"/>
      <c r="U176" s="19"/>
      <c r="V176" s="19"/>
    </row>
    <row r="177" spans="5:22" ht="13.8" x14ac:dyDescent="0.25">
      <c r="E177" s="19"/>
      <c r="F177" s="19"/>
      <c r="G177" s="19"/>
      <c r="H177" s="19"/>
      <c r="I177" s="19"/>
      <c r="J177" s="19"/>
      <c r="K177" s="19"/>
      <c r="L177" s="19"/>
      <c r="M177" s="48"/>
      <c r="N177" s="28"/>
      <c r="O177" s="19"/>
      <c r="P177" s="19"/>
      <c r="Q177" s="19"/>
      <c r="R177" s="19"/>
      <c r="S177" s="19"/>
      <c r="T177" s="19"/>
      <c r="U177" s="19"/>
      <c r="V177" s="19"/>
    </row>
    <row r="178" spans="5:22" ht="13.8" x14ac:dyDescent="0.25">
      <c r="E178" s="19"/>
      <c r="F178" s="19"/>
      <c r="G178" s="19"/>
      <c r="H178" s="19"/>
      <c r="I178" s="19"/>
      <c r="J178" s="19"/>
      <c r="K178" s="19"/>
      <c r="L178" s="19"/>
      <c r="M178" s="48"/>
      <c r="N178" s="28"/>
      <c r="O178" s="19"/>
      <c r="P178" s="19"/>
      <c r="Q178" s="19"/>
      <c r="R178" s="19"/>
      <c r="S178" s="19"/>
      <c r="T178" s="19"/>
      <c r="U178" s="19"/>
      <c r="V178" s="19"/>
    </row>
    <row r="179" spans="5:22" ht="13.8" x14ac:dyDescent="0.25">
      <c r="E179" s="19"/>
      <c r="F179" s="19"/>
      <c r="G179" s="19"/>
      <c r="H179" s="19"/>
      <c r="I179" s="19"/>
      <c r="J179" s="19"/>
      <c r="K179" s="19"/>
      <c r="L179" s="19"/>
      <c r="M179" s="48"/>
      <c r="N179" s="28"/>
      <c r="O179" s="19"/>
      <c r="P179" s="19"/>
      <c r="Q179" s="19"/>
      <c r="R179" s="19"/>
      <c r="S179" s="19"/>
      <c r="T179" s="19"/>
      <c r="U179" s="19"/>
      <c r="V179" s="19"/>
    </row>
    <row r="180" spans="5:22" ht="13.8" x14ac:dyDescent="0.25">
      <c r="E180" s="19"/>
      <c r="F180" s="19"/>
      <c r="G180" s="19"/>
      <c r="H180" s="19"/>
      <c r="I180" s="19"/>
      <c r="J180" s="19"/>
      <c r="K180" s="19"/>
      <c r="L180" s="19"/>
      <c r="M180" s="48"/>
      <c r="N180" s="28"/>
      <c r="O180" s="19"/>
      <c r="P180" s="19"/>
      <c r="Q180" s="19"/>
      <c r="R180" s="19"/>
      <c r="S180" s="19"/>
      <c r="T180" s="19"/>
      <c r="U180" s="19"/>
      <c r="V180" s="19"/>
    </row>
    <row r="181" spans="5:22" ht="13.8" x14ac:dyDescent="0.25">
      <c r="E181" s="19"/>
      <c r="F181" s="19"/>
      <c r="G181" s="19"/>
      <c r="H181" s="19"/>
      <c r="I181" s="19"/>
      <c r="J181" s="19"/>
      <c r="K181" s="19"/>
      <c r="L181" s="19"/>
      <c r="M181" s="48"/>
      <c r="N181" s="28"/>
      <c r="O181" s="19"/>
      <c r="P181" s="19"/>
      <c r="Q181" s="19"/>
      <c r="R181" s="19"/>
      <c r="S181" s="19"/>
      <c r="T181" s="19"/>
      <c r="U181" s="19"/>
      <c r="V181" s="19"/>
    </row>
    <row r="182" spans="5:22" ht="13.8" x14ac:dyDescent="0.25">
      <c r="E182" s="19"/>
      <c r="F182" s="19"/>
      <c r="G182" s="19"/>
      <c r="H182" s="19"/>
      <c r="I182" s="19"/>
      <c r="J182" s="19"/>
      <c r="K182" s="19"/>
      <c r="L182" s="19"/>
      <c r="M182" s="48"/>
      <c r="N182" s="28"/>
      <c r="O182" s="19"/>
      <c r="P182" s="19"/>
      <c r="Q182" s="19"/>
      <c r="R182" s="19"/>
      <c r="S182" s="19"/>
      <c r="T182" s="19"/>
      <c r="U182" s="19"/>
      <c r="V182" s="19"/>
    </row>
    <row r="183" spans="5:22" ht="13.8" x14ac:dyDescent="0.25">
      <c r="E183" s="19"/>
      <c r="F183" s="19"/>
      <c r="G183" s="19"/>
      <c r="H183" s="19"/>
      <c r="I183" s="19"/>
      <c r="J183" s="19"/>
      <c r="K183" s="19"/>
      <c r="L183" s="19"/>
      <c r="M183" s="48"/>
      <c r="N183" s="28"/>
      <c r="O183" s="19"/>
      <c r="P183" s="19"/>
      <c r="Q183" s="19"/>
      <c r="R183" s="19"/>
      <c r="S183" s="19"/>
      <c r="T183" s="19"/>
      <c r="U183" s="19"/>
      <c r="V183" s="19"/>
    </row>
    <row r="184" spans="5:22" ht="13.8" x14ac:dyDescent="0.25">
      <c r="E184" s="19"/>
      <c r="F184" s="19"/>
      <c r="G184" s="19"/>
      <c r="H184" s="19"/>
      <c r="I184" s="19"/>
      <c r="J184" s="19"/>
      <c r="K184" s="19"/>
      <c r="L184" s="19"/>
      <c r="M184" s="48"/>
      <c r="N184" s="28"/>
      <c r="O184" s="19"/>
      <c r="P184" s="19"/>
      <c r="Q184" s="19"/>
      <c r="R184" s="19"/>
      <c r="S184" s="19"/>
      <c r="T184" s="19"/>
      <c r="U184" s="19"/>
      <c r="V184" s="19"/>
    </row>
    <row r="185" spans="5:22" ht="13.8" x14ac:dyDescent="0.25">
      <c r="E185" s="19"/>
      <c r="F185" s="19"/>
      <c r="G185" s="19"/>
      <c r="H185" s="19"/>
      <c r="I185" s="19"/>
      <c r="J185" s="19"/>
      <c r="K185" s="19"/>
      <c r="L185" s="19"/>
      <c r="M185" s="48"/>
      <c r="N185" s="28"/>
      <c r="O185" s="19"/>
      <c r="P185" s="19"/>
      <c r="Q185" s="19"/>
      <c r="R185" s="19"/>
      <c r="S185" s="19"/>
      <c r="T185" s="19"/>
      <c r="U185" s="19"/>
      <c r="V185" s="19"/>
    </row>
    <row r="186" spans="5:22" ht="13.8" x14ac:dyDescent="0.25">
      <c r="E186" s="19"/>
      <c r="F186" s="19"/>
      <c r="G186" s="19"/>
      <c r="H186" s="19"/>
      <c r="I186" s="19"/>
      <c r="J186" s="19"/>
      <c r="K186" s="19"/>
      <c r="L186" s="19"/>
      <c r="M186" s="48"/>
      <c r="N186" s="28"/>
      <c r="O186" s="19"/>
      <c r="P186" s="19"/>
      <c r="Q186" s="19"/>
      <c r="R186" s="19"/>
      <c r="S186" s="19"/>
      <c r="T186" s="19"/>
      <c r="U186" s="19"/>
      <c r="V186" s="19"/>
    </row>
    <row r="187" spans="5:22" ht="13.8" x14ac:dyDescent="0.25">
      <c r="E187" s="19"/>
      <c r="F187" s="19"/>
      <c r="G187" s="19"/>
      <c r="H187" s="19"/>
      <c r="I187" s="19"/>
      <c r="J187" s="19"/>
      <c r="K187" s="19"/>
      <c r="L187" s="19"/>
      <c r="M187" s="48"/>
      <c r="N187" s="28"/>
      <c r="O187" s="19"/>
      <c r="P187" s="19"/>
      <c r="Q187" s="19"/>
      <c r="R187" s="19"/>
      <c r="S187" s="19"/>
      <c r="T187" s="19"/>
      <c r="U187" s="19"/>
      <c r="V187" s="19"/>
    </row>
    <row r="188" spans="5:22" ht="13.8" x14ac:dyDescent="0.25">
      <c r="E188" s="19"/>
      <c r="F188" s="19"/>
      <c r="G188" s="19"/>
      <c r="H188" s="19"/>
      <c r="I188" s="19"/>
      <c r="J188" s="19"/>
      <c r="K188" s="19"/>
      <c r="L188" s="19"/>
      <c r="M188" s="48"/>
      <c r="N188" s="28"/>
      <c r="O188" s="19"/>
      <c r="P188" s="19"/>
      <c r="Q188" s="19"/>
      <c r="R188" s="19"/>
      <c r="S188" s="19"/>
      <c r="T188" s="19"/>
      <c r="U188" s="19"/>
      <c r="V188" s="19"/>
    </row>
    <row r="189" spans="5:22" ht="13.8" x14ac:dyDescent="0.25">
      <c r="E189" s="19"/>
      <c r="F189" s="19"/>
      <c r="G189" s="19"/>
      <c r="H189" s="19"/>
      <c r="I189" s="19"/>
      <c r="J189" s="19"/>
      <c r="K189" s="19"/>
      <c r="L189" s="19"/>
      <c r="M189" s="48"/>
      <c r="N189" s="28"/>
      <c r="O189" s="19"/>
      <c r="P189" s="19"/>
      <c r="Q189" s="19"/>
      <c r="R189" s="19"/>
      <c r="S189" s="19"/>
      <c r="T189" s="19"/>
      <c r="U189" s="19"/>
      <c r="V189" s="19"/>
    </row>
    <row r="190" spans="5:22" ht="13.8" x14ac:dyDescent="0.25">
      <c r="E190" s="19"/>
      <c r="F190" s="19"/>
      <c r="G190" s="19"/>
      <c r="H190" s="19"/>
      <c r="I190" s="19"/>
      <c r="J190" s="19"/>
      <c r="K190" s="19"/>
      <c r="L190" s="19"/>
      <c r="M190" s="48"/>
      <c r="N190" s="28"/>
      <c r="O190" s="19"/>
      <c r="P190" s="19"/>
      <c r="Q190" s="19"/>
      <c r="R190" s="19"/>
      <c r="S190" s="19"/>
      <c r="T190" s="19"/>
      <c r="U190" s="19"/>
      <c r="V190" s="19"/>
    </row>
    <row r="191" spans="5:22" ht="13.8" x14ac:dyDescent="0.25">
      <c r="E191" s="19"/>
      <c r="F191" s="19"/>
      <c r="G191" s="19"/>
      <c r="H191" s="19"/>
      <c r="I191" s="19"/>
      <c r="J191" s="19"/>
      <c r="K191" s="19"/>
      <c r="L191" s="19"/>
      <c r="M191" s="48"/>
      <c r="N191" s="28"/>
      <c r="O191" s="19"/>
      <c r="P191" s="19"/>
      <c r="Q191" s="19"/>
      <c r="R191" s="19"/>
      <c r="S191" s="19"/>
      <c r="T191" s="19"/>
      <c r="U191" s="19"/>
      <c r="V191" s="19"/>
    </row>
    <row r="192" spans="5:22" ht="13.8" x14ac:dyDescent="0.25">
      <c r="E192" s="19"/>
      <c r="F192" s="19"/>
      <c r="G192" s="19"/>
      <c r="H192" s="19"/>
      <c r="I192" s="19"/>
      <c r="J192" s="19"/>
      <c r="K192" s="19"/>
      <c r="L192" s="19"/>
      <c r="M192" s="48"/>
      <c r="N192" s="28"/>
      <c r="O192" s="19"/>
      <c r="P192" s="19"/>
      <c r="Q192" s="19"/>
      <c r="R192" s="19"/>
      <c r="S192" s="19"/>
      <c r="T192" s="19"/>
      <c r="U192" s="19"/>
      <c r="V192" s="19"/>
    </row>
    <row r="193" spans="5:22" ht="13.8" x14ac:dyDescent="0.25">
      <c r="E193" s="19"/>
      <c r="F193" s="19"/>
      <c r="G193" s="19"/>
      <c r="H193" s="19"/>
      <c r="I193" s="19"/>
      <c r="J193" s="19"/>
      <c r="K193" s="19"/>
      <c r="L193" s="19"/>
      <c r="M193" s="48"/>
      <c r="N193" s="28"/>
      <c r="O193" s="19"/>
      <c r="P193" s="19"/>
      <c r="Q193" s="19"/>
      <c r="R193" s="19"/>
      <c r="S193" s="19"/>
      <c r="T193" s="19"/>
      <c r="U193" s="19"/>
      <c r="V193" s="19"/>
    </row>
    <row r="194" spans="5:22" ht="13.8" x14ac:dyDescent="0.25">
      <c r="E194" s="19"/>
      <c r="F194" s="19"/>
      <c r="G194" s="19"/>
      <c r="H194" s="19"/>
      <c r="I194" s="19"/>
      <c r="J194" s="19"/>
      <c r="K194" s="19"/>
      <c r="L194" s="19"/>
      <c r="M194" s="48"/>
      <c r="N194" s="28"/>
      <c r="O194" s="19"/>
      <c r="P194" s="19"/>
      <c r="Q194" s="19"/>
      <c r="R194" s="19"/>
      <c r="S194" s="19"/>
      <c r="T194" s="19"/>
      <c r="U194" s="19"/>
      <c r="V194" s="19"/>
    </row>
    <row r="195" spans="5:22" ht="13.8" x14ac:dyDescent="0.25">
      <c r="E195" s="19"/>
      <c r="F195" s="19"/>
      <c r="G195" s="19"/>
      <c r="H195" s="19"/>
      <c r="I195" s="19"/>
      <c r="J195" s="19"/>
      <c r="K195" s="19"/>
      <c r="L195" s="19"/>
      <c r="M195" s="48"/>
      <c r="N195" s="28"/>
      <c r="O195" s="19"/>
      <c r="P195" s="19"/>
      <c r="Q195" s="19"/>
      <c r="R195" s="19"/>
      <c r="S195" s="19"/>
      <c r="T195" s="19"/>
      <c r="U195" s="19"/>
      <c r="V195" s="19"/>
    </row>
    <row r="196" spans="5:22" ht="13.8" x14ac:dyDescent="0.25">
      <c r="E196" s="19"/>
      <c r="F196" s="19"/>
      <c r="G196" s="19"/>
      <c r="H196" s="19"/>
      <c r="I196" s="19"/>
      <c r="J196" s="19"/>
      <c r="K196" s="19"/>
      <c r="L196" s="19"/>
      <c r="M196" s="48"/>
      <c r="N196" s="28"/>
      <c r="O196" s="19"/>
      <c r="P196" s="19"/>
      <c r="Q196" s="19"/>
      <c r="R196" s="19"/>
      <c r="S196" s="19"/>
      <c r="T196" s="19"/>
      <c r="U196" s="19"/>
      <c r="V196" s="19"/>
    </row>
    <row r="197" spans="5:22" ht="13.8" x14ac:dyDescent="0.25">
      <c r="E197" s="19"/>
      <c r="F197" s="19"/>
      <c r="G197" s="19"/>
      <c r="H197" s="19"/>
      <c r="I197" s="19"/>
      <c r="J197" s="19"/>
      <c r="K197" s="19"/>
      <c r="L197" s="19"/>
      <c r="M197" s="48"/>
      <c r="N197" s="28"/>
      <c r="O197" s="19"/>
      <c r="P197" s="19"/>
      <c r="Q197" s="19"/>
      <c r="R197" s="19"/>
      <c r="S197" s="19"/>
      <c r="T197" s="19"/>
      <c r="U197" s="19"/>
      <c r="V197" s="19"/>
    </row>
    <row r="198" spans="5:22" ht="13.8" x14ac:dyDescent="0.25">
      <c r="E198" s="19"/>
      <c r="F198" s="19"/>
      <c r="G198" s="19"/>
      <c r="H198" s="19"/>
      <c r="I198" s="19"/>
      <c r="J198" s="19"/>
      <c r="K198" s="19"/>
      <c r="L198" s="19"/>
      <c r="M198" s="48"/>
      <c r="N198" s="28"/>
      <c r="O198" s="19"/>
      <c r="P198" s="19"/>
      <c r="Q198" s="19"/>
      <c r="R198" s="19"/>
      <c r="S198" s="19"/>
      <c r="T198" s="19"/>
      <c r="U198" s="19"/>
      <c r="V198" s="19"/>
    </row>
    <row r="199" spans="5:22" ht="13.8" x14ac:dyDescent="0.25">
      <c r="E199" s="19"/>
      <c r="F199" s="19"/>
      <c r="G199" s="19"/>
      <c r="H199" s="19"/>
      <c r="I199" s="19"/>
      <c r="J199" s="19"/>
      <c r="K199" s="19"/>
      <c r="L199" s="19"/>
      <c r="M199" s="48"/>
      <c r="N199" s="28"/>
      <c r="O199" s="19"/>
      <c r="P199" s="19"/>
      <c r="Q199" s="19"/>
      <c r="R199" s="19"/>
      <c r="S199" s="19"/>
      <c r="T199" s="19"/>
      <c r="U199" s="19"/>
      <c r="V199" s="19"/>
    </row>
    <row r="200" spans="5:22" ht="13.8" x14ac:dyDescent="0.25">
      <c r="E200" s="19"/>
      <c r="F200" s="19"/>
      <c r="G200" s="19"/>
      <c r="H200" s="19"/>
      <c r="I200" s="19"/>
      <c r="J200" s="19"/>
      <c r="K200" s="19"/>
      <c r="L200" s="19"/>
      <c r="M200" s="48"/>
      <c r="N200" s="28"/>
      <c r="O200" s="19"/>
      <c r="P200" s="19"/>
      <c r="Q200" s="19"/>
      <c r="R200" s="19"/>
      <c r="S200" s="19"/>
      <c r="T200" s="19"/>
      <c r="U200" s="19"/>
      <c r="V200" s="19"/>
    </row>
    <row r="201" spans="5:22" ht="13.8" x14ac:dyDescent="0.25">
      <c r="E201" s="19"/>
      <c r="F201" s="19"/>
      <c r="G201" s="19"/>
      <c r="H201" s="19"/>
      <c r="I201" s="19"/>
      <c r="J201" s="19"/>
      <c r="K201" s="19"/>
      <c r="L201" s="19"/>
      <c r="M201" s="48"/>
      <c r="N201" s="28"/>
      <c r="O201" s="19"/>
      <c r="P201" s="19"/>
      <c r="Q201" s="19"/>
      <c r="R201" s="19"/>
      <c r="S201" s="19"/>
      <c r="T201" s="19"/>
      <c r="U201" s="19"/>
      <c r="V201" s="19"/>
    </row>
    <row r="202" spans="5:22" ht="13.8" x14ac:dyDescent="0.25">
      <c r="E202" s="19"/>
      <c r="F202" s="19"/>
      <c r="G202" s="19"/>
      <c r="H202" s="19"/>
      <c r="I202" s="19"/>
      <c r="J202" s="19"/>
      <c r="K202" s="19"/>
      <c r="L202" s="19"/>
      <c r="M202" s="48"/>
      <c r="N202" s="28"/>
      <c r="O202" s="19"/>
      <c r="P202" s="19"/>
      <c r="Q202" s="19"/>
      <c r="R202" s="19"/>
      <c r="S202" s="19"/>
      <c r="T202" s="19"/>
      <c r="U202" s="19"/>
      <c r="V202" s="19"/>
    </row>
    <row r="203" spans="5:22" ht="13.8" x14ac:dyDescent="0.25">
      <c r="E203" s="19"/>
      <c r="F203" s="19"/>
      <c r="G203" s="19"/>
      <c r="H203" s="19"/>
      <c r="I203" s="19"/>
      <c r="J203" s="19"/>
      <c r="K203" s="19"/>
      <c r="L203" s="19"/>
      <c r="M203" s="48"/>
      <c r="N203" s="28"/>
      <c r="O203" s="19"/>
      <c r="P203" s="19"/>
      <c r="Q203" s="19"/>
      <c r="R203" s="19"/>
      <c r="S203" s="19"/>
      <c r="T203" s="19"/>
      <c r="U203" s="19"/>
      <c r="V203" s="19"/>
    </row>
    <row r="204" spans="5:22" ht="13.8" x14ac:dyDescent="0.25">
      <c r="E204" s="19"/>
      <c r="F204" s="19"/>
      <c r="G204" s="19"/>
      <c r="H204" s="19"/>
      <c r="I204" s="19"/>
      <c r="J204" s="19"/>
      <c r="K204" s="19"/>
      <c r="L204" s="19"/>
      <c r="M204" s="48"/>
      <c r="N204" s="28"/>
      <c r="O204" s="19"/>
      <c r="P204" s="19"/>
      <c r="Q204" s="19"/>
      <c r="R204" s="19"/>
      <c r="S204" s="19"/>
      <c r="T204" s="19"/>
      <c r="U204" s="19"/>
      <c r="V204" s="19"/>
    </row>
    <row r="205" spans="5:22" ht="13.8" x14ac:dyDescent="0.25">
      <c r="E205" s="19"/>
      <c r="F205" s="19"/>
      <c r="G205" s="19"/>
      <c r="H205" s="19"/>
      <c r="I205" s="19"/>
      <c r="J205" s="19"/>
      <c r="K205" s="19"/>
      <c r="L205" s="19"/>
      <c r="M205" s="48"/>
      <c r="N205" s="28"/>
      <c r="O205" s="19"/>
      <c r="P205" s="19"/>
      <c r="Q205" s="19"/>
      <c r="R205" s="19"/>
      <c r="S205" s="19"/>
      <c r="T205" s="19"/>
      <c r="U205" s="19"/>
      <c r="V205" s="19"/>
    </row>
    <row r="206" spans="5:22" ht="13.8" x14ac:dyDescent="0.25">
      <c r="E206" s="19"/>
      <c r="F206" s="19"/>
      <c r="G206" s="19"/>
      <c r="H206" s="19"/>
      <c r="I206" s="19"/>
      <c r="J206" s="19"/>
      <c r="K206" s="19"/>
      <c r="L206" s="19"/>
      <c r="M206" s="48"/>
      <c r="N206" s="28"/>
      <c r="O206" s="19"/>
      <c r="P206" s="19"/>
      <c r="Q206" s="19"/>
      <c r="R206" s="19"/>
      <c r="S206" s="19"/>
      <c r="T206" s="19"/>
      <c r="U206" s="19"/>
      <c r="V206" s="19"/>
    </row>
    <row r="207" spans="5:22" ht="13.8" x14ac:dyDescent="0.25">
      <c r="E207" s="19"/>
      <c r="F207" s="19"/>
      <c r="G207" s="19"/>
      <c r="H207" s="19"/>
      <c r="I207" s="19"/>
      <c r="J207" s="19"/>
      <c r="K207" s="19"/>
      <c r="L207" s="19"/>
      <c r="M207" s="48"/>
      <c r="N207" s="28"/>
      <c r="O207" s="19"/>
      <c r="P207" s="19"/>
      <c r="Q207" s="19"/>
      <c r="R207" s="19"/>
      <c r="S207" s="19"/>
      <c r="T207" s="19"/>
      <c r="U207" s="19"/>
      <c r="V207" s="19"/>
    </row>
    <row r="208" spans="5:22" ht="13.8" x14ac:dyDescent="0.25">
      <c r="E208" s="19"/>
      <c r="F208" s="19"/>
      <c r="G208" s="19"/>
      <c r="H208" s="19"/>
      <c r="I208" s="19"/>
      <c r="J208" s="19"/>
      <c r="K208" s="19"/>
      <c r="L208" s="19"/>
      <c r="M208" s="48"/>
      <c r="N208" s="28"/>
      <c r="O208" s="19"/>
      <c r="P208" s="19"/>
      <c r="Q208" s="19"/>
      <c r="R208" s="19"/>
      <c r="S208" s="19"/>
      <c r="T208" s="19"/>
      <c r="U208" s="19"/>
      <c r="V208" s="19"/>
    </row>
    <row r="209" spans="5:22" ht="13.8" x14ac:dyDescent="0.25">
      <c r="E209" s="19"/>
      <c r="F209" s="19"/>
      <c r="G209" s="19"/>
      <c r="H209" s="19"/>
      <c r="I209" s="19"/>
      <c r="J209" s="19"/>
      <c r="K209" s="19"/>
      <c r="L209" s="19"/>
      <c r="M209" s="48"/>
      <c r="N209" s="28"/>
      <c r="O209" s="19"/>
      <c r="P209" s="19"/>
      <c r="Q209" s="19"/>
      <c r="R209" s="19"/>
      <c r="S209" s="19"/>
      <c r="T209" s="19"/>
      <c r="U209" s="19"/>
      <c r="V209" s="19"/>
    </row>
    <row r="210" spans="5:22" ht="13.8" x14ac:dyDescent="0.25">
      <c r="E210" s="19"/>
      <c r="F210" s="19"/>
      <c r="G210" s="19"/>
      <c r="H210" s="19"/>
      <c r="I210" s="19"/>
      <c r="J210" s="19"/>
      <c r="K210" s="19"/>
      <c r="L210" s="19"/>
      <c r="M210" s="48"/>
      <c r="N210" s="28"/>
      <c r="O210" s="19"/>
      <c r="P210" s="19"/>
      <c r="Q210" s="19"/>
      <c r="R210" s="19"/>
      <c r="S210" s="19"/>
      <c r="T210" s="19"/>
      <c r="U210" s="19"/>
      <c r="V210" s="19"/>
    </row>
    <row r="211" spans="5:22" ht="13.8" x14ac:dyDescent="0.25">
      <c r="E211" s="19"/>
      <c r="F211" s="19"/>
      <c r="G211" s="19"/>
      <c r="H211" s="19"/>
      <c r="I211" s="19"/>
      <c r="J211" s="19"/>
      <c r="K211" s="19"/>
      <c r="L211" s="19"/>
      <c r="M211" s="48"/>
      <c r="N211" s="28"/>
      <c r="O211" s="19"/>
      <c r="P211" s="19"/>
      <c r="Q211" s="19"/>
      <c r="R211" s="19"/>
      <c r="S211" s="19"/>
      <c r="T211" s="19"/>
      <c r="U211" s="19"/>
      <c r="V211" s="19"/>
    </row>
    <row r="212" spans="5:22" ht="13.8" x14ac:dyDescent="0.25">
      <c r="E212" s="19"/>
      <c r="F212" s="19"/>
      <c r="G212" s="19"/>
      <c r="H212" s="19"/>
      <c r="I212" s="19"/>
      <c r="J212" s="19"/>
      <c r="K212" s="19"/>
      <c r="L212" s="19"/>
      <c r="M212" s="48"/>
      <c r="N212" s="28"/>
      <c r="O212" s="19"/>
      <c r="P212" s="19"/>
      <c r="Q212" s="19"/>
      <c r="R212" s="19"/>
      <c r="S212" s="19"/>
      <c r="T212" s="19"/>
      <c r="U212" s="19"/>
      <c r="V212" s="19"/>
    </row>
    <row r="213" spans="5:22" ht="13.8" x14ac:dyDescent="0.25">
      <c r="E213" s="19"/>
      <c r="F213" s="19"/>
      <c r="G213" s="19"/>
      <c r="H213" s="19"/>
      <c r="I213" s="19"/>
      <c r="J213" s="19"/>
      <c r="K213" s="19"/>
      <c r="L213" s="19"/>
      <c r="M213" s="48"/>
      <c r="N213" s="28"/>
      <c r="O213" s="19"/>
      <c r="P213" s="19"/>
      <c r="Q213" s="19"/>
      <c r="R213" s="19"/>
      <c r="S213" s="19"/>
      <c r="T213" s="19"/>
      <c r="U213" s="19"/>
      <c r="V213" s="19"/>
    </row>
    <row r="214" spans="5:22" ht="13.8" x14ac:dyDescent="0.25">
      <c r="E214" s="19"/>
      <c r="F214" s="19"/>
      <c r="G214" s="19"/>
      <c r="H214" s="19"/>
      <c r="I214" s="19"/>
      <c r="J214" s="19"/>
      <c r="K214" s="19"/>
      <c r="L214" s="19"/>
      <c r="M214" s="48"/>
      <c r="N214" s="28"/>
      <c r="O214" s="19"/>
      <c r="P214" s="19"/>
      <c r="Q214" s="19"/>
      <c r="R214" s="19"/>
      <c r="S214" s="19"/>
      <c r="T214" s="19"/>
      <c r="U214" s="19"/>
      <c r="V214" s="19"/>
    </row>
    <row r="215" spans="5:22" ht="13.8" x14ac:dyDescent="0.25">
      <c r="E215" s="19"/>
      <c r="F215" s="19"/>
      <c r="G215" s="19"/>
      <c r="H215" s="19"/>
      <c r="I215" s="19"/>
      <c r="J215" s="19"/>
      <c r="K215" s="19"/>
      <c r="L215" s="19"/>
      <c r="M215" s="48"/>
      <c r="N215" s="28"/>
      <c r="O215" s="19"/>
      <c r="P215" s="19"/>
      <c r="Q215" s="19"/>
      <c r="R215" s="19"/>
      <c r="S215" s="19"/>
      <c r="T215" s="19"/>
      <c r="U215" s="19"/>
      <c r="V215" s="19"/>
    </row>
    <row r="216" spans="5:22" ht="13.8" x14ac:dyDescent="0.25">
      <c r="E216" s="19"/>
      <c r="F216" s="19"/>
      <c r="G216" s="19"/>
      <c r="H216" s="19"/>
      <c r="I216" s="19"/>
      <c r="J216" s="19"/>
      <c r="K216" s="19"/>
      <c r="L216" s="19"/>
      <c r="M216" s="48"/>
      <c r="N216" s="28"/>
      <c r="O216" s="19"/>
      <c r="P216" s="19"/>
      <c r="Q216" s="19"/>
      <c r="R216" s="19"/>
      <c r="S216" s="19"/>
      <c r="T216" s="19"/>
      <c r="U216" s="19"/>
      <c r="V216" s="19"/>
    </row>
    <row r="217" spans="5:22" ht="13.8" x14ac:dyDescent="0.25">
      <c r="E217" s="19"/>
      <c r="F217" s="19"/>
      <c r="G217" s="19"/>
      <c r="H217" s="19"/>
      <c r="I217" s="19"/>
      <c r="J217" s="19"/>
      <c r="K217" s="19"/>
      <c r="L217" s="19"/>
      <c r="M217" s="48"/>
      <c r="N217" s="28"/>
      <c r="O217" s="19"/>
      <c r="P217" s="19"/>
      <c r="Q217" s="19"/>
      <c r="R217" s="19"/>
      <c r="S217" s="19"/>
      <c r="T217" s="19"/>
      <c r="U217" s="19"/>
      <c r="V217" s="19"/>
    </row>
    <row r="218" spans="5:22" ht="13.8" x14ac:dyDescent="0.25">
      <c r="E218" s="19"/>
      <c r="F218" s="19"/>
      <c r="G218" s="19"/>
      <c r="H218" s="19"/>
      <c r="I218" s="19"/>
      <c r="J218" s="19"/>
      <c r="K218" s="19"/>
      <c r="L218" s="19"/>
      <c r="M218" s="48"/>
      <c r="N218" s="28"/>
      <c r="O218" s="19"/>
      <c r="P218" s="19"/>
      <c r="Q218" s="19"/>
      <c r="R218" s="19"/>
      <c r="S218" s="19"/>
      <c r="T218" s="19"/>
      <c r="U218" s="19"/>
      <c r="V218" s="19"/>
    </row>
    <row r="219" spans="5:22" ht="13.8" x14ac:dyDescent="0.25">
      <c r="E219" s="19"/>
      <c r="F219" s="19"/>
      <c r="G219" s="19"/>
      <c r="H219" s="19"/>
      <c r="I219" s="19"/>
      <c r="J219" s="19"/>
      <c r="K219" s="19"/>
      <c r="L219" s="19"/>
      <c r="M219" s="48"/>
      <c r="N219" s="28"/>
      <c r="O219" s="19"/>
      <c r="P219" s="19"/>
      <c r="Q219" s="19"/>
      <c r="R219" s="19"/>
      <c r="S219" s="19"/>
      <c r="T219" s="19"/>
      <c r="U219" s="19"/>
      <c r="V219" s="19"/>
    </row>
    <row r="220" spans="5:22" ht="13.8" x14ac:dyDescent="0.25">
      <c r="E220" s="19"/>
      <c r="F220" s="19"/>
      <c r="G220" s="19"/>
      <c r="H220" s="19"/>
      <c r="I220" s="19"/>
      <c r="J220" s="19"/>
      <c r="K220" s="19"/>
      <c r="L220" s="19"/>
      <c r="M220" s="48"/>
      <c r="N220" s="28"/>
      <c r="O220" s="19"/>
      <c r="P220" s="19"/>
      <c r="Q220" s="19"/>
      <c r="R220" s="19"/>
      <c r="S220" s="19"/>
      <c r="T220" s="19"/>
      <c r="U220" s="19"/>
      <c r="V220" s="19"/>
    </row>
    <row r="221" spans="5:22" ht="13.8" x14ac:dyDescent="0.25">
      <c r="E221" s="19"/>
      <c r="F221" s="19"/>
      <c r="G221" s="19"/>
      <c r="H221" s="19"/>
      <c r="I221" s="19"/>
      <c r="J221" s="19"/>
      <c r="K221" s="19"/>
      <c r="L221" s="19"/>
      <c r="M221" s="48"/>
      <c r="N221" s="28"/>
      <c r="O221" s="19"/>
      <c r="P221" s="19"/>
      <c r="Q221" s="19"/>
      <c r="R221" s="19"/>
      <c r="S221" s="19"/>
      <c r="T221" s="19"/>
      <c r="U221" s="19"/>
      <c r="V221" s="19"/>
    </row>
    <row r="222" spans="5:22" ht="13.8" x14ac:dyDescent="0.25">
      <c r="E222" s="19"/>
      <c r="F222" s="19"/>
      <c r="G222" s="19"/>
      <c r="H222" s="19"/>
      <c r="I222" s="19"/>
      <c r="J222" s="19"/>
      <c r="K222" s="19"/>
      <c r="L222" s="19"/>
      <c r="M222" s="48"/>
      <c r="N222" s="28"/>
      <c r="O222" s="19"/>
      <c r="P222" s="19"/>
      <c r="Q222" s="19"/>
      <c r="R222" s="19"/>
      <c r="S222" s="19"/>
      <c r="T222" s="19"/>
      <c r="U222" s="19"/>
      <c r="V222" s="19"/>
    </row>
    <row r="223" spans="5:22" ht="13.8" x14ac:dyDescent="0.25">
      <c r="E223" s="19"/>
      <c r="F223" s="19"/>
      <c r="G223" s="19"/>
      <c r="H223" s="19"/>
      <c r="I223" s="19"/>
      <c r="J223" s="19"/>
      <c r="K223" s="19"/>
      <c r="L223" s="19"/>
      <c r="M223" s="48"/>
      <c r="N223" s="28"/>
      <c r="O223" s="19"/>
      <c r="P223" s="19"/>
      <c r="Q223" s="19"/>
      <c r="R223" s="19"/>
      <c r="S223" s="19"/>
      <c r="T223" s="19"/>
      <c r="U223" s="19"/>
      <c r="V223" s="19"/>
    </row>
    <row r="224" spans="5:22" ht="13.8" x14ac:dyDescent="0.25">
      <c r="E224" s="19"/>
      <c r="F224" s="19"/>
      <c r="G224" s="19"/>
      <c r="H224" s="19"/>
      <c r="I224" s="19"/>
      <c r="J224" s="19"/>
      <c r="K224" s="19"/>
      <c r="L224" s="19"/>
      <c r="M224" s="48"/>
      <c r="N224" s="28"/>
      <c r="O224" s="19"/>
      <c r="P224" s="19"/>
      <c r="Q224" s="19"/>
      <c r="R224" s="19"/>
      <c r="S224" s="19"/>
      <c r="T224" s="19"/>
      <c r="U224" s="19"/>
      <c r="V224" s="19"/>
    </row>
    <row r="225" spans="5:22" ht="13.8" x14ac:dyDescent="0.25">
      <c r="E225" s="19"/>
      <c r="F225" s="19"/>
      <c r="G225" s="19"/>
      <c r="H225" s="19"/>
      <c r="I225" s="19"/>
      <c r="J225" s="19"/>
      <c r="K225" s="19"/>
      <c r="L225" s="19"/>
      <c r="M225" s="48"/>
      <c r="N225" s="28"/>
      <c r="O225" s="19"/>
      <c r="P225" s="19"/>
      <c r="Q225" s="19"/>
      <c r="R225" s="19"/>
      <c r="S225" s="19"/>
      <c r="T225" s="19"/>
      <c r="U225" s="19"/>
      <c r="V225" s="19"/>
    </row>
    <row r="226" spans="5:22" ht="13.8" x14ac:dyDescent="0.25">
      <c r="E226" s="19"/>
      <c r="F226" s="19"/>
      <c r="G226" s="19"/>
      <c r="H226" s="19"/>
      <c r="I226" s="19"/>
      <c r="J226" s="19"/>
      <c r="K226" s="19"/>
      <c r="L226" s="19"/>
      <c r="M226" s="48"/>
      <c r="N226" s="28"/>
      <c r="O226" s="19"/>
      <c r="P226" s="19"/>
      <c r="Q226" s="19"/>
      <c r="R226" s="19"/>
      <c r="S226" s="19"/>
      <c r="T226" s="19"/>
      <c r="U226" s="19"/>
      <c r="V226" s="19"/>
    </row>
    <row r="227" spans="5:22" ht="13.8" x14ac:dyDescent="0.25">
      <c r="E227" s="19"/>
      <c r="F227" s="19"/>
      <c r="G227" s="19"/>
      <c r="H227" s="19"/>
      <c r="I227" s="19"/>
      <c r="J227" s="19"/>
      <c r="K227" s="19"/>
      <c r="L227" s="19"/>
      <c r="M227" s="48"/>
      <c r="N227" s="28"/>
      <c r="O227" s="19"/>
      <c r="P227" s="19"/>
      <c r="Q227" s="19"/>
      <c r="R227" s="19"/>
      <c r="S227" s="19"/>
      <c r="T227" s="19"/>
      <c r="U227" s="19"/>
      <c r="V227" s="19"/>
    </row>
    <row r="228" spans="5:22" ht="13.8" x14ac:dyDescent="0.25">
      <c r="E228" s="19"/>
      <c r="F228" s="19"/>
      <c r="G228" s="19"/>
      <c r="H228" s="19"/>
      <c r="I228" s="19"/>
      <c r="J228" s="19"/>
      <c r="K228" s="19"/>
      <c r="L228" s="19"/>
      <c r="M228" s="48"/>
      <c r="N228" s="28"/>
      <c r="O228" s="19"/>
      <c r="P228" s="19"/>
      <c r="Q228" s="19"/>
      <c r="R228" s="19"/>
      <c r="S228" s="19"/>
      <c r="T228" s="19"/>
      <c r="U228" s="19"/>
      <c r="V228" s="19"/>
    </row>
    <row r="229" spans="5:22" ht="13.8" x14ac:dyDescent="0.25">
      <c r="E229" s="19"/>
      <c r="F229" s="19"/>
      <c r="G229" s="19"/>
      <c r="H229" s="19"/>
      <c r="I229" s="19"/>
      <c r="J229" s="19"/>
      <c r="K229" s="19"/>
      <c r="L229" s="19"/>
      <c r="M229" s="48"/>
      <c r="N229" s="28"/>
      <c r="O229" s="19"/>
      <c r="P229" s="19"/>
      <c r="Q229" s="19"/>
      <c r="R229" s="19"/>
      <c r="S229" s="19"/>
      <c r="T229" s="19"/>
      <c r="U229" s="19"/>
      <c r="V229" s="19"/>
    </row>
    <row r="230" spans="5:22" ht="13.8" x14ac:dyDescent="0.25">
      <c r="E230" s="19"/>
      <c r="F230" s="19"/>
      <c r="G230" s="19"/>
      <c r="H230" s="19"/>
      <c r="I230" s="19"/>
      <c r="J230" s="19"/>
      <c r="K230" s="19"/>
      <c r="L230" s="19"/>
      <c r="M230" s="48"/>
      <c r="N230" s="28"/>
      <c r="O230" s="19"/>
      <c r="P230" s="19"/>
      <c r="Q230" s="19"/>
      <c r="R230" s="19"/>
      <c r="S230" s="19"/>
      <c r="T230" s="19"/>
      <c r="U230" s="19"/>
      <c r="V230" s="19"/>
    </row>
    <row r="231" spans="5:22" ht="13.8" x14ac:dyDescent="0.25">
      <c r="E231" s="19"/>
      <c r="F231" s="19"/>
      <c r="G231" s="19"/>
      <c r="H231" s="19"/>
      <c r="I231" s="19"/>
      <c r="J231" s="19"/>
      <c r="K231" s="19"/>
      <c r="L231" s="19"/>
      <c r="M231" s="48"/>
      <c r="N231" s="28"/>
      <c r="O231" s="19"/>
      <c r="P231" s="19"/>
      <c r="Q231" s="19"/>
      <c r="R231" s="19"/>
      <c r="S231" s="19"/>
      <c r="T231" s="19"/>
      <c r="U231" s="19"/>
      <c r="V231" s="19"/>
    </row>
    <row r="232" spans="5:22" ht="13.8" x14ac:dyDescent="0.25">
      <c r="E232" s="19"/>
      <c r="F232" s="19"/>
      <c r="G232" s="19"/>
      <c r="H232" s="19"/>
      <c r="I232" s="19"/>
      <c r="J232" s="19"/>
      <c r="K232" s="19"/>
      <c r="L232" s="19"/>
      <c r="M232" s="48"/>
      <c r="N232" s="28"/>
      <c r="O232" s="19"/>
      <c r="P232" s="19"/>
      <c r="Q232" s="19"/>
      <c r="R232" s="19"/>
      <c r="S232" s="19"/>
      <c r="T232" s="19"/>
      <c r="U232" s="19"/>
      <c r="V232" s="19"/>
    </row>
    <row r="233" spans="5:22" ht="13.8" x14ac:dyDescent="0.25">
      <c r="E233" s="19"/>
      <c r="F233" s="19"/>
      <c r="G233" s="19"/>
      <c r="H233" s="19"/>
      <c r="I233" s="19"/>
      <c r="J233" s="19"/>
      <c r="K233" s="19"/>
      <c r="L233" s="19"/>
      <c r="M233" s="48"/>
      <c r="N233" s="28"/>
      <c r="O233" s="19"/>
      <c r="P233" s="19"/>
      <c r="Q233" s="19"/>
      <c r="R233" s="19"/>
      <c r="S233" s="19"/>
      <c r="T233" s="19"/>
      <c r="U233" s="19"/>
      <c r="V233" s="19"/>
    </row>
    <row r="234" spans="5:22" ht="13.8" x14ac:dyDescent="0.25">
      <c r="E234" s="19"/>
      <c r="F234" s="19"/>
      <c r="G234" s="19"/>
      <c r="H234" s="19"/>
      <c r="I234" s="19"/>
      <c r="J234" s="19"/>
      <c r="K234" s="19"/>
      <c r="L234" s="19"/>
      <c r="M234" s="48"/>
      <c r="N234" s="28"/>
      <c r="O234" s="19"/>
      <c r="P234" s="19"/>
      <c r="Q234" s="19"/>
      <c r="R234" s="19"/>
      <c r="S234" s="19"/>
      <c r="T234" s="19"/>
      <c r="U234" s="19"/>
      <c r="V234" s="19"/>
    </row>
    <row r="235" spans="5:22" ht="13.8" x14ac:dyDescent="0.25">
      <c r="E235" s="19"/>
      <c r="F235" s="19"/>
      <c r="G235" s="19"/>
      <c r="H235" s="19"/>
      <c r="I235" s="19"/>
      <c r="J235" s="19"/>
      <c r="K235" s="19"/>
      <c r="L235" s="19"/>
      <c r="M235" s="48"/>
      <c r="N235" s="28"/>
      <c r="O235" s="19"/>
      <c r="P235" s="19"/>
      <c r="Q235" s="19"/>
      <c r="R235" s="19"/>
      <c r="S235" s="19"/>
      <c r="T235" s="19"/>
      <c r="U235" s="19"/>
      <c r="V235" s="19"/>
    </row>
    <row r="236" spans="5:22" ht="13.8" x14ac:dyDescent="0.25">
      <c r="E236" s="19"/>
      <c r="F236" s="19"/>
      <c r="G236" s="19"/>
      <c r="H236" s="19"/>
      <c r="I236" s="19"/>
      <c r="J236" s="19"/>
      <c r="K236" s="19"/>
      <c r="L236" s="19"/>
      <c r="M236" s="48"/>
      <c r="N236" s="28"/>
      <c r="O236" s="19"/>
      <c r="P236" s="19"/>
      <c r="Q236" s="19"/>
      <c r="R236" s="19"/>
      <c r="S236" s="19"/>
      <c r="T236" s="19"/>
      <c r="U236" s="19"/>
      <c r="V236" s="19"/>
    </row>
    <row r="237" spans="5:22" ht="13.8" x14ac:dyDescent="0.25">
      <c r="E237" s="19"/>
      <c r="F237" s="19"/>
      <c r="G237" s="19"/>
      <c r="H237" s="19"/>
      <c r="I237" s="19"/>
      <c r="J237" s="19"/>
      <c r="K237" s="19"/>
      <c r="L237" s="19"/>
      <c r="M237" s="48"/>
      <c r="N237" s="28"/>
      <c r="O237" s="19"/>
      <c r="P237" s="19"/>
      <c r="Q237" s="19"/>
      <c r="R237" s="19"/>
      <c r="S237" s="19"/>
      <c r="T237" s="19"/>
      <c r="U237" s="19"/>
      <c r="V237" s="19"/>
    </row>
    <row r="238" spans="5:22" ht="13.8" x14ac:dyDescent="0.25">
      <c r="E238" s="19"/>
      <c r="F238" s="19"/>
      <c r="G238" s="19"/>
      <c r="H238" s="19"/>
      <c r="I238" s="19"/>
      <c r="J238" s="19"/>
      <c r="K238" s="19"/>
      <c r="L238" s="19"/>
      <c r="M238" s="48"/>
      <c r="N238" s="28"/>
      <c r="O238" s="19"/>
      <c r="P238" s="19"/>
      <c r="Q238" s="19"/>
      <c r="R238" s="19"/>
      <c r="S238" s="19"/>
      <c r="T238" s="19"/>
      <c r="U238" s="19"/>
      <c r="V238" s="19"/>
    </row>
    <row r="239" spans="5:22" ht="13.8" x14ac:dyDescent="0.25">
      <c r="E239" s="19"/>
      <c r="F239" s="19"/>
      <c r="G239" s="19"/>
      <c r="H239" s="19"/>
      <c r="I239" s="19"/>
      <c r="J239" s="19"/>
      <c r="K239" s="19"/>
      <c r="L239" s="19"/>
      <c r="M239" s="48"/>
      <c r="N239" s="28"/>
      <c r="O239" s="19"/>
      <c r="P239" s="19"/>
      <c r="Q239" s="19"/>
      <c r="R239" s="19"/>
      <c r="S239" s="19"/>
      <c r="T239" s="19"/>
      <c r="U239" s="19"/>
      <c r="V239" s="19"/>
    </row>
    <row r="240" spans="5:22" ht="13.8" x14ac:dyDescent="0.25">
      <c r="E240" s="19"/>
      <c r="F240" s="19"/>
      <c r="G240" s="19"/>
      <c r="H240" s="19"/>
      <c r="I240" s="19"/>
      <c r="J240" s="19"/>
      <c r="K240" s="19"/>
      <c r="L240" s="19"/>
      <c r="M240" s="48"/>
      <c r="N240" s="28"/>
      <c r="O240" s="19"/>
      <c r="P240" s="19"/>
      <c r="Q240" s="19"/>
      <c r="R240" s="19"/>
      <c r="S240" s="19"/>
      <c r="T240" s="19"/>
      <c r="U240" s="19"/>
      <c r="V240" s="19"/>
    </row>
    <row r="241" spans="5:22" ht="13.8" x14ac:dyDescent="0.25">
      <c r="E241" s="19"/>
      <c r="F241" s="19"/>
      <c r="G241" s="19"/>
      <c r="H241" s="19"/>
      <c r="I241" s="19"/>
      <c r="J241" s="19"/>
      <c r="K241" s="19"/>
      <c r="L241" s="19"/>
      <c r="M241" s="48"/>
      <c r="N241" s="28"/>
      <c r="O241" s="19"/>
      <c r="P241" s="19"/>
      <c r="Q241" s="19"/>
      <c r="R241" s="19"/>
      <c r="S241" s="19"/>
      <c r="T241" s="19"/>
      <c r="U241" s="19"/>
      <c r="V241" s="19"/>
    </row>
    <row r="242" spans="5:22" ht="13.8" x14ac:dyDescent="0.25">
      <c r="E242" s="19"/>
      <c r="F242" s="19"/>
      <c r="G242" s="19"/>
      <c r="H242" s="19"/>
      <c r="I242" s="19"/>
      <c r="J242" s="19"/>
      <c r="K242" s="19"/>
      <c r="L242" s="19"/>
      <c r="M242" s="48"/>
      <c r="N242" s="28"/>
      <c r="O242" s="19"/>
      <c r="P242" s="19"/>
      <c r="Q242" s="19"/>
      <c r="R242" s="19"/>
      <c r="S242" s="19"/>
      <c r="T242" s="19"/>
      <c r="U242" s="19"/>
      <c r="V242" s="19"/>
    </row>
    <row r="243" spans="5:22" ht="13.8" x14ac:dyDescent="0.25">
      <c r="E243" s="19"/>
      <c r="F243" s="19"/>
      <c r="G243" s="19"/>
      <c r="H243" s="19"/>
      <c r="I243" s="19"/>
      <c r="J243" s="19"/>
      <c r="K243" s="19"/>
      <c r="L243" s="19"/>
      <c r="M243" s="48"/>
      <c r="N243" s="28"/>
      <c r="O243" s="19"/>
      <c r="P243" s="19"/>
      <c r="Q243" s="19"/>
      <c r="R243" s="19"/>
      <c r="S243" s="19"/>
      <c r="T243" s="19"/>
      <c r="U243" s="19"/>
      <c r="V243" s="19"/>
    </row>
    <row r="244" spans="5:22" ht="13.8" x14ac:dyDescent="0.25">
      <c r="E244" s="19"/>
      <c r="F244" s="19"/>
      <c r="G244" s="19"/>
      <c r="H244" s="19"/>
      <c r="I244" s="19"/>
      <c r="J244" s="19"/>
      <c r="K244" s="19"/>
      <c r="L244" s="19"/>
      <c r="M244" s="48"/>
      <c r="N244" s="28"/>
      <c r="O244" s="19"/>
      <c r="P244" s="19"/>
      <c r="Q244" s="19"/>
      <c r="R244" s="19"/>
      <c r="S244" s="19"/>
      <c r="T244" s="19"/>
      <c r="U244" s="19"/>
      <c r="V244" s="19"/>
    </row>
    <row r="245" spans="5:22" ht="13.8" x14ac:dyDescent="0.25">
      <c r="E245" s="19"/>
      <c r="F245" s="19"/>
      <c r="G245" s="19"/>
      <c r="H245" s="19"/>
      <c r="I245" s="19"/>
      <c r="J245" s="19"/>
      <c r="K245" s="19"/>
      <c r="L245" s="19"/>
      <c r="M245" s="48"/>
      <c r="N245" s="28"/>
      <c r="O245" s="19"/>
      <c r="P245" s="19"/>
      <c r="Q245" s="19"/>
      <c r="R245" s="19"/>
      <c r="S245" s="19"/>
      <c r="T245" s="19"/>
      <c r="U245" s="19"/>
      <c r="V245" s="19"/>
    </row>
    <row r="246" spans="5:22" ht="13.8" x14ac:dyDescent="0.25">
      <c r="E246" s="19"/>
      <c r="F246" s="19"/>
      <c r="G246" s="19"/>
      <c r="H246" s="19"/>
      <c r="I246" s="19"/>
      <c r="J246" s="19"/>
      <c r="K246" s="19"/>
      <c r="L246" s="19"/>
      <c r="M246" s="48"/>
      <c r="N246" s="28"/>
      <c r="O246" s="19"/>
      <c r="P246" s="19"/>
      <c r="Q246" s="19"/>
      <c r="R246" s="19"/>
      <c r="S246" s="19"/>
      <c r="T246" s="19"/>
      <c r="U246" s="19"/>
      <c r="V246" s="19"/>
    </row>
    <row r="247" spans="5:22" ht="13.8" x14ac:dyDescent="0.25">
      <c r="E247" s="19"/>
      <c r="F247" s="19"/>
      <c r="G247" s="19"/>
      <c r="H247" s="19"/>
      <c r="I247" s="19"/>
      <c r="J247" s="19"/>
      <c r="K247" s="19"/>
      <c r="L247" s="19"/>
      <c r="M247" s="48"/>
      <c r="N247" s="28"/>
      <c r="O247" s="19"/>
      <c r="P247" s="19"/>
      <c r="Q247" s="19"/>
      <c r="R247" s="19"/>
      <c r="S247" s="19"/>
      <c r="T247" s="19"/>
      <c r="U247" s="19"/>
      <c r="V247" s="19"/>
    </row>
    <row r="248" spans="5:22" ht="13.8" x14ac:dyDescent="0.25">
      <c r="E248" s="19"/>
      <c r="F248" s="19"/>
      <c r="G248" s="19"/>
      <c r="H248" s="19"/>
      <c r="I248" s="19"/>
      <c r="J248" s="19"/>
      <c r="K248" s="19"/>
      <c r="L248" s="19"/>
      <c r="M248" s="48"/>
      <c r="N248" s="28"/>
      <c r="O248" s="19"/>
      <c r="P248" s="19"/>
      <c r="Q248" s="19"/>
      <c r="R248" s="19"/>
      <c r="S248" s="19"/>
      <c r="T248" s="19"/>
      <c r="U248" s="19"/>
      <c r="V248" s="19"/>
    </row>
    <row r="249" spans="5:22" ht="13.8" x14ac:dyDescent="0.25">
      <c r="E249" s="19"/>
      <c r="F249" s="19"/>
      <c r="G249" s="19"/>
      <c r="H249" s="19"/>
      <c r="I249" s="19"/>
      <c r="J249" s="19"/>
      <c r="K249" s="19"/>
      <c r="L249" s="19"/>
      <c r="M249" s="48"/>
      <c r="N249" s="28"/>
      <c r="O249" s="19"/>
      <c r="P249" s="19"/>
      <c r="Q249" s="19"/>
      <c r="R249" s="19"/>
      <c r="S249" s="19"/>
      <c r="T249" s="19"/>
      <c r="U249" s="19"/>
      <c r="V249" s="19"/>
    </row>
    <row r="250" spans="5:22" ht="13.8" x14ac:dyDescent="0.25">
      <c r="E250" s="19"/>
      <c r="F250" s="19"/>
      <c r="G250" s="19"/>
      <c r="H250" s="19"/>
      <c r="I250" s="19"/>
      <c r="J250" s="19"/>
      <c r="K250" s="19"/>
      <c r="L250" s="19"/>
      <c r="M250" s="48"/>
      <c r="N250" s="28"/>
      <c r="O250" s="19"/>
      <c r="P250" s="19"/>
      <c r="Q250" s="19"/>
      <c r="R250" s="19"/>
      <c r="S250" s="19"/>
      <c r="T250" s="19"/>
      <c r="U250" s="19"/>
      <c r="V250" s="19"/>
    </row>
    <row r="251" spans="5:22" ht="13.8" x14ac:dyDescent="0.25">
      <c r="E251" s="19"/>
      <c r="F251" s="19"/>
      <c r="G251" s="19"/>
      <c r="H251" s="19"/>
      <c r="I251" s="19"/>
      <c r="J251" s="19"/>
      <c r="K251" s="19"/>
      <c r="L251" s="19"/>
      <c r="M251" s="48"/>
      <c r="N251" s="28"/>
      <c r="O251" s="19"/>
      <c r="P251" s="19"/>
      <c r="Q251" s="19"/>
      <c r="R251" s="19"/>
      <c r="S251" s="19"/>
      <c r="T251" s="19"/>
      <c r="U251" s="19"/>
      <c r="V251" s="19"/>
    </row>
    <row r="252" spans="5:22" ht="13.8" x14ac:dyDescent="0.25">
      <c r="E252" s="19"/>
      <c r="F252" s="19"/>
      <c r="G252" s="19"/>
      <c r="H252" s="19"/>
      <c r="I252" s="19"/>
      <c r="J252" s="19"/>
      <c r="K252" s="19"/>
      <c r="L252" s="19"/>
      <c r="M252" s="48"/>
      <c r="N252" s="28"/>
      <c r="O252" s="19"/>
      <c r="P252" s="19"/>
      <c r="Q252" s="19"/>
      <c r="R252" s="19"/>
      <c r="S252" s="19"/>
      <c r="T252" s="19"/>
      <c r="U252" s="19"/>
      <c r="V252" s="19"/>
    </row>
    <row r="253" spans="5:22" ht="13.8" x14ac:dyDescent="0.25">
      <c r="E253" s="19"/>
      <c r="F253" s="19"/>
      <c r="G253" s="19"/>
      <c r="H253" s="19"/>
      <c r="I253" s="19"/>
      <c r="J253" s="19"/>
      <c r="K253" s="19"/>
      <c r="L253" s="19"/>
      <c r="M253" s="48"/>
      <c r="N253" s="28"/>
      <c r="O253" s="19"/>
      <c r="P253" s="19"/>
      <c r="Q253" s="19"/>
      <c r="R253" s="19"/>
      <c r="S253" s="19"/>
      <c r="T253" s="19"/>
      <c r="U253" s="19"/>
      <c r="V253" s="19"/>
    </row>
    <row r="254" spans="5:22" ht="13.8" x14ac:dyDescent="0.25">
      <c r="E254" s="19"/>
      <c r="F254" s="19"/>
      <c r="G254" s="19"/>
      <c r="H254" s="19"/>
      <c r="I254" s="19"/>
      <c r="J254" s="19"/>
      <c r="K254" s="19"/>
      <c r="L254" s="19"/>
      <c r="M254" s="48"/>
      <c r="N254" s="28"/>
      <c r="O254" s="19"/>
      <c r="P254" s="19"/>
      <c r="Q254" s="19"/>
      <c r="R254" s="19"/>
      <c r="S254" s="19"/>
      <c r="T254" s="19"/>
      <c r="U254" s="19"/>
      <c r="V254" s="19"/>
    </row>
    <row r="255" spans="5:22" ht="13.8" x14ac:dyDescent="0.25">
      <c r="E255" s="19"/>
      <c r="F255" s="19"/>
      <c r="G255" s="19"/>
      <c r="H255" s="19"/>
      <c r="I255" s="19"/>
      <c r="J255" s="19"/>
      <c r="K255" s="19"/>
      <c r="L255" s="19"/>
      <c r="M255" s="48"/>
      <c r="N255" s="28"/>
      <c r="O255" s="19"/>
      <c r="P255" s="19"/>
      <c r="Q255" s="19"/>
      <c r="R255" s="19"/>
      <c r="S255" s="19"/>
      <c r="T255" s="19"/>
      <c r="U255" s="19"/>
      <c r="V255" s="19"/>
    </row>
    <row r="256" spans="5:22" ht="13.8" x14ac:dyDescent="0.25">
      <c r="E256" s="19"/>
      <c r="F256" s="19"/>
      <c r="G256" s="19"/>
      <c r="H256" s="19"/>
      <c r="I256" s="19"/>
      <c r="J256" s="19"/>
      <c r="K256" s="19"/>
      <c r="L256" s="19"/>
      <c r="M256" s="48"/>
      <c r="N256" s="28"/>
      <c r="O256" s="19"/>
      <c r="P256" s="19"/>
      <c r="Q256" s="19"/>
      <c r="R256" s="19"/>
      <c r="S256" s="19"/>
      <c r="T256" s="19"/>
      <c r="U256" s="19"/>
      <c r="V256" s="19"/>
    </row>
    <row r="257" spans="5:22" ht="13.8" x14ac:dyDescent="0.25">
      <c r="E257" s="19"/>
      <c r="F257" s="19"/>
      <c r="G257" s="19"/>
      <c r="H257" s="19"/>
      <c r="I257" s="19"/>
      <c r="J257" s="19"/>
      <c r="K257" s="19"/>
      <c r="L257" s="19"/>
      <c r="M257" s="48"/>
      <c r="N257" s="28"/>
      <c r="O257" s="19"/>
      <c r="P257" s="19"/>
      <c r="Q257" s="19"/>
      <c r="R257" s="19"/>
      <c r="S257" s="19"/>
      <c r="T257" s="19"/>
      <c r="U257" s="19"/>
      <c r="V257" s="19"/>
    </row>
    <row r="258" spans="5:22" ht="13.8" x14ac:dyDescent="0.25">
      <c r="E258" s="19"/>
      <c r="F258" s="19"/>
      <c r="G258" s="19"/>
      <c r="H258" s="19"/>
      <c r="I258" s="19"/>
      <c r="J258" s="19"/>
      <c r="K258" s="19"/>
      <c r="L258" s="19"/>
      <c r="M258" s="48"/>
      <c r="N258" s="28"/>
      <c r="O258" s="19"/>
      <c r="P258" s="19"/>
      <c r="Q258" s="19"/>
      <c r="R258" s="19"/>
      <c r="S258" s="19"/>
      <c r="T258" s="19"/>
      <c r="U258" s="19"/>
      <c r="V258" s="19"/>
    </row>
    <row r="259" spans="5:22" ht="13.8" x14ac:dyDescent="0.25">
      <c r="E259" s="19"/>
      <c r="F259" s="19"/>
      <c r="G259" s="19"/>
      <c r="H259" s="19"/>
      <c r="I259" s="19"/>
      <c r="J259" s="19"/>
      <c r="K259" s="19"/>
      <c r="L259" s="19"/>
      <c r="M259" s="48"/>
      <c r="N259" s="28"/>
      <c r="O259" s="19"/>
      <c r="P259" s="19"/>
      <c r="Q259" s="19"/>
      <c r="R259" s="19"/>
      <c r="S259" s="19"/>
      <c r="T259" s="19"/>
      <c r="U259" s="19"/>
      <c r="V259" s="19"/>
    </row>
    <row r="260" spans="5:22" ht="13.8" x14ac:dyDescent="0.25">
      <c r="E260" s="19"/>
      <c r="F260" s="19"/>
      <c r="G260" s="19"/>
      <c r="H260" s="19"/>
      <c r="I260" s="19"/>
      <c r="J260" s="19"/>
      <c r="K260" s="19"/>
      <c r="L260" s="19"/>
      <c r="M260" s="48"/>
      <c r="N260" s="28"/>
      <c r="O260" s="19"/>
      <c r="P260" s="19"/>
      <c r="Q260" s="19"/>
      <c r="R260" s="19"/>
      <c r="S260" s="19"/>
      <c r="T260" s="19"/>
      <c r="U260" s="19"/>
      <c r="V260" s="19"/>
    </row>
    <row r="261" spans="5:22" ht="13.8" x14ac:dyDescent="0.25">
      <c r="E261" s="19"/>
      <c r="F261" s="19"/>
      <c r="G261" s="19"/>
      <c r="H261" s="19"/>
      <c r="I261" s="19"/>
      <c r="J261" s="19"/>
      <c r="K261" s="19"/>
      <c r="L261" s="19"/>
      <c r="M261" s="48"/>
      <c r="N261" s="28"/>
      <c r="O261" s="19"/>
      <c r="P261" s="19"/>
      <c r="Q261" s="19"/>
      <c r="R261" s="19"/>
      <c r="S261" s="19"/>
      <c r="T261" s="19"/>
      <c r="U261" s="19"/>
      <c r="V261" s="19"/>
    </row>
    <row r="262" spans="5:22" ht="13.8" x14ac:dyDescent="0.25">
      <c r="E262" s="19"/>
      <c r="F262" s="19"/>
      <c r="G262" s="19"/>
      <c r="H262" s="19"/>
      <c r="I262" s="19"/>
      <c r="J262" s="19"/>
      <c r="K262" s="19"/>
      <c r="L262" s="19"/>
      <c r="M262" s="48"/>
      <c r="N262" s="28"/>
      <c r="O262" s="19"/>
      <c r="P262" s="19"/>
      <c r="Q262" s="19"/>
      <c r="R262" s="19"/>
      <c r="S262" s="19"/>
      <c r="T262" s="19"/>
      <c r="U262" s="19"/>
      <c r="V262" s="19"/>
    </row>
    <row r="263" spans="5:22" ht="13.8" x14ac:dyDescent="0.25">
      <c r="E263" s="19"/>
      <c r="F263" s="19"/>
      <c r="G263" s="19"/>
      <c r="H263" s="19"/>
      <c r="I263" s="19"/>
      <c r="J263" s="19"/>
      <c r="K263" s="19"/>
      <c r="L263" s="19"/>
      <c r="M263" s="48"/>
      <c r="N263" s="28"/>
      <c r="O263" s="19"/>
      <c r="P263" s="19"/>
      <c r="Q263" s="19"/>
      <c r="R263" s="19"/>
      <c r="S263" s="19"/>
      <c r="T263" s="19"/>
      <c r="U263" s="19"/>
      <c r="V263" s="19"/>
    </row>
    <row r="264" spans="5:22" ht="13.8" x14ac:dyDescent="0.25">
      <c r="E264" s="19"/>
      <c r="F264" s="19"/>
      <c r="G264" s="19"/>
      <c r="H264" s="19"/>
      <c r="I264" s="19"/>
      <c r="J264" s="19"/>
      <c r="K264" s="19"/>
      <c r="L264" s="19"/>
      <c r="M264" s="48"/>
      <c r="N264" s="28"/>
      <c r="O264" s="19"/>
      <c r="P264" s="19"/>
      <c r="Q264" s="19"/>
      <c r="R264" s="19"/>
      <c r="S264" s="19"/>
      <c r="T264" s="19"/>
      <c r="U264" s="19"/>
      <c r="V264" s="19"/>
    </row>
    <row r="265" spans="5:22" ht="13.8" x14ac:dyDescent="0.25">
      <c r="E265" s="19"/>
      <c r="F265" s="19"/>
      <c r="G265" s="19"/>
      <c r="H265" s="19"/>
      <c r="I265" s="19"/>
      <c r="J265" s="19"/>
      <c r="K265" s="19"/>
      <c r="L265" s="19"/>
      <c r="M265" s="48"/>
      <c r="N265" s="28"/>
      <c r="O265" s="19"/>
      <c r="P265" s="19"/>
      <c r="Q265" s="19"/>
      <c r="R265" s="19"/>
      <c r="S265" s="19"/>
      <c r="T265" s="19"/>
      <c r="U265" s="19"/>
      <c r="V265" s="19"/>
    </row>
    <row r="266" spans="5:22" ht="13.8" x14ac:dyDescent="0.25">
      <c r="E266" s="19"/>
      <c r="F266" s="19"/>
      <c r="G266" s="19"/>
      <c r="H266" s="19"/>
      <c r="I266" s="19"/>
      <c r="J266" s="19"/>
      <c r="K266" s="19"/>
      <c r="L266" s="19"/>
      <c r="M266" s="48"/>
      <c r="N266" s="28"/>
      <c r="O266" s="19"/>
      <c r="P266" s="19"/>
      <c r="Q266" s="19"/>
      <c r="R266" s="19"/>
      <c r="S266" s="19"/>
      <c r="T266" s="19"/>
      <c r="U266" s="19"/>
      <c r="V266" s="19"/>
    </row>
    <row r="267" spans="5:22" ht="13.8" x14ac:dyDescent="0.25">
      <c r="E267" s="19"/>
      <c r="F267" s="19"/>
      <c r="G267" s="19"/>
      <c r="H267" s="19"/>
      <c r="I267" s="19"/>
      <c r="J267" s="19"/>
      <c r="K267" s="19"/>
      <c r="L267" s="19"/>
      <c r="M267" s="48"/>
      <c r="N267" s="28"/>
      <c r="O267" s="19"/>
      <c r="P267" s="19"/>
      <c r="Q267" s="19"/>
      <c r="R267" s="19"/>
      <c r="S267" s="19"/>
      <c r="T267" s="19"/>
      <c r="U267" s="19"/>
      <c r="V267" s="19"/>
    </row>
    <row r="268" spans="5:22" ht="13.8" x14ac:dyDescent="0.25">
      <c r="E268" s="19"/>
      <c r="F268" s="19"/>
      <c r="G268" s="19"/>
      <c r="H268" s="19"/>
      <c r="I268" s="19"/>
      <c r="J268" s="19"/>
      <c r="K268" s="19"/>
      <c r="L268" s="19"/>
      <c r="M268" s="48"/>
      <c r="N268" s="28"/>
      <c r="O268" s="19"/>
      <c r="P268" s="19"/>
      <c r="Q268" s="19"/>
      <c r="R268" s="19"/>
      <c r="S268" s="19"/>
      <c r="T268" s="19"/>
      <c r="U268" s="19"/>
      <c r="V268" s="19"/>
    </row>
    <row r="269" spans="5:22" ht="13.8" x14ac:dyDescent="0.25">
      <c r="E269" s="19"/>
      <c r="F269" s="19"/>
      <c r="G269" s="19"/>
      <c r="H269" s="19"/>
      <c r="I269" s="19"/>
      <c r="J269" s="19"/>
      <c r="K269" s="19"/>
      <c r="L269" s="19"/>
      <c r="M269" s="48"/>
      <c r="N269" s="28"/>
      <c r="O269" s="19"/>
      <c r="P269" s="19"/>
      <c r="Q269" s="19"/>
      <c r="R269" s="19"/>
      <c r="S269" s="19"/>
      <c r="T269" s="19"/>
      <c r="U269" s="19"/>
      <c r="V269" s="19"/>
    </row>
    <row r="270" spans="5:22" ht="13.8" x14ac:dyDescent="0.25">
      <c r="E270" s="19"/>
      <c r="F270" s="19"/>
      <c r="G270" s="19"/>
      <c r="H270" s="19"/>
      <c r="I270" s="19"/>
      <c r="J270" s="19"/>
      <c r="K270" s="19"/>
      <c r="L270" s="19"/>
      <c r="M270" s="48"/>
      <c r="N270" s="28"/>
      <c r="O270" s="19"/>
      <c r="P270" s="19"/>
      <c r="Q270" s="19"/>
      <c r="R270" s="19"/>
      <c r="S270" s="19"/>
      <c r="T270" s="19"/>
      <c r="U270" s="19"/>
      <c r="V270" s="19"/>
    </row>
    <row r="271" spans="5:22" ht="13.8" x14ac:dyDescent="0.25">
      <c r="E271" s="19"/>
      <c r="F271" s="19"/>
      <c r="G271" s="19"/>
      <c r="H271" s="19"/>
      <c r="I271" s="19"/>
      <c r="J271" s="19"/>
      <c r="K271" s="19"/>
      <c r="L271" s="19"/>
      <c r="M271" s="48"/>
      <c r="N271" s="28"/>
      <c r="O271" s="19"/>
      <c r="P271" s="19"/>
      <c r="Q271" s="19"/>
      <c r="R271" s="19"/>
      <c r="S271" s="19"/>
      <c r="T271" s="19"/>
      <c r="U271" s="19"/>
      <c r="V271" s="19"/>
    </row>
    <row r="272" spans="5:22" ht="13.8" x14ac:dyDescent="0.25">
      <c r="E272" s="19"/>
      <c r="F272" s="19"/>
      <c r="G272" s="19"/>
      <c r="H272" s="19"/>
      <c r="I272" s="19"/>
      <c r="J272" s="19"/>
      <c r="K272" s="19"/>
      <c r="L272" s="19"/>
      <c r="M272" s="48"/>
      <c r="N272" s="28"/>
      <c r="O272" s="19"/>
      <c r="P272" s="19"/>
      <c r="Q272" s="19"/>
      <c r="R272" s="19"/>
      <c r="S272" s="19"/>
      <c r="T272" s="19"/>
      <c r="U272" s="19"/>
      <c r="V272" s="19"/>
    </row>
    <row r="273" spans="5:22" ht="13.8" x14ac:dyDescent="0.25">
      <c r="E273" s="19"/>
      <c r="F273" s="19"/>
      <c r="G273" s="19"/>
      <c r="H273" s="19"/>
      <c r="I273" s="19"/>
      <c r="J273" s="19"/>
      <c r="K273" s="19"/>
      <c r="L273" s="19"/>
      <c r="M273" s="48"/>
      <c r="N273" s="28"/>
      <c r="O273" s="19"/>
      <c r="P273" s="19"/>
      <c r="Q273" s="19"/>
      <c r="R273" s="19"/>
      <c r="S273" s="19"/>
      <c r="T273" s="19"/>
      <c r="U273" s="19"/>
      <c r="V273" s="19"/>
    </row>
    <row r="274" spans="5:22" ht="13.8" x14ac:dyDescent="0.25">
      <c r="E274" s="19"/>
      <c r="F274" s="19"/>
      <c r="G274" s="19"/>
      <c r="H274" s="19"/>
      <c r="I274" s="19"/>
      <c r="J274" s="19"/>
      <c r="K274" s="19"/>
      <c r="L274" s="19"/>
      <c r="M274" s="48"/>
      <c r="N274" s="28"/>
      <c r="O274" s="19"/>
      <c r="P274" s="19"/>
      <c r="Q274" s="19"/>
      <c r="R274" s="19"/>
      <c r="S274" s="19"/>
      <c r="T274" s="19"/>
      <c r="U274" s="19"/>
      <c r="V274" s="19"/>
    </row>
    <row r="275" spans="5:22" ht="13.8" x14ac:dyDescent="0.25">
      <c r="E275" s="19"/>
      <c r="F275" s="19"/>
      <c r="G275" s="19"/>
      <c r="H275" s="19"/>
      <c r="I275" s="19"/>
      <c r="J275" s="19"/>
      <c r="K275" s="19"/>
      <c r="L275" s="19"/>
      <c r="M275" s="48"/>
      <c r="N275" s="28"/>
      <c r="O275" s="19"/>
      <c r="P275" s="19"/>
      <c r="Q275" s="19"/>
      <c r="R275" s="19"/>
      <c r="S275" s="19"/>
      <c r="T275" s="19"/>
      <c r="U275" s="19"/>
      <c r="V275" s="19"/>
    </row>
    <row r="276" spans="5:22" ht="13.8" x14ac:dyDescent="0.25">
      <c r="E276" s="19"/>
      <c r="F276" s="19"/>
      <c r="G276" s="19"/>
      <c r="H276" s="19"/>
      <c r="I276" s="19"/>
      <c r="J276" s="19"/>
      <c r="K276" s="19"/>
      <c r="L276" s="19"/>
      <c r="M276" s="48"/>
      <c r="N276" s="28"/>
      <c r="O276" s="19"/>
      <c r="P276" s="19"/>
      <c r="Q276" s="19"/>
      <c r="R276" s="19"/>
      <c r="S276" s="19"/>
      <c r="T276" s="19"/>
      <c r="U276" s="19"/>
      <c r="V276" s="19"/>
    </row>
    <row r="277" spans="5:22" ht="13.8" x14ac:dyDescent="0.25">
      <c r="E277" s="19"/>
      <c r="F277" s="19"/>
      <c r="G277" s="19"/>
      <c r="H277" s="19"/>
      <c r="I277" s="19"/>
      <c r="J277" s="19"/>
      <c r="K277" s="19"/>
      <c r="L277" s="19"/>
      <c r="M277" s="48"/>
      <c r="N277" s="28"/>
      <c r="O277" s="19"/>
      <c r="P277" s="19"/>
      <c r="Q277" s="19"/>
      <c r="R277" s="19"/>
      <c r="S277" s="19"/>
      <c r="T277" s="19"/>
      <c r="U277" s="19"/>
      <c r="V277" s="19"/>
    </row>
    <row r="278" spans="5:22" ht="13.8" x14ac:dyDescent="0.25">
      <c r="E278" s="19"/>
      <c r="F278" s="19"/>
      <c r="G278" s="19"/>
      <c r="H278" s="19"/>
      <c r="I278" s="19"/>
      <c r="J278" s="19"/>
      <c r="K278" s="19"/>
      <c r="L278" s="19"/>
      <c r="M278" s="48"/>
      <c r="N278" s="28"/>
      <c r="O278" s="19"/>
      <c r="P278" s="19"/>
      <c r="Q278" s="19"/>
      <c r="R278" s="19"/>
      <c r="S278" s="19"/>
      <c r="T278" s="19"/>
      <c r="U278" s="19"/>
      <c r="V278" s="19"/>
    </row>
    <row r="279" spans="5:22" ht="13.8" x14ac:dyDescent="0.25">
      <c r="E279" s="19"/>
      <c r="F279" s="19"/>
      <c r="G279" s="19"/>
      <c r="H279" s="19"/>
      <c r="I279" s="19"/>
      <c r="J279" s="19"/>
      <c r="K279" s="19"/>
      <c r="L279" s="19"/>
      <c r="M279" s="48"/>
      <c r="N279" s="28"/>
      <c r="O279" s="19"/>
      <c r="P279" s="19"/>
      <c r="Q279" s="19"/>
      <c r="R279" s="19"/>
      <c r="S279" s="19"/>
      <c r="T279" s="19"/>
      <c r="U279" s="19"/>
      <c r="V279" s="19"/>
    </row>
    <row r="280" spans="5:22" ht="13.8" x14ac:dyDescent="0.25">
      <c r="E280" s="19"/>
      <c r="F280" s="19"/>
      <c r="G280" s="19"/>
      <c r="H280" s="19"/>
      <c r="I280" s="19"/>
      <c r="J280" s="19"/>
      <c r="K280" s="19"/>
      <c r="L280" s="19"/>
      <c r="M280" s="48"/>
      <c r="N280" s="28"/>
      <c r="O280" s="19"/>
      <c r="P280" s="19"/>
      <c r="Q280" s="19"/>
      <c r="R280" s="19"/>
      <c r="S280" s="19"/>
      <c r="T280" s="19"/>
      <c r="U280" s="19"/>
      <c r="V280" s="19"/>
    </row>
    <row r="281" spans="5:22" ht="13.8" x14ac:dyDescent="0.25">
      <c r="E281" s="19"/>
      <c r="F281" s="19"/>
      <c r="G281" s="19"/>
      <c r="H281" s="19"/>
      <c r="I281" s="19"/>
      <c r="J281" s="19"/>
      <c r="K281" s="19"/>
      <c r="L281" s="19"/>
      <c r="M281" s="48"/>
      <c r="N281" s="28"/>
      <c r="O281" s="19"/>
      <c r="P281" s="19"/>
      <c r="Q281" s="19"/>
      <c r="R281" s="19"/>
      <c r="S281" s="19"/>
      <c r="T281" s="19"/>
      <c r="U281" s="19"/>
      <c r="V281" s="19"/>
    </row>
    <row r="282" spans="5:22" ht="13.8" x14ac:dyDescent="0.25">
      <c r="E282" s="19"/>
      <c r="F282" s="19"/>
      <c r="G282" s="19"/>
      <c r="H282" s="19"/>
      <c r="I282" s="19"/>
      <c r="J282" s="19"/>
      <c r="K282" s="19"/>
      <c r="L282" s="19"/>
      <c r="M282" s="48"/>
      <c r="N282" s="28"/>
      <c r="O282" s="19"/>
      <c r="P282" s="19"/>
      <c r="Q282" s="19"/>
      <c r="R282" s="19"/>
      <c r="S282" s="19"/>
      <c r="T282" s="19"/>
      <c r="U282" s="19"/>
      <c r="V282" s="19"/>
    </row>
    <row r="283" spans="5:22" ht="13.8" x14ac:dyDescent="0.25">
      <c r="E283" s="19"/>
      <c r="F283" s="19"/>
      <c r="G283" s="19"/>
      <c r="H283" s="19"/>
      <c r="I283" s="19"/>
      <c r="J283" s="19"/>
      <c r="K283" s="19"/>
      <c r="L283" s="19"/>
      <c r="M283" s="48"/>
      <c r="N283" s="28"/>
      <c r="O283" s="19"/>
      <c r="P283" s="19"/>
      <c r="Q283" s="19"/>
      <c r="R283" s="19"/>
      <c r="S283" s="19"/>
      <c r="T283" s="19"/>
      <c r="U283" s="19"/>
      <c r="V283" s="19"/>
    </row>
    <row r="284" spans="5:22" ht="13.8" x14ac:dyDescent="0.25">
      <c r="E284" s="19"/>
      <c r="F284" s="19"/>
      <c r="G284" s="19"/>
      <c r="H284" s="19"/>
      <c r="I284" s="19"/>
      <c r="J284" s="19"/>
      <c r="K284" s="19"/>
      <c r="L284" s="19"/>
      <c r="M284" s="48"/>
      <c r="N284" s="28"/>
      <c r="O284" s="19"/>
      <c r="P284" s="19"/>
      <c r="Q284" s="19"/>
      <c r="R284" s="19"/>
      <c r="S284" s="19"/>
      <c r="T284" s="19"/>
      <c r="U284" s="19"/>
      <c r="V284" s="19"/>
    </row>
    <row r="285" spans="5:22" ht="13.8" x14ac:dyDescent="0.25">
      <c r="E285" s="19"/>
      <c r="F285" s="19"/>
      <c r="G285" s="19"/>
      <c r="H285" s="19"/>
      <c r="I285" s="19"/>
      <c r="J285" s="19"/>
      <c r="K285" s="19"/>
      <c r="L285" s="19"/>
      <c r="M285" s="48"/>
      <c r="N285" s="28"/>
      <c r="O285" s="19"/>
      <c r="P285" s="19"/>
      <c r="Q285" s="19"/>
      <c r="R285" s="19"/>
      <c r="S285" s="19"/>
      <c r="T285" s="19"/>
      <c r="U285" s="19"/>
      <c r="V285" s="19"/>
    </row>
    <row r="286" spans="5:22" ht="13.8" x14ac:dyDescent="0.25">
      <c r="E286" s="19"/>
      <c r="F286" s="19"/>
      <c r="G286" s="19"/>
      <c r="H286" s="19"/>
      <c r="I286" s="19"/>
      <c r="J286" s="19"/>
      <c r="K286" s="19"/>
      <c r="L286" s="19"/>
      <c r="M286" s="48"/>
      <c r="N286" s="28"/>
      <c r="O286" s="19"/>
      <c r="P286" s="19"/>
      <c r="Q286" s="19"/>
      <c r="R286" s="19"/>
      <c r="S286" s="19"/>
      <c r="T286" s="19"/>
      <c r="U286" s="19"/>
      <c r="V286" s="19"/>
    </row>
    <row r="287" spans="5:22" ht="13.8" x14ac:dyDescent="0.25">
      <c r="E287" s="19"/>
      <c r="F287" s="19"/>
      <c r="G287" s="19"/>
      <c r="H287" s="19"/>
      <c r="I287" s="19"/>
      <c r="J287" s="19"/>
      <c r="K287" s="19"/>
      <c r="L287" s="19"/>
      <c r="M287" s="48"/>
      <c r="N287" s="28"/>
      <c r="O287" s="19"/>
      <c r="P287" s="19"/>
      <c r="Q287" s="19"/>
      <c r="R287" s="19"/>
      <c r="S287" s="19"/>
      <c r="T287" s="19"/>
      <c r="U287" s="19"/>
      <c r="V287" s="19"/>
    </row>
    <row r="288" spans="5:22" ht="13.8" x14ac:dyDescent="0.25">
      <c r="E288" s="19"/>
      <c r="F288" s="19"/>
      <c r="G288" s="19"/>
      <c r="H288" s="19"/>
      <c r="I288" s="19"/>
      <c r="J288" s="19"/>
      <c r="K288" s="19"/>
      <c r="L288" s="19"/>
      <c r="M288" s="48"/>
      <c r="N288" s="28"/>
      <c r="O288" s="19"/>
      <c r="P288" s="19"/>
      <c r="Q288" s="19"/>
      <c r="R288" s="19"/>
      <c r="S288" s="19"/>
      <c r="T288" s="19"/>
      <c r="U288" s="19"/>
      <c r="V288" s="19"/>
    </row>
    <row r="289" spans="5:22" ht="13.8" x14ac:dyDescent="0.25">
      <c r="E289" s="19"/>
      <c r="F289" s="19"/>
      <c r="G289" s="19"/>
      <c r="H289" s="19"/>
      <c r="I289" s="19"/>
      <c r="J289" s="19"/>
      <c r="K289" s="19"/>
      <c r="L289" s="19"/>
      <c r="M289" s="48"/>
      <c r="N289" s="28"/>
      <c r="O289" s="19"/>
      <c r="P289" s="19"/>
      <c r="Q289" s="19"/>
      <c r="R289" s="19"/>
      <c r="S289" s="19"/>
      <c r="T289" s="19"/>
      <c r="U289" s="19"/>
      <c r="V289" s="19"/>
    </row>
    <row r="290" spans="5:22" ht="13.8" x14ac:dyDescent="0.25">
      <c r="E290" s="19"/>
      <c r="F290" s="19"/>
      <c r="G290" s="19"/>
      <c r="H290" s="19"/>
      <c r="I290" s="19"/>
      <c r="J290" s="19"/>
      <c r="K290" s="19"/>
      <c r="L290" s="19"/>
      <c r="M290" s="48"/>
      <c r="N290" s="28"/>
      <c r="O290" s="19"/>
      <c r="P290" s="19"/>
      <c r="Q290" s="19"/>
      <c r="R290" s="19"/>
      <c r="S290" s="19"/>
      <c r="T290" s="19"/>
      <c r="U290" s="19"/>
      <c r="V290" s="19"/>
    </row>
    <row r="291" spans="5:22" ht="13.8" x14ac:dyDescent="0.25">
      <c r="E291" s="19"/>
      <c r="F291" s="19"/>
      <c r="G291" s="19"/>
      <c r="H291" s="19"/>
      <c r="I291" s="19"/>
      <c r="J291" s="19"/>
      <c r="K291" s="19"/>
      <c r="L291" s="19"/>
      <c r="M291" s="48"/>
      <c r="N291" s="28"/>
      <c r="O291" s="19"/>
      <c r="P291" s="19"/>
      <c r="Q291" s="19"/>
      <c r="R291" s="19"/>
      <c r="S291" s="19"/>
      <c r="T291" s="19"/>
      <c r="U291" s="19"/>
      <c r="V291" s="19"/>
    </row>
    <row r="292" spans="5:22" ht="13.8" x14ac:dyDescent="0.25">
      <c r="E292" s="19"/>
      <c r="F292" s="19"/>
      <c r="G292" s="19"/>
      <c r="H292" s="19"/>
      <c r="I292" s="19"/>
      <c r="J292" s="19"/>
      <c r="K292" s="19"/>
      <c r="L292" s="19"/>
      <c r="M292" s="48"/>
      <c r="N292" s="28"/>
      <c r="O292" s="19"/>
      <c r="P292" s="19"/>
      <c r="Q292" s="19"/>
      <c r="R292" s="19"/>
      <c r="S292" s="19"/>
      <c r="T292" s="19"/>
      <c r="U292" s="19"/>
      <c r="V292" s="19"/>
    </row>
    <row r="293" spans="5:22" ht="13.8" x14ac:dyDescent="0.25">
      <c r="E293" s="19"/>
      <c r="F293" s="19"/>
      <c r="G293" s="19"/>
      <c r="H293" s="19"/>
      <c r="I293" s="19"/>
      <c r="J293" s="19"/>
      <c r="K293" s="19"/>
      <c r="L293" s="19"/>
      <c r="M293" s="48"/>
      <c r="N293" s="28"/>
      <c r="O293" s="19"/>
      <c r="P293" s="19"/>
      <c r="Q293" s="19"/>
      <c r="R293" s="19"/>
      <c r="S293" s="19"/>
      <c r="T293" s="19"/>
      <c r="U293" s="19"/>
      <c r="V293" s="19"/>
    </row>
    <row r="294" spans="5:22" ht="13.8" x14ac:dyDescent="0.25">
      <c r="E294" s="19"/>
      <c r="F294" s="19"/>
      <c r="G294" s="19"/>
      <c r="H294" s="19"/>
      <c r="I294" s="19"/>
      <c r="J294" s="19"/>
      <c r="K294" s="19"/>
      <c r="L294" s="19"/>
      <c r="M294" s="48"/>
      <c r="N294" s="28"/>
      <c r="O294" s="19"/>
      <c r="P294" s="19"/>
      <c r="Q294" s="19"/>
      <c r="R294" s="19"/>
      <c r="S294" s="19"/>
      <c r="T294" s="19"/>
      <c r="U294" s="20"/>
      <c r="V294" s="20"/>
    </row>
    <row r="295" spans="5:22" ht="13.8" x14ac:dyDescent="0.25">
      <c r="E295" s="19"/>
      <c r="F295" s="19"/>
      <c r="G295" s="19"/>
      <c r="H295" s="19"/>
      <c r="I295" s="19"/>
      <c r="J295" s="19"/>
      <c r="K295" s="19"/>
      <c r="L295" s="19"/>
      <c r="M295" s="48"/>
      <c r="N295" s="28"/>
      <c r="O295" s="19"/>
      <c r="P295" s="19"/>
      <c r="Q295" s="19"/>
      <c r="R295" s="19"/>
      <c r="S295" s="19"/>
      <c r="T295" s="19"/>
      <c r="U295" s="20"/>
      <c r="V295" s="19"/>
    </row>
    <row r="296" spans="5:22" ht="13.8" x14ac:dyDescent="0.25">
      <c r="E296" s="19"/>
      <c r="F296" s="19"/>
      <c r="G296" s="19"/>
      <c r="H296" s="19"/>
      <c r="I296" s="19"/>
      <c r="J296" s="19"/>
      <c r="K296" s="19"/>
      <c r="L296" s="19"/>
      <c r="M296" s="48"/>
      <c r="N296" s="28"/>
      <c r="O296" s="19"/>
      <c r="P296" s="19"/>
      <c r="Q296" s="19"/>
      <c r="R296" s="19"/>
      <c r="S296" s="19"/>
      <c r="T296" s="19"/>
      <c r="U296" s="20"/>
      <c r="V296" s="19"/>
    </row>
    <row r="297" spans="5:22" ht="13.8" x14ac:dyDescent="0.25">
      <c r="E297" s="19"/>
      <c r="F297" s="19"/>
      <c r="G297" s="19"/>
      <c r="H297" s="19"/>
      <c r="I297" s="19"/>
      <c r="J297" s="19"/>
      <c r="K297" s="19"/>
      <c r="L297" s="19"/>
      <c r="M297" s="48"/>
      <c r="N297" s="28"/>
      <c r="O297" s="19"/>
      <c r="P297" s="19"/>
      <c r="Q297" s="19"/>
      <c r="R297" s="19"/>
      <c r="S297" s="19"/>
      <c r="T297" s="19"/>
      <c r="U297" s="19"/>
      <c r="V297" s="19"/>
    </row>
    <row r="298" spans="5:22" ht="13.8" x14ac:dyDescent="0.25">
      <c r="E298" s="19"/>
      <c r="F298" s="19"/>
      <c r="G298" s="19"/>
      <c r="H298" s="19"/>
      <c r="I298" s="19"/>
      <c r="J298" s="19"/>
      <c r="K298" s="19"/>
      <c r="L298" s="19"/>
      <c r="M298" s="48"/>
      <c r="N298" s="28"/>
      <c r="O298" s="19"/>
      <c r="P298" s="19"/>
      <c r="Q298" s="19"/>
      <c r="R298" s="19"/>
      <c r="S298" s="19"/>
      <c r="T298" s="19"/>
    </row>
    <row r="299" spans="5:22" ht="13.8" x14ac:dyDescent="0.25">
      <c r="E299" s="19"/>
      <c r="F299" s="19"/>
      <c r="G299" s="19"/>
      <c r="H299" s="19"/>
      <c r="I299" s="19"/>
      <c r="J299" s="19"/>
      <c r="K299" s="19"/>
      <c r="L299" s="19"/>
      <c r="M299" s="48"/>
    </row>
    <row r="300" spans="5:22" ht="13.8" x14ac:dyDescent="0.25">
      <c r="M300" s="48"/>
    </row>
    <row r="301" spans="5:22" ht="13.8" x14ac:dyDescent="0.25">
      <c r="M301" s="48"/>
    </row>
  </sheetData>
  <mergeCells count="6">
    <mergeCell ref="B1:L1"/>
    <mergeCell ref="B2:M2"/>
    <mergeCell ref="B3:M3"/>
    <mergeCell ref="B4:M4"/>
    <mergeCell ref="B5:C5"/>
    <mergeCell ref="D5:J5"/>
  </mergeCells>
  <dataValidations count="6">
    <dataValidation type="list" allowBlank="1" showInputMessage="1" showErrorMessage="1" sqref="K26" xr:uid="{49B6E2C1-A4BA-4048-82E7-05A7AF243B37}">
      <formula1>"0,750,850,1000"</formula1>
    </dataValidation>
    <dataValidation type="list" allowBlank="1" showDropDown="1" showInputMessage="1" showErrorMessage="1" sqref="J27:J29 J1 J22 J19 J9:J13 J6:J7" xr:uid="{7EBF50F4-9BF5-4D5D-B45B-8DD5F8C8A8CC}">
      <formula1>"0,250,500,750,900,1000"</formula1>
    </dataValidation>
    <dataValidation type="list" allowBlank="1" showDropDown="1" showInputMessage="1" showErrorMessage="1" sqref="J23:J26 J2" xr:uid="{411F8C3E-587B-4A24-8305-B08057F200B1}">
      <formula1>"0,250,500,750,900,1500"</formula1>
    </dataValidation>
    <dataValidation type="list" allowBlank="1" showInputMessage="1" showErrorMessage="1" sqref="K23:K25 K20:K21" xr:uid="{5BC89252-9C2F-4B2D-A0BF-BC556C04CDA4}">
      <formula1>"0,500,750,900,1000"</formula1>
    </dataValidation>
    <dataValidation allowBlank="1" showDropDown="1" showInputMessage="1" showErrorMessage="1" sqref="J14:J15 J8" xr:uid="{1E1C9460-296B-49E0-A9E6-A2A76B006D09}"/>
    <dataValidation type="list" allowBlank="1" showInputMessage="1" showErrorMessage="1" sqref="K11:K12 K14:K15 K17:K18" xr:uid="{7DF90FAC-6F2F-4EA9-9C1D-6694BE46996C}">
      <formula1>"0,500"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A4CF-5AF7-4897-87F3-023C9251B674}">
  <dimension ref="A1:Y287"/>
  <sheetViews>
    <sheetView workbookViewId="0">
      <selection activeCell="D24" sqref="D24"/>
    </sheetView>
  </sheetViews>
  <sheetFormatPr defaultRowHeight="14.4" x14ac:dyDescent="0.3"/>
  <cols>
    <col min="1" max="1" width="3.6640625" customWidth="1"/>
    <col min="2" max="2" width="12.6640625" customWidth="1"/>
    <col min="3" max="3" width="73.109375" customWidth="1"/>
    <col min="4" max="4" width="16.21875" customWidth="1"/>
    <col min="5" max="9" width="14.77734375" customWidth="1"/>
    <col min="10" max="10" width="11.109375" customWidth="1"/>
    <col min="11" max="11" width="12.5546875" customWidth="1"/>
    <col min="12" max="13" width="11.88671875" customWidth="1"/>
    <col min="14" max="14" width="50.6640625" customWidth="1"/>
  </cols>
  <sheetData>
    <row r="1" spans="1:25" x14ac:dyDescent="0.3">
      <c r="A1" s="136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spans="1:25" ht="17.399999999999999" x14ac:dyDescent="0.3">
      <c r="A2" s="136"/>
      <c r="B2" s="189" t="s">
        <v>95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5" ht="17.399999999999999" x14ac:dyDescent="0.3">
      <c r="A3" s="136"/>
      <c r="B3" s="190" t="s">
        <v>102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2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</row>
    <row r="4" spans="1:25" ht="17.399999999999999" x14ac:dyDescent="0.3">
      <c r="A4" s="136"/>
      <c r="B4" s="191" t="s">
        <v>104</v>
      </c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3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</row>
    <row r="5" spans="1:25" ht="17.399999999999999" x14ac:dyDescent="0.3">
      <c r="A5" s="136"/>
      <c r="B5" s="205" t="s">
        <v>99</v>
      </c>
      <c r="C5" s="205"/>
      <c r="D5" s="206"/>
      <c r="E5" s="207"/>
      <c r="F5" s="207"/>
      <c r="G5" s="207"/>
      <c r="H5" s="207"/>
      <c r="I5" s="207"/>
      <c r="J5" s="207"/>
      <c r="K5" s="208"/>
      <c r="L5" s="204"/>
      <c r="M5" s="204"/>
      <c r="N5" s="1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 spans="1:25" ht="18" thickBot="1" x14ac:dyDescent="0.35">
      <c r="A6" s="136"/>
      <c r="B6" s="136"/>
      <c r="C6" s="131" t="s">
        <v>0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</row>
    <row r="7" spans="1:25" ht="15" thickBot="1" x14ac:dyDescent="0.35">
      <c r="A7" s="136"/>
      <c r="B7" s="30" t="s">
        <v>1</v>
      </c>
      <c r="C7" s="31" t="s">
        <v>1</v>
      </c>
      <c r="D7" s="32" t="s">
        <v>1</v>
      </c>
      <c r="E7" s="32" t="s">
        <v>1</v>
      </c>
      <c r="F7" s="32" t="s">
        <v>1</v>
      </c>
      <c r="G7" s="32" t="s">
        <v>1</v>
      </c>
      <c r="H7" s="32" t="s">
        <v>1</v>
      </c>
      <c r="I7" s="32" t="s">
        <v>1</v>
      </c>
      <c r="J7" s="32" t="s">
        <v>1</v>
      </c>
      <c r="K7" s="32" t="s">
        <v>1</v>
      </c>
      <c r="L7" s="33" t="s">
        <v>1</v>
      </c>
      <c r="M7" s="34" t="s">
        <v>1</v>
      </c>
      <c r="N7" s="35" t="s">
        <v>1</v>
      </c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</row>
    <row r="8" spans="1:25" ht="55.2" x14ac:dyDescent="0.3">
      <c r="A8" s="136"/>
      <c r="B8" s="36" t="s">
        <v>1</v>
      </c>
      <c r="C8" s="4" t="s">
        <v>1</v>
      </c>
      <c r="D8" s="5" t="s">
        <v>2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117" t="s">
        <v>3</v>
      </c>
      <c r="K8" s="75" t="s">
        <v>4</v>
      </c>
      <c r="L8" s="75" t="s">
        <v>105</v>
      </c>
      <c r="M8" s="138" t="s">
        <v>5</v>
      </c>
      <c r="N8" s="118" t="s">
        <v>6</v>
      </c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</row>
    <row r="9" spans="1:25" x14ac:dyDescent="0.3">
      <c r="A9" s="6"/>
      <c r="B9" s="37" t="s">
        <v>7</v>
      </c>
      <c r="C9" s="44" t="s">
        <v>63</v>
      </c>
      <c r="D9" s="113">
        <v>1000</v>
      </c>
      <c r="E9" s="113">
        <v>900</v>
      </c>
      <c r="F9" s="113">
        <v>750</v>
      </c>
      <c r="G9" s="113">
        <v>500</v>
      </c>
      <c r="H9" s="113">
        <v>250</v>
      </c>
      <c r="I9" s="113">
        <v>0</v>
      </c>
      <c r="J9" s="7" t="s">
        <v>1</v>
      </c>
      <c r="K9" s="7" t="s">
        <v>1</v>
      </c>
      <c r="L9" s="8" t="s">
        <v>1</v>
      </c>
      <c r="M9" s="9" t="s">
        <v>1</v>
      </c>
      <c r="N9" s="38" t="s">
        <v>1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55.8" x14ac:dyDescent="0.3">
      <c r="A10" s="6"/>
      <c r="B10" s="47"/>
      <c r="C10" s="10" t="s">
        <v>64</v>
      </c>
      <c r="D10" s="112" t="s">
        <v>65</v>
      </c>
      <c r="E10" s="112" t="s">
        <v>66</v>
      </c>
      <c r="F10" s="112" t="s">
        <v>67</v>
      </c>
      <c r="G10" s="112" t="s">
        <v>68</v>
      </c>
      <c r="H10" s="112" t="s">
        <v>69</v>
      </c>
      <c r="I10" s="112" t="s">
        <v>70</v>
      </c>
      <c r="J10" s="11" t="s">
        <v>1</v>
      </c>
      <c r="K10" s="11" t="s">
        <v>1</v>
      </c>
      <c r="L10" s="12" t="s">
        <v>1</v>
      </c>
      <c r="M10" s="13" t="s">
        <v>1</v>
      </c>
      <c r="N10" s="39" t="s">
        <v>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14"/>
      <c r="B11" s="40" t="s">
        <v>1</v>
      </c>
      <c r="C11" s="10" t="s">
        <v>71</v>
      </c>
      <c r="D11" s="15" t="s">
        <v>1</v>
      </c>
      <c r="E11" s="15" t="s">
        <v>1</v>
      </c>
      <c r="F11" s="15" t="s">
        <v>1</v>
      </c>
      <c r="G11" s="15" t="s">
        <v>1</v>
      </c>
      <c r="H11" s="15" t="s">
        <v>1</v>
      </c>
      <c r="I11" s="15" t="s">
        <v>1</v>
      </c>
      <c r="J11" s="114">
        <v>1</v>
      </c>
      <c r="K11" s="114">
        <f>J11*D9</f>
        <v>1000</v>
      </c>
      <c r="L11" s="170"/>
      <c r="M11" s="120">
        <f>J11*L11</f>
        <v>0</v>
      </c>
      <c r="N11" s="12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x14ac:dyDescent="0.3">
      <c r="A12" s="14"/>
      <c r="B12" s="40" t="s">
        <v>1</v>
      </c>
      <c r="C12" s="10" t="s">
        <v>72</v>
      </c>
      <c r="D12" s="15" t="s">
        <v>1</v>
      </c>
      <c r="E12" s="15" t="s">
        <v>1</v>
      </c>
      <c r="F12" s="15" t="s">
        <v>1</v>
      </c>
      <c r="G12" s="15" t="s">
        <v>1</v>
      </c>
      <c r="H12" s="15" t="s">
        <v>1</v>
      </c>
      <c r="I12" s="15" t="s">
        <v>1</v>
      </c>
      <c r="J12" s="114">
        <v>1</v>
      </c>
      <c r="K12" s="114">
        <f>J12*D9</f>
        <v>1000</v>
      </c>
      <c r="L12" s="170"/>
      <c r="M12" s="120">
        <f>J12*L12</f>
        <v>0</v>
      </c>
      <c r="N12" s="12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" thickBot="1" x14ac:dyDescent="0.35">
      <c r="A13" s="14"/>
      <c r="B13" s="46" t="s">
        <v>1</v>
      </c>
      <c r="C13" s="41" t="s">
        <v>73</v>
      </c>
      <c r="D13" s="42" t="s">
        <v>1</v>
      </c>
      <c r="E13" s="42" t="s">
        <v>1</v>
      </c>
      <c r="F13" s="42" t="s">
        <v>1</v>
      </c>
      <c r="G13" s="42" t="s">
        <v>1</v>
      </c>
      <c r="H13" s="42" t="s">
        <v>1</v>
      </c>
      <c r="I13" s="42" t="s">
        <v>1</v>
      </c>
      <c r="J13" s="115">
        <v>1</v>
      </c>
      <c r="K13" s="115">
        <f>J13*D9</f>
        <v>1000</v>
      </c>
      <c r="L13" s="185"/>
      <c r="M13" s="121">
        <f>J13*L13</f>
        <v>0</v>
      </c>
      <c r="N13" s="128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" thickBot="1" x14ac:dyDescent="0.3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</row>
    <row r="15" spans="1:25" x14ac:dyDescent="0.3">
      <c r="A15" s="136"/>
      <c r="B15" s="136"/>
      <c r="C15" s="165" t="s">
        <v>35</v>
      </c>
      <c r="D15" s="16">
        <f>SUM(K11:K13)</f>
        <v>3000</v>
      </c>
      <c r="E15" s="136"/>
      <c r="F15" s="136"/>
      <c r="G15" s="43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</row>
    <row r="16" spans="1:25" x14ac:dyDescent="0.3">
      <c r="A16" s="136"/>
      <c r="B16" s="136"/>
      <c r="C16" s="166" t="s">
        <v>36</v>
      </c>
      <c r="D16" s="24">
        <f>SUM(M11:M13)</f>
        <v>0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</row>
    <row r="17" spans="1:25" x14ac:dyDescent="0.3">
      <c r="A17" s="136"/>
      <c r="B17" s="136"/>
      <c r="C17" s="116" t="s">
        <v>37</v>
      </c>
      <c r="D17" s="17" t="s">
        <v>1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</row>
    <row r="18" spans="1:25" x14ac:dyDescent="0.3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</row>
    <row r="19" spans="1:25" x14ac:dyDescent="0.3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</row>
    <row r="20" spans="1:25" x14ac:dyDescent="0.3">
      <c r="A20" s="136"/>
      <c r="B20" s="136"/>
      <c r="C20" s="136"/>
      <c r="D20" s="43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</row>
    <row r="21" spans="1:25" x14ac:dyDescent="0.3">
      <c r="A21" s="136"/>
      <c r="B21" s="136"/>
      <c r="C21" s="136"/>
      <c r="D21" s="45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5" x14ac:dyDescent="0.3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</row>
    <row r="23" spans="1:25" x14ac:dyDescent="0.3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 spans="1:25" x14ac:dyDescent="0.3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</row>
    <row r="25" spans="1:25" x14ac:dyDescent="0.3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</row>
    <row r="26" spans="1:25" x14ac:dyDescent="0.3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</row>
    <row r="27" spans="1:25" x14ac:dyDescent="0.3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</row>
    <row r="28" spans="1:25" x14ac:dyDescent="0.3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</row>
    <row r="29" spans="1:25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</row>
    <row r="30" spans="1:25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</row>
    <row r="31" spans="1:25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</row>
    <row r="32" spans="1:25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</row>
    <row r="33" spans="1:25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</row>
    <row r="34" spans="1:25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</row>
    <row r="35" spans="1:25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</row>
    <row r="36" spans="1:25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</row>
    <row r="37" spans="1:25" x14ac:dyDescent="0.3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</row>
    <row r="38" spans="1:25" x14ac:dyDescent="0.3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</row>
    <row r="39" spans="1:25" x14ac:dyDescent="0.3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</row>
    <row r="40" spans="1:25" x14ac:dyDescent="0.3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</row>
    <row r="41" spans="1:25" x14ac:dyDescent="0.3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</row>
    <row r="42" spans="1:25" x14ac:dyDescent="0.3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</row>
    <row r="43" spans="1:25" x14ac:dyDescent="0.3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</row>
    <row r="44" spans="1:25" x14ac:dyDescent="0.3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</row>
    <row r="45" spans="1:25" x14ac:dyDescent="0.3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</row>
    <row r="46" spans="1:25" x14ac:dyDescent="0.3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</row>
    <row r="47" spans="1:25" x14ac:dyDescent="0.3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</row>
    <row r="48" spans="1:25" x14ac:dyDescent="0.3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</row>
    <row r="49" spans="1:25" x14ac:dyDescent="0.3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</row>
    <row r="50" spans="1:25" x14ac:dyDescent="0.3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</row>
    <row r="51" spans="1:25" x14ac:dyDescent="0.3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</row>
    <row r="52" spans="1:25" x14ac:dyDescent="0.3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</row>
    <row r="53" spans="1:25" x14ac:dyDescent="0.3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</row>
    <row r="54" spans="1:25" x14ac:dyDescent="0.3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</row>
    <row r="55" spans="1:25" x14ac:dyDescent="0.3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</row>
    <row r="56" spans="1:25" x14ac:dyDescent="0.3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</row>
    <row r="57" spans="1:25" x14ac:dyDescent="0.3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</row>
    <row r="58" spans="1:25" x14ac:dyDescent="0.3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</row>
    <row r="59" spans="1:25" x14ac:dyDescent="0.3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</row>
    <row r="60" spans="1:25" x14ac:dyDescent="0.3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</row>
    <row r="61" spans="1:25" x14ac:dyDescent="0.3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</row>
    <row r="62" spans="1:25" x14ac:dyDescent="0.3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</row>
    <row r="63" spans="1:25" x14ac:dyDescent="0.3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</row>
    <row r="64" spans="1:25" x14ac:dyDescent="0.3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</row>
    <row r="65" spans="1:25" x14ac:dyDescent="0.3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</row>
    <row r="66" spans="1:25" x14ac:dyDescent="0.3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</row>
    <row r="67" spans="1:25" x14ac:dyDescent="0.3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</row>
    <row r="68" spans="1:25" x14ac:dyDescent="0.3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</row>
    <row r="69" spans="1:25" x14ac:dyDescent="0.3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</row>
    <row r="70" spans="1:25" x14ac:dyDescent="0.3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</row>
    <row r="71" spans="1:25" x14ac:dyDescent="0.3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</row>
    <row r="72" spans="1:25" x14ac:dyDescent="0.3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</row>
    <row r="73" spans="1:25" x14ac:dyDescent="0.3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</row>
    <row r="74" spans="1:25" x14ac:dyDescent="0.3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</row>
    <row r="75" spans="1:25" x14ac:dyDescent="0.3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</row>
    <row r="76" spans="1:25" x14ac:dyDescent="0.3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</row>
    <row r="77" spans="1:25" x14ac:dyDescent="0.3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</row>
    <row r="78" spans="1:25" x14ac:dyDescent="0.3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</row>
    <row r="79" spans="1:25" x14ac:dyDescent="0.3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</row>
    <row r="80" spans="1:25" x14ac:dyDescent="0.3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</row>
    <row r="81" spans="1:25" x14ac:dyDescent="0.3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</row>
    <row r="82" spans="1:25" x14ac:dyDescent="0.3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</row>
    <row r="83" spans="1:25" x14ac:dyDescent="0.3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</row>
    <row r="84" spans="1:25" x14ac:dyDescent="0.3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</row>
    <row r="85" spans="1:25" x14ac:dyDescent="0.3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</row>
    <row r="86" spans="1:25" x14ac:dyDescent="0.3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</row>
    <row r="87" spans="1:25" x14ac:dyDescent="0.3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</row>
    <row r="88" spans="1:25" x14ac:dyDescent="0.3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</row>
    <row r="89" spans="1:25" x14ac:dyDescent="0.3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</row>
    <row r="90" spans="1:25" x14ac:dyDescent="0.3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</row>
    <row r="91" spans="1:25" x14ac:dyDescent="0.3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</row>
    <row r="92" spans="1:25" x14ac:dyDescent="0.3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</row>
    <row r="93" spans="1:25" x14ac:dyDescent="0.3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</row>
    <row r="94" spans="1:25" x14ac:dyDescent="0.3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</row>
    <row r="95" spans="1:25" x14ac:dyDescent="0.3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</row>
    <row r="96" spans="1:25" x14ac:dyDescent="0.3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</row>
    <row r="97" spans="1:25" x14ac:dyDescent="0.3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</row>
    <row r="98" spans="1:25" x14ac:dyDescent="0.3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</row>
    <row r="99" spans="1:25" x14ac:dyDescent="0.3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</row>
    <row r="100" spans="1:25" x14ac:dyDescent="0.3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</row>
    <row r="101" spans="1:25" x14ac:dyDescent="0.3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</row>
    <row r="102" spans="1:25" x14ac:dyDescent="0.3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</row>
    <row r="103" spans="1:25" x14ac:dyDescent="0.3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</row>
    <row r="104" spans="1:25" x14ac:dyDescent="0.3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</row>
    <row r="105" spans="1:25" x14ac:dyDescent="0.3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</row>
    <row r="106" spans="1:25" x14ac:dyDescent="0.3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</row>
    <row r="107" spans="1:25" x14ac:dyDescent="0.3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</row>
    <row r="108" spans="1:25" x14ac:dyDescent="0.3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</row>
    <row r="109" spans="1:25" x14ac:dyDescent="0.3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</row>
    <row r="110" spans="1:25" x14ac:dyDescent="0.3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</row>
    <row r="111" spans="1:25" x14ac:dyDescent="0.3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</row>
    <row r="112" spans="1:25" x14ac:dyDescent="0.3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</row>
    <row r="113" spans="1:25" x14ac:dyDescent="0.3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</row>
    <row r="114" spans="1:25" x14ac:dyDescent="0.3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</row>
    <row r="115" spans="1:25" x14ac:dyDescent="0.3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</row>
    <row r="116" spans="1:25" x14ac:dyDescent="0.3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</row>
    <row r="117" spans="1:25" x14ac:dyDescent="0.3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</row>
    <row r="118" spans="1:25" x14ac:dyDescent="0.3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</row>
    <row r="119" spans="1:25" x14ac:dyDescent="0.3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</row>
    <row r="120" spans="1:25" x14ac:dyDescent="0.3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</row>
    <row r="121" spans="1:25" x14ac:dyDescent="0.3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</row>
    <row r="122" spans="1:25" x14ac:dyDescent="0.3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</row>
    <row r="123" spans="1:25" x14ac:dyDescent="0.3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</row>
    <row r="124" spans="1:25" x14ac:dyDescent="0.3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</row>
    <row r="125" spans="1:25" x14ac:dyDescent="0.3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</row>
    <row r="126" spans="1:25" x14ac:dyDescent="0.3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</row>
    <row r="127" spans="1:25" x14ac:dyDescent="0.3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</row>
    <row r="128" spans="1:25" x14ac:dyDescent="0.3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</row>
    <row r="129" spans="1:25" x14ac:dyDescent="0.3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</row>
    <row r="130" spans="1:25" x14ac:dyDescent="0.3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</row>
    <row r="131" spans="1:25" x14ac:dyDescent="0.3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</row>
    <row r="132" spans="1:25" x14ac:dyDescent="0.3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</row>
    <row r="133" spans="1:25" x14ac:dyDescent="0.3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</row>
    <row r="134" spans="1:25" x14ac:dyDescent="0.3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</row>
    <row r="135" spans="1:25" x14ac:dyDescent="0.3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</row>
    <row r="136" spans="1:25" x14ac:dyDescent="0.3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</row>
    <row r="137" spans="1:25" x14ac:dyDescent="0.3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</row>
    <row r="138" spans="1:25" x14ac:dyDescent="0.3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</row>
    <row r="139" spans="1:25" x14ac:dyDescent="0.3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</row>
    <row r="140" spans="1:25" x14ac:dyDescent="0.3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</row>
    <row r="141" spans="1:25" x14ac:dyDescent="0.3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</row>
    <row r="142" spans="1:25" x14ac:dyDescent="0.3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</row>
    <row r="143" spans="1:25" x14ac:dyDescent="0.3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</row>
    <row r="144" spans="1:25" x14ac:dyDescent="0.3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</row>
    <row r="145" spans="1:25" x14ac:dyDescent="0.3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</row>
    <row r="146" spans="1:25" x14ac:dyDescent="0.3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</row>
    <row r="147" spans="1:25" x14ac:dyDescent="0.3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</row>
    <row r="148" spans="1:25" x14ac:dyDescent="0.3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</row>
    <row r="149" spans="1:25" x14ac:dyDescent="0.3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</row>
    <row r="150" spans="1:25" x14ac:dyDescent="0.3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</row>
    <row r="151" spans="1:25" x14ac:dyDescent="0.3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</row>
    <row r="152" spans="1:25" x14ac:dyDescent="0.3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</row>
    <row r="153" spans="1:25" x14ac:dyDescent="0.3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</row>
    <row r="154" spans="1:25" x14ac:dyDescent="0.3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</row>
    <row r="155" spans="1:25" x14ac:dyDescent="0.3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</row>
    <row r="156" spans="1:25" x14ac:dyDescent="0.3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</row>
    <row r="157" spans="1:25" x14ac:dyDescent="0.3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</row>
    <row r="158" spans="1:25" x14ac:dyDescent="0.3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</row>
    <row r="159" spans="1:25" x14ac:dyDescent="0.3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</row>
    <row r="160" spans="1:25" x14ac:dyDescent="0.3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</row>
    <row r="161" spans="1:25" x14ac:dyDescent="0.3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</row>
    <row r="162" spans="1:25" x14ac:dyDescent="0.3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</row>
    <row r="163" spans="1:25" x14ac:dyDescent="0.3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</row>
    <row r="164" spans="1:25" x14ac:dyDescent="0.3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</row>
    <row r="165" spans="1:25" x14ac:dyDescent="0.3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</row>
    <row r="166" spans="1:25" x14ac:dyDescent="0.3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</row>
    <row r="167" spans="1:25" x14ac:dyDescent="0.3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</row>
    <row r="168" spans="1:25" x14ac:dyDescent="0.3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</row>
    <row r="169" spans="1:25" x14ac:dyDescent="0.3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</row>
    <row r="170" spans="1:25" x14ac:dyDescent="0.3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</row>
    <row r="171" spans="1:25" x14ac:dyDescent="0.3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</row>
    <row r="172" spans="1:25" x14ac:dyDescent="0.3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</row>
    <row r="173" spans="1:25" x14ac:dyDescent="0.3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</row>
    <row r="174" spans="1:25" x14ac:dyDescent="0.3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</row>
    <row r="175" spans="1:25" x14ac:dyDescent="0.3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</row>
    <row r="176" spans="1:25" x14ac:dyDescent="0.3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</row>
    <row r="177" spans="1:25" x14ac:dyDescent="0.3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</row>
    <row r="178" spans="1:25" x14ac:dyDescent="0.3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</row>
    <row r="179" spans="1:25" x14ac:dyDescent="0.3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</row>
    <row r="180" spans="1:25" x14ac:dyDescent="0.3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</row>
    <row r="181" spans="1:25" x14ac:dyDescent="0.3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</row>
    <row r="182" spans="1:25" x14ac:dyDescent="0.3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</row>
    <row r="183" spans="1:25" x14ac:dyDescent="0.3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</row>
    <row r="184" spans="1:25" x14ac:dyDescent="0.3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</row>
    <row r="185" spans="1:25" x14ac:dyDescent="0.3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</row>
    <row r="186" spans="1:25" x14ac:dyDescent="0.3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</row>
    <row r="187" spans="1:25" x14ac:dyDescent="0.3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</row>
    <row r="188" spans="1:25" x14ac:dyDescent="0.3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</row>
    <row r="189" spans="1:25" x14ac:dyDescent="0.3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</row>
    <row r="190" spans="1:25" x14ac:dyDescent="0.3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</row>
    <row r="191" spans="1:25" x14ac:dyDescent="0.3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</row>
    <row r="192" spans="1:25" x14ac:dyDescent="0.3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</row>
    <row r="193" spans="1:25" x14ac:dyDescent="0.3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</row>
    <row r="194" spans="1:25" x14ac:dyDescent="0.3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</row>
    <row r="195" spans="1:25" x14ac:dyDescent="0.3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</row>
    <row r="196" spans="1:25" x14ac:dyDescent="0.3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</row>
    <row r="197" spans="1:25" x14ac:dyDescent="0.3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</row>
    <row r="198" spans="1:25" x14ac:dyDescent="0.3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</row>
    <row r="199" spans="1:25" x14ac:dyDescent="0.3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</row>
    <row r="200" spans="1:25" x14ac:dyDescent="0.3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</row>
    <row r="201" spans="1:25" x14ac:dyDescent="0.3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</row>
    <row r="202" spans="1:25" x14ac:dyDescent="0.3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</row>
    <row r="203" spans="1:25" x14ac:dyDescent="0.3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</row>
    <row r="204" spans="1:25" x14ac:dyDescent="0.3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</row>
    <row r="205" spans="1:25" x14ac:dyDescent="0.3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</row>
    <row r="206" spans="1:25" x14ac:dyDescent="0.3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</row>
    <row r="207" spans="1:25" x14ac:dyDescent="0.3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</row>
    <row r="208" spans="1:25" x14ac:dyDescent="0.3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</row>
    <row r="209" spans="1:25" x14ac:dyDescent="0.3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</row>
    <row r="210" spans="1:25" x14ac:dyDescent="0.3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</row>
    <row r="211" spans="1:25" x14ac:dyDescent="0.3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</row>
    <row r="212" spans="1:25" x14ac:dyDescent="0.3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</row>
    <row r="213" spans="1:25" x14ac:dyDescent="0.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</row>
    <row r="214" spans="1:25" x14ac:dyDescent="0.3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</row>
    <row r="215" spans="1:25" x14ac:dyDescent="0.3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</row>
    <row r="216" spans="1:25" x14ac:dyDescent="0.3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</row>
    <row r="217" spans="1:25" x14ac:dyDescent="0.3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</row>
    <row r="218" spans="1:25" x14ac:dyDescent="0.3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</row>
    <row r="219" spans="1:25" x14ac:dyDescent="0.3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</row>
    <row r="220" spans="1:25" x14ac:dyDescent="0.3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</row>
    <row r="221" spans="1:25" x14ac:dyDescent="0.3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</row>
    <row r="222" spans="1:25" x14ac:dyDescent="0.3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</row>
    <row r="223" spans="1:25" x14ac:dyDescent="0.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</row>
    <row r="224" spans="1:25" x14ac:dyDescent="0.3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</row>
    <row r="225" spans="1:25" x14ac:dyDescent="0.3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</row>
    <row r="226" spans="1:25" x14ac:dyDescent="0.3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</row>
    <row r="227" spans="1:25" x14ac:dyDescent="0.3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</row>
    <row r="228" spans="1:25" x14ac:dyDescent="0.3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</row>
    <row r="229" spans="1:25" x14ac:dyDescent="0.3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</row>
    <row r="230" spans="1:25" x14ac:dyDescent="0.3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</row>
    <row r="231" spans="1:25" x14ac:dyDescent="0.3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</row>
    <row r="232" spans="1:25" x14ac:dyDescent="0.3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</row>
    <row r="233" spans="1:25" x14ac:dyDescent="0.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</row>
    <row r="234" spans="1:25" x14ac:dyDescent="0.3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</row>
    <row r="235" spans="1:25" x14ac:dyDescent="0.3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</row>
    <row r="236" spans="1:25" x14ac:dyDescent="0.3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</row>
    <row r="237" spans="1:25" x14ac:dyDescent="0.3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</row>
    <row r="238" spans="1:25" x14ac:dyDescent="0.3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</row>
    <row r="239" spans="1:25" x14ac:dyDescent="0.3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</row>
    <row r="240" spans="1:25" x14ac:dyDescent="0.3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</row>
    <row r="241" spans="1:25" x14ac:dyDescent="0.3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</row>
    <row r="242" spans="1:25" x14ac:dyDescent="0.3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</row>
    <row r="243" spans="1:25" x14ac:dyDescent="0.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</row>
    <row r="244" spans="1:25" x14ac:dyDescent="0.3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</row>
    <row r="245" spans="1:25" x14ac:dyDescent="0.3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</row>
    <row r="246" spans="1:25" x14ac:dyDescent="0.3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</row>
    <row r="247" spans="1:25" x14ac:dyDescent="0.3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</row>
    <row r="248" spans="1:25" x14ac:dyDescent="0.3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</row>
    <row r="249" spans="1:25" x14ac:dyDescent="0.3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</row>
    <row r="250" spans="1:25" x14ac:dyDescent="0.3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</row>
    <row r="251" spans="1:25" x14ac:dyDescent="0.3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</row>
    <row r="252" spans="1:25" x14ac:dyDescent="0.3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</row>
    <row r="253" spans="1:25" x14ac:dyDescent="0.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</row>
    <row r="254" spans="1:25" x14ac:dyDescent="0.3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</row>
    <row r="255" spans="1:25" x14ac:dyDescent="0.3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</row>
    <row r="256" spans="1:25" x14ac:dyDescent="0.3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</row>
    <row r="257" spans="1:25" x14ac:dyDescent="0.3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</row>
    <row r="258" spans="1:25" x14ac:dyDescent="0.3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</row>
    <row r="259" spans="1:25" x14ac:dyDescent="0.3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</row>
    <row r="260" spans="1:25" x14ac:dyDescent="0.3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</row>
    <row r="261" spans="1:25" x14ac:dyDescent="0.3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</row>
    <row r="262" spans="1:25" x14ac:dyDescent="0.3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</row>
    <row r="263" spans="1:25" x14ac:dyDescent="0.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</row>
    <row r="264" spans="1:25" x14ac:dyDescent="0.3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</row>
    <row r="265" spans="1:25" x14ac:dyDescent="0.3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</row>
    <row r="266" spans="1:25" x14ac:dyDescent="0.3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</row>
    <row r="267" spans="1:25" x14ac:dyDescent="0.3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</row>
    <row r="268" spans="1:25" x14ac:dyDescent="0.3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</row>
    <row r="269" spans="1:25" x14ac:dyDescent="0.3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</row>
    <row r="270" spans="1:25" x14ac:dyDescent="0.3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</row>
    <row r="271" spans="1:25" x14ac:dyDescent="0.3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</row>
    <row r="272" spans="1:25" x14ac:dyDescent="0.3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</row>
    <row r="273" spans="1:25" x14ac:dyDescent="0.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</row>
    <row r="274" spans="1:25" x14ac:dyDescent="0.3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</row>
    <row r="275" spans="1:25" x14ac:dyDescent="0.3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</row>
    <row r="276" spans="1:25" x14ac:dyDescent="0.3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</row>
    <row r="277" spans="1:25" x14ac:dyDescent="0.3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</row>
    <row r="278" spans="1:25" x14ac:dyDescent="0.3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</row>
    <row r="279" spans="1:25" x14ac:dyDescent="0.3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</row>
    <row r="280" spans="1:25" x14ac:dyDescent="0.3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</row>
    <row r="281" spans="1:25" x14ac:dyDescent="0.3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</row>
    <row r="282" spans="1:25" x14ac:dyDescent="0.3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</row>
    <row r="283" spans="1:25" x14ac:dyDescent="0.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</row>
    <row r="284" spans="1:25" x14ac:dyDescent="0.3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</row>
    <row r="285" spans="1:25" x14ac:dyDescent="0.3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</row>
    <row r="286" spans="1:25" x14ac:dyDescent="0.3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</row>
    <row r="287" spans="1:25" x14ac:dyDescent="0.3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</row>
  </sheetData>
  <mergeCells count="6">
    <mergeCell ref="B1:M1"/>
    <mergeCell ref="B2:M2"/>
    <mergeCell ref="B3:M3"/>
    <mergeCell ref="B4:M4"/>
    <mergeCell ref="B5:C5"/>
    <mergeCell ref="D5:K5"/>
  </mergeCells>
  <dataValidations count="3">
    <dataValidation type="list" allowBlank="1" showInputMessage="1" showErrorMessage="1" sqref="L11:L13" xr:uid="{14F58175-2DD8-43AA-90AC-A8FFDCA03B88}">
      <formula1>"0,250,500,750,900,1000"</formula1>
    </dataValidation>
    <dataValidation type="list" allowBlank="1" showDropDown="1" showInputMessage="1" showErrorMessage="1" sqref="J2" xr:uid="{BDB845C1-502A-48CE-AD8F-90F92A1E584E}">
      <formula1>"0,250,500,750,900,1500"</formula1>
    </dataValidation>
    <dataValidation allowBlank="1" showDropDown="1" showInputMessage="1" showErrorMessage="1" sqref="K8" xr:uid="{038CA727-43BE-49BD-807D-CC778C03C3F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016A-9B01-4C71-81DD-D0A53492574C}">
  <dimension ref="A1:P287"/>
  <sheetViews>
    <sheetView workbookViewId="0">
      <selection activeCell="C25" sqref="C25"/>
    </sheetView>
  </sheetViews>
  <sheetFormatPr defaultRowHeight="14.4" x14ac:dyDescent="0.3"/>
  <cols>
    <col min="1" max="1" width="4.33203125" customWidth="1"/>
    <col min="2" max="2" width="12.6640625" customWidth="1"/>
    <col min="3" max="3" width="70.44140625" customWidth="1"/>
    <col min="4" max="4" width="50.6640625" customWidth="1"/>
    <col min="5" max="5" width="22.6640625" customWidth="1"/>
  </cols>
  <sheetData>
    <row r="1" spans="1:16" x14ac:dyDescent="0.3">
      <c r="A1" s="136"/>
      <c r="B1" s="192"/>
      <c r="C1" s="192"/>
      <c r="D1" s="192"/>
      <c r="E1" s="192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</row>
    <row r="2" spans="1:16" ht="17.399999999999999" x14ac:dyDescent="0.3">
      <c r="A2" s="136"/>
      <c r="B2" s="189" t="s">
        <v>95</v>
      </c>
      <c r="C2" s="189"/>
      <c r="D2" s="189"/>
      <c r="E2" s="189"/>
      <c r="F2" s="193"/>
      <c r="G2" s="193"/>
      <c r="H2" s="193"/>
      <c r="I2" s="193"/>
      <c r="J2" s="193"/>
      <c r="K2" s="193"/>
      <c r="L2" s="193"/>
      <c r="M2" s="193"/>
      <c r="N2" s="136"/>
      <c r="O2" s="136"/>
      <c r="P2" s="136"/>
    </row>
    <row r="3" spans="1:16" ht="17.399999999999999" x14ac:dyDescent="0.3">
      <c r="A3" s="136"/>
      <c r="B3" s="190" t="s">
        <v>103</v>
      </c>
      <c r="C3" s="190"/>
      <c r="D3" s="190"/>
      <c r="E3" s="190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</row>
    <row r="4" spans="1:16" ht="17.399999999999999" x14ac:dyDescent="0.3">
      <c r="A4" s="136"/>
      <c r="B4" s="191" t="s">
        <v>104</v>
      </c>
      <c r="C4" s="191"/>
      <c r="D4" s="191"/>
      <c r="E4" s="191"/>
      <c r="F4" s="130"/>
      <c r="G4" s="130"/>
      <c r="H4" s="130"/>
      <c r="I4" s="130"/>
      <c r="J4" s="130"/>
      <c r="K4" s="130"/>
      <c r="L4" s="130"/>
      <c r="M4" s="136"/>
      <c r="N4" s="136"/>
      <c r="O4" s="136"/>
      <c r="P4" s="136"/>
    </row>
    <row r="5" spans="1:16" ht="17.399999999999999" x14ac:dyDescent="0.3">
      <c r="A5" s="136"/>
      <c r="B5" s="205" t="s">
        <v>99</v>
      </c>
      <c r="C5" s="205"/>
      <c r="D5" s="206"/>
      <c r="E5" s="208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</row>
    <row r="6" spans="1:16" ht="17.399999999999999" x14ac:dyDescent="0.3">
      <c r="A6" s="136"/>
      <c r="B6" s="136"/>
      <c r="C6" s="131" t="s">
        <v>0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</row>
    <row r="7" spans="1:16" x14ac:dyDescent="0.3">
      <c r="A7" s="136"/>
      <c r="B7" s="56" t="s">
        <v>1</v>
      </c>
      <c r="C7" s="57" t="s">
        <v>1</v>
      </c>
      <c r="D7" s="58" t="s">
        <v>1</v>
      </c>
      <c r="E7" s="59" t="s">
        <v>1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</row>
    <row r="8" spans="1:16" x14ac:dyDescent="0.3">
      <c r="A8" s="6"/>
      <c r="B8" s="60" t="s">
        <v>7</v>
      </c>
      <c r="C8" s="54" t="s">
        <v>74</v>
      </c>
      <c r="D8" s="54" t="s">
        <v>75</v>
      </c>
      <c r="E8" s="55" t="s">
        <v>76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A9" s="6"/>
      <c r="B9" s="63"/>
      <c r="C9" s="65" t="s">
        <v>77</v>
      </c>
      <c r="D9" s="61" t="s">
        <v>78</v>
      </c>
      <c r="E9" s="62" t="s">
        <v>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A10" s="6"/>
      <c r="B10" s="122"/>
      <c r="C10" s="123" t="s">
        <v>79</v>
      </c>
      <c r="D10" s="64" t="s">
        <v>80</v>
      </c>
      <c r="E10" s="62" t="s">
        <v>1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A11" s="6"/>
      <c r="B11" s="122"/>
      <c r="C11" s="123" t="s">
        <v>81</v>
      </c>
      <c r="D11" s="64" t="s">
        <v>82</v>
      </c>
      <c r="E11" s="62" t="s">
        <v>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A12" s="6"/>
      <c r="B12" s="122"/>
      <c r="C12" s="123" t="s">
        <v>83</v>
      </c>
      <c r="D12" s="64" t="s">
        <v>84</v>
      </c>
      <c r="E12" s="62" t="s">
        <v>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A13" s="6"/>
      <c r="B13" s="122"/>
      <c r="C13" s="123" t="s">
        <v>85</v>
      </c>
      <c r="D13" s="66" t="s">
        <v>86</v>
      </c>
      <c r="E13" s="62" t="s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A14" s="6"/>
      <c r="B14" s="122"/>
      <c r="C14" s="123" t="s">
        <v>87</v>
      </c>
      <c r="D14" s="124" t="s">
        <v>88</v>
      </c>
      <c r="E14" s="62" t="s">
        <v>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6"/>
      <c r="B15" s="122"/>
      <c r="C15" s="123" t="s">
        <v>89</v>
      </c>
      <c r="D15" s="124" t="s">
        <v>90</v>
      </c>
      <c r="E15" s="62" t="s">
        <v>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6"/>
      <c r="B16" s="129"/>
      <c r="C16" s="123" t="s">
        <v>91</v>
      </c>
      <c r="D16" s="124" t="s">
        <v>92</v>
      </c>
      <c r="E16" s="62" t="s">
        <v>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7.25" customHeight="1" x14ac:dyDescent="0.3">
      <c r="A17" s="6"/>
      <c r="B17" s="67"/>
      <c r="C17" s="68" t="s">
        <v>93</v>
      </c>
      <c r="D17" s="69" t="s">
        <v>94</v>
      </c>
      <c r="E17" s="70" t="s">
        <v>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136"/>
      <c r="B18" s="136"/>
      <c r="C18" s="14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</row>
    <row r="19" spans="1:16" x14ac:dyDescent="0.3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</row>
    <row r="20" spans="1:16" x14ac:dyDescent="0.3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</row>
    <row r="21" spans="1:16" x14ac:dyDescent="0.3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</row>
    <row r="22" spans="1:16" x14ac:dyDescent="0.3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</row>
    <row r="23" spans="1:16" x14ac:dyDescent="0.3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</row>
    <row r="24" spans="1:16" x14ac:dyDescent="0.3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</row>
    <row r="25" spans="1:16" x14ac:dyDescent="0.3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</row>
    <row r="26" spans="1:16" x14ac:dyDescent="0.3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</row>
    <row r="27" spans="1:16" x14ac:dyDescent="0.3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</row>
    <row r="28" spans="1:16" x14ac:dyDescent="0.3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</row>
    <row r="29" spans="1:16" x14ac:dyDescent="0.3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</row>
    <row r="30" spans="1:16" x14ac:dyDescent="0.3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</row>
    <row r="31" spans="1:16" x14ac:dyDescent="0.3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</row>
    <row r="32" spans="1:16" x14ac:dyDescent="0.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</row>
    <row r="33" spans="1:16" x14ac:dyDescent="0.3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</row>
    <row r="34" spans="1:16" x14ac:dyDescent="0.3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</row>
    <row r="35" spans="1:16" x14ac:dyDescent="0.3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</row>
    <row r="36" spans="1:16" x14ac:dyDescent="0.3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</row>
    <row r="37" spans="1:16" x14ac:dyDescent="0.3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</row>
    <row r="38" spans="1:16" x14ac:dyDescent="0.3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</row>
    <row r="39" spans="1:16" x14ac:dyDescent="0.3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</row>
    <row r="40" spans="1:16" x14ac:dyDescent="0.3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  <row r="41" spans="1:16" x14ac:dyDescent="0.3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</row>
    <row r="42" spans="1:16" x14ac:dyDescent="0.3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</row>
    <row r="43" spans="1:16" x14ac:dyDescent="0.3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</row>
    <row r="44" spans="1:16" x14ac:dyDescent="0.3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</row>
    <row r="45" spans="1:16" x14ac:dyDescent="0.3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</row>
    <row r="46" spans="1:16" x14ac:dyDescent="0.3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</row>
    <row r="47" spans="1:16" x14ac:dyDescent="0.3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</row>
    <row r="48" spans="1:16" x14ac:dyDescent="0.3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</row>
    <row r="49" spans="1:16" x14ac:dyDescent="0.3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</row>
    <row r="50" spans="1:16" x14ac:dyDescent="0.3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</row>
    <row r="51" spans="1:16" x14ac:dyDescent="0.3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</row>
    <row r="52" spans="1:16" x14ac:dyDescent="0.3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</row>
    <row r="53" spans="1:16" x14ac:dyDescent="0.3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</row>
    <row r="54" spans="1:16" x14ac:dyDescent="0.3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</row>
    <row r="55" spans="1:16" x14ac:dyDescent="0.3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</row>
    <row r="56" spans="1:16" x14ac:dyDescent="0.3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</row>
    <row r="57" spans="1:16" x14ac:dyDescent="0.3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</row>
    <row r="58" spans="1:16" x14ac:dyDescent="0.3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</row>
    <row r="59" spans="1:16" x14ac:dyDescent="0.3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</row>
    <row r="60" spans="1:16" x14ac:dyDescent="0.3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</row>
    <row r="61" spans="1:16" x14ac:dyDescent="0.3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</row>
    <row r="62" spans="1:16" x14ac:dyDescent="0.3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</row>
    <row r="63" spans="1:16" x14ac:dyDescent="0.3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</row>
    <row r="64" spans="1:16" x14ac:dyDescent="0.3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</row>
    <row r="65" spans="1:16" x14ac:dyDescent="0.3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</row>
    <row r="66" spans="1:16" x14ac:dyDescent="0.3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</row>
    <row r="67" spans="1:16" x14ac:dyDescent="0.3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</row>
    <row r="68" spans="1:16" x14ac:dyDescent="0.3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</row>
    <row r="69" spans="1:16" x14ac:dyDescent="0.3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</row>
    <row r="70" spans="1:16" x14ac:dyDescent="0.3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</row>
    <row r="71" spans="1:16" x14ac:dyDescent="0.3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</row>
    <row r="72" spans="1:16" x14ac:dyDescent="0.3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</row>
    <row r="73" spans="1:16" x14ac:dyDescent="0.3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</row>
    <row r="74" spans="1:16" x14ac:dyDescent="0.3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</row>
    <row r="75" spans="1:16" x14ac:dyDescent="0.3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</row>
    <row r="76" spans="1:16" x14ac:dyDescent="0.3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</row>
    <row r="77" spans="1:16" x14ac:dyDescent="0.3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</row>
    <row r="78" spans="1:16" x14ac:dyDescent="0.3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</row>
    <row r="79" spans="1:16" x14ac:dyDescent="0.3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</row>
    <row r="80" spans="1:16" x14ac:dyDescent="0.3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</row>
    <row r="81" spans="1:16" x14ac:dyDescent="0.3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</row>
    <row r="82" spans="1:16" x14ac:dyDescent="0.3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</row>
    <row r="83" spans="1:16" x14ac:dyDescent="0.3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</row>
    <row r="84" spans="1:16" x14ac:dyDescent="0.3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</row>
    <row r="85" spans="1:16" x14ac:dyDescent="0.3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</row>
    <row r="86" spans="1:16" x14ac:dyDescent="0.3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</row>
    <row r="87" spans="1:16" x14ac:dyDescent="0.3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</row>
    <row r="88" spans="1:16" x14ac:dyDescent="0.3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</row>
    <row r="89" spans="1:16" x14ac:dyDescent="0.3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</row>
    <row r="90" spans="1:16" x14ac:dyDescent="0.3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</row>
    <row r="91" spans="1:16" x14ac:dyDescent="0.3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</row>
    <row r="92" spans="1:16" x14ac:dyDescent="0.3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</row>
    <row r="93" spans="1:16" x14ac:dyDescent="0.3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</row>
    <row r="94" spans="1:16" x14ac:dyDescent="0.3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</row>
    <row r="95" spans="1:16" x14ac:dyDescent="0.3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</row>
    <row r="96" spans="1:16" x14ac:dyDescent="0.3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</row>
    <row r="97" spans="1:16" x14ac:dyDescent="0.3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</row>
    <row r="98" spans="1:16" x14ac:dyDescent="0.3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</row>
    <row r="99" spans="1:16" x14ac:dyDescent="0.3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</row>
    <row r="100" spans="1:16" x14ac:dyDescent="0.3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</row>
    <row r="101" spans="1:16" x14ac:dyDescent="0.3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</row>
    <row r="102" spans="1:16" x14ac:dyDescent="0.3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</row>
    <row r="103" spans="1:16" x14ac:dyDescent="0.3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</row>
    <row r="104" spans="1:16" x14ac:dyDescent="0.3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</row>
    <row r="105" spans="1:16" x14ac:dyDescent="0.3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</row>
    <row r="106" spans="1:16" x14ac:dyDescent="0.3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</row>
    <row r="107" spans="1:16" x14ac:dyDescent="0.3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</row>
    <row r="108" spans="1:16" x14ac:dyDescent="0.3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</row>
    <row r="109" spans="1:16" x14ac:dyDescent="0.3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</row>
    <row r="110" spans="1:16" x14ac:dyDescent="0.3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</row>
    <row r="111" spans="1:16" x14ac:dyDescent="0.3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</row>
    <row r="112" spans="1:16" x14ac:dyDescent="0.3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</row>
    <row r="113" spans="1:16" x14ac:dyDescent="0.3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</row>
    <row r="114" spans="1:16" x14ac:dyDescent="0.3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</row>
    <row r="115" spans="1:16" x14ac:dyDescent="0.3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</row>
    <row r="116" spans="1:16" x14ac:dyDescent="0.3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</row>
    <row r="117" spans="1:16" x14ac:dyDescent="0.3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</row>
    <row r="118" spans="1:16" x14ac:dyDescent="0.3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</row>
    <row r="119" spans="1:16" x14ac:dyDescent="0.3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</row>
    <row r="120" spans="1:16" x14ac:dyDescent="0.3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</row>
    <row r="121" spans="1:16" x14ac:dyDescent="0.3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</row>
    <row r="122" spans="1:16" x14ac:dyDescent="0.3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</row>
    <row r="123" spans="1:16" x14ac:dyDescent="0.3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</row>
    <row r="124" spans="1:16" x14ac:dyDescent="0.3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</row>
    <row r="125" spans="1:16" x14ac:dyDescent="0.3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</row>
    <row r="126" spans="1:16" x14ac:dyDescent="0.3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</row>
    <row r="127" spans="1:16" x14ac:dyDescent="0.3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</row>
    <row r="128" spans="1:16" x14ac:dyDescent="0.3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</row>
    <row r="129" spans="1:16" x14ac:dyDescent="0.3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</row>
    <row r="130" spans="1:16" x14ac:dyDescent="0.3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</row>
    <row r="131" spans="1:16" x14ac:dyDescent="0.3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</row>
    <row r="132" spans="1:16" x14ac:dyDescent="0.3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</row>
    <row r="133" spans="1:16" x14ac:dyDescent="0.3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</row>
    <row r="134" spans="1:16" x14ac:dyDescent="0.3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</row>
    <row r="135" spans="1:16" x14ac:dyDescent="0.3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</row>
    <row r="136" spans="1:16" x14ac:dyDescent="0.3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</row>
    <row r="137" spans="1:16" x14ac:dyDescent="0.3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</row>
    <row r="138" spans="1:16" x14ac:dyDescent="0.3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</row>
    <row r="139" spans="1:16" x14ac:dyDescent="0.3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</row>
    <row r="140" spans="1:16" x14ac:dyDescent="0.3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</row>
    <row r="141" spans="1:16" x14ac:dyDescent="0.3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</row>
    <row r="142" spans="1:16" x14ac:dyDescent="0.3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</row>
    <row r="143" spans="1:16" x14ac:dyDescent="0.3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</row>
    <row r="144" spans="1:16" x14ac:dyDescent="0.3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</row>
    <row r="145" spans="1:16" x14ac:dyDescent="0.3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</row>
    <row r="146" spans="1:16" x14ac:dyDescent="0.3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</row>
    <row r="147" spans="1:16" x14ac:dyDescent="0.3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</row>
    <row r="148" spans="1:16" x14ac:dyDescent="0.3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</row>
    <row r="149" spans="1:16" x14ac:dyDescent="0.3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</row>
    <row r="150" spans="1:16" x14ac:dyDescent="0.3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</row>
    <row r="151" spans="1:16" x14ac:dyDescent="0.3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</row>
    <row r="152" spans="1:16" x14ac:dyDescent="0.3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</row>
    <row r="153" spans="1:16" x14ac:dyDescent="0.3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</row>
    <row r="154" spans="1:16" x14ac:dyDescent="0.3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</row>
    <row r="155" spans="1:16" x14ac:dyDescent="0.3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</row>
    <row r="156" spans="1:16" x14ac:dyDescent="0.3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</row>
    <row r="157" spans="1:16" x14ac:dyDescent="0.3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</row>
    <row r="158" spans="1:16" x14ac:dyDescent="0.3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</row>
    <row r="159" spans="1:16" x14ac:dyDescent="0.3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</row>
    <row r="160" spans="1:16" x14ac:dyDescent="0.3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</row>
    <row r="161" spans="1:16" x14ac:dyDescent="0.3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</row>
    <row r="162" spans="1:16" x14ac:dyDescent="0.3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</row>
    <row r="163" spans="1:16" x14ac:dyDescent="0.3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</row>
    <row r="164" spans="1:16" x14ac:dyDescent="0.3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</row>
    <row r="165" spans="1:16" x14ac:dyDescent="0.3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</row>
    <row r="166" spans="1:16" x14ac:dyDescent="0.3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</row>
    <row r="167" spans="1:16" x14ac:dyDescent="0.3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</row>
    <row r="168" spans="1:16" x14ac:dyDescent="0.3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</row>
    <row r="169" spans="1:16" x14ac:dyDescent="0.3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</row>
    <row r="170" spans="1:16" x14ac:dyDescent="0.3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</row>
    <row r="171" spans="1:16" x14ac:dyDescent="0.3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</row>
    <row r="172" spans="1:16" x14ac:dyDescent="0.3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</row>
    <row r="173" spans="1:16" x14ac:dyDescent="0.3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</row>
    <row r="174" spans="1:16" x14ac:dyDescent="0.3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</row>
    <row r="175" spans="1:16" x14ac:dyDescent="0.3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</row>
    <row r="176" spans="1:16" x14ac:dyDescent="0.3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</row>
    <row r="177" spans="1:16" x14ac:dyDescent="0.3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</row>
    <row r="178" spans="1:16" x14ac:dyDescent="0.3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</row>
    <row r="179" spans="1:16" x14ac:dyDescent="0.3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</row>
    <row r="180" spans="1:16" x14ac:dyDescent="0.3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</row>
    <row r="181" spans="1:16" x14ac:dyDescent="0.3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</row>
    <row r="182" spans="1:16" x14ac:dyDescent="0.3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</row>
    <row r="183" spans="1:16" x14ac:dyDescent="0.3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</row>
    <row r="184" spans="1:16" x14ac:dyDescent="0.3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</row>
    <row r="185" spans="1:16" x14ac:dyDescent="0.3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</row>
    <row r="186" spans="1:16" x14ac:dyDescent="0.3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</row>
    <row r="187" spans="1:16" x14ac:dyDescent="0.3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</row>
    <row r="188" spans="1:16" x14ac:dyDescent="0.3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</row>
    <row r="189" spans="1:16" x14ac:dyDescent="0.3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</row>
    <row r="190" spans="1:16" x14ac:dyDescent="0.3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</row>
    <row r="191" spans="1:16" x14ac:dyDescent="0.3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</row>
    <row r="192" spans="1:16" x14ac:dyDescent="0.3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</row>
    <row r="193" spans="1:16" x14ac:dyDescent="0.3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</row>
    <row r="194" spans="1:16" x14ac:dyDescent="0.3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</row>
    <row r="195" spans="1:16" x14ac:dyDescent="0.3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</row>
    <row r="196" spans="1:16" x14ac:dyDescent="0.3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</row>
    <row r="197" spans="1:16" x14ac:dyDescent="0.3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</row>
    <row r="198" spans="1:16" x14ac:dyDescent="0.3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</row>
    <row r="199" spans="1:16" x14ac:dyDescent="0.3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</row>
    <row r="200" spans="1:16" x14ac:dyDescent="0.3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</row>
    <row r="201" spans="1:16" x14ac:dyDescent="0.3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</row>
    <row r="202" spans="1:16" x14ac:dyDescent="0.3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</row>
    <row r="203" spans="1:16" x14ac:dyDescent="0.3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</row>
    <row r="204" spans="1:16" x14ac:dyDescent="0.3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</row>
    <row r="205" spans="1:16" x14ac:dyDescent="0.3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</row>
    <row r="206" spans="1:16" x14ac:dyDescent="0.3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</row>
    <row r="207" spans="1:16" x14ac:dyDescent="0.3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</row>
    <row r="208" spans="1:16" x14ac:dyDescent="0.3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</row>
    <row r="209" spans="1:16" x14ac:dyDescent="0.3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</row>
    <row r="210" spans="1:16" x14ac:dyDescent="0.3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</row>
    <row r="211" spans="1:16" x14ac:dyDescent="0.3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</row>
    <row r="212" spans="1:16" x14ac:dyDescent="0.3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</row>
    <row r="213" spans="1:16" x14ac:dyDescent="0.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</row>
    <row r="214" spans="1:16" x14ac:dyDescent="0.3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</row>
    <row r="215" spans="1:16" x14ac:dyDescent="0.3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</row>
    <row r="216" spans="1:16" x14ac:dyDescent="0.3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</row>
    <row r="217" spans="1:16" x14ac:dyDescent="0.3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</row>
    <row r="218" spans="1:16" x14ac:dyDescent="0.3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</row>
    <row r="219" spans="1:16" x14ac:dyDescent="0.3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</row>
    <row r="220" spans="1:16" x14ac:dyDescent="0.3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</row>
    <row r="221" spans="1:16" x14ac:dyDescent="0.3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</row>
    <row r="222" spans="1:16" x14ac:dyDescent="0.3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</row>
    <row r="223" spans="1:16" x14ac:dyDescent="0.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</row>
    <row r="224" spans="1:16" x14ac:dyDescent="0.3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</row>
    <row r="225" spans="1:16" x14ac:dyDescent="0.3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</row>
    <row r="226" spans="1:16" x14ac:dyDescent="0.3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</row>
    <row r="227" spans="1:16" x14ac:dyDescent="0.3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</row>
    <row r="228" spans="1:16" x14ac:dyDescent="0.3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</row>
    <row r="229" spans="1:16" x14ac:dyDescent="0.3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</row>
    <row r="230" spans="1:16" x14ac:dyDescent="0.3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</row>
    <row r="231" spans="1:16" x14ac:dyDescent="0.3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</row>
    <row r="232" spans="1:16" x14ac:dyDescent="0.3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</row>
    <row r="233" spans="1:16" x14ac:dyDescent="0.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</row>
    <row r="234" spans="1:16" x14ac:dyDescent="0.3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</row>
    <row r="235" spans="1:16" x14ac:dyDescent="0.3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</row>
    <row r="236" spans="1:16" x14ac:dyDescent="0.3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</row>
    <row r="237" spans="1:16" x14ac:dyDescent="0.3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</row>
    <row r="238" spans="1:16" x14ac:dyDescent="0.3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</row>
    <row r="239" spans="1:16" x14ac:dyDescent="0.3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</row>
    <row r="240" spans="1:16" x14ac:dyDescent="0.3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</row>
    <row r="241" spans="1:16" x14ac:dyDescent="0.3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</row>
    <row r="242" spans="1:16" x14ac:dyDescent="0.3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</row>
    <row r="243" spans="1:16" x14ac:dyDescent="0.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</row>
    <row r="244" spans="1:16" x14ac:dyDescent="0.3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</row>
    <row r="245" spans="1:16" x14ac:dyDescent="0.3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</row>
    <row r="246" spans="1:16" x14ac:dyDescent="0.3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</row>
    <row r="247" spans="1:16" x14ac:dyDescent="0.3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</row>
    <row r="248" spans="1:16" x14ac:dyDescent="0.3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</row>
    <row r="249" spans="1:16" x14ac:dyDescent="0.3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</row>
    <row r="250" spans="1:16" x14ac:dyDescent="0.3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</row>
    <row r="251" spans="1:16" x14ac:dyDescent="0.3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</row>
    <row r="252" spans="1:16" x14ac:dyDescent="0.3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</row>
    <row r="253" spans="1:16" x14ac:dyDescent="0.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</row>
    <row r="254" spans="1:16" x14ac:dyDescent="0.3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</row>
    <row r="255" spans="1:16" x14ac:dyDescent="0.3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</row>
    <row r="256" spans="1:16" x14ac:dyDescent="0.3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</row>
    <row r="257" spans="1:16" x14ac:dyDescent="0.3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</row>
    <row r="258" spans="1:16" x14ac:dyDescent="0.3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</row>
    <row r="259" spans="1:16" x14ac:dyDescent="0.3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</row>
    <row r="260" spans="1:16" x14ac:dyDescent="0.3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</row>
    <row r="261" spans="1:16" x14ac:dyDescent="0.3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</row>
    <row r="262" spans="1:16" x14ac:dyDescent="0.3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</row>
    <row r="263" spans="1:16" x14ac:dyDescent="0.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</row>
    <row r="264" spans="1:16" x14ac:dyDescent="0.3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</row>
    <row r="265" spans="1:16" x14ac:dyDescent="0.3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</row>
    <row r="266" spans="1:16" x14ac:dyDescent="0.3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</row>
    <row r="267" spans="1:16" x14ac:dyDescent="0.3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</row>
    <row r="268" spans="1:16" x14ac:dyDescent="0.3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</row>
    <row r="269" spans="1:16" x14ac:dyDescent="0.3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</row>
    <row r="270" spans="1:16" x14ac:dyDescent="0.3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</row>
    <row r="271" spans="1:16" x14ac:dyDescent="0.3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</row>
    <row r="272" spans="1:16" x14ac:dyDescent="0.3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</row>
    <row r="273" spans="1:16" x14ac:dyDescent="0.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</row>
    <row r="274" spans="1:16" x14ac:dyDescent="0.3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</row>
    <row r="275" spans="1:16" x14ac:dyDescent="0.3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</row>
    <row r="276" spans="1:16" x14ac:dyDescent="0.3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</row>
    <row r="277" spans="1:16" x14ac:dyDescent="0.3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</row>
    <row r="278" spans="1:16" x14ac:dyDescent="0.3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</row>
    <row r="279" spans="1:16" x14ac:dyDescent="0.3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</row>
    <row r="280" spans="1:16" x14ac:dyDescent="0.3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</row>
    <row r="281" spans="1:16" x14ac:dyDescent="0.3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</row>
    <row r="282" spans="1:16" x14ac:dyDescent="0.3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</row>
    <row r="283" spans="1:16" x14ac:dyDescent="0.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</row>
    <row r="284" spans="1:16" x14ac:dyDescent="0.3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</row>
    <row r="285" spans="1:16" x14ac:dyDescent="0.3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</row>
    <row r="286" spans="1:16" x14ac:dyDescent="0.3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</row>
    <row r="287" spans="1:16" x14ac:dyDescent="0.3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</row>
  </sheetData>
  <mergeCells count="6">
    <mergeCell ref="B1:E1"/>
    <mergeCell ref="B2:E2"/>
    <mergeCell ref="B3:E3"/>
    <mergeCell ref="B4:E4"/>
    <mergeCell ref="B5:C5"/>
    <mergeCell ref="D5:E5"/>
  </mergeCells>
  <dataValidations count="2">
    <dataValidation type="list" allowBlank="1" showInputMessage="1" showErrorMessage="1" sqref="E9:E17" xr:uid="{EDC3524A-5433-41A1-92C7-7FB8C2DD2BFF}">
      <formula1>"Yes, No"</formula1>
    </dataValidation>
    <dataValidation type="list" allowBlank="1" showDropDown="1" showInputMessage="1" showErrorMessage="1" sqref="J2" xr:uid="{BB644900-3B1F-4127-97B5-177E0A8F2655}">
      <formula1>"0,250,500,750,900,1500"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1cde18-1480-422b-b702-a066934f43c8">
      <Terms xmlns="http://schemas.microsoft.com/office/infopath/2007/PartnerControls"/>
    </lcf76f155ced4ddcb4097134ff3c332f>
    <TaxCatchAll xmlns="8ceae71b-33ab-43ae-b694-fdf6921414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3964602A339B498FF9AC93349CCE9F" ma:contentTypeVersion="14" ma:contentTypeDescription="Create a new document." ma:contentTypeScope="" ma:versionID="ef9736b72ad0dcb466b00c7ae05530a3">
  <xsd:schema xmlns:xsd="http://www.w3.org/2001/XMLSchema" xmlns:xs="http://www.w3.org/2001/XMLSchema" xmlns:p="http://schemas.microsoft.com/office/2006/metadata/properties" xmlns:ns1="http://schemas.microsoft.com/sharepoint/v3" xmlns:ns2="e71cde18-1480-422b-b702-a066934f43c8" xmlns:ns3="8ceae71b-33ab-43ae-b694-fdf692141454" targetNamespace="http://schemas.microsoft.com/office/2006/metadata/properties" ma:root="true" ma:fieldsID="3c27fa3a4bd259cf59286960f60b0492" ns1:_="" ns2:_="" ns3:_="">
    <xsd:import namespace="http://schemas.microsoft.com/sharepoint/v3"/>
    <xsd:import namespace="e71cde18-1480-422b-b702-a066934f43c8"/>
    <xsd:import namespace="8ceae71b-33ab-43ae-b694-fdf692141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cde18-1480-422b-b702-a066934f4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ae71b-33ab-43ae-b694-fdf6921414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a5fa31-8151-49b8-b5fa-857170856828}" ma:internalName="TaxCatchAll" ma:showField="CatchAllData" ma:web="8ceae71b-33ab-43ae-b694-fdf6921414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0D6817-2481-48EA-A506-5E3CAB1CDD54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8ceae71b-33ab-43ae-b694-fdf692141454"/>
    <ds:schemaRef ds:uri="e71cde18-1480-422b-b702-a066934f43c8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FB222EF-9663-4199-B83D-2392E8F0F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222D16-F703-40E4-8D57-914DC4DEE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71cde18-1480-422b-b702-a066934f43c8"/>
    <ds:schemaRef ds:uri="8ceae71b-33ab-43ae-b694-fdf6921414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</vt:lpstr>
      <vt:lpstr>Safety</vt:lpstr>
      <vt:lpstr>Small Business</vt:lpstr>
      <vt:lpstr>Contractual Documents</vt:lpstr>
    </vt:vector>
  </TitlesOfParts>
  <Manager/>
  <Company>U.S. Air Force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GARVIN, JEREMY J GS-12 USAF AFMC AFLCMC/AZS</dc:creator>
  <cp:keywords/>
  <dc:description/>
  <cp:lastModifiedBy>Whitcomb, Anna E CIV USARMY ACC (USA)</cp:lastModifiedBy>
  <cp:revision/>
  <dcterms:created xsi:type="dcterms:W3CDTF">2018-01-02T18:08:37Z</dcterms:created>
  <dcterms:modified xsi:type="dcterms:W3CDTF">2026-04-09T20:16:15Z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0x0101002C3964602A339B498FF9AC93349CCE9F</vt:lpwstr>
  </property>
  <property fmtid="{D5CDD505-2E9C-101B-9397-08002B2CF9AE}" pid="3" name="_dlc_DocIdItemGuid">
    <vt:lpwstr>931ad7d7-8f3a-4070-8e8c-5ef1d15cd64b</vt:lpwstr>
  </property>
  <property fmtid="{D5CDD505-2E9C-101B-9397-08002B2CF9AE}" pid="4" name="MediaServiceImageTags">
    <vt:lpwstr/>
  </property>
  <property fmtid="{D5CDD505-2E9C-101B-9397-08002B2CF9AE}" pid="5" name="_ip_UnifiedCompliancePolicyProperties">
    <vt:lpwstr/>
  </property>
  <property fmtid="{D5CDD505-2E9C-101B-9397-08002B2CF9AE}" pid="6" name="Order">
    <vt:r8>76300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