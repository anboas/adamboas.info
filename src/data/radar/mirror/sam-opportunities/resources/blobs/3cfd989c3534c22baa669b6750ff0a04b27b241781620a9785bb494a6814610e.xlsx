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5. PRP23 PHIL\2. Follow On Contracts\3. Submitted to Contracting\26-D-XXXX GKKM69 IDIQ Roofing Contract at PWD PA\1. Contract\2. SPECS\FINAL SPECS\ATTACHMENTS\"/>
    </mc:Choice>
  </mc:AlternateContent>
  <xr:revisionPtr revIDLastSave="0" documentId="13_ncr:1_{C1EB82CE-FD79-4199-9B38-636EADA45403}" xr6:coauthVersionLast="47" xr6:coauthVersionMax="47" xr10:uidLastSave="{00000000-0000-0000-0000-000000000000}"/>
  <bookViews>
    <workbookView xWindow="-57720" yWindow="-7380" windowWidth="29040" windowHeight="15720" activeTab="2" xr2:uid="{00000000-000D-0000-FFFF-FFFF00000000}"/>
  </bookViews>
  <sheets>
    <sheet name="Base Option" sheetId="1" r:id="rId1"/>
    <sheet name="Option Year 1" sheetId="7" r:id="rId2"/>
    <sheet name="Option Year 2" sheetId="8" r:id="rId3"/>
    <sheet name="Option Year 3" sheetId="9" r:id="rId4"/>
    <sheet name="Option Year 4" sheetId="10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2" i="10" l="1"/>
  <c r="F46" i="8"/>
  <c r="F46" i="9" s="1"/>
  <c r="F44" i="8"/>
  <c r="F44" i="9" s="1"/>
  <c r="F42" i="8"/>
  <c r="F42" i="9" s="1"/>
  <c r="F41" i="8"/>
  <c r="F41" i="9" s="1"/>
  <c r="F38" i="8"/>
  <c r="F38" i="9" s="1"/>
  <c r="F34" i="8"/>
  <c r="F34" i="9" s="1"/>
  <c r="F25" i="8"/>
  <c r="F25" i="9" s="1"/>
  <c r="F24" i="8"/>
  <c r="F24" i="9" s="1"/>
  <c r="F16" i="8"/>
  <c r="F16" i="9" s="1"/>
  <c r="F15" i="8"/>
  <c r="F15" i="9" s="1"/>
  <c r="F365" i="7"/>
  <c r="F365" i="8" s="1"/>
  <c r="F365" i="9" s="1"/>
  <c r="F366" i="10" s="1"/>
  <c r="G366" i="10" s="1"/>
  <c r="F364" i="7"/>
  <c r="F364" i="8" s="1"/>
  <c r="F364" i="9" s="1"/>
  <c r="F365" i="10" s="1"/>
  <c r="F363" i="7"/>
  <c r="F363" i="8" s="1"/>
  <c r="F363" i="9" s="1"/>
  <c r="F364" i="10" s="1"/>
  <c r="G364" i="10" s="1"/>
  <c r="F362" i="7"/>
  <c r="F362" i="8" s="1"/>
  <c r="F362" i="9" s="1"/>
  <c r="F363" i="10" s="1"/>
  <c r="F361" i="7"/>
  <c r="F361" i="8" s="1"/>
  <c r="F361" i="9" s="1"/>
  <c r="F362" i="10" s="1"/>
  <c r="F360" i="7"/>
  <c r="F360" i="8" s="1"/>
  <c r="F360" i="9" s="1"/>
  <c r="F361" i="10" s="1"/>
  <c r="F359" i="7"/>
  <c r="F359" i="8" s="1"/>
  <c r="F359" i="9" s="1"/>
  <c r="F360" i="10" s="1"/>
  <c r="F358" i="7"/>
  <c r="F358" i="8" s="1"/>
  <c r="F358" i="9" s="1"/>
  <c r="F357" i="7"/>
  <c r="F356" i="7"/>
  <c r="F355" i="7"/>
  <c r="F355" i="8" s="1"/>
  <c r="F354" i="7"/>
  <c r="F354" i="8" s="1"/>
  <c r="F354" i="9" s="1"/>
  <c r="F355" i="10" s="1"/>
  <c r="F353" i="7"/>
  <c r="F353" i="8" s="1"/>
  <c r="F353" i="9" s="1"/>
  <c r="F354" i="10" s="1"/>
  <c r="G354" i="10" s="1"/>
  <c r="F352" i="7"/>
  <c r="F352" i="8" s="1"/>
  <c r="F351" i="7"/>
  <c r="F350" i="7"/>
  <c r="F350" i="8" s="1"/>
  <c r="F350" i="9" s="1"/>
  <c r="F351" i="10" s="1"/>
  <c r="F349" i="7"/>
  <c r="F349" i="8" s="1"/>
  <c r="F349" i="9" s="1"/>
  <c r="F350" i="10" s="1"/>
  <c r="F348" i="7"/>
  <c r="F348" i="8" s="1"/>
  <c r="F348" i="9" s="1"/>
  <c r="F349" i="10" s="1"/>
  <c r="F347" i="7"/>
  <c r="F347" i="8" s="1"/>
  <c r="F347" i="9" s="1"/>
  <c r="F348" i="10" s="1"/>
  <c r="G348" i="10" s="1"/>
  <c r="F346" i="7"/>
  <c r="F346" i="8" s="1"/>
  <c r="F346" i="9" s="1"/>
  <c r="F347" i="10" s="1"/>
  <c r="G347" i="10" s="1"/>
  <c r="F345" i="7"/>
  <c r="F345" i="8" s="1"/>
  <c r="F345" i="9" s="1"/>
  <c r="F346" i="10" s="1"/>
  <c r="F344" i="7"/>
  <c r="F344" i="8" s="1"/>
  <c r="F343" i="7"/>
  <c r="F343" i="8" s="1"/>
  <c r="F342" i="7"/>
  <c r="F342" i="8" s="1"/>
  <c r="F342" i="9" s="1"/>
  <c r="F343" i="10" s="1"/>
  <c r="F341" i="7"/>
  <c r="F341" i="8" s="1"/>
  <c r="F341" i="9" s="1"/>
  <c r="F342" i="10" s="1"/>
  <c r="G342" i="10" s="1"/>
  <c r="F340" i="7"/>
  <c r="F340" i="8" s="1"/>
  <c r="F339" i="7"/>
  <c r="F339" i="8" s="1"/>
  <c r="F339" i="9" s="1"/>
  <c r="F340" i="10" s="1"/>
  <c r="F338" i="7"/>
  <c r="F338" i="8" s="1"/>
  <c r="F338" i="9" s="1"/>
  <c r="F337" i="7"/>
  <c r="F337" i="8" s="1"/>
  <c r="F337" i="9" s="1"/>
  <c r="F338" i="10" s="1"/>
  <c r="G338" i="10" s="1"/>
  <c r="F336" i="7"/>
  <c r="F336" i="8" s="1"/>
  <c r="F336" i="9" s="1"/>
  <c r="F337" i="10" s="1"/>
  <c r="F335" i="7"/>
  <c r="F335" i="8" s="1"/>
  <c r="F335" i="9" s="1"/>
  <c r="F336" i="10" s="1"/>
  <c r="G336" i="10" s="1"/>
  <c r="F334" i="7"/>
  <c r="F334" i="8" s="1"/>
  <c r="F334" i="9" s="1"/>
  <c r="F335" i="10" s="1"/>
  <c r="G335" i="10" s="1"/>
  <c r="F333" i="7"/>
  <c r="F332" i="7"/>
  <c r="F332" i="8" s="1"/>
  <c r="F332" i="9" s="1"/>
  <c r="F333" i="10" s="1"/>
  <c r="F331" i="7"/>
  <c r="F330" i="7"/>
  <c r="F329" i="7"/>
  <c r="F329" i="8" s="1"/>
  <c r="F329" i="9" s="1"/>
  <c r="F330" i="10" s="1"/>
  <c r="F328" i="7"/>
  <c r="F328" i="8" s="1"/>
  <c r="F327" i="7"/>
  <c r="F327" i="8" s="1"/>
  <c r="F327" i="9" s="1"/>
  <c r="F328" i="10" s="1"/>
  <c r="F326" i="7"/>
  <c r="F326" i="8" s="1"/>
  <c r="F326" i="9" s="1"/>
  <c r="F327" i="10" s="1"/>
  <c r="F325" i="7"/>
  <c r="F324" i="7"/>
  <c r="F324" i="8" s="1"/>
  <c r="F324" i="9" s="1"/>
  <c r="F325" i="10" s="1"/>
  <c r="F323" i="7"/>
  <c r="F323" i="8" s="1"/>
  <c r="F323" i="9" s="1"/>
  <c r="F324" i="10" s="1"/>
  <c r="F322" i="7"/>
  <c r="F322" i="8" s="1"/>
  <c r="F322" i="9" s="1"/>
  <c r="F323" i="10" s="1"/>
  <c r="G323" i="10" s="1"/>
  <c r="F321" i="7"/>
  <c r="F320" i="7"/>
  <c r="F320" i="8" s="1"/>
  <c r="F319" i="7"/>
  <c r="F318" i="7"/>
  <c r="F318" i="8" s="1"/>
  <c r="F318" i="9" s="1"/>
  <c r="F319" i="10" s="1"/>
  <c r="F317" i="7"/>
  <c r="F317" i="8" s="1"/>
  <c r="F317" i="9" s="1"/>
  <c r="F318" i="10" s="1"/>
  <c r="G318" i="10" s="1"/>
  <c r="F316" i="7"/>
  <c r="F316" i="8" s="1"/>
  <c r="F315" i="7"/>
  <c r="F315" i="8" s="1"/>
  <c r="F315" i="9" s="1"/>
  <c r="F316" i="10" s="1"/>
  <c r="F314" i="7"/>
  <c r="F314" i="8" s="1"/>
  <c r="F314" i="9" s="1"/>
  <c r="F315" i="10" s="1"/>
  <c r="G315" i="10" s="1"/>
  <c r="F313" i="7"/>
  <c r="F312" i="7"/>
  <c r="F312" i="8" s="1"/>
  <c r="F312" i="9" s="1"/>
  <c r="F313" i="10" s="1"/>
  <c r="F311" i="7"/>
  <c r="F311" i="8" s="1"/>
  <c r="F311" i="9" s="1"/>
  <c r="F312" i="10" s="1"/>
  <c r="F310" i="7"/>
  <c r="F310" i="8" s="1"/>
  <c r="F310" i="9" s="1"/>
  <c r="F311" i="10" s="1"/>
  <c r="G311" i="10" s="1"/>
  <c r="F309" i="7"/>
  <c r="F309" i="8" s="1"/>
  <c r="F308" i="7"/>
  <c r="F308" i="8" s="1"/>
  <c r="F307" i="7"/>
  <c r="F306" i="7"/>
  <c r="F305" i="7"/>
  <c r="F305" i="8" s="1"/>
  <c r="F305" i="9" s="1"/>
  <c r="F306" i="10" s="1"/>
  <c r="F304" i="7"/>
  <c r="F304" i="8" s="1"/>
  <c r="F303" i="7"/>
  <c r="F302" i="7"/>
  <c r="F302" i="8" s="1"/>
  <c r="F301" i="7"/>
  <c r="F300" i="7"/>
  <c r="F300" i="8" s="1"/>
  <c r="F300" i="9" s="1"/>
  <c r="F301" i="10" s="1"/>
  <c r="F299" i="7"/>
  <c r="F299" i="8" s="1"/>
  <c r="F299" i="9" s="1"/>
  <c r="F298" i="7"/>
  <c r="F298" i="8" s="1"/>
  <c r="F298" i="9" s="1"/>
  <c r="F299" i="10" s="1"/>
  <c r="G299" i="10" s="1"/>
  <c r="F297" i="7"/>
  <c r="F297" i="8" s="1"/>
  <c r="F297" i="9" s="1"/>
  <c r="F298" i="10" s="1"/>
  <c r="G298" i="10" s="1"/>
  <c r="F296" i="7"/>
  <c r="F296" i="8" s="1"/>
  <c r="F295" i="7"/>
  <c r="F295" i="8" s="1"/>
  <c r="F294" i="7"/>
  <c r="F294" i="8" s="1"/>
  <c r="F294" i="9" s="1"/>
  <c r="F295" i="10" s="1"/>
  <c r="F293" i="7"/>
  <c r="F293" i="8" s="1"/>
  <c r="F293" i="9" s="1"/>
  <c r="F294" i="10" s="1"/>
  <c r="F292" i="7"/>
  <c r="F292" i="8" s="1"/>
  <c r="F291" i="7"/>
  <c r="F290" i="7"/>
  <c r="F290" i="8" s="1"/>
  <c r="F290" i="9" s="1"/>
  <c r="F289" i="7"/>
  <c r="F289" i="8" s="1"/>
  <c r="F289" i="9" s="1"/>
  <c r="F288" i="7"/>
  <c r="F288" i="8" s="1"/>
  <c r="F288" i="9" s="1"/>
  <c r="F289" i="10" s="1"/>
  <c r="G289" i="10" s="1"/>
  <c r="F287" i="7"/>
  <c r="F287" i="8" s="1"/>
  <c r="F287" i="9" s="1"/>
  <c r="F286" i="7"/>
  <c r="F286" i="8" s="1"/>
  <c r="F286" i="9" s="1"/>
  <c r="F287" i="10" s="1"/>
  <c r="G287" i="10" s="1"/>
  <c r="F285" i="7"/>
  <c r="F284" i="7"/>
  <c r="F284" i="8" s="1"/>
  <c r="F284" i="9" s="1"/>
  <c r="F285" i="10" s="1"/>
  <c r="G285" i="10" s="1"/>
  <c r="F283" i="7"/>
  <c r="F283" i="8" s="1"/>
  <c r="F283" i="9" s="1"/>
  <c r="F284" i="10" s="1"/>
  <c r="F282" i="7"/>
  <c r="F282" i="8" s="1"/>
  <c r="F282" i="9" s="1"/>
  <c r="F283" i="10" s="1"/>
  <c r="G283" i="10" s="1"/>
  <c r="F281" i="7"/>
  <c r="F281" i="8" s="1"/>
  <c r="F281" i="9" s="1"/>
  <c r="F282" i="10" s="1"/>
  <c r="G282" i="10" s="1"/>
  <c r="F280" i="7"/>
  <c r="F280" i="8" s="1"/>
  <c r="F279" i="7"/>
  <c r="F279" i="8" s="1"/>
  <c r="F279" i="9" s="1"/>
  <c r="F280" i="10" s="1"/>
  <c r="G280" i="10" s="1"/>
  <c r="F278" i="7"/>
  <c r="F278" i="8" s="1"/>
  <c r="F277" i="7"/>
  <c r="F276" i="7"/>
  <c r="F276" i="8" s="1"/>
  <c r="F276" i="9" s="1"/>
  <c r="F277" i="10" s="1"/>
  <c r="G277" i="10" s="1"/>
  <c r="F275" i="7"/>
  <c r="F275" i="8" s="1"/>
  <c r="F275" i="9" s="1"/>
  <c r="F274" i="7"/>
  <c r="F274" i="8" s="1"/>
  <c r="F274" i="9" s="1"/>
  <c r="F275" i="10" s="1"/>
  <c r="G275" i="10" s="1"/>
  <c r="F273" i="7"/>
  <c r="F272" i="7"/>
  <c r="F272" i="8" s="1"/>
  <c r="F271" i="7"/>
  <c r="F271" i="8" s="1"/>
  <c r="F271" i="9" s="1"/>
  <c r="F272" i="10" s="1"/>
  <c r="F270" i="7"/>
  <c r="F270" i="8" s="1"/>
  <c r="F270" i="9" s="1"/>
  <c r="F271" i="10" s="1"/>
  <c r="F269" i="7"/>
  <c r="F269" i="8" s="1"/>
  <c r="F269" i="9" s="1"/>
  <c r="F270" i="10" s="1"/>
  <c r="G270" i="10" s="1"/>
  <c r="F268" i="7"/>
  <c r="F268" i="8" s="1"/>
  <c r="F267" i="7"/>
  <c r="F266" i="7"/>
  <c r="F266" i="8" s="1"/>
  <c r="F265" i="7"/>
  <c r="F265" i="8" s="1"/>
  <c r="F265" i="9" s="1"/>
  <c r="F266" i="10" s="1"/>
  <c r="F264" i="7"/>
  <c r="F264" i="8" s="1"/>
  <c r="F264" i="9" s="1"/>
  <c r="F265" i="10" s="1"/>
  <c r="G265" i="10" s="1"/>
  <c r="F263" i="7"/>
  <c r="F263" i="8" s="1"/>
  <c r="F263" i="9" s="1"/>
  <c r="F262" i="7"/>
  <c r="F262" i="8" s="1"/>
  <c r="F262" i="9" s="1"/>
  <c r="F263" i="10" s="1"/>
  <c r="G263" i="10" s="1"/>
  <c r="F261" i="7"/>
  <c r="F261" i="8" s="1"/>
  <c r="F260" i="7"/>
  <c r="F260" i="8" s="1"/>
  <c r="F260" i="9" s="1"/>
  <c r="F261" i="10" s="1"/>
  <c r="F259" i="7"/>
  <c r="F258" i="7"/>
  <c r="F257" i="7"/>
  <c r="F257" i="8" s="1"/>
  <c r="F257" i="9" s="1"/>
  <c r="F258" i="10" s="1"/>
  <c r="G258" i="10" s="1"/>
  <c r="F256" i="7"/>
  <c r="F256" i="8" s="1"/>
  <c r="F255" i="7"/>
  <c r="F255" i="8" s="1"/>
  <c r="F255" i="9" s="1"/>
  <c r="F256" i="10" s="1"/>
  <c r="F254" i="7"/>
  <c r="F254" i="8" s="1"/>
  <c r="F254" i="9" s="1"/>
  <c r="F255" i="10" s="1"/>
  <c r="G255" i="10" s="1"/>
  <c r="F253" i="7"/>
  <c r="F253" i="8" s="1"/>
  <c r="F253" i="9" s="1"/>
  <c r="F252" i="7"/>
  <c r="F252" i="8" s="1"/>
  <c r="F252" i="9" s="1"/>
  <c r="F253" i="10" s="1"/>
  <c r="G253" i="10" s="1"/>
  <c r="F251" i="7"/>
  <c r="F251" i="8" s="1"/>
  <c r="F251" i="9" s="1"/>
  <c r="F252" i="10" s="1"/>
  <c r="G252" i="10" s="1"/>
  <c r="F250" i="7"/>
  <c r="F250" i="8" s="1"/>
  <c r="F250" i="9" s="1"/>
  <c r="F251" i="10" s="1"/>
  <c r="F249" i="7"/>
  <c r="F249" i="8" s="1"/>
  <c r="F248" i="7"/>
  <c r="F247" i="7"/>
  <c r="F246" i="7"/>
  <c r="F246" i="8" s="1"/>
  <c r="F245" i="7"/>
  <c r="F245" i="8" s="1"/>
  <c r="F245" i="9" s="1"/>
  <c r="F246" i="10" s="1"/>
  <c r="G246" i="10" s="1"/>
  <c r="F244" i="7"/>
  <c r="F244" i="8" s="1"/>
  <c r="F243" i="7"/>
  <c r="F242" i="7"/>
  <c r="F242" i="8" s="1"/>
  <c r="F242" i="9" s="1"/>
  <c r="F243" i="10" s="1"/>
  <c r="F241" i="7"/>
  <c r="F241" i="8" s="1"/>
  <c r="F240" i="7"/>
  <c r="F240" i="8" s="1"/>
  <c r="F240" i="9" s="1"/>
  <c r="F241" i="10" s="1"/>
  <c r="F239" i="7"/>
  <c r="F239" i="8" s="1"/>
  <c r="F239" i="9" s="1"/>
  <c r="F238" i="7"/>
  <c r="F238" i="8" s="1"/>
  <c r="F238" i="9" s="1"/>
  <c r="F239" i="10" s="1"/>
  <c r="F237" i="7"/>
  <c r="F236" i="7"/>
  <c r="F236" i="8" s="1"/>
  <c r="F236" i="9" s="1"/>
  <c r="F237" i="10" s="1"/>
  <c r="F235" i="7"/>
  <c r="F235" i="8" s="1"/>
  <c r="F234" i="7"/>
  <c r="F234" i="8" s="1"/>
  <c r="F233" i="7"/>
  <c r="F233" i="8" s="1"/>
  <c r="F233" i="9" s="1"/>
  <c r="F234" i="10" s="1"/>
  <c r="G234" i="10" s="1"/>
  <c r="F232" i="7"/>
  <c r="F232" i="8" s="1"/>
  <c r="F231" i="7"/>
  <c r="F231" i="8" s="1"/>
  <c r="F231" i="9" s="1"/>
  <c r="F232" i="10" s="1"/>
  <c r="G232" i="10" s="1"/>
  <c r="F230" i="7"/>
  <c r="F230" i="8" s="1"/>
  <c r="F229" i="7"/>
  <c r="F228" i="7"/>
  <c r="F228" i="8" s="1"/>
  <c r="F228" i="9" s="1"/>
  <c r="F229" i="10" s="1"/>
  <c r="F227" i="7"/>
  <c r="F227" i="8" s="1"/>
  <c r="F227" i="9" s="1"/>
  <c r="F226" i="7"/>
  <c r="F226" i="8" s="1"/>
  <c r="F226" i="9" s="1"/>
  <c r="F227" i="10" s="1"/>
  <c r="F225" i="7"/>
  <c r="F224" i="7"/>
  <c r="F224" i="8" s="1"/>
  <c r="F224" i="9" s="1"/>
  <c r="F225" i="10" s="1"/>
  <c r="F223" i="7"/>
  <c r="F223" i="8" s="1"/>
  <c r="F223" i="9" s="1"/>
  <c r="F224" i="10" s="1"/>
  <c r="F222" i="7"/>
  <c r="F221" i="7"/>
  <c r="F221" i="8" s="1"/>
  <c r="F221" i="9" s="1"/>
  <c r="F222" i="10" s="1"/>
  <c r="G222" i="10" s="1"/>
  <c r="F220" i="7"/>
  <c r="F220" i="8" s="1"/>
  <c r="F220" i="9" s="1"/>
  <c r="F221" i="10" s="1"/>
  <c r="F218" i="7"/>
  <c r="F218" i="8" s="1"/>
  <c r="F217" i="7"/>
  <c r="F217" i="8" s="1"/>
  <c r="F217" i="9" s="1"/>
  <c r="F217" i="10" s="1"/>
  <c r="G217" i="10" s="1"/>
  <c r="F216" i="7"/>
  <c r="F216" i="8" s="1"/>
  <c r="F216" i="9" s="1"/>
  <c r="F216" i="10" s="1"/>
  <c r="F215" i="7"/>
  <c r="F215" i="8" s="1"/>
  <c r="F215" i="9" s="1"/>
  <c r="F215" i="10" s="1"/>
  <c r="G215" i="10" s="1"/>
  <c r="F214" i="7"/>
  <c r="F213" i="7"/>
  <c r="F213" i="8" s="1"/>
  <c r="F212" i="7"/>
  <c r="F211" i="7"/>
  <c r="F210" i="7"/>
  <c r="F210" i="8" s="1"/>
  <c r="F210" i="9" s="1"/>
  <c r="F210" i="10" s="1"/>
  <c r="G210" i="10" s="1"/>
  <c r="F209" i="7"/>
  <c r="F209" i="8" s="1"/>
  <c r="F209" i="9" s="1"/>
  <c r="F208" i="7"/>
  <c r="F207" i="7"/>
  <c r="F207" i="8" s="1"/>
  <c r="F207" i="9" s="1"/>
  <c r="F207" i="10" s="1"/>
  <c r="F206" i="7"/>
  <c r="F206" i="8" s="1"/>
  <c r="F206" i="9" s="1"/>
  <c r="F206" i="10" s="1"/>
  <c r="F205" i="7"/>
  <c r="F205" i="8" s="1"/>
  <c r="F205" i="9" s="1"/>
  <c r="F205" i="10" s="1"/>
  <c r="G205" i="10" s="1"/>
  <c r="F204" i="7"/>
  <c r="F204" i="8" s="1"/>
  <c r="F204" i="9" s="1"/>
  <c r="F203" i="7"/>
  <c r="F203" i="8" s="1"/>
  <c r="F203" i="9" s="1"/>
  <c r="F202" i="7"/>
  <c r="F202" i="8" s="1"/>
  <c r="F201" i="7"/>
  <c r="F200" i="7"/>
  <c r="F199" i="7"/>
  <c r="F199" i="8" s="1"/>
  <c r="F198" i="7"/>
  <c r="F198" i="8" s="1"/>
  <c r="F198" i="9" s="1"/>
  <c r="F198" i="10" s="1"/>
  <c r="F197" i="7"/>
  <c r="F197" i="8" s="1"/>
  <c r="F197" i="9" s="1"/>
  <c r="F197" i="10" s="1"/>
  <c r="F196" i="7"/>
  <c r="F195" i="7"/>
  <c r="F195" i="8" s="1"/>
  <c r="F194" i="7"/>
  <c r="F194" i="8" s="1"/>
  <c r="F193" i="7"/>
  <c r="F193" i="8" s="1"/>
  <c r="F193" i="9" s="1"/>
  <c r="F193" i="10" s="1"/>
  <c r="G193" i="10" s="1"/>
  <c r="F192" i="7"/>
  <c r="F192" i="8" s="1"/>
  <c r="F191" i="7"/>
  <c r="F191" i="8" s="1"/>
  <c r="F191" i="9" s="1"/>
  <c r="F186" i="7"/>
  <c r="F186" i="8" s="1"/>
  <c r="F186" i="9" s="1"/>
  <c r="G186" i="10" s="1"/>
  <c r="F185" i="7"/>
  <c r="F185" i="8" s="1"/>
  <c r="F185" i="9" s="1"/>
  <c r="G185" i="10" s="1"/>
  <c r="F184" i="7"/>
  <c r="F184" i="8" s="1"/>
  <c r="F184" i="9" s="1"/>
  <c r="F183" i="7"/>
  <c r="F183" i="8" s="1"/>
  <c r="F183" i="9" s="1"/>
  <c r="G183" i="10" s="1"/>
  <c r="F182" i="7"/>
  <c r="F182" i="8" s="1"/>
  <c r="F182" i="9" s="1"/>
  <c r="F181" i="7"/>
  <c r="F181" i="8" s="1"/>
  <c r="F181" i="9" s="1"/>
  <c r="F180" i="7"/>
  <c r="F180" i="8" s="1"/>
  <c r="F180" i="9" s="1"/>
  <c r="F179" i="7"/>
  <c r="F179" i="8" s="1"/>
  <c r="F177" i="7"/>
  <c r="F177" i="8" s="1"/>
  <c r="F177" i="9" s="1"/>
  <c r="F176" i="7"/>
  <c r="F175" i="7"/>
  <c r="F174" i="7"/>
  <c r="F174" i="8" s="1"/>
  <c r="F174" i="9" s="1"/>
  <c r="G174" i="10" s="1"/>
  <c r="F173" i="7"/>
  <c r="F173" i="8" s="1"/>
  <c r="F173" i="9" s="1"/>
  <c r="G173" i="10" s="1"/>
  <c r="F172" i="7"/>
  <c r="F172" i="8" s="1"/>
  <c r="F172" i="9" s="1"/>
  <c r="F171" i="7"/>
  <c r="F171" i="8" s="1"/>
  <c r="F171" i="9" s="1"/>
  <c r="G171" i="10" s="1"/>
  <c r="F170" i="7"/>
  <c r="F170" i="8" s="1"/>
  <c r="F170" i="9" s="1"/>
  <c r="G170" i="10" s="1"/>
  <c r="F169" i="7"/>
  <c r="F169" i="8" s="1"/>
  <c r="F168" i="7"/>
  <c r="F168" i="8" s="1"/>
  <c r="F168" i="9" s="1"/>
  <c r="F167" i="7"/>
  <c r="F167" i="8" s="1"/>
  <c r="F167" i="9" s="1"/>
  <c r="F166" i="7"/>
  <c r="F165" i="7"/>
  <c r="F164" i="7"/>
  <c r="F163" i="7"/>
  <c r="F163" i="8" s="1"/>
  <c r="F163" i="9" s="1"/>
  <c r="F162" i="7"/>
  <c r="F162" i="8" s="1"/>
  <c r="F162" i="9" s="1"/>
  <c r="G162" i="10" s="1"/>
  <c r="F161" i="7"/>
  <c r="F161" i="8" s="1"/>
  <c r="F161" i="9" s="1"/>
  <c r="G161" i="10" s="1"/>
  <c r="F160" i="7"/>
  <c r="F160" i="8" s="1"/>
  <c r="F160" i="9" s="1"/>
  <c r="F159" i="7"/>
  <c r="F159" i="8" s="1"/>
  <c r="F159" i="9" s="1"/>
  <c r="G159" i="10" s="1"/>
  <c r="F158" i="7"/>
  <c r="F158" i="8" s="1"/>
  <c r="F158" i="9" s="1"/>
  <c r="G158" i="10" s="1"/>
  <c r="F157" i="7"/>
  <c r="F157" i="8" s="1"/>
  <c r="F157" i="9" s="1"/>
  <c r="F156" i="7"/>
  <c r="F156" i="8" s="1"/>
  <c r="F156" i="9" s="1"/>
  <c r="G156" i="10" s="1"/>
  <c r="F155" i="7"/>
  <c r="F155" i="8" s="1"/>
  <c r="F155" i="9" s="1"/>
  <c r="F154" i="7"/>
  <c r="F154" i="8" s="1"/>
  <c r="F154" i="9" s="1"/>
  <c r="F153" i="7"/>
  <c r="F153" i="8" s="1"/>
  <c r="F152" i="7"/>
  <c r="F151" i="7"/>
  <c r="F150" i="7"/>
  <c r="F150" i="8" s="1"/>
  <c r="F150" i="9" s="1"/>
  <c r="F149" i="7"/>
  <c r="F149" i="8" s="1"/>
  <c r="F149" i="9" s="1"/>
  <c r="G149" i="10" s="1"/>
  <c r="F148" i="7"/>
  <c r="F148" i="8" s="1"/>
  <c r="F148" i="9" s="1"/>
  <c r="G148" i="10" s="1"/>
  <c r="F147" i="7"/>
  <c r="F147" i="8" s="1"/>
  <c r="F147" i="9" s="1"/>
  <c r="F146" i="7"/>
  <c r="F146" i="8" s="1"/>
  <c r="F146" i="9" s="1"/>
  <c r="G146" i="10" s="1"/>
  <c r="F145" i="7"/>
  <c r="F145" i="8" s="1"/>
  <c r="F144" i="7"/>
  <c r="F144" i="8" s="1"/>
  <c r="F144" i="9" s="1"/>
  <c r="F143" i="7"/>
  <c r="F143" i="8" s="1"/>
  <c r="F143" i="9" s="1"/>
  <c r="G143" i="10" s="1"/>
  <c r="F142" i="7"/>
  <c r="F141" i="7"/>
  <c r="F141" i="8" s="1"/>
  <c r="F141" i="9" s="1"/>
  <c r="F140" i="7"/>
  <c r="F139" i="7"/>
  <c r="F139" i="8" s="1"/>
  <c r="F139" i="9" s="1"/>
  <c r="F138" i="7"/>
  <c r="F138" i="8" s="1"/>
  <c r="F138" i="9" s="1"/>
  <c r="G138" i="10" s="1"/>
  <c r="F137" i="7"/>
  <c r="F137" i="8" s="1"/>
  <c r="F136" i="7"/>
  <c r="F136" i="8" s="1"/>
  <c r="F136" i="9" s="1"/>
  <c r="F135" i="7"/>
  <c r="F135" i="8" s="1"/>
  <c r="F135" i="9" s="1"/>
  <c r="G135" i="10" s="1"/>
  <c r="F134" i="7"/>
  <c r="F134" i="8" s="1"/>
  <c r="F134" i="9" s="1"/>
  <c r="G134" i="9" s="1"/>
  <c r="F133" i="7"/>
  <c r="F133" i="8" s="1"/>
  <c r="F133" i="9" s="1"/>
  <c r="F132" i="7"/>
  <c r="F132" i="8" s="1"/>
  <c r="F132" i="9" s="1"/>
  <c r="F131" i="7"/>
  <c r="F130" i="7"/>
  <c r="F129" i="7"/>
  <c r="F129" i="8" s="1"/>
  <c r="F129" i="9" s="1"/>
  <c r="F128" i="7"/>
  <c r="F127" i="7"/>
  <c r="F126" i="7"/>
  <c r="F126" i="8" s="1"/>
  <c r="F126" i="9" s="1"/>
  <c r="G126" i="10" s="1"/>
  <c r="F125" i="7"/>
  <c r="F125" i="8" s="1"/>
  <c r="F125" i="9" s="1"/>
  <c r="G125" i="10" s="1"/>
  <c r="F124" i="7"/>
  <c r="F124" i="8" s="1"/>
  <c r="F124" i="9" s="1"/>
  <c r="G124" i="10" s="1"/>
  <c r="F123" i="7"/>
  <c r="F123" i="8" s="1"/>
  <c r="F123" i="9" s="1"/>
  <c r="F122" i="7"/>
  <c r="F122" i="8" s="1"/>
  <c r="F122" i="9" s="1"/>
  <c r="G122" i="10" s="1"/>
  <c r="F121" i="7"/>
  <c r="F121" i="8" s="1"/>
  <c r="F120" i="7"/>
  <c r="F120" i="8" s="1"/>
  <c r="F120" i="9" s="1"/>
  <c r="G120" i="10" s="1"/>
  <c r="F119" i="7"/>
  <c r="F118" i="7"/>
  <c r="F118" i="8" s="1"/>
  <c r="F118" i="9" s="1"/>
  <c r="F117" i="7"/>
  <c r="F116" i="7"/>
  <c r="F115" i="7"/>
  <c r="F114" i="7"/>
  <c r="F114" i="8" s="1"/>
  <c r="F114" i="9" s="1"/>
  <c r="G114" i="10" s="1"/>
  <c r="F113" i="7"/>
  <c r="F113" i="8" s="1"/>
  <c r="F113" i="9" s="1"/>
  <c r="G113" i="10" s="1"/>
  <c r="F112" i="7"/>
  <c r="F112" i="8" s="1"/>
  <c r="F112" i="9" s="1"/>
  <c r="F111" i="7"/>
  <c r="F111" i="8" s="1"/>
  <c r="F111" i="9" s="1"/>
  <c r="F110" i="7"/>
  <c r="F110" i="8" s="1"/>
  <c r="F110" i="9" s="1"/>
  <c r="G110" i="10" s="1"/>
  <c r="F109" i="7"/>
  <c r="F109" i="8" s="1"/>
  <c r="F108" i="7"/>
  <c r="F108" i="8" s="1"/>
  <c r="F108" i="9" s="1"/>
  <c r="G108" i="10" s="1"/>
  <c r="F107" i="7"/>
  <c r="F107" i="8" s="1"/>
  <c r="F107" i="9" s="1"/>
  <c r="F106" i="7"/>
  <c r="F105" i="7"/>
  <c r="F105" i="8" s="1"/>
  <c r="F104" i="7"/>
  <c r="F103" i="7"/>
  <c r="F102" i="7"/>
  <c r="F102" i="8" s="1"/>
  <c r="F102" i="9" s="1"/>
  <c r="G102" i="10" s="1"/>
  <c r="F101" i="7"/>
  <c r="F101" i="8" s="1"/>
  <c r="F101" i="9" s="1"/>
  <c r="F100" i="7"/>
  <c r="F100" i="8" s="1"/>
  <c r="F100" i="9" s="1"/>
  <c r="G100" i="10" s="1"/>
  <c r="F99" i="7"/>
  <c r="F99" i="8" s="1"/>
  <c r="F99" i="9" s="1"/>
  <c r="G99" i="10" s="1"/>
  <c r="F98" i="7"/>
  <c r="F98" i="8" s="1"/>
  <c r="F98" i="9" s="1"/>
  <c r="G98" i="9" s="1"/>
  <c r="F97" i="7"/>
  <c r="F97" i="8" s="1"/>
  <c r="F96" i="7"/>
  <c r="F96" i="8" s="1"/>
  <c r="F96" i="9" s="1"/>
  <c r="G96" i="10" s="1"/>
  <c r="F95" i="7"/>
  <c r="F95" i="8" s="1"/>
  <c r="F95" i="9" s="1"/>
  <c r="F94" i="7"/>
  <c r="F93" i="7"/>
  <c r="F93" i="8" s="1"/>
  <c r="F92" i="7"/>
  <c r="F92" i="8" s="1"/>
  <c r="F91" i="7"/>
  <c r="F90" i="7"/>
  <c r="F90" i="8" s="1"/>
  <c r="F90" i="9" s="1"/>
  <c r="G90" i="10" s="1"/>
  <c r="F89" i="7"/>
  <c r="F89" i="8" s="1"/>
  <c r="F89" i="9" s="1"/>
  <c r="F88" i="7"/>
  <c r="F88" i="8" s="1"/>
  <c r="F88" i="9" s="1"/>
  <c r="F87" i="7"/>
  <c r="F87" i="8" s="1"/>
  <c r="F87" i="9" s="1"/>
  <c r="G87" i="10" s="1"/>
  <c r="F86" i="7"/>
  <c r="F86" i="8" s="1"/>
  <c r="F86" i="9" s="1"/>
  <c r="G86" i="10" s="1"/>
  <c r="F85" i="7"/>
  <c r="F85" i="8" s="1"/>
  <c r="F84" i="7"/>
  <c r="F84" i="8" s="1"/>
  <c r="F83" i="7"/>
  <c r="F83" i="8" s="1"/>
  <c r="F83" i="9" s="1"/>
  <c r="F82" i="7"/>
  <c r="F81" i="7"/>
  <c r="F80" i="7"/>
  <c r="F79" i="7"/>
  <c r="F79" i="8" s="1"/>
  <c r="F79" i="9" s="1"/>
  <c r="F78" i="7"/>
  <c r="F78" i="8" s="1"/>
  <c r="F78" i="9" s="1"/>
  <c r="F77" i="7"/>
  <c r="F77" i="8" s="1"/>
  <c r="F77" i="9" s="1"/>
  <c r="G77" i="10" s="1"/>
  <c r="F76" i="7"/>
  <c r="F76" i="8" s="1"/>
  <c r="F76" i="9" s="1"/>
  <c r="F75" i="7"/>
  <c r="F75" i="8" s="1"/>
  <c r="F75" i="9" s="1"/>
  <c r="G75" i="10" s="1"/>
  <c r="F74" i="7"/>
  <c r="F74" i="8" s="1"/>
  <c r="F74" i="9" s="1"/>
  <c r="G74" i="9" s="1"/>
  <c r="F73" i="7"/>
  <c r="F73" i="8" s="1"/>
  <c r="F73" i="9" s="1"/>
  <c r="F72" i="7"/>
  <c r="F72" i="8" s="1"/>
  <c r="F71" i="7"/>
  <c r="F70" i="7"/>
  <c r="F69" i="7"/>
  <c r="F68" i="7"/>
  <c r="F68" i="8" s="1"/>
  <c r="F68" i="9" s="1"/>
  <c r="F67" i="7"/>
  <c r="F66" i="7"/>
  <c r="F66" i="8" s="1"/>
  <c r="F66" i="9" s="1"/>
  <c r="G66" i="10" s="1"/>
  <c r="F65" i="7"/>
  <c r="F65" i="8" s="1"/>
  <c r="F65" i="9" s="1"/>
  <c r="G65" i="10" s="1"/>
  <c r="F64" i="7"/>
  <c r="F64" i="8" s="1"/>
  <c r="F63" i="7"/>
  <c r="F63" i="8" s="1"/>
  <c r="F63" i="9" s="1"/>
  <c r="G63" i="10" s="1"/>
  <c r="F62" i="7"/>
  <c r="F62" i="8" s="1"/>
  <c r="F62" i="9" s="1"/>
  <c r="G62" i="10" s="1"/>
  <c r="F61" i="7"/>
  <c r="F61" i="8" s="1"/>
  <c r="F61" i="9" s="1"/>
  <c r="F60" i="7"/>
  <c r="F60" i="8" s="1"/>
  <c r="F60" i="9" s="1"/>
  <c r="F59" i="7"/>
  <c r="F58" i="7"/>
  <c r="F57" i="7"/>
  <c r="F56" i="7"/>
  <c r="F56" i="8" s="1"/>
  <c r="F56" i="9" s="1"/>
  <c r="F55" i="7"/>
  <c r="F54" i="7"/>
  <c r="F54" i="8" s="1"/>
  <c r="F54" i="9" s="1"/>
  <c r="F53" i="7"/>
  <c r="F53" i="8" s="1"/>
  <c r="F53" i="9" s="1"/>
  <c r="G53" i="10" s="1"/>
  <c r="F52" i="7"/>
  <c r="F52" i="8" s="1"/>
  <c r="F51" i="7"/>
  <c r="F51" i="8" s="1"/>
  <c r="F51" i="9" s="1"/>
  <c r="G51" i="10" s="1"/>
  <c r="F50" i="7"/>
  <c r="F50" i="8" s="1"/>
  <c r="F50" i="9" s="1"/>
  <c r="G50" i="10" s="1"/>
  <c r="F49" i="7"/>
  <c r="F49" i="8" s="1"/>
  <c r="F48" i="7"/>
  <c r="F48" i="8" s="1"/>
  <c r="F47" i="7"/>
  <c r="F47" i="8" s="1"/>
  <c r="F45" i="7"/>
  <c r="F43" i="7"/>
  <c r="F43" i="8" s="1"/>
  <c r="F43" i="9" s="1"/>
  <c r="F40" i="7"/>
  <c r="F40" i="8" s="1"/>
  <c r="F39" i="7"/>
  <c r="F39" i="8" s="1"/>
  <c r="F36" i="7"/>
  <c r="F36" i="8" s="1"/>
  <c r="F36" i="9" s="1"/>
  <c r="G36" i="10" s="1"/>
  <c r="F35" i="7"/>
  <c r="F35" i="8" s="1"/>
  <c r="F35" i="9" s="1"/>
  <c r="F33" i="7"/>
  <c r="F32" i="7"/>
  <c r="F32" i="8" s="1"/>
  <c r="F32" i="9" s="1"/>
  <c r="F31" i="7"/>
  <c r="F31" i="8" s="1"/>
  <c r="F31" i="9" s="1"/>
  <c r="G31" i="10" s="1"/>
  <c r="F30" i="7"/>
  <c r="F30" i="8" s="1"/>
  <c r="F30" i="9" s="1"/>
  <c r="G30" i="10" s="1"/>
  <c r="F29" i="7"/>
  <c r="F29" i="8" s="1"/>
  <c r="F28" i="7"/>
  <c r="F27" i="7"/>
  <c r="F27" i="8" s="1"/>
  <c r="F26" i="7"/>
  <c r="F26" i="8" s="1"/>
  <c r="F26" i="9" s="1"/>
  <c r="F23" i="7"/>
  <c r="F23" i="8" s="1"/>
  <c r="F22" i="7"/>
  <c r="F22" i="8" s="1"/>
  <c r="F21" i="7"/>
  <c r="F21" i="8" s="1"/>
  <c r="F20" i="7"/>
  <c r="G20" i="7" s="1"/>
  <c r="F19" i="7"/>
  <c r="F19" i="8" s="1"/>
  <c r="F18" i="7"/>
  <c r="F18" i="8" s="1"/>
  <c r="F17" i="7"/>
  <c r="F17" i="8" s="1"/>
  <c r="F17" i="9" s="1"/>
  <c r="F14" i="7"/>
  <c r="F14" i="8" s="1"/>
  <c r="F14" i="9" s="1"/>
  <c r="F13" i="7"/>
  <c r="F13" i="8" s="1"/>
  <c r="F12" i="7"/>
  <c r="F12" i="8" s="1"/>
  <c r="F11" i="7"/>
  <c r="F11" i="8" s="1"/>
  <c r="F9" i="7"/>
  <c r="F9" i="8" s="1"/>
  <c r="G362" i="10"/>
  <c r="G361" i="10"/>
  <c r="G349" i="10"/>
  <c r="G328" i="10"/>
  <c r="G325" i="10"/>
  <c r="G313" i="10"/>
  <c r="G241" i="10"/>
  <c r="G132" i="10"/>
  <c r="G363" i="9"/>
  <c r="G361" i="9"/>
  <c r="G360" i="9"/>
  <c r="G348" i="9"/>
  <c r="G337" i="9"/>
  <c r="G327" i="9"/>
  <c r="G324" i="9"/>
  <c r="G312" i="9"/>
  <c r="G279" i="9"/>
  <c r="G274" i="9"/>
  <c r="G231" i="9"/>
  <c r="G363" i="8"/>
  <c r="G361" i="8"/>
  <c r="G360" i="8"/>
  <c r="G348" i="8"/>
  <c r="G337" i="8"/>
  <c r="G335" i="8"/>
  <c r="G327" i="8"/>
  <c r="G324" i="8"/>
  <c r="G312" i="8"/>
  <c r="G289" i="8"/>
  <c r="G288" i="8"/>
  <c r="G284" i="8"/>
  <c r="G279" i="8"/>
  <c r="G239" i="8"/>
  <c r="G217" i="8"/>
  <c r="G363" i="7"/>
  <c r="G361" i="7"/>
  <c r="G360" i="7"/>
  <c r="G358" i="7"/>
  <c r="G348" i="7"/>
  <c r="G347" i="7"/>
  <c r="G346" i="7"/>
  <c r="G337" i="7"/>
  <c r="G335" i="7"/>
  <c r="G334" i="7"/>
  <c r="G327" i="7"/>
  <c r="G324" i="7"/>
  <c r="G322" i="7"/>
  <c r="G312" i="7"/>
  <c r="G310" i="7"/>
  <c r="G298" i="7"/>
  <c r="G297" i="7"/>
  <c r="G289" i="7"/>
  <c r="G288" i="7"/>
  <c r="G286" i="7"/>
  <c r="G279" i="7"/>
  <c r="G276" i="7"/>
  <c r="G253" i="7"/>
  <c r="G241" i="7"/>
  <c r="G240" i="7"/>
  <c r="G231" i="7"/>
  <c r="G205" i="7"/>
  <c r="G156" i="7"/>
  <c r="G365" i="1"/>
  <c r="G363" i="1"/>
  <c r="G361" i="1"/>
  <c r="G360" i="1"/>
  <c r="G358" i="1"/>
  <c r="G357" i="1"/>
  <c r="G356" i="1"/>
  <c r="G355" i="1"/>
  <c r="G353" i="1"/>
  <c r="G352" i="1"/>
  <c r="G351" i="1"/>
  <c r="G348" i="1"/>
  <c r="G347" i="1"/>
  <c r="G346" i="1"/>
  <c r="G344" i="1"/>
  <c r="G343" i="1"/>
  <c r="G341" i="1"/>
  <c r="G340" i="1"/>
  <c r="G338" i="1"/>
  <c r="G337" i="1"/>
  <c r="G335" i="1"/>
  <c r="G334" i="1"/>
  <c r="G333" i="1"/>
  <c r="G331" i="1"/>
  <c r="G330" i="1"/>
  <c r="G328" i="1"/>
  <c r="G327" i="1"/>
  <c r="G325" i="1"/>
  <c r="G324" i="1"/>
  <c r="G322" i="1"/>
  <c r="G321" i="1"/>
  <c r="G320" i="1"/>
  <c r="G319" i="1"/>
  <c r="G317" i="1"/>
  <c r="G316" i="1"/>
  <c r="G314" i="1"/>
  <c r="G313" i="1"/>
  <c r="G312" i="1"/>
  <c r="G310" i="1"/>
  <c r="G309" i="1"/>
  <c r="G308" i="1"/>
  <c r="G307" i="1"/>
  <c r="G306" i="1"/>
  <c r="G304" i="1"/>
  <c r="G303" i="1"/>
  <c r="G302" i="1"/>
  <c r="G301" i="1"/>
  <c r="G299" i="1"/>
  <c r="G298" i="1"/>
  <c r="G297" i="1"/>
  <c r="G296" i="1"/>
  <c r="G295" i="1"/>
  <c r="G292" i="1"/>
  <c r="G291" i="1"/>
  <c r="G290" i="1"/>
  <c r="G289" i="1"/>
  <c r="G288" i="1"/>
  <c r="G287" i="1"/>
  <c r="G286" i="1"/>
  <c r="G285" i="1"/>
  <c r="G284" i="1"/>
  <c r="G282" i="1"/>
  <c r="G281" i="1"/>
  <c r="G280" i="1"/>
  <c r="G279" i="1"/>
  <c r="G278" i="1"/>
  <c r="G277" i="1"/>
  <c r="G276" i="1"/>
  <c r="G275" i="1"/>
  <c r="G274" i="1"/>
  <c r="G273" i="1"/>
  <c r="G272" i="1"/>
  <c r="G269" i="1"/>
  <c r="G268" i="1"/>
  <c r="G267" i="1"/>
  <c r="G266" i="1"/>
  <c r="G264" i="1"/>
  <c r="G263" i="1"/>
  <c r="G262" i="1"/>
  <c r="G261" i="1"/>
  <c r="G259" i="1"/>
  <c r="G258" i="1"/>
  <c r="G257" i="1"/>
  <c r="G256" i="1"/>
  <c r="G254" i="1"/>
  <c r="G253" i="1"/>
  <c r="G252" i="1"/>
  <c r="G251" i="1"/>
  <c r="G249" i="1"/>
  <c r="G248" i="1"/>
  <c r="G247" i="1"/>
  <c r="G246" i="1"/>
  <c r="G245" i="1"/>
  <c r="G244" i="1"/>
  <c r="G243" i="1"/>
  <c r="G241" i="1"/>
  <c r="G240" i="1"/>
  <c r="G239" i="1"/>
  <c r="G237" i="1"/>
  <c r="G235" i="1"/>
  <c r="G234" i="1"/>
  <c r="G233" i="1"/>
  <c r="G232" i="1"/>
  <c r="G231" i="1"/>
  <c r="G230" i="1"/>
  <c r="G229" i="1"/>
  <c r="G227" i="1"/>
  <c r="G225" i="1"/>
  <c r="G222" i="1"/>
  <c r="G221" i="1"/>
  <c r="G218" i="1"/>
  <c r="G217" i="1"/>
  <c r="G215" i="1"/>
  <c r="G214" i="1"/>
  <c r="G213" i="1"/>
  <c r="G212" i="1"/>
  <c r="G211" i="1"/>
  <c r="G210" i="1"/>
  <c r="G209" i="1"/>
  <c r="G208" i="1"/>
  <c r="G205" i="1"/>
  <c r="G204" i="1"/>
  <c r="G203" i="1"/>
  <c r="G202" i="1"/>
  <c r="G201" i="1"/>
  <c r="G200" i="1"/>
  <c r="G199" i="1"/>
  <c r="G196" i="1"/>
  <c r="G195" i="1"/>
  <c r="G194" i="1"/>
  <c r="G193" i="1"/>
  <c r="G191" i="1"/>
  <c r="G276" i="9" l="1"/>
  <c r="G235" i="7"/>
  <c r="G320" i="7"/>
  <c r="G156" i="8"/>
  <c r="G252" i="8"/>
  <c r="G276" i="8"/>
  <c r="G298" i="8"/>
  <c r="G215" i="8"/>
  <c r="G346" i="9"/>
  <c r="G322" i="8"/>
  <c r="G262" i="8"/>
  <c r="G310" i="9"/>
  <c r="G346" i="8"/>
  <c r="G322" i="9"/>
  <c r="G334" i="8"/>
  <c r="G358" i="8"/>
  <c r="G310" i="8"/>
  <c r="G334" i="9"/>
  <c r="G290" i="8"/>
  <c r="G204" i="7"/>
  <c r="G314" i="9"/>
  <c r="G314" i="8"/>
  <c r="G252" i="7"/>
  <c r="G264" i="9"/>
  <c r="G314" i="7"/>
  <c r="G290" i="7"/>
  <c r="G338" i="7"/>
  <c r="G254" i="7"/>
  <c r="G120" i="7"/>
  <c r="G132" i="7"/>
  <c r="G278" i="7"/>
  <c r="G338" i="8"/>
  <c r="G284" i="9"/>
  <c r="G286" i="8"/>
  <c r="G295" i="7"/>
  <c r="G296" i="7"/>
  <c r="G126" i="7"/>
  <c r="G262" i="7"/>
  <c r="G344" i="7"/>
  <c r="G272" i="7"/>
  <c r="G138" i="9"/>
  <c r="G47" i="7"/>
  <c r="G13" i="7"/>
  <c r="G143" i="7"/>
  <c r="G120" i="9"/>
  <c r="G156" i="9"/>
  <c r="G234" i="7"/>
  <c r="G149" i="7"/>
  <c r="G252" i="9"/>
  <c r="G264" i="7"/>
  <c r="G240" i="8"/>
  <c r="G217" i="7"/>
  <c r="G288" i="9"/>
  <c r="G264" i="8"/>
  <c r="G287" i="7"/>
  <c r="G251" i="8"/>
  <c r="G299" i="8"/>
  <c r="G347" i="8"/>
  <c r="G12" i="7"/>
  <c r="G263" i="7"/>
  <c r="G66" i="8"/>
  <c r="G275" i="8"/>
  <c r="G204" i="8"/>
  <c r="G92" i="7"/>
  <c r="G275" i="7"/>
  <c r="G108" i="7"/>
  <c r="G299" i="7"/>
  <c r="G102" i="9"/>
  <c r="G239" i="7"/>
  <c r="G227" i="8"/>
  <c r="G287" i="8"/>
  <c r="G269" i="9"/>
  <c r="G66" i="7"/>
  <c r="G162" i="7"/>
  <c r="G249" i="7"/>
  <c r="G308" i="7"/>
  <c r="G102" i="8"/>
  <c r="G297" i="8"/>
  <c r="G90" i="7"/>
  <c r="G202" i="7"/>
  <c r="G284" i="7"/>
  <c r="G309" i="7"/>
  <c r="G343" i="7"/>
  <c r="G138" i="8"/>
  <c r="G174" i="9"/>
  <c r="G297" i="9"/>
  <c r="G149" i="9"/>
  <c r="G161" i="7"/>
  <c r="G148" i="8"/>
  <c r="G185" i="9"/>
  <c r="G186" i="9"/>
  <c r="G90" i="8"/>
  <c r="G114" i="7"/>
  <c r="G213" i="7"/>
  <c r="G261" i="7"/>
  <c r="G186" i="8"/>
  <c r="G84" i="7"/>
  <c r="G72" i="7"/>
  <c r="G191" i="8"/>
  <c r="G11" i="7"/>
  <c r="G193" i="8"/>
  <c r="G217" i="9"/>
  <c r="G135" i="7"/>
  <c r="G215" i="9"/>
  <c r="G93" i="7"/>
  <c r="G79" i="8"/>
  <c r="G105" i="7"/>
  <c r="G203" i="7"/>
  <c r="G95" i="8"/>
  <c r="G114" i="9"/>
  <c r="G256" i="7"/>
  <c r="G257" i="7"/>
  <c r="G232" i="7"/>
  <c r="G96" i="8"/>
  <c r="G210" i="8"/>
  <c r="G365" i="8"/>
  <c r="G194" i="7"/>
  <c r="G149" i="8"/>
  <c r="G173" i="7"/>
  <c r="G185" i="7"/>
  <c r="G108" i="9"/>
  <c r="G48" i="7"/>
  <c r="G365" i="7"/>
  <c r="G161" i="8"/>
  <c r="G262" i="9"/>
  <c r="G317" i="9"/>
  <c r="G134" i="7"/>
  <c r="G43" i="8"/>
  <c r="G185" i="8"/>
  <c r="G158" i="8"/>
  <c r="G365" i="9"/>
  <c r="G281" i="7"/>
  <c r="G221" i="8"/>
  <c r="G341" i="8"/>
  <c r="G353" i="7"/>
  <c r="G173" i="8"/>
  <c r="G233" i="8"/>
  <c r="G221" i="9"/>
  <c r="G281" i="9"/>
  <c r="G280" i="7"/>
  <c r="G210" i="9"/>
  <c r="G304" i="7"/>
  <c r="G244" i="7"/>
  <c r="G269" i="8"/>
  <c r="G158" i="7"/>
  <c r="G110" i="8"/>
  <c r="G281" i="8"/>
  <c r="G113" i="8"/>
  <c r="G353" i="8"/>
  <c r="G328" i="7"/>
  <c r="G209" i="7"/>
  <c r="G268" i="7"/>
  <c r="G245" i="7"/>
  <c r="G269" i="7"/>
  <c r="G317" i="8"/>
  <c r="G341" i="9"/>
  <c r="G245" i="8"/>
  <c r="G161" i="9"/>
  <c r="G245" i="9"/>
  <c r="G14" i="7"/>
  <c r="G169" i="7"/>
  <c r="G274" i="7"/>
  <c r="G340" i="7"/>
  <c r="G139" i="8"/>
  <c r="G170" i="9"/>
  <c r="G298" i="9"/>
  <c r="G210" i="7"/>
  <c r="G233" i="9"/>
  <c r="G40" i="7"/>
  <c r="G170" i="7"/>
  <c r="G221" i="7"/>
  <c r="G292" i="7"/>
  <c r="G316" i="7"/>
  <c r="G341" i="7"/>
  <c r="G146" i="8"/>
  <c r="G203" i="8"/>
  <c r="G173" i="9"/>
  <c r="G257" i="9"/>
  <c r="G353" i="9"/>
  <c r="G352" i="7"/>
  <c r="G170" i="8"/>
  <c r="G317" i="7"/>
  <c r="G257" i="8"/>
  <c r="F328" i="9"/>
  <c r="G328" i="8"/>
  <c r="G79" i="7"/>
  <c r="G122" i="9"/>
  <c r="G174" i="7"/>
  <c r="G22" i="7"/>
  <c r="G138" i="7"/>
  <c r="G23" i="7"/>
  <c r="G139" i="7"/>
  <c r="G114" i="8"/>
  <c r="G158" i="9"/>
  <c r="G126" i="8"/>
  <c r="G162" i="8"/>
  <c r="G97" i="7"/>
  <c r="G186" i="7"/>
  <c r="G14" i="8"/>
  <c r="G274" i="8"/>
  <c r="G30" i="9"/>
  <c r="G39" i="7"/>
  <c r="G102" i="7"/>
  <c r="G146" i="7"/>
  <c r="G233" i="7"/>
  <c r="G30" i="8"/>
  <c r="G132" i="8"/>
  <c r="G174" i="8"/>
  <c r="G231" i="8"/>
  <c r="G66" i="9"/>
  <c r="G162" i="9"/>
  <c r="G240" i="9"/>
  <c r="G286" i="9"/>
  <c r="G90" i="9"/>
  <c r="G19" i="7"/>
  <c r="G109" i="7"/>
  <c r="G282" i="7"/>
  <c r="G110" i="9"/>
  <c r="G18" i="7"/>
  <c r="G282" i="9"/>
  <c r="G77" i="7"/>
  <c r="G62" i="8"/>
  <c r="G205" i="8"/>
  <c r="G110" i="7"/>
  <c r="G145" i="7"/>
  <c r="G181" i="7"/>
  <c r="G65" i="8"/>
  <c r="G122" i="8"/>
  <c r="G209" i="8"/>
  <c r="G17" i="7"/>
  <c r="G85" i="7"/>
  <c r="G76" i="8"/>
  <c r="G29" i="7"/>
  <c r="G86" i="7"/>
  <c r="G121" i="7"/>
  <c r="G193" i="7"/>
  <c r="G227" i="7"/>
  <c r="G251" i="7"/>
  <c r="G77" i="8"/>
  <c r="G134" i="8"/>
  <c r="G263" i="8"/>
  <c r="G126" i="9"/>
  <c r="G193" i="9"/>
  <c r="G26" i="7"/>
  <c r="G355" i="7"/>
  <c r="G9" i="7"/>
  <c r="G125" i="7"/>
  <c r="G181" i="8"/>
  <c r="G205" i="9"/>
  <c r="G171" i="7"/>
  <c r="G199" i="7"/>
  <c r="G49" i="7"/>
  <c r="G50" i="9"/>
  <c r="G61" i="7"/>
  <c r="G31" i="8"/>
  <c r="G124" i="8"/>
  <c r="G51" i="9"/>
  <c r="G124" i="9"/>
  <c r="G65" i="7"/>
  <c r="G122" i="7"/>
  <c r="G148" i="7"/>
  <c r="G183" i="7"/>
  <c r="G32" i="8"/>
  <c r="G125" i="8"/>
  <c r="G282" i="8"/>
  <c r="G53" i="9"/>
  <c r="G52" i="7"/>
  <c r="G30" i="7"/>
  <c r="G124" i="7"/>
  <c r="G35" i="8"/>
  <c r="G65" i="9"/>
  <c r="G132" i="9"/>
  <c r="G183" i="9"/>
  <c r="G17" i="8"/>
  <c r="G31" i="7"/>
  <c r="G98" i="7"/>
  <c r="G36" i="8"/>
  <c r="G35" i="7"/>
  <c r="G74" i="7"/>
  <c r="G100" i="7"/>
  <c r="G98" i="8"/>
  <c r="G146" i="9"/>
  <c r="G76" i="7"/>
  <c r="G53" i="8"/>
  <c r="G99" i="8"/>
  <c r="G135" i="8"/>
  <c r="G96" i="9"/>
  <c r="G148" i="9"/>
  <c r="G31" i="9"/>
  <c r="G61" i="8"/>
  <c r="G100" i="8"/>
  <c r="F18" i="9"/>
  <c r="G18" i="8"/>
  <c r="G32" i="9"/>
  <c r="G32" i="10"/>
  <c r="F19" i="9"/>
  <c r="G19" i="8"/>
  <c r="F33" i="8"/>
  <c r="G33" i="7"/>
  <c r="G347" i="9"/>
  <c r="G35" i="10"/>
  <c r="G35" i="9"/>
  <c r="F52" i="9"/>
  <c r="G52" i="8"/>
  <c r="F64" i="9"/>
  <c r="G64" i="8"/>
  <c r="G76" i="10"/>
  <c r="G76" i="9"/>
  <c r="F137" i="9"/>
  <c r="G137" i="8"/>
  <c r="G251" i="9"/>
  <c r="G23" i="8"/>
  <c r="F23" i="9"/>
  <c r="F39" i="9"/>
  <c r="G39" i="8"/>
  <c r="G79" i="9"/>
  <c r="G79" i="10"/>
  <c r="G139" i="9"/>
  <c r="G139" i="10"/>
  <c r="F191" i="10"/>
  <c r="G191" i="10" s="1"/>
  <c r="G191" i="9"/>
  <c r="G26" i="10"/>
  <c r="G26" i="9"/>
  <c r="F240" i="10"/>
  <c r="G240" i="10" s="1"/>
  <c r="G239" i="9"/>
  <c r="F264" i="10"/>
  <c r="G264" i="10" s="1"/>
  <c r="G263" i="9"/>
  <c r="F300" i="10"/>
  <c r="G300" i="10" s="1"/>
  <c r="G299" i="9"/>
  <c r="F11" i="9"/>
  <c r="G11" i="8"/>
  <c r="F27" i="9"/>
  <c r="G27" i="8"/>
  <c r="G43" i="9"/>
  <c r="G43" i="10"/>
  <c r="F9" i="9"/>
  <c r="G9" i="8"/>
  <c r="F276" i="10"/>
  <c r="G276" i="10" s="1"/>
  <c r="G275" i="9"/>
  <c r="G26" i="8"/>
  <c r="F218" i="9"/>
  <c r="G218" i="8"/>
  <c r="G229" i="7"/>
  <c r="F229" i="8"/>
  <c r="F241" i="9"/>
  <c r="G241" i="8"/>
  <c r="F254" i="10"/>
  <c r="G254" i="10" s="1"/>
  <c r="G253" i="9"/>
  <c r="F277" i="8"/>
  <c r="G277" i="7"/>
  <c r="F290" i="10"/>
  <c r="G290" i="10" s="1"/>
  <c r="G289" i="9"/>
  <c r="F301" i="8"/>
  <c r="G301" i="7"/>
  <c r="F313" i="8"/>
  <c r="G313" i="7"/>
  <c r="F325" i="8"/>
  <c r="G325" i="7"/>
  <c r="F228" i="10"/>
  <c r="G228" i="10" s="1"/>
  <c r="G227" i="9"/>
  <c r="G28" i="7"/>
  <c r="F28" i="8"/>
  <c r="F45" i="8"/>
  <c r="G45" i="7"/>
  <c r="G94" i="7"/>
  <c r="F94" i="8"/>
  <c r="F194" i="9"/>
  <c r="G194" i="8"/>
  <c r="G253" i="8"/>
  <c r="F13" i="9"/>
  <c r="G13" i="8"/>
  <c r="F29" i="9"/>
  <c r="G29" i="8"/>
  <c r="F40" i="9"/>
  <c r="G40" i="8"/>
  <c r="F204" i="10"/>
  <c r="G204" i="10" s="1"/>
  <c r="G204" i="9"/>
  <c r="F288" i="10"/>
  <c r="G288" i="10" s="1"/>
  <c r="G287" i="9"/>
  <c r="G12" i="8"/>
  <c r="F12" i="9"/>
  <c r="G58" i="7"/>
  <c r="F58" i="8"/>
  <c r="G70" i="7"/>
  <c r="F70" i="8"/>
  <c r="G82" i="7"/>
  <c r="F82" i="8"/>
  <c r="F106" i="8"/>
  <c r="G106" i="7"/>
  <c r="G178" i="7"/>
  <c r="F178" i="8"/>
  <c r="G335" i="9"/>
  <c r="G14" i="10"/>
  <c r="G14" i="9"/>
  <c r="F48" i="9"/>
  <c r="G48" i="8"/>
  <c r="F72" i="9"/>
  <c r="G72" i="8"/>
  <c r="F84" i="9"/>
  <c r="G84" i="8"/>
  <c r="G130" i="7"/>
  <c r="F130" i="8"/>
  <c r="G142" i="7"/>
  <c r="F142" i="8"/>
  <c r="G166" i="7"/>
  <c r="F166" i="8"/>
  <c r="G218" i="7"/>
  <c r="G17" i="10"/>
  <c r="G17" i="9"/>
  <c r="F49" i="9"/>
  <c r="G49" i="8"/>
  <c r="G61" i="10"/>
  <c r="G61" i="9"/>
  <c r="F85" i="9"/>
  <c r="G85" i="8"/>
  <c r="F97" i="9"/>
  <c r="G97" i="8"/>
  <c r="F109" i="9"/>
  <c r="G109" i="8"/>
  <c r="F121" i="9"/>
  <c r="G121" i="8"/>
  <c r="F145" i="9"/>
  <c r="G145" i="8"/>
  <c r="F169" i="9"/>
  <c r="G169" i="8"/>
  <c r="G181" i="10"/>
  <c r="G181" i="9"/>
  <c r="F209" i="10"/>
  <c r="G209" i="10" s="1"/>
  <c r="G209" i="9"/>
  <c r="F232" i="9"/>
  <c r="G232" i="8"/>
  <c r="F244" i="9"/>
  <c r="G244" i="8"/>
  <c r="F256" i="9"/>
  <c r="G256" i="8"/>
  <c r="F268" i="9"/>
  <c r="G268" i="8"/>
  <c r="F280" i="9"/>
  <c r="G280" i="8"/>
  <c r="F292" i="9"/>
  <c r="G292" i="8"/>
  <c r="F304" i="9"/>
  <c r="G304" i="8"/>
  <c r="F316" i="9"/>
  <c r="G316" i="8"/>
  <c r="F340" i="9"/>
  <c r="G340" i="8"/>
  <c r="F352" i="9"/>
  <c r="G352" i="8"/>
  <c r="G63" i="7"/>
  <c r="G51" i="8"/>
  <c r="G36" i="9"/>
  <c r="G75" i="9"/>
  <c r="G99" i="9"/>
  <c r="G55" i="7"/>
  <c r="F55" i="8"/>
  <c r="G67" i="7"/>
  <c r="F67" i="8"/>
  <c r="G91" i="7"/>
  <c r="F91" i="8"/>
  <c r="G103" i="7"/>
  <c r="F103" i="8"/>
  <c r="G115" i="7"/>
  <c r="F115" i="8"/>
  <c r="G127" i="7"/>
  <c r="F127" i="8"/>
  <c r="G151" i="7"/>
  <c r="F151" i="8"/>
  <c r="G175" i="7"/>
  <c r="F175" i="8"/>
  <c r="G203" i="9"/>
  <c r="F203" i="10"/>
  <c r="G203" i="10" s="1"/>
  <c r="G358" i="9"/>
  <c r="F359" i="10"/>
  <c r="G359" i="10" s="1"/>
  <c r="G98" i="10"/>
  <c r="G21" i="8"/>
  <c r="F21" i="9"/>
  <c r="G230" i="7"/>
  <c r="G87" i="8"/>
  <c r="G107" i="8"/>
  <c r="G27" i="7"/>
  <c r="G43" i="7"/>
  <c r="G64" i="7"/>
  <c r="G87" i="7"/>
  <c r="G153" i="7"/>
  <c r="G179" i="7"/>
  <c r="G302" i="7"/>
  <c r="G74" i="8"/>
  <c r="G108" i="8"/>
  <c r="G62" i="9"/>
  <c r="G100" i="9"/>
  <c r="G125" i="9"/>
  <c r="G80" i="7"/>
  <c r="F80" i="8"/>
  <c r="G92" i="8"/>
  <c r="F92" i="9"/>
  <c r="G104" i="7"/>
  <c r="F104" i="8"/>
  <c r="G116" i="7"/>
  <c r="F116" i="8"/>
  <c r="G128" i="7"/>
  <c r="F128" i="8"/>
  <c r="G140" i="7"/>
  <c r="F140" i="8"/>
  <c r="G152" i="7"/>
  <c r="F152" i="8"/>
  <c r="G164" i="7"/>
  <c r="F164" i="8"/>
  <c r="G176" i="7"/>
  <c r="F176" i="8"/>
  <c r="G107" i="7"/>
  <c r="G155" i="7"/>
  <c r="G75" i="8"/>
  <c r="G155" i="8"/>
  <c r="G63" i="9"/>
  <c r="G77" i="9"/>
  <c r="G57" i="7"/>
  <c r="F57" i="8"/>
  <c r="G69" i="7"/>
  <c r="F69" i="8"/>
  <c r="G81" i="7"/>
  <c r="F81" i="8"/>
  <c r="G93" i="8"/>
  <c r="F93" i="9"/>
  <c r="G105" i="8"/>
  <c r="F105" i="9"/>
  <c r="G117" i="7"/>
  <c r="F117" i="8"/>
  <c r="G153" i="8"/>
  <c r="F153" i="9"/>
  <c r="G165" i="7"/>
  <c r="F165" i="8"/>
  <c r="G134" i="10"/>
  <c r="G266" i="8"/>
  <c r="F266" i="9"/>
  <c r="G278" i="8"/>
  <c r="F278" i="9"/>
  <c r="G290" i="9"/>
  <c r="F291" i="10"/>
  <c r="G291" i="10" s="1"/>
  <c r="G302" i="8"/>
  <c r="F302" i="9"/>
  <c r="G338" i="9"/>
  <c r="F339" i="10"/>
  <c r="G339" i="10" s="1"/>
  <c r="G47" i="8"/>
  <c r="F47" i="9"/>
  <c r="G59" i="7"/>
  <c r="F59" i="8"/>
  <c r="G71" i="7"/>
  <c r="F71" i="8"/>
  <c r="G95" i="9"/>
  <c r="G95" i="10"/>
  <c r="G119" i="7"/>
  <c r="F119" i="8"/>
  <c r="G179" i="8"/>
  <c r="F179" i="9"/>
  <c r="G159" i="7"/>
  <c r="G196" i="7"/>
  <c r="F196" i="8"/>
  <c r="G208" i="7"/>
  <c r="F208" i="8"/>
  <c r="G243" i="7"/>
  <c r="F243" i="8"/>
  <c r="G267" i="7"/>
  <c r="F267" i="8"/>
  <c r="G291" i="7"/>
  <c r="F291" i="8"/>
  <c r="G303" i="7"/>
  <c r="F303" i="8"/>
  <c r="G351" i="7"/>
  <c r="F351" i="8"/>
  <c r="G107" i="9"/>
  <c r="G107" i="10"/>
  <c r="G131" i="7"/>
  <c r="F131" i="8"/>
  <c r="G155" i="9"/>
  <c r="G155" i="10"/>
  <c r="G230" i="8"/>
  <c r="F230" i="9"/>
  <c r="G95" i="7"/>
  <c r="G137" i="7"/>
  <c r="G159" i="8"/>
  <c r="G183" i="8"/>
  <c r="G254" i="8"/>
  <c r="G32" i="7"/>
  <c r="G50" i="7"/>
  <c r="G75" i="7"/>
  <c r="G96" i="7"/>
  <c r="G113" i="7"/>
  <c r="G191" i="7"/>
  <c r="G215" i="7"/>
  <c r="G63" i="8"/>
  <c r="G120" i="8"/>
  <c r="G86" i="9"/>
  <c r="G113" i="9"/>
  <c r="G159" i="9"/>
  <c r="F20" i="8"/>
  <c r="G195" i="8"/>
  <c r="F195" i="9"/>
  <c r="G51" i="7"/>
  <c r="G87" i="9"/>
  <c r="G135" i="9"/>
  <c r="G199" i="8"/>
  <c r="F199" i="9"/>
  <c r="G211" i="7"/>
  <c r="F211" i="8"/>
  <c r="G222" i="7"/>
  <c r="F222" i="8"/>
  <c r="G234" i="8"/>
  <c r="F234" i="9"/>
  <c r="G246" i="8"/>
  <c r="F246" i="9"/>
  <c r="G258" i="7"/>
  <c r="F258" i="8"/>
  <c r="G306" i="7"/>
  <c r="F306" i="8"/>
  <c r="G330" i="7"/>
  <c r="F330" i="8"/>
  <c r="G21" i="7"/>
  <c r="G36" i="7"/>
  <c r="G53" i="7"/>
  <c r="G99" i="7"/>
  <c r="G195" i="7"/>
  <c r="G143" i="8"/>
  <c r="G200" i="7"/>
  <c r="F200" i="8"/>
  <c r="G212" i="7"/>
  <c r="F212" i="8"/>
  <c r="G235" i="8"/>
  <c r="F235" i="9"/>
  <c r="G247" i="7"/>
  <c r="F247" i="8"/>
  <c r="G259" i="7"/>
  <c r="F259" i="8"/>
  <c r="G295" i="8"/>
  <c r="F295" i="9"/>
  <c r="G307" i="7"/>
  <c r="F307" i="8"/>
  <c r="G319" i="7"/>
  <c r="F319" i="8"/>
  <c r="G331" i="7"/>
  <c r="F331" i="8"/>
  <c r="G343" i="8"/>
  <c r="F343" i="9"/>
  <c r="G355" i="8"/>
  <c r="F355" i="9"/>
  <c r="G201" i="7"/>
  <c r="F201" i="8"/>
  <c r="G213" i="8"/>
  <c r="F213" i="9"/>
  <c r="G248" i="7"/>
  <c r="F248" i="8"/>
  <c r="G272" i="8"/>
  <c r="F272" i="9"/>
  <c r="G296" i="8"/>
  <c r="F296" i="9"/>
  <c r="G308" i="8"/>
  <c r="F308" i="9"/>
  <c r="G320" i="8"/>
  <c r="F320" i="9"/>
  <c r="G344" i="8"/>
  <c r="F344" i="9"/>
  <c r="G356" i="7"/>
  <c r="F356" i="8"/>
  <c r="G74" i="10"/>
  <c r="G62" i="7"/>
  <c r="G246" i="7"/>
  <c r="G266" i="7"/>
  <c r="G50" i="8"/>
  <c r="G86" i="8"/>
  <c r="G171" i="8"/>
  <c r="G143" i="9"/>
  <c r="G171" i="9"/>
  <c r="G254" i="9"/>
  <c r="G22" i="8"/>
  <c r="F22" i="9"/>
  <c r="G202" i="8"/>
  <c r="F202" i="9"/>
  <c r="G214" i="7"/>
  <c r="F214" i="8"/>
  <c r="G225" i="7"/>
  <c r="F225" i="8"/>
  <c r="G237" i="7"/>
  <c r="F237" i="8"/>
  <c r="G249" i="8"/>
  <c r="F249" i="9"/>
  <c r="G261" i="8"/>
  <c r="F261" i="9"/>
  <c r="G273" i="7"/>
  <c r="F273" i="8"/>
  <c r="G285" i="7"/>
  <c r="F285" i="8"/>
  <c r="G309" i="8"/>
  <c r="F309" i="9"/>
  <c r="G321" i="7"/>
  <c r="F321" i="8"/>
  <c r="G333" i="7"/>
  <c r="F333" i="8"/>
  <c r="G357" i="7"/>
  <c r="F357" i="8"/>
  <c r="G366" i="1"/>
  <c r="G35" i="1"/>
  <c r="G186" i="1"/>
  <c r="G185" i="1"/>
  <c r="G176" i="1"/>
  <c r="G9" i="1"/>
  <c r="G183" i="1"/>
  <c r="G181" i="1"/>
  <c r="G179" i="1"/>
  <c r="G178" i="1"/>
  <c r="G171" i="1"/>
  <c r="G170" i="1"/>
  <c r="G169" i="1"/>
  <c r="G166" i="1"/>
  <c r="G165" i="1"/>
  <c r="G164" i="1"/>
  <c r="G162" i="1"/>
  <c r="G161" i="1"/>
  <c r="G159" i="1"/>
  <c r="G158" i="1"/>
  <c r="G156" i="1"/>
  <c r="G155" i="1"/>
  <c r="G153" i="1"/>
  <c r="G152" i="1"/>
  <c r="G151" i="1"/>
  <c r="G149" i="1"/>
  <c r="G148" i="1"/>
  <c r="G146" i="1"/>
  <c r="G145" i="1"/>
  <c r="G143" i="1"/>
  <c r="G142" i="1"/>
  <c r="G140" i="1"/>
  <c r="G139" i="1"/>
  <c r="G138" i="1"/>
  <c r="G137" i="1"/>
  <c r="G174" i="1"/>
  <c r="G135" i="1"/>
  <c r="G134" i="1"/>
  <c r="G175" i="1"/>
  <c r="G132" i="1"/>
  <c r="G131" i="1"/>
  <c r="G130" i="1"/>
  <c r="G128" i="1"/>
  <c r="G127" i="1"/>
  <c r="G126" i="1"/>
  <c r="G125" i="1"/>
  <c r="G124" i="1"/>
  <c r="G122" i="1"/>
  <c r="G121" i="1"/>
  <c r="G120" i="1"/>
  <c r="G119" i="1"/>
  <c r="G173" i="1"/>
  <c r="G117" i="1"/>
  <c r="G116" i="1"/>
  <c r="G115" i="1"/>
  <c r="G114" i="1"/>
  <c r="G113" i="1"/>
  <c r="G110" i="1"/>
  <c r="G109" i="1"/>
  <c r="G108" i="1"/>
  <c r="G107" i="1"/>
  <c r="G106" i="1"/>
  <c r="G105" i="1"/>
  <c r="G104" i="1"/>
  <c r="G103" i="1"/>
  <c r="G102" i="1"/>
  <c r="G100" i="1"/>
  <c r="G99" i="1"/>
  <c r="G98" i="1"/>
  <c r="G97" i="1"/>
  <c r="G96" i="1"/>
  <c r="G95" i="1"/>
  <c r="G94" i="1"/>
  <c r="G93" i="1"/>
  <c r="G92" i="1"/>
  <c r="G91" i="1"/>
  <c r="G90" i="1"/>
  <c r="G87" i="1"/>
  <c r="G86" i="1"/>
  <c r="G85" i="1"/>
  <c r="G84" i="1"/>
  <c r="G82" i="1"/>
  <c r="G81" i="1"/>
  <c r="G80" i="1"/>
  <c r="G79" i="1"/>
  <c r="G77" i="1"/>
  <c r="G76" i="1"/>
  <c r="G75" i="1"/>
  <c r="G74" i="1"/>
  <c r="G72" i="1"/>
  <c r="G71" i="1"/>
  <c r="G70" i="1"/>
  <c r="G69" i="1"/>
  <c r="G67" i="1"/>
  <c r="G66" i="1"/>
  <c r="G65" i="1"/>
  <c r="G64" i="1"/>
  <c r="G63" i="1"/>
  <c r="G62" i="1"/>
  <c r="G61" i="1"/>
  <c r="G59" i="1"/>
  <c r="G58" i="1"/>
  <c r="G57" i="1"/>
  <c r="G55" i="1"/>
  <c r="G53" i="1"/>
  <c r="G52" i="1"/>
  <c r="G51" i="1"/>
  <c r="G50" i="1"/>
  <c r="G49" i="1"/>
  <c r="G48" i="1"/>
  <c r="G47" i="1"/>
  <c r="G45" i="1"/>
  <c r="G43" i="1"/>
  <c r="G40" i="1"/>
  <c r="G39" i="1"/>
  <c r="G36" i="1"/>
  <c r="G33" i="1"/>
  <c r="G32" i="1"/>
  <c r="G31" i="1"/>
  <c r="G30" i="1"/>
  <c r="G29" i="1"/>
  <c r="G28" i="1"/>
  <c r="G27" i="1"/>
  <c r="G26" i="1"/>
  <c r="G23" i="1"/>
  <c r="G22" i="1"/>
  <c r="G21" i="1"/>
  <c r="G20" i="1"/>
  <c r="G19" i="1"/>
  <c r="G18" i="1"/>
  <c r="G17" i="1"/>
  <c r="G14" i="1"/>
  <c r="G13" i="1"/>
  <c r="G12" i="1"/>
  <c r="G11" i="1"/>
  <c r="F329" i="10" l="1"/>
  <c r="G329" i="10" s="1"/>
  <c r="G328" i="9"/>
  <c r="G187" i="7"/>
  <c r="G366" i="7"/>
  <c r="F321" i="9"/>
  <c r="G321" i="8"/>
  <c r="F237" i="9"/>
  <c r="G237" i="8"/>
  <c r="G320" i="9"/>
  <c r="F321" i="10"/>
  <c r="G321" i="10" s="1"/>
  <c r="G201" i="8"/>
  <c r="F201" i="9"/>
  <c r="G295" i="9"/>
  <c r="F296" i="10"/>
  <c r="G296" i="10" s="1"/>
  <c r="G246" i="9"/>
  <c r="F247" i="10"/>
  <c r="G247" i="10" s="1"/>
  <c r="G119" i="8"/>
  <c r="F119" i="9"/>
  <c r="G302" i="9"/>
  <c r="F303" i="10"/>
  <c r="G303" i="10" s="1"/>
  <c r="G72" i="10"/>
  <c r="G72" i="9"/>
  <c r="G70" i="8"/>
  <c r="F70" i="9"/>
  <c r="F277" i="9"/>
  <c r="G277" i="8"/>
  <c r="G23" i="9"/>
  <c r="G23" i="10"/>
  <c r="G52" i="10"/>
  <c r="G52" i="9"/>
  <c r="G308" i="9"/>
  <c r="F309" i="10"/>
  <c r="G309" i="10" s="1"/>
  <c r="G355" i="9"/>
  <c r="F356" i="10"/>
  <c r="G356" i="10" s="1"/>
  <c r="G259" i="8"/>
  <c r="F259" i="9"/>
  <c r="G234" i="9"/>
  <c r="F235" i="10"/>
  <c r="G235" i="10" s="1"/>
  <c r="G48" i="10"/>
  <c r="G48" i="9"/>
  <c r="G58" i="8"/>
  <c r="F58" i="9"/>
  <c r="G20" i="8"/>
  <c r="F20" i="9"/>
  <c r="G105" i="9"/>
  <c r="G105" i="10"/>
  <c r="G128" i="8"/>
  <c r="F128" i="9"/>
  <c r="F127" i="9"/>
  <c r="G127" i="8"/>
  <c r="F305" i="10"/>
  <c r="G305" i="10" s="1"/>
  <c r="G304" i="9"/>
  <c r="F233" i="10"/>
  <c r="G233" i="10" s="1"/>
  <c r="G232" i="9"/>
  <c r="G109" i="10"/>
  <c r="G109" i="9"/>
  <c r="F166" i="9"/>
  <c r="G166" i="8"/>
  <c r="G13" i="10"/>
  <c r="G13" i="9"/>
  <c r="G343" i="9"/>
  <c r="F344" i="10"/>
  <c r="G344" i="10" s="1"/>
  <c r="G247" i="8"/>
  <c r="F247" i="9"/>
  <c r="F222" i="9"/>
  <c r="G222" i="8"/>
  <c r="G71" i="8"/>
  <c r="F71" i="9"/>
  <c r="F279" i="10"/>
  <c r="G279" i="10" s="1"/>
  <c r="G278" i="9"/>
  <c r="G21" i="9"/>
  <c r="G21" i="10"/>
  <c r="G12" i="9"/>
  <c r="G12" i="10"/>
  <c r="F325" i="9"/>
  <c r="G325" i="8"/>
  <c r="F242" i="10"/>
  <c r="G242" i="10" s="1"/>
  <c r="G241" i="9"/>
  <c r="G151" i="8"/>
  <c r="F151" i="9"/>
  <c r="F317" i="10"/>
  <c r="G317" i="10" s="1"/>
  <c r="G316" i="9"/>
  <c r="F245" i="10"/>
  <c r="G245" i="10" s="1"/>
  <c r="G244" i="9"/>
  <c r="G121" i="10"/>
  <c r="G121" i="9"/>
  <c r="G9" i="10"/>
  <c r="G9" i="9"/>
  <c r="F225" i="9"/>
  <c r="G225" i="8"/>
  <c r="G115" i="8"/>
  <c r="F115" i="9"/>
  <c r="F293" i="10"/>
  <c r="G293" i="10" s="1"/>
  <c r="G292" i="9"/>
  <c r="G97" i="10"/>
  <c r="G97" i="9"/>
  <c r="F142" i="9"/>
  <c r="G142" i="8"/>
  <c r="F229" i="9"/>
  <c r="G229" i="8"/>
  <c r="G27" i="9"/>
  <c r="G27" i="10"/>
  <c r="G33" i="8"/>
  <c r="F33" i="9"/>
  <c r="G195" i="9"/>
  <c r="F195" i="10"/>
  <c r="G195" i="10" s="1"/>
  <c r="G29" i="10"/>
  <c r="G29" i="9"/>
  <c r="F285" i="9"/>
  <c r="G285" i="8"/>
  <c r="G93" i="9"/>
  <c r="G93" i="10"/>
  <c r="G273" i="8"/>
  <c r="F273" i="9"/>
  <c r="F202" i="10"/>
  <c r="G202" i="10" s="1"/>
  <c r="G202" i="9"/>
  <c r="G235" i="9"/>
  <c r="F236" i="10"/>
  <c r="G236" i="10" s="1"/>
  <c r="F59" i="9"/>
  <c r="G59" i="8"/>
  <c r="G266" i="9"/>
  <c r="F267" i="10"/>
  <c r="G267" i="10" s="1"/>
  <c r="F178" i="9"/>
  <c r="G178" i="8"/>
  <c r="F194" i="10"/>
  <c r="G194" i="10" s="1"/>
  <c r="G194" i="9"/>
  <c r="F313" i="9"/>
  <c r="G313" i="8"/>
  <c r="G137" i="10"/>
  <c r="G137" i="9"/>
  <c r="G116" i="8"/>
  <c r="F116" i="9"/>
  <c r="F303" i="9"/>
  <c r="G303" i="8"/>
  <c r="F196" i="9"/>
  <c r="G196" i="8"/>
  <c r="F81" i="9"/>
  <c r="G81" i="8"/>
  <c r="G176" i="8"/>
  <c r="F176" i="9"/>
  <c r="G104" i="8"/>
  <c r="F104" i="9"/>
  <c r="G103" i="8"/>
  <c r="F103" i="9"/>
  <c r="F281" i="10"/>
  <c r="G281" i="10" s="1"/>
  <c r="G280" i="9"/>
  <c r="G85" i="10"/>
  <c r="G85" i="9"/>
  <c r="F130" i="9"/>
  <c r="G130" i="8"/>
  <c r="F94" i="9"/>
  <c r="G94" i="8"/>
  <c r="G11" i="9"/>
  <c r="G11" i="10"/>
  <c r="G19" i="10"/>
  <c r="G19" i="9"/>
  <c r="G296" i="9"/>
  <c r="F297" i="10"/>
  <c r="G297" i="10" s="1"/>
  <c r="F208" i="9"/>
  <c r="G208" i="8"/>
  <c r="G211" i="8"/>
  <c r="F211" i="9"/>
  <c r="F357" i="9"/>
  <c r="G357" i="8"/>
  <c r="F262" i="10"/>
  <c r="G262" i="10" s="1"/>
  <c r="G261" i="9"/>
  <c r="G212" i="8"/>
  <c r="F212" i="9"/>
  <c r="G199" i="9"/>
  <c r="F199" i="10"/>
  <c r="G199" i="10" s="1"/>
  <c r="G47" i="10"/>
  <c r="G47" i="9"/>
  <c r="F301" i="9"/>
  <c r="G301" i="8"/>
  <c r="F218" i="10"/>
  <c r="G218" i="10" s="1"/>
  <c r="G218" i="9"/>
  <c r="F243" i="9"/>
  <c r="G243" i="8"/>
  <c r="G140" i="8"/>
  <c r="F140" i="9"/>
  <c r="G55" i="8"/>
  <c r="F55" i="9"/>
  <c r="F214" i="9"/>
  <c r="G214" i="8"/>
  <c r="F351" i="9"/>
  <c r="G351" i="8"/>
  <c r="F273" i="10"/>
  <c r="G273" i="10" s="1"/>
  <c r="G272" i="9"/>
  <c r="G331" i="8"/>
  <c r="F331" i="9"/>
  <c r="F330" i="9"/>
  <c r="G330" i="8"/>
  <c r="G22" i="9"/>
  <c r="G22" i="10"/>
  <c r="F356" i="9"/>
  <c r="G356" i="8"/>
  <c r="G248" i="8"/>
  <c r="F248" i="9"/>
  <c r="G319" i="8"/>
  <c r="F319" i="9"/>
  <c r="F306" i="9"/>
  <c r="G306" i="8"/>
  <c r="G230" i="9"/>
  <c r="F231" i="10"/>
  <c r="G231" i="10" s="1"/>
  <c r="F291" i="9"/>
  <c r="G291" i="8"/>
  <c r="G165" i="8"/>
  <c r="F165" i="9"/>
  <c r="F69" i="9"/>
  <c r="G69" i="8"/>
  <c r="G164" i="8"/>
  <c r="F164" i="9"/>
  <c r="G92" i="9"/>
  <c r="G92" i="10"/>
  <c r="F91" i="9"/>
  <c r="G91" i="8"/>
  <c r="F353" i="10"/>
  <c r="G353" i="10" s="1"/>
  <c r="G352" i="9"/>
  <c r="F269" i="10"/>
  <c r="G269" i="10" s="1"/>
  <c r="G268" i="9"/>
  <c r="G169" i="10"/>
  <c r="G169" i="9"/>
  <c r="G106" i="8"/>
  <c r="F106" i="9"/>
  <c r="G131" i="8"/>
  <c r="F131" i="9"/>
  <c r="G117" i="8"/>
  <c r="F117" i="9"/>
  <c r="F310" i="10"/>
  <c r="G310" i="10" s="1"/>
  <c r="G309" i="9"/>
  <c r="G333" i="8"/>
  <c r="F333" i="9"/>
  <c r="F250" i="10"/>
  <c r="G250" i="10" s="1"/>
  <c r="G249" i="9"/>
  <c r="G344" i="9"/>
  <c r="F345" i="10"/>
  <c r="G345" i="10" s="1"/>
  <c r="G213" i="9"/>
  <c r="F213" i="10"/>
  <c r="G213" i="10" s="1"/>
  <c r="G307" i="8"/>
  <c r="F307" i="9"/>
  <c r="G200" i="8"/>
  <c r="F200" i="9"/>
  <c r="G258" i="8"/>
  <c r="F258" i="9"/>
  <c r="G179" i="10"/>
  <c r="G179" i="9"/>
  <c r="G84" i="10"/>
  <c r="G84" i="9"/>
  <c r="F82" i="9"/>
  <c r="G82" i="8"/>
  <c r="G45" i="8"/>
  <c r="F45" i="9"/>
  <c r="G64" i="10"/>
  <c r="G64" i="9"/>
  <c r="F267" i="9"/>
  <c r="G267" i="8"/>
  <c r="G153" i="9"/>
  <c r="G153" i="10"/>
  <c r="G57" i="8"/>
  <c r="F57" i="9"/>
  <c r="G152" i="8"/>
  <c r="F152" i="9"/>
  <c r="F80" i="9"/>
  <c r="G80" i="8"/>
  <c r="F175" i="9"/>
  <c r="G175" i="8"/>
  <c r="F67" i="9"/>
  <c r="G67" i="8"/>
  <c r="F341" i="10"/>
  <c r="G341" i="10" s="1"/>
  <c r="G340" i="9"/>
  <c r="F257" i="10"/>
  <c r="G257" i="10" s="1"/>
  <c r="G256" i="9"/>
  <c r="G145" i="10"/>
  <c r="G145" i="9"/>
  <c r="G49" i="10"/>
  <c r="G49" i="9"/>
  <c r="G40" i="10"/>
  <c r="G40" i="9"/>
  <c r="F28" i="9"/>
  <c r="G28" i="8"/>
  <c r="G39" i="10"/>
  <c r="G39" i="9"/>
  <c r="G18" i="10"/>
  <c r="G18" i="9"/>
  <c r="G187" i="1"/>
  <c r="G368" i="7" l="1"/>
  <c r="D4" i="6" s="1"/>
  <c r="G200" i="9"/>
  <c r="F200" i="10"/>
  <c r="G200" i="10" s="1"/>
  <c r="G45" i="9"/>
  <c r="G45" i="10"/>
  <c r="G307" i="9"/>
  <c r="F308" i="10"/>
  <c r="G308" i="10" s="1"/>
  <c r="G117" i="9"/>
  <c r="G117" i="10"/>
  <c r="G140" i="9"/>
  <c r="G140" i="10"/>
  <c r="G212" i="9"/>
  <c r="F212" i="10"/>
  <c r="G212" i="10" s="1"/>
  <c r="G103" i="9"/>
  <c r="G103" i="10"/>
  <c r="G116" i="9"/>
  <c r="G116" i="10"/>
  <c r="G152" i="9"/>
  <c r="G152" i="10"/>
  <c r="G131" i="9"/>
  <c r="G131" i="10"/>
  <c r="G331" i="9"/>
  <c r="F332" i="10"/>
  <c r="G332" i="10" s="1"/>
  <c r="G104" i="9"/>
  <c r="G104" i="10"/>
  <c r="G128" i="9"/>
  <c r="G128" i="10"/>
  <c r="G59" i="9"/>
  <c r="G59" i="10"/>
  <c r="G82" i="10"/>
  <c r="G82" i="9"/>
  <c r="F278" i="10"/>
  <c r="G278" i="10" s="1"/>
  <c r="G277" i="9"/>
  <c r="G306" i="9"/>
  <c r="F307" i="10"/>
  <c r="G307" i="10" s="1"/>
  <c r="F244" i="10"/>
  <c r="G244" i="10" s="1"/>
  <c r="G243" i="9"/>
  <c r="G57" i="9"/>
  <c r="G57" i="10"/>
  <c r="G106" i="9"/>
  <c r="G106" i="10"/>
  <c r="G164" i="9"/>
  <c r="G164" i="10"/>
  <c r="G319" i="9"/>
  <c r="F320" i="10"/>
  <c r="G320" i="10" s="1"/>
  <c r="G176" i="10"/>
  <c r="G176" i="9"/>
  <c r="G33" i="9"/>
  <c r="G33" i="10"/>
  <c r="G115" i="10"/>
  <c r="G115" i="9"/>
  <c r="G151" i="9"/>
  <c r="G151" i="10"/>
  <c r="G71" i="10"/>
  <c r="G71" i="9"/>
  <c r="G259" i="9"/>
  <c r="F260" i="10"/>
  <c r="G260" i="10" s="1"/>
  <c r="G70" i="10"/>
  <c r="G70" i="9"/>
  <c r="F201" i="10"/>
  <c r="G201" i="10" s="1"/>
  <c r="G201" i="9"/>
  <c r="F358" i="10"/>
  <c r="G358" i="10" s="1"/>
  <c r="G357" i="9"/>
  <c r="G94" i="9"/>
  <c r="G94" i="10"/>
  <c r="F314" i="10"/>
  <c r="G314" i="10" s="1"/>
  <c r="G313" i="9"/>
  <c r="G166" i="9"/>
  <c r="G166" i="10"/>
  <c r="F331" i="10"/>
  <c r="G331" i="10" s="1"/>
  <c r="G330" i="9"/>
  <c r="F249" i="10"/>
  <c r="G249" i="10" s="1"/>
  <c r="G248" i="9"/>
  <c r="F211" i="10"/>
  <c r="G211" i="10" s="1"/>
  <c r="G211" i="9"/>
  <c r="F274" i="10"/>
  <c r="G274" i="10" s="1"/>
  <c r="G273" i="9"/>
  <c r="G127" i="10"/>
  <c r="G127" i="9"/>
  <c r="G69" i="10"/>
  <c r="G69" i="9"/>
  <c r="F352" i="10"/>
  <c r="G352" i="10" s="1"/>
  <c r="G351" i="9"/>
  <c r="F302" i="10"/>
  <c r="G302" i="10" s="1"/>
  <c r="G301" i="9"/>
  <c r="G130" i="10"/>
  <c r="G130" i="9"/>
  <c r="G81" i="9"/>
  <c r="G81" i="10"/>
  <c r="F226" i="10"/>
  <c r="G226" i="10" s="1"/>
  <c r="G225" i="9"/>
  <c r="F223" i="10"/>
  <c r="G223" i="10" s="1"/>
  <c r="G222" i="9"/>
  <c r="G165" i="9"/>
  <c r="G165" i="10"/>
  <c r="G366" i="8"/>
  <c r="G247" i="9"/>
  <c r="F248" i="10"/>
  <c r="G248" i="10" s="1"/>
  <c r="G20" i="10"/>
  <c r="G20" i="9"/>
  <c r="G80" i="9"/>
  <c r="G80" i="10"/>
  <c r="G91" i="9"/>
  <c r="G91" i="10"/>
  <c r="F259" i="10"/>
  <c r="G259" i="10" s="1"/>
  <c r="G258" i="9"/>
  <c r="F334" i="10"/>
  <c r="G334" i="10" s="1"/>
  <c r="G333" i="9"/>
  <c r="G28" i="10"/>
  <c r="G28" i="9"/>
  <c r="G67" i="10"/>
  <c r="G67" i="9"/>
  <c r="F268" i="10"/>
  <c r="G268" i="10" s="1"/>
  <c r="G267" i="9"/>
  <c r="G356" i="9"/>
  <c r="F357" i="10"/>
  <c r="G357" i="10" s="1"/>
  <c r="F214" i="10"/>
  <c r="G214" i="10" s="1"/>
  <c r="G214" i="9"/>
  <c r="F208" i="10"/>
  <c r="G208" i="10" s="1"/>
  <c r="G208" i="9"/>
  <c r="F196" i="10"/>
  <c r="G196" i="10" s="1"/>
  <c r="G196" i="9"/>
  <c r="G178" i="10"/>
  <c r="G178" i="9"/>
  <c r="F230" i="10"/>
  <c r="G230" i="10" s="1"/>
  <c r="G229" i="9"/>
  <c r="F326" i="10"/>
  <c r="G326" i="10" s="1"/>
  <c r="G325" i="9"/>
  <c r="G187" i="8"/>
  <c r="F238" i="10"/>
  <c r="G238" i="10" s="1"/>
  <c r="G237" i="9"/>
  <c r="G55" i="10"/>
  <c r="G55" i="9"/>
  <c r="G58" i="9"/>
  <c r="G58" i="10"/>
  <c r="G119" i="9"/>
  <c r="G119" i="10"/>
  <c r="G175" i="10"/>
  <c r="G175" i="9"/>
  <c r="F292" i="10"/>
  <c r="G292" i="10" s="1"/>
  <c r="G291" i="9"/>
  <c r="F304" i="10"/>
  <c r="G304" i="10" s="1"/>
  <c r="G303" i="9"/>
  <c r="F286" i="10"/>
  <c r="G286" i="10" s="1"/>
  <c r="G285" i="9"/>
  <c r="G142" i="10"/>
  <c r="G142" i="9"/>
  <c r="F322" i="10"/>
  <c r="G322" i="10" s="1"/>
  <c r="G321" i="9"/>
  <c r="G368" i="1"/>
  <c r="D3" i="6" s="1"/>
  <c r="G187" i="10" l="1"/>
  <c r="G367" i="10"/>
  <c r="G187" i="9"/>
  <c r="G366" i="9"/>
  <c r="G368" i="8"/>
  <c r="D5" i="6" s="1"/>
  <c r="G368" i="9" l="1"/>
  <c r="D6" i="6" s="1"/>
  <c r="G369" i="10"/>
  <c r="D7" i="6" s="1"/>
  <c r="D8" i="6" l="1"/>
</calcChain>
</file>

<file path=xl/sharedStrings.xml><?xml version="1.0" encoding="utf-8"?>
<sst xmlns="http://schemas.openxmlformats.org/spreadsheetml/2006/main" count="5911" uniqueCount="1546">
  <si>
    <t xml:space="preserve"> Roofing Contract</t>
  </si>
  <si>
    <t>Attachment J-0200000-05</t>
  </si>
  <si>
    <t>Exhibit Line Item Numbers</t>
  </si>
  <si>
    <t>Base Option</t>
  </si>
  <si>
    <t>Solicitation/Contract No.: N40085-26-D-XXXX</t>
  </si>
  <si>
    <t>Philadelphia Roofing Contract</t>
  </si>
  <si>
    <t>ELIN Number</t>
  </si>
  <si>
    <t>Supplies/Services</t>
  </si>
  <si>
    <t>Est. Quantity</t>
  </si>
  <si>
    <t>Unit</t>
  </si>
  <si>
    <t>Unit Price</t>
  </si>
  <si>
    <t>Total</t>
  </si>
  <si>
    <t>ROOF DECKS</t>
  </si>
  <si>
    <t>A0001</t>
  </si>
  <si>
    <t>Remove existing metal roof decks (ALL OR PARTIAL) and replace with new steel roof decking, shall include all closures and accessories.</t>
  </si>
  <si>
    <t>SQ</t>
  </si>
  <si>
    <t>X</t>
  </si>
  <si>
    <t>Remove existing wood roof deck and replace with new wood decking</t>
  </si>
  <si>
    <t>A0002</t>
  </si>
  <si>
    <t>1" nominal T &amp; G (treated)</t>
  </si>
  <si>
    <t>BF</t>
  </si>
  <si>
    <t>A0003</t>
  </si>
  <si>
    <t>2" nominal T &amp; G (treated)</t>
  </si>
  <si>
    <t>A0004</t>
  </si>
  <si>
    <t>3/4" plywood</t>
  </si>
  <si>
    <t>SF</t>
  </si>
  <si>
    <t>A0005</t>
  </si>
  <si>
    <t>1/2" plywood</t>
  </si>
  <si>
    <t>ROOF INSULATION</t>
  </si>
  <si>
    <t xml:space="preserve">Remove and replace rigid roof insulation in conjunction with roofing systems specified herein.  </t>
  </si>
  <si>
    <t>A0006</t>
  </si>
  <si>
    <t>Remove and replace polyisocyanurate tapered insulation panels</t>
  </si>
  <si>
    <t>A0007</t>
  </si>
  <si>
    <t>Remove and replace tapered roof insulation</t>
  </si>
  <si>
    <t>A0008</t>
  </si>
  <si>
    <t>Remove and replace vapor barrier in conjunction with built up roofing system</t>
  </si>
  <si>
    <t>A0009</t>
  </si>
  <si>
    <t>Remove and replace resin sized building paper (5 lb.)</t>
  </si>
  <si>
    <t>A0010</t>
  </si>
  <si>
    <t>Remove existing cants and replace with new fiberboard cants 4 x 4</t>
  </si>
  <si>
    <t>LF</t>
  </si>
  <si>
    <t>A0011</t>
  </si>
  <si>
    <t>Remove existing cants and replace with new treated wood cants 4 x 4</t>
  </si>
  <si>
    <t>A0012</t>
  </si>
  <si>
    <t>Remove existing Nailers and replace with new treated 2" x 6" wood</t>
  </si>
  <si>
    <t xml:space="preserve">SHINGLED ROOF SYSTEMS </t>
  </si>
  <si>
    <t xml:space="preserve">Remove existing composition shingles and replace with new composition shingles, shall include starter </t>
  </si>
  <si>
    <t>A0013</t>
  </si>
  <si>
    <t>Twenty Five Year   (3 tab )</t>
  </si>
  <si>
    <t>A0014</t>
  </si>
  <si>
    <t xml:space="preserve">Thirty Year      (architectural) </t>
  </si>
  <si>
    <t>A0015</t>
  </si>
  <si>
    <t>Forty Year       (architectural)</t>
  </si>
  <si>
    <t>A0016</t>
  </si>
  <si>
    <t>Remove and dispose of existing composition shingles (all types)(where new shingles are not going to be installed)</t>
  </si>
  <si>
    <t>A0017</t>
  </si>
  <si>
    <t>Remove and dispose of existing slate shingles.</t>
  </si>
  <si>
    <t>A0018</t>
  </si>
  <si>
    <t>Remove and re-install existing slate shingles (All or Partial)</t>
  </si>
  <si>
    <t>A0019</t>
  </si>
  <si>
    <t>Install new slate shingles (Weathering green, Vermont)(All or Partial)</t>
  </si>
  <si>
    <t>A0020</t>
  </si>
  <si>
    <t>Install new slate shingles (Buckingham)(All or Partial)</t>
  </si>
  <si>
    <t>Remove existing preformed metal (All or Partial) roofing and replace with new preformed metal roofing</t>
  </si>
  <si>
    <t>A0021</t>
  </si>
  <si>
    <t>Coated steel</t>
  </si>
  <si>
    <t>A0022</t>
  </si>
  <si>
    <t>Coated aluminum</t>
  </si>
  <si>
    <t>A0023</t>
  </si>
  <si>
    <t>Field paint roof mounted equipment</t>
  </si>
  <si>
    <t>A0024</t>
  </si>
  <si>
    <t>Up to 25 SF  X in surface area  X</t>
  </si>
  <si>
    <t>A0025</t>
  </si>
  <si>
    <t>Over 25 SF  X in surface area  X</t>
  </si>
  <si>
    <t>BUILT UP ROOF</t>
  </si>
  <si>
    <t xml:space="preserve">Remove existing roof system and replace with new aggregate surfaced BU roofing system </t>
  </si>
  <si>
    <t>A0026</t>
  </si>
  <si>
    <t>System GAA (Gravel)</t>
  </si>
  <si>
    <t>Remove existing roof system and replace with new smooth surfaced BU roofing system.</t>
  </si>
  <si>
    <t>A0027</t>
  </si>
  <si>
    <t>System Gas</t>
  </si>
  <si>
    <t>Remove existing roof system and replace with new single ply reinforced modified bitumen sheet roofing system</t>
  </si>
  <si>
    <t>A0028</t>
  </si>
  <si>
    <t>Torch Applied</t>
  </si>
  <si>
    <t>A0029</t>
  </si>
  <si>
    <t>Mop Applied</t>
  </si>
  <si>
    <t>A0030</t>
  </si>
  <si>
    <t>Remove existing base flashing and replace with new 2 ply glass felt base flashing</t>
  </si>
  <si>
    <t>A0031</t>
  </si>
  <si>
    <t xml:space="preserve">Remove existing base flashing and replace with new 3-ply bituminous base flashing </t>
  </si>
  <si>
    <t>A0032</t>
  </si>
  <si>
    <t>Remove existing base flashing and replace with new single ply reinforced modified, bitumen sheet roofing flashing modified.</t>
  </si>
  <si>
    <t>A0033</t>
  </si>
  <si>
    <t xml:space="preserve">Remove and Dispose of Second layer </t>
  </si>
  <si>
    <t>A0034</t>
  </si>
  <si>
    <t>(1) Walkway/Asphalt Planks</t>
  </si>
  <si>
    <t>ROOF AND PARAPET WALL DAMPROOFING</t>
  </si>
  <si>
    <t>A0035</t>
  </si>
  <si>
    <t>Coat Existing BU Roof or Parapet Wall</t>
  </si>
  <si>
    <t>E.P.D.M. (RUBBER ROOF SYSTEM) (Install new  E.P.D.M. Roof System over Existing Built-up Roof)</t>
  </si>
  <si>
    <t>A0036</t>
  </si>
  <si>
    <t>Ballasted System</t>
  </si>
  <si>
    <t>A0037</t>
  </si>
  <si>
    <t>Mechanically Fastened System</t>
  </si>
  <si>
    <t>A0038</t>
  </si>
  <si>
    <t>Full Adhered System</t>
  </si>
  <si>
    <t>Remove existing roof system and replace with new E.P.D.M. roof system</t>
  </si>
  <si>
    <t>A0039</t>
  </si>
  <si>
    <t>A0040</t>
  </si>
  <si>
    <t>A0041</t>
  </si>
  <si>
    <t>A0042</t>
  </si>
  <si>
    <t>Install new E.P.D.M. Wall/Curb Flashings</t>
  </si>
  <si>
    <t>A0043</t>
  </si>
  <si>
    <t>Install Rubber Pipe Vents</t>
  </si>
  <si>
    <t>EA</t>
  </si>
  <si>
    <t>A0044</t>
  </si>
  <si>
    <t xml:space="preserve">Install Termination Bars.  Shall include caulking </t>
  </si>
  <si>
    <t>A0045</t>
  </si>
  <si>
    <t>Install E.P.D.M Walk Pads</t>
  </si>
  <si>
    <t xml:space="preserve">Remove existing roof system and replace with new Thermoplastic alloy roof system (TPA) </t>
  </si>
  <si>
    <t>A0046</t>
  </si>
  <si>
    <t>Mechanically Fastened</t>
  </si>
  <si>
    <t>A0047</t>
  </si>
  <si>
    <t>Ballasted</t>
  </si>
  <si>
    <t>A0048</t>
  </si>
  <si>
    <t>Install new TPA wall/curb flashing</t>
  </si>
  <si>
    <t>A0049</t>
  </si>
  <si>
    <t>Install new TPA pipe vent flashing</t>
  </si>
  <si>
    <t xml:space="preserve">Remove existing metal base flashing and replace with new metal base flashing  </t>
  </si>
  <si>
    <t>A0050</t>
  </si>
  <si>
    <t>Copper</t>
  </si>
  <si>
    <t>A0051</t>
  </si>
  <si>
    <t>Aluminum</t>
  </si>
  <si>
    <t>A0052</t>
  </si>
  <si>
    <t>Aluminum/various colors</t>
  </si>
  <si>
    <t>A0053</t>
  </si>
  <si>
    <t>Stainless Steel</t>
  </si>
  <si>
    <t xml:space="preserve">Remove existing and install new metal coping. Shall include caulking. </t>
  </si>
  <si>
    <t>A0054</t>
  </si>
  <si>
    <t>A0055</t>
  </si>
  <si>
    <t>A0056</t>
  </si>
  <si>
    <t>A0057</t>
  </si>
  <si>
    <t>Remove metal drip edge and replace with new metal drip edge</t>
  </si>
  <si>
    <t>A0058</t>
  </si>
  <si>
    <t>A0059</t>
  </si>
  <si>
    <t>A0060</t>
  </si>
  <si>
    <t>A0061</t>
  </si>
  <si>
    <t>METAL GUTTERS AND DOWNSPOUTS</t>
  </si>
  <si>
    <t>Install Metal Gutters</t>
  </si>
  <si>
    <t>A0062</t>
  </si>
  <si>
    <t>Copper/5" ogee</t>
  </si>
  <si>
    <t>A0063</t>
  </si>
  <si>
    <t>Copper/6" ogee</t>
  </si>
  <si>
    <t>A0064</t>
  </si>
  <si>
    <t>Copper/6" half round</t>
  </si>
  <si>
    <t>A0065</t>
  </si>
  <si>
    <t>Copper/6" box</t>
  </si>
  <si>
    <t>A0066</t>
  </si>
  <si>
    <t>Copper/8" box</t>
  </si>
  <si>
    <t>A0067</t>
  </si>
  <si>
    <t>Prefinished Alum/5" ogee</t>
  </si>
  <si>
    <t>A0068</t>
  </si>
  <si>
    <t>Prefinished Alum/6" ogee</t>
  </si>
  <si>
    <t>A0069</t>
  </si>
  <si>
    <t>Prefinished Alum/6" Box</t>
  </si>
  <si>
    <t>A0070</t>
  </si>
  <si>
    <t>Prefinished Alum/8" Box</t>
  </si>
  <si>
    <t>A0071</t>
  </si>
  <si>
    <t>Stainless steel/6" box</t>
  </si>
  <si>
    <t>A0072</t>
  </si>
  <si>
    <t>Stainless steel/8" box</t>
  </si>
  <si>
    <t xml:space="preserve">Install Metal Downspouts </t>
  </si>
  <si>
    <t>A0073</t>
  </si>
  <si>
    <t>Copper 2" x 3"</t>
  </si>
  <si>
    <t>A0074</t>
  </si>
  <si>
    <t>Copper 3" x 4"</t>
  </si>
  <si>
    <t>A0075</t>
  </si>
  <si>
    <t>Copper/3" round</t>
  </si>
  <si>
    <t>A0076</t>
  </si>
  <si>
    <t>Copper/4" round</t>
  </si>
  <si>
    <t>A0077</t>
  </si>
  <si>
    <t>Copper/6" round</t>
  </si>
  <si>
    <t>A0078</t>
  </si>
  <si>
    <t>Prefinished alum 2" x 3"</t>
  </si>
  <si>
    <t>A0079</t>
  </si>
  <si>
    <t>Prefinished alum 3" x 4"</t>
  </si>
  <si>
    <t>A0080</t>
  </si>
  <si>
    <t>Stainless Steel 3" x 4"</t>
  </si>
  <si>
    <t>A0081</t>
  </si>
  <si>
    <t xml:space="preserve">Provide and place new concrete splash block </t>
  </si>
  <si>
    <t>(standard commercial size)</t>
  </si>
  <si>
    <t>Gutters, Downspouts and Drains</t>
  </si>
  <si>
    <t>A0082</t>
  </si>
  <si>
    <t>Remove and dispose of existing gutters and/or downspouts</t>
  </si>
  <si>
    <t>A0083</t>
  </si>
  <si>
    <t>Remove and reinstall existing gutters and/or downspouts. Reseal all joints</t>
  </si>
  <si>
    <t>A0084</t>
  </si>
  <si>
    <t>Realign and resecure existing gutters and/or downspouts (Replace hangers, fasteners and straps) as needed. Reseal all joints.</t>
  </si>
  <si>
    <t>A0085</t>
  </si>
  <si>
    <t>Resolder broken gutter joints</t>
  </si>
  <si>
    <t>A0086</t>
  </si>
  <si>
    <t>Reseal, broken gutter joints</t>
  </si>
  <si>
    <t xml:space="preserve">Remove existing metal open valley flashing and replace with new metal valley flashing  </t>
  </si>
  <si>
    <t>A0087</t>
  </si>
  <si>
    <t>A0088</t>
  </si>
  <si>
    <t>A0089</t>
  </si>
  <si>
    <t>A0090</t>
  </si>
  <si>
    <t>Remove existing metal flashing/miscellaneous</t>
  </si>
  <si>
    <t>A0091</t>
  </si>
  <si>
    <t>A0092</t>
  </si>
  <si>
    <t>A0093</t>
  </si>
  <si>
    <t>A0094</t>
  </si>
  <si>
    <t>A0095</t>
  </si>
  <si>
    <t>Compatible w/EPDM &amp; CPE</t>
  </si>
  <si>
    <t>Remove existing pitch pocket and 'replace with new</t>
  </si>
  <si>
    <t>A0096</t>
  </si>
  <si>
    <t>A0097</t>
  </si>
  <si>
    <t>A0098</t>
  </si>
  <si>
    <t>Stainless steel</t>
  </si>
  <si>
    <t>Roof Drain Sumps</t>
  </si>
  <si>
    <t>Provide and Install TPA EPDM roof drain Sumps</t>
  </si>
  <si>
    <t>TPA EPDM roof drain sumps (removal only)</t>
  </si>
  <si>
    <t xml:space="preserve">Strainers </t>
  </si>
  <si>
    <t>A0101</t>
  </si>
  <si>
    <t>Metal Strainers</t>
  </si>
  <si>
    <t>A0102</t>
  </si>
  <si>
    <t>PVC Strainers</t>
  </si>
  <si>
    <t>A0103</t>
  </si>
  <si>
    <t>A0104</t>
  </si>
  <si>
    <t>Remove existing metal scupper lining and replace with new metal scupper lining</t>
  </si>
  <si>
    <t>A0105</t>
  </si>
  <si>
    <t>A0106</t>
  </si>
  <si>
    <t>Remove existing metal conductor heads and replace with new metal conductor heads</t>
  </si>
  <si>
    <t>A0107</t>
  </si>
  <si>
    <t>A0108</t>
  </si>
  <si>
    <t>Install new metal splash pans</t>
  </si>
  <si>
    <t>A0109</t>
  </si>
  <si>
    <t>A0110</t>
  </si>
  <si>
    <t xml:space="preserve">Remove existing expansion joints and replace bituminous base flashing, metal counterflashing and metal joint cover </t>
  </si>
  <si>
    <t>A0111</t>
  </si>
  <si>
    <t>A0112</t>
  </si>
  <si>
    <t>A0113</t>
  </si>
  <si>
    <t>Vent Flashing</t>
  </si>
  <si>
    <t>A0114</t>
  </si>
  <si>
    <t>Remove existing pipe vent flashing and replace with new lead pipe vent flashing</t>
  </si>
  <si>
    <t>A0115</t>
  </si>
  <si>
    <t xml:space="preserve">Remove existing metal vent collars and replace with new vent collars and accessories </t>
  </si>
  <si>
    <t>Caulking</t>
  </si>
  <si>
    <t>A0116</t>
  </si>
  <si>
    <t xml:space="preserve">Install caulking </t>
  </si>
  <si>
    <t>A0117</t>
  </si>
  <si>
    <t>Remove existing caulking and replace with new sealant/caulking</t>
  </si>
  <si>
    <t>Reglet</t>
  </si>
  <si>
    <t>A0118</t>
  </si>
  <si>
    <t>Cut new Reglet In masonry</t>
  </si>
  <si>
    <t>A0119</t>
  </si>
  <si>
    <t>Cut new Reglet In concrete</t>
  </si>
  <si>
    <t>Fascia Board</t>
  </si>
  <si>
    <t>A0120</t>
  </si>
  <si>
    <t xml:space="preserve">Remove existing fascia and replace with new fascia board </t>
  </si>
  <si>
    <t>A0121</t>
  </si>
  <si>
    <t>Prime and paint fascia board</t>
  </si>
  <si>
    <t>A0122</t>
  </si>
  <si>
    <t>Cover existing fascia board with aluminum coil stock (various colors)</t>
  </si>
  <si>
    <t>A0123</t>
  </si>
  <si>
    <t>Reserved for MODs</t>
  </si>
  <si>
    <t>Asbestos Abatement</t>
  </si>
  <si>
    <t>A0124</t>
  </si>
  <si>
    <t>Additional cost incurred for the removal and disposal of asbestos containing substances.  Regular roofing only.</t>
  </si>
  <si>
    <t>A0125</t>
  </si>
  <si>
    <t xml:space="preserve">Additional cost incurred for the removal and disposal of asbestos containing substance. (Flashings, Pitch pockets, etc.) </t>
  </si>
  <si>
    <t>A0126</t>
  </si>
  <si>
    <t>Removal of lead based paint. 'Contractor removes loose paint from surface and disposes.</t>
  </si>
  <si>
    <t>Cleaning and Clearing</t>
  </si>
  <si>
    <t>A0127</t>
  </si>
  <si>
    <t>Clean and clear gutters and dispose of all debris from site.</t>
  </si>
  <si>
    <t>A0128</t>
  </si>
  <si>
    <t>Clean and Clear down spouts and remove debris from site.</t>
  </si>
  <si>
    <t>A0129</t>
  </si>
  <si>
    <t xml:space="preserve">Clean and clear roof drains </t>
  </si>
  <si>
    <t>A0130</t>
  </si>
  <si>
    <t xml:space="preserve">Provide power washing. The Contractor shall Power Wash roof surfaces and clear drain baskets. (Does not include gutter or down spout cleaning.) </t>
  </si>
  <si>
    <t>Additional Labor and Materials not accounted for in ELINs</t>
  </si>
  <si>
    <t>A0131</t>
  </si>
  <si>
    <t>Provide all materials and equipment to perform Unit Priced Labor work per the scope and delivery schedule specified in the order. Material costs shall BE NEGOTIATED BY KO.</t>
  </si>
  <si>
    <t>LS</t>
  </si>
  <si>
    <t>A0132</t>
  </si>
  <si>
    <t>Provide labor to perform all Unit Priced Labor work per the scope and delivery schedule specified in the order. MUST BE NEGOTIATED BY KO.</t>
  </si>
  <si>
    <t>HRS</t>
  </si>
  <si>
    <t>Service calls</t>
  </si>
  <si>
    <t>A0133</t>
  </si>
  <si>
    <t>Perform Service calls at PNYA and NSA-P 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</si>
  <si>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Perform Roof Survey In accordance with Attachment-B</t>
  </si>
  <si>
    <t>A0134</t>
  </si>
  <si>
    <t>Perform Roof Survey / Assessment Per SF</t>
  </si>
  <si>
    <t xml:space="preserve">NON-PREPRICED LABOR, MATERIAL  and COMMAND INTEREST WORK </t>
  </si>
  <si>
    <t>A0135</t>
  </si>
  <si>
    <t>Bldg. 1 NSAP Spring power washing, minor deficiency repairs, drain cleaning, and analysis report. 100,000 sq ft epoxy coated roofing system. (Ref Attachment E NWSS B1 NSAP.)</t>
  </si>
  <si>
    <t>EV</t>
  </si>
  <si>
    <t>A0136</t>
  </si>
  <si>
    <t>Bldg. 1 NSAP Fall drain cleaning, Roof analysis and minor repairs. 100,000 sq ft epoxy coated roofing system. (Ref Attachment E NWSS B1 NSAP.)</t>
  </si>
  <si>
    <t xml:space="preserve">Total Price for PHL BASE OPTION YEAR (IQ) (Sum of Exhibit Line Items A0001- A0136) 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</si>
  <si>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</si>
  <si>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</si>
  <si>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</si>
  <si>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</si>
  <si>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</si>
  <si>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</si>
  <si>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</si>
  <si>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</si>
  <si>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</si>
  <si>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</si>
  <si>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</si>
  <si>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</si>
  <si>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</si>
  <si>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</si>
  <si>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</si>
  <si>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</si>
  <si>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</si>
  <si>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</si>
  <si>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</si>
  <si>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</si>
  <si>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</si>
  <si>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</si>
  <si>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</si>
  <si>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</si>
  <si>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</si>
  <si>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</si>
  <si>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</si>
  <si>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</si>
  <si>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</si>
  <si>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</si>
  <si>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</si>
  <si>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</si>
  <si>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</si>
  <si>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</si>
  <si>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</si>
  <si>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</si>
  <si>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</si>
  <si>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</si>
  <si>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</si>
  <si>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</si>
  <si>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</si>
  <si>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</si>
  <si>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</si>
  <si>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</si>
  <si>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</si>
  <si>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</si>
  <si>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</si>
  <si>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</si>
  <si>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</si>
  <si>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</si>
  <si>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</si>
  <si>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</si>
  <si>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</si>
  <si>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</si>
  <si>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</si>
  <si>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</si>
  <si>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</si>
  <si>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</si>
  <si>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</si>
  <si>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</si>
  <si>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</si>
  <si>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</si>
  <si>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</si>
  <si>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</si>
  <si>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</si>
  <si>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</si>
  <si>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</si>
  <si>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</si>
  <si>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</si>
  <si>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</si>
  <si>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</si>
  <si>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</si>
  <si>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</si>
  <si>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</si>
  <si>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</si>
  <si>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</si>
  <si>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</si>
  <si>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</si>
  <si>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</si>
  <si>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</si>
  <si>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</si>
  <si>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</si>
  <si>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</si>
  <si>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</si>
  <si>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</si>
  <si>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</si>
  <si>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</si>
  <si>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</si>
  <si>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</si>
  <si>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</si>
  <si>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</si>
  <si>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</si>
  <si>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</si>
  <si>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</si>
  <si>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</si>
  <si>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</si>
  <si>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</si>
  <si>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</si>
  <si>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</si>
  <si>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</si>
  <si>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</si>
  <si>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</si>
  <si>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</si>
  <si>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</si>
  <si>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</si>
  <si>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</si>
  <si>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</si>
  <si>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</si>
  <si>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</si>
  <si>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</si>
  <si>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</si>
  <si>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</si>
  <si>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</si>
  <si>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</si>
  <si>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</si>
  <si>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</si>
  <si>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</si>
  <si>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</si>
  <si>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</si>
  <si>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</si>
  <si>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</si>
  <si>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</si>
  <si>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</si>
  <si>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</si>
  <si>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</si>
  <si>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</si>
  <si>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</si>
  <si>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</si>
  <si>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</si>
  <si>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</si>
  <si>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</si>
  <si>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</si>
  <si>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</si>
  <si>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</si>
  <si>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 xml:space="preserve">Total Price for Mech BASE OPTION YEAR (IQ) (Sum of Exhibit Line Items A0137- A0270) </t>
  </si>
  <si>
    <t xml:space="preserve">Total Combined Price for Mech and PHL BASE OPTION YEAR (IQ) (Sum of Exhibit Line Items A0001- A0270) </t>
  </si>
  <si>
    <t>Option Year 1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</si>
  <si>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</si>
  <si>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</si>
  <si>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</si>
  <si>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</si>
  <si>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</si>
  <si>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</si>
  <si>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</si>
  <si>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</si>
  <si>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</si>
  <si>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</si>
  <si>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</si>
  <si>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</si>
  <si>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</si>
  <si>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</si>
  <si>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</si>
  <si>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</si>
  <si>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</si>
  <si>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</si>
  <si>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</si>
  <si>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</si>
  <si>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</si>
  <si>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</si>
  <si>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</si>
  <si>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</si>
  <si>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</si>
  <si>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</si>
  <si>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</si>
  <si>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</si>
  <si>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</si>
  <si>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</si>
  <si>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</si>
  <si>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</si>
  <si>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</si>
  <si>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</si>
  <si>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</si>
  <si>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</si>
  <si>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</si>
  <si>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</si>
  <si>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</si>
  <si>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</si>
  <si>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</si>
  <si>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</si>
  <si>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</si>
  <si>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</si>
  <si>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</si>
  <si>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</si>
  <si>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</si>
  <si>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</si>
  <si>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</si>
  <si>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</si>
  <si>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</si>
  <si>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</si>
  <si>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</si>
  <si>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</si>
  <si>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</si>
  <si>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</si>
  <si>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</si>
  <si>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</si>
  <si>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</si>
  <si>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</si>
  <si>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</si>
  <si>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</si>
  <si>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</si>
  <si>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</si>
  <si>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</si>
  <si>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</si>
  <si>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</si>
  <si>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</si>
  <si>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</si>
  <si>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</si>
  <si>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</si>
  <si>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</si>
  <si>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</si>
  <si>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</si>
  <si>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</si>
  <si>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</si>
  <si>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</si>
  <si>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</si>
  <si>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</si>
  <si>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</si>
  <si>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</si>
  <si>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</si>
  <si>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</si>
  <si>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</si>
  <si>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</si>
  <si>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</si>
  <si>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</si>
  <si>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</si>
  <si>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</si>
  <si>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</si>
  <si>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</si>
  <si>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</si>
  <si>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</si>
  <si>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</si>
  <si>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</si>
  <si>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</si>
  <si>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</si>
  <si>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</si>
  <si>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B099</t>
  </si>
  <si>
    <t>B100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</si>
  <si>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</si>
  <si>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</si>
  <si>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</si>
  <si>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</si>
  <si>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</si>
  <si>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</si>
  <si>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</si>
  <si>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</si>
  <si>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</si>
  <si>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</si>
  <si>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</si>
  <si>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</si>
  <si>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</si>
  <si>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</si>
  <si>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</si>
  <si>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</si>
  <si>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</si>
  <si>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</si>
  <si>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</si>
  <si>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</si>
  <si>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</si>
  <si>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</si>
  <si>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</si>
  <si>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</si>
  <si>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</si>
  <si>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</si>
  <si>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</si>
  <si>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</si>
  <si>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</si>
  <si>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</si>
  <si>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</si>
  <si>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</si>
  <si>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</si>
  <si>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Perform Service calls at PNYA and NSA-P.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</si>
  <si>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B0134</t>
  </si>
  <si>
    <t>B0135</t>
  </si>
  <si>
    <t>B0136</t>
  </si>
  <si>
    <t xml:space="preserve">Total Price for PHL OPTION YEAR 1 (IQ) (Sum of Exhibit Line Items B0001- B0136) 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</si>
  <si>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</si>
  <si>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</si>
  <si>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</si>
  <si>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</si>
  <si>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</si>
  <si>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</si>
  <si>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</si>
  <si>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</si>
  <si>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</si>
  <si>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</si>
  <si>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</si>
  <si>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</si>
  <si>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</si>
  <si>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</si>
  <si>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</si>
  <si>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</si>
  <si>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</si>
  <si>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</si>
  <si>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</si>
  <si>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</si>
  <si>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</si>
  <si>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</si>
  <si>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</si>
  <si>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</si>
  <si>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</si>
  <si>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</si>
  <si>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</si>
  <si>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</si>
  <si>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</si>
  <si>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</si>
  <si>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</si>
  <si>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</si>
  <si>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</si>
  <si>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</si>
  <si>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</si>
  <si>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</si>
  <si>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</si>
  <si>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</si>
  <si>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</si>
  <si>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</si>
  <si>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</si>
  <si>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</si>
  <si>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</si>
  <si>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</si>
  <si>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</si>
  <si>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</si>
  <si>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</si>
  <si>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</si>
  <si>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</si>
  <si>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</si>
  <si>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</si>
  <si>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</si>
  <si>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</si>
  <si>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</si>
  <si>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</si>
  <si>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</si>
  <si>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</si>
  <si>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</si>
  <si>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</si>
  <si>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</si>
  <si>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</si>
  <si>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</si>
  <si>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</si>
  <si>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</si>
  <si>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</si>
  <si>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</si>
  <si>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</si>
  <si>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</si>
  <si>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</si>
  <si>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</si>
  <si>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</si>
  <si>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</si>
  <si>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</si>
  <si>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</si>
  <si>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</si>
  <si>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</si>
  <si>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</si>
  <si>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</si>
  <si>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</si>
  <si>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</si>
  <si>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</si>
  <si>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</si>
  <si>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</si>
  <si>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</si>
  <si>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</si>
  <si>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</si>
  <si>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</si>
  <si>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</si>
  <si>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</si>
  <si>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</si>
  <si>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</si>
  <si>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</si>
  <si>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</si>
  <si>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</si>
  <si>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</si>
  <si>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</si>
  <si>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</si>
  <si>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</si>
  <si>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</si>
  <si>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</si>
  <si>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</si>
  <si>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</si>
  <si>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</si>
  <si>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</si>
  <si>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</si>
  <si>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</si>
  <si>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</si>
  <si>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</si>
  <si>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</si>
  <si>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</si>
  <si>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</si>
  <si>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</si>
  <si>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</si>
  <si>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</si>
  <si>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</si>
  <si>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</si>
  <si>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</si>
  <si>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</si>
  <si>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</si>
  <si>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</si>
  <si>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</si>
  <si>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</si>
  <si>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</si>
  <si>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</si>
  <si>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</si>
  <si>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</si>
  <si>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</si>
  <si>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</si>
  <si>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</si>
  <si>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</si>
  <si>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</si>
  <si>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</si>
  <si>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</si>
  <si>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</si>
  <si>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 xml:space="preserve">Total Price for Mech OPTION YEAR 1 (IQ) (Sum of Exhibit Line Items B0137- B0270) </t>
  </si>
  <si>
    <t xml:space="preserve">Total Combined Price for Mech and PHL OPTION YEAR 1 (IQ) (Sum of Exhibit Line Items B0001- B0270) </t>
  </si>
  <si>
    <t>Option Year 2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</si>
  <si>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</si>
  <si>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</si>
  <si>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</si>
  <si>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</si>
  <si>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</si>
  <si>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</si>
  <si>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</si>
  <si>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</si>
  <si>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</si>
  <si>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</si>
  <si>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</si>
  <si>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</si>
  <si>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</si>
  <si>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</si>
  <si>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</si>
  <si>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</si>
  <si>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</si>
  <si>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</si>
  <si>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</si>
  <si>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</si>
  <si>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</si>
  <si>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</si>
  <si>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</si>
  <si>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</si>
  <si>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</si>
  <si>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</si>
  <si>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</si>
  <si>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</si>
  <si>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</si>
  <si>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</si>
  <si>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</si>
  <si>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</si>
  <si>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</si>
  <si>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</si>
  <si>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</si>
  <si>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</si>
  <si>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</si>
  <si>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</si>
  <si>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</si>
  <si>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</si>
  <si>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</si>
  <si>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</si>
  <si>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</si>
  <si>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</si>
  <si>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</si>
  <si>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</si>
  <si>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</si>
  <si>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</si>
  <si>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</si>
  <si>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</si>
  <si>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</si>
  <si>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</si>
  <si>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</si>
  <si>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</si>
  <si>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</si>
  <si>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</si>
  <si>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</si>
  <si>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</si>
  <si>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</si>
  <si>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</si>
  <si>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</si>
  <si>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</si>
  <si>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</si>
  <si>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</si>
  <si>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</si>
  <si>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</si>
  <si>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</si>
  <si>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</si>
  <si>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</si>
  <si>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</si>
  <si>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</si>
  <si>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</si>
  <si>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</si>
  <si>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</si>
  <si>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</si>
  <si>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</si>
  <si>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</si>
  <si>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</si>
  <si>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</si>
  <si>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</si>
  <si>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</si>
  <si>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</si>
  <si>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</si>
  <si>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</si>
  <si>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</si>
  <si>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</si>
  <si>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</si>
  <si>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</si>
  <si>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</si>
  <si>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</si>
  <si>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</si>
  <si>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</si>
  <si>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</si>
  <si>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</si>
  <si>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</si>
  <si>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</si>
  <si>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</si>
  <si>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</si>
  <si>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C099</t>
  </si>
  <si>
    <t>C100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</si>
  <si>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</si>
  <si>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</si>
  <si>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</si>
  <si>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</si>
  <si>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</si>
  <si>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</si>
  <si>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</si>
  <si>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</si>
  <si>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</si>
  <si>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</si>
  <si>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</si>
  <si>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</si>
  <si>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</si>
  <si>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</si>
  <si>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</si>
  <si>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</si>
  <si>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</si>
  <si>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</si>
  <si>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</si>
  <si>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</si>
  <si>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</si>
  <si>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</si>
  <si>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</si>
  <si>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</si>
  <si>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</si>
  <si>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</si>
  <si>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</si>
  <si>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</si>
  <si>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</si>
  <si>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</si>
  <si>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</si>
  <si>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</si>
  <si>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</si>
  <si>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</si>
  <si>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</si>
  <si>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</si>
  <si>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 xml:space="preserve">Total Price for PHL OPTION YEAR 2 (IQ) (Sum of Exhibit Line Items C0001- C0136) 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</si>
  <si>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</si>
  <si>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</si>
  <si>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</si>
  <si>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</si>
  <si>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</si>
  <si>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</si>
  <si>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</si>
  <si>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</si>
  <si>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</si>
  <si>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</si>
  <si>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</si>
  <si>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</si>
  <si>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</si>
  <si>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</si>
  <si>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</si>
  <si>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</si>
  <si>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</si>
  <si>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</si>
  <si>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</si>
  <si>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</si>
  <si>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</si>
  <si>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</si>
  <si>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</si>
  <si>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</si>
  <si>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</si>
  <si>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</si>
  <si>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</si>
  <si>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</si>
  <si>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</si>
  <si>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</si>
  <si>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</si>
  <si>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</si>
  <si>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</si>
  <si>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</si>
  <si>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</si>
  <si>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</si>
  <si>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</si>
  <si>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</si>
  <si>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</si>
  <si>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</si>
  <si>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</si>
  <si>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</si>
  <si>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</si>
  <si>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</si>
  <si>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</si>
  <si>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</si>
  <si>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</si>
  <si>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</si>
  <si>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</si>
  <si>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</si>
  <si>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</si>
  <si>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</si>
  <si>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</si>
  <si>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</si>
  <si>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</si>
  <si>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</si>
  <si>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</si>
  <si>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</si>
  <si>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</si>
  <si>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</si>
  <si>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</si>
  <si>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</si>
  <si>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</si>
  <si>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</si>
  <si>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</si>
  <si>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</si>
  <si>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</si>
  <si>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</si>
  <si>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</si>
  <si>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</si>
  <si>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</si>
  <si>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</si>
  <si>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</si>
  <si>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</si>
  <si>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</si>
  <si>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</si>
  <si>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</si>
  <si>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</si>
  <si>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</si>
  <si>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</si>
  <si>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</si>
  <si>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</si>
  <si>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</si>
  <si>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</si>
  <si>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</si>
  <si>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</si>
  <si>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</si>
  <si>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</si>
  <si>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</si>
  <si>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</si>
  <si>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</si>
  <si>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</si>
  <si>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</si>
  <si>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</si>
  <si>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</si>
  <si>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</si>
  <si>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</si>
  <si>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</si>
  <si>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</si>
  <si>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</si>
  <si>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</si>
  <si>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</si>
  <si>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</si>
  <si>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</si>
  <si>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</si>
  <si>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</si>
  <si>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</si>
  <si>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</si>
  <si>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</si>
  <si>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</si>
  <si>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</si>
  <si>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</si>
  <si>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</si>
  <si>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</si>
  <si>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</si>
  <si>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</si>
  <si>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</si>
  <si>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</si>
  <si>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</si>
  <si>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</si>
  <si>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</si>
  <si>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</si>
  <si>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</si>
  <si>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</si>
  <si>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</si>
  <si>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</si>
  <si>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</si>
  <si>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</si>
  <si>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</si>
  <si>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</si>
  <si>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</si>
  <si>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</si>
  <si>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</si>
  <si>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</si>
  <si>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 xml:space="preserve">Total Price for Mech OPTION YEAR 2(IQ) (Sum of Exhibit Line Items C0137- C0270) </t>
  </si>
  <si>
    <t xml:space="preserve">Total Combined Price for Mech and PHL OPTION YEAR 2 (IQ) (Sum of Exhibit Line Items C0001- C0270) </t>
  </si>
  <si>
    <t>Option Year 3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</si>
  <si>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</si>
  <si>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</si>
  <si>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</si>
  <si>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</si>
  <si>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</si>
  <si>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</si>
  <si>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</si>
  <si>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</si>
  <si>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</si>
  <si>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</si>
  <si>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</si>
  <si>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</si>
  <si>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</si>
  <si>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</si>
  <si>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</si>
  <si>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</si>
  <si>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</si>
  <si>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</si>
  <si>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</si>
  <si>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</si>
  <si>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</si>
  <si>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</si>
  <si>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</si>
  <si>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</si>
  <si>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</si>
  <si>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</si>
  <si>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</si>
  <si>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</si>
  <si>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</si>
  <si>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</si>
  <si>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</si>
  <si>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</si>
  <si>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</si>
  <si>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</si>
  <si>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</si>
  <si>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</si>
  <si>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</si>
  <si>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</si>
  <si>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</si>
  <si>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</si>
  <si>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</si>
  <si>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</si>
  <si>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</si>
  <si>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</si>
  <si>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</si>
  <si>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</si>
  <si>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</si>
  <si>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</si>
  <si>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</si>
  <si>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</si>
  <si>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</si>
  <si>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</si>
  <si>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</si>
  <si>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</si>
  <si>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</si>
  <si>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</si>
  <si>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</si>
  <si>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</si>
  <si>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</si>
  <si>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</si>
  <si>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</si>
  <si>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</si>
  <si>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</si>
  <si>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</si>
  <si>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</si>
  <si>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</si>
  <si>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</si>
  <si>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</si>
  <si>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</si>
  <si>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</si>
  <si>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</si>
  <si>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</si>
  <si>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</si>
  <si>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</si>
  <si>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</si>
  <si>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</si>
  <si>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</si>
  <si>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</si>
  <si>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</si>
  <si>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</si>
  <si>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</si>
  <si>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</si>
  <si>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</si>
  <si>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</si>
  <si>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</si>
  <si>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</si>
  <si>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</si>
  <si>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</si>
  <si>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</si>
  <si>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</si>
  <si>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</si>
  <si>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</si>
  <si>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</si>
  <si>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</si>
  <si>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</si>
  <si>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</si>
  <si>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</si>
  <si>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</si>
  <si>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D099</t>
  </si>
  <si>
    <t>D100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</si>
  <si>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</si>
  <si>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</si>
  <si>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</si>
  <si>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</si>
  <si>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</si>
  <si>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</si>
  <si>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</si>
  <si>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</si>
  <si>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</si>
  <si>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</si>
  <si>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</si>
  <si>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</si>
  <si>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</si>
  <si>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</si>
  <si>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</si>
  <si>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</si>
  <si>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</si>
  <si>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</si>
  <si>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</si>
  <si>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</si>
  <si>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</si>
  <si>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</si>
  <si>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</si>
  <si>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</si>
  <si>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</si>
  <si>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</si>
  <si>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</si>
  <si>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</si>
  <si>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</si>
  <si>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</si>
  <si>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</si>
  <si>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</si>
  <si>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</si>
  <si>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</si>
  <si>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</si>
  <si>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</si>
  <si>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 xml:space="preserve">Total Price for PHL OPTION YEAR 3 (IQ) (Sum of Exhibit Line Items D0001- D0136) 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</si>
  <si>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</si>
  <si>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</si>
  <si>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</si>
  <si>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</si>
  <si>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</si>
  <si>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</si>
  <si>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</si>
  <si>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</si>
  <si>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</si>
  <si>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</si>
  <si>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</si>
  <si>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</si>
  <si>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</si>
  <si>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</si>
  <si>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</si>
  <si>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</si>
  <si>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</si>
  <si>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</si>
  <si>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</si>
  <si>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</si>
  <si>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</si>
  <si>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</si>
  <si>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</si>
  <si>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</si>
  <si>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</si>
  <si>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</si>
  <si>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</si>
  <si>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</si>
  <si>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</si>
  <si>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</si>
  <si>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</si>
  <si>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</si>
  <si>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</si>
  <si>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</si>
  <si>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</si>
  <si>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</si>
  <si>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</si>
  <si>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</si>
  <si>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</si>
  <si>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</si>
  <si>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</si>
  <si>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</si>
  <si>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</si>
  <si>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</si>
  <si>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</si>
  <si>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</si>
  <si>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</si>
  <si>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</si>
  <si>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</si>
  <si>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</si>
  <si>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</si>
  <si>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</si>
  <si>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</si>
  <si>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</si>
  <si>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</si>
  <si>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</si>
  <si>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</si>
  <si>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</si>
  <si>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</si>
  <si>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</si>
  <si>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</si>
  <si>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</si>
  <si>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</si>
  <si>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</si>
  <si>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</si>
  <si>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</si>
  <si>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</si>
  <si>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</si>
  <si>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</si>
  <si>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</si>
  <si>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</si>
  <si>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</si>
  <si>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</si>
  <si>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</si>
  <si>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</si>
  <si>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</si>
  <si>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</si>
  <si>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</si>
  <si>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</si>
  <si>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</si>
  <si>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</si>
  <si>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</si>
  <si>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</si>
  <si>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</si>
  <si>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</si>
  <si>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</si>
  <si>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</si>
  <si>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</si>
  <si>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</si>
  <si>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</si>
  <si>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</si>
  <si>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</si>
  <si>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</si>
  <si>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</si>
  <si>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</si>
  <si>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</si>
  <si>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</si>
  <si>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</si>
  <si>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</si>
  <si>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</si>
  <si>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</si>
  <si>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</si>
  <si>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</si>
  <si>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</si>
  <si>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</si>
  <si>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</si>
  <si>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</si>
  <si>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</si>
  <si>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</si>
  <si>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</si>
  <si>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</si>
  <si>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</si>
  <si>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</si>
  <si>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</si>
  <si>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</si>
  <si>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</si>
  <si>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</si>
  <si>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</si>
  <si>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</si>
  <si>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</si>
  <si>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</si>
  <si>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</si>
  <si>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</si>
  <si>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</si>
  <si>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</si>
  <si>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</si>
  <si>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</si>
  <si>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</si>
  <si>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</si>
  <si>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</si>
  <si>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</si>
  <si>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</si>
  <si>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</si>
  <si>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</si>
  <si>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 xml:space="preserve">Total Price for Mech OPTION YEAR 3(IQ) (Sum of Exhibit Line Items D0137- D0270) </t>
  </si>
  <si>
    <t xml:space="preserve">Total Combined Price for Mech and PHL OPTION YEAR 3 (IQ) (Sum of Exhibit Line Items D0001- D0270) </t>
  </si>
  <si>
    <t>Option Year 4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</si>
  <si>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</si>
  <si>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</si>
  <si>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</si>
  <si>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</si>
  <si>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</si>
  <si>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</si>
  <si>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</si>
  <si>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</si>
  <si>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</si>
  <si>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</si>
  <si>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</si>
  <si>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</si>
  <si>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</si>
  <si>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</si>
  <si>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</si>
  <si>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</si>
  <si>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</si>
  <si>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</si>
  <si>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</si>
  <si>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</si>
  <si>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</si>
  <si>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</si>
  <si>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</si>
  <si>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</si>
  <si>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</si>
  <si>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</si>
  <si>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</si>
  <si>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</si>
  <si>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</si>
  <si>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</si>
  <si>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</si>
  <si>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</si>
  <si>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</si>
  <si>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</si>
  <si>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</si>
  <si>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</si>
  <si>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</si>
  <si>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</si>
  <si>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</si>
  <si>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</si>
  <si>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</si>
  <si>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</si>
  <si>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</si>
  <si>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</si>
  <si>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</si>
  <si>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</si>
  <si>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</si>
  <si>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</si>
  <si>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</si>
  <si>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</si>
  <si>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</si>
  <si>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</si>
  <si>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</si>
  <si>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</si>
  <si>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</si>
  <si>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</si>
  <si>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</si>
  <si>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</si>
  <si>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</si>
  <si>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</si>
  <si>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</si>
  <si>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</si>
  <si>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</si>
  <si>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</si>
  <si>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</si>
  <si>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</si>
  <si>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</si>
  <si>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</si>
  <si>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</si>
  <si>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</si>
  <si>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</si>
  <si>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</si>
  <si>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</si>
  <si>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</si>
  <si>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</si>
  <si>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</si>
  <si>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</si>
  <si>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</si>
  <si>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</si>
  <si>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</si>
  <si>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</si>
  <si>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</si>
  <si>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</si>
  <si>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</si>
  <si>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</si>
  <si>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</si>
  <si>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</si>
  <si>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</si>
  <si>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</si>
  <si>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</si>
  <si>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</si>
  <si>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</si>
  <si>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</si>
  <si>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</si>
  <si>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</si>
  <si>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</si>
  <si>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</si>
  <si>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</si>
  <si>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E099</t>
  </si>
  <si>
    <t>E100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</si>
  <si>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</si>
  <si>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</si>
  <si>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</si>
  <si>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</si>
  <si>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</si>
  <si>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</si>
  <si>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</si>
  <si>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</si>
  <si>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</si>
  <si>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</si>
  <si>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</si>
  <si>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</si>
  <si>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</si>
  <si>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</si>
  <si>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</si>
  <si>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</si>
  <si>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</si>
  <si>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</si>
  <si>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</si>
  <si>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</si>
  <si>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</si>
  <si>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</si>
  <si>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</si>
  <si>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</si>
  <si>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</si>
  <si>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</si>
  <si>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</si>
  <si>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</si>
  <si>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</si>
  <si>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</si>
  <si>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</si>
  <si>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</si>
  <si>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</si>
  <si>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</si>
  <si>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</si>
  <si>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</si>
  <si>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 xml:space="preserve">Total Price for PHL OPTION YEAR 4 (IQ) (Sum of Exhibit Line Items E0001- E0136) 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</si>
  <si>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</si>
  <si>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</si>
  <si>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</si>
  <si>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</si>
  <si>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</si>
  <si>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</si>
  <si>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</si>
  <si>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</si>
  <si>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</si>
  <si>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</si>
  <si>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</si>
  <si>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</si>
  <si>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</si>
  <si>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</si>
  <si>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</si>
  <si>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</si>
  <si>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</si>
  <si>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</si>
  <si>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</si>
  <si>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</si>
  <si>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</si>
  <si>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</si>
  <si>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</si>
  <si>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</si>
  <si>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</si>
  <si>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</si>
  <si>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</si>
  <si>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</si>
  <si>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</si>
  <si>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</si>
  <si>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</si>
  <si>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</si>
  <si>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</si>
  <si>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</si>
  <si>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</si>
  <si>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</si>
  <si>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</si>
  <si>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</si>
  <si>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</si>
  <si>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</si>
  <si>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</si>
  <si>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</si>
  <si>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</si>
  <si>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</si>
  <si>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</si>
  <si>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</si>
  <si>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</si>
  <si>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</si>
  <si>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</si>
  <si>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</si>
  <si>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</si>
  <si>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</si>
  <si>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</si>
  <si>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</si>
  <si>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</si>
  <si>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</si>
  <si>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</si>
  <si>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</si>
  <si>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</si>
  <si>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</si>
  <si>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</si>
  <si>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</si>
  <si>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</si>
  <si>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</si>
  <si>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</si>
  <si>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</si>
  <si>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</si>
  <si>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</si>
  <si>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</si>
  <si>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</si>
  <si>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</si>
  <si>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</si>
  <si>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</si>
  <si>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</si>
  <si>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</si>
  <si>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</si>
  <si>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</si>
  <si>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</si>
  <si>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</si>
  <si>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</si>
  <si>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</si>
  <si>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</si>
  <si>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</si>
  <si>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</si>
  <si>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</si>
  <si>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</si>
  <si>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</si>
  <si>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</si>
  <si>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</si>
  <si>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</si>
  <si>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</si>
  <si>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</si>
  <si>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</si>
  <si>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</si>
  <si>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</si>
  <si>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</si>
  <si>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</si>
  <si>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</si>
  <si>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</si>
  <si>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</si>
  <si>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</si>
  <si>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</si>
  <si>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</si>
  <si>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</si>
  <si>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</si>
  <si>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</si>
  <si>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</si>
  <si>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</si>
  <si>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</si>
  <si>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</si>
  <si>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</si>
  <si>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</si>
  <si>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</si>
  <si>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</si>
  <si>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</si>
  <si>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</si>
  <si>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</si>
  <si>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</si>
  <si>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</si>
  <si>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</si>
  <si>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</si>
  <si>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</si>
  <si>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</si>
  <si>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</si>
  <si>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</si>
  <si>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</si>
  <si>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</si>
  <si>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</si>
  <si>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</si>
  <si>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</si>
  <si>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</si>
  <si>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</si>
  <si>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</si>
  <si>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</si>
  <si>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 xml:space="preserve">Total Price for Mech OPTION YEAR 4 (IQ) (Sum of Exhibit Line Items E0137- E0270) </t>
  </si>
  <si>
    <t xml:space="preserve">Total Combined Price for Mech and PHL OPTION YEAR 4 (IQ) (Sum of Exhibit Line Items E0001- E0270) </t>
  </si>
  <si>
    <t xml:space="preserve"> Roofing Summary</t>
  </si>
  <si>
    <t xml:space="preserve">Base Option </t>
  </si>
  <si>
    <t>Option year 3</t>
  </si>
  <si>
    <t>Mechanicsburg Roofing Contract</t>
  </si>
  <si>
    <t>Perform Service calls at NSA-Mechanicsburg. The Contractor shall respond to service calls within 24 hours of service call request. The contractor shall make necessary repairs to roof or roof system. Service calls are limited to a combined labor and material cost not to exceed $2,500.00. (Used for leaks and other emergencies)</t>
  </si>
  <si>
    <t>A0100</t>
  </si>
  <si>
    <t>A0099</t>
  </si>
  <si>
    <t>1x</t>
  </si>
  <si>
    <t>Left Blank Intentionally</t>
  </si>
  <si>
    <t>Left Blank intentionally</t>
  </si>
  <si>
    <t>Remove and replace rigid roof insulation in conjunction with roofing systems specified herein. Average 1”x12”x12”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</si>
</sst>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2" fillId="0" borderId="1" xfId="0" applyNumberFormat="1" applyFont="1" applyBorder="1"/>
    <xf numFmtId="0" fontId="4" fillId="0" borderId="2" xfId="0" applyFont="1" applyBorder="1"/>
    <xf numFmtId="0" fontId="4" fillId="0" borderId="0" xfId="0" applyFont="1" applyBorder="1"/>
    <xf numFmtId="0" fontId="3" fillId="0" borderId="1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/>
    </xf>
    <xf numFmtId="44" fontId="3" fillId="0" borderId="15" xfId="0" applyNumberFormat="1" applyFont="1" applyBorder="1" applyAlignment="1">
      <alignment horizontal="center" vertical="top"/>
    </xf>
    <xf numFmtId="44" fontId="3" fillId="0" borderId="14" xfId="0" applyNumberFormat="1" applyFont="1" applyBorder="1" applyAlignment="1">
      <alignment horizontal="center" vertical="top"/>
    </xf>
    <xf numFmtId="0" fontId="4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44" fontId="4" fillId="0" borderId="16" xfId="0" applyNumberFormat="1" applyFont="1" applyBorder="1" applyAlignment="1">
      <alignment horizontal="center"/>
    </xf>
    <xf numFmtId="44" fontId="4" fillId="0" borderId="17" xfId="0" applyNumberFormat="1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44" fontId="4" fillId="0" borderId="17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4" fontId="4" fillId="0" borderId="16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wrapText="1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44" fontId="4" fillId="0" borderId="18" xfId="0" applyNumberFormat="1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44" fontId="3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/>
    </xf>
    <xf numFmtId="44" fontId="3" fillId="0" borderId="23" xfId="0" applyNumberFormat="1" applyFont="1" applyBorder="1" applyAlignment="1">
      <alignment horizontal="center" vertical="top"/>
    </xf>
    <xf numFmtId="44" fontId="3" fillId="0" borderId="24" xfId="0" applyNumberFormat="1" applyFont="1" applyBorder="1" applyAlignment="1">
      <alignment horizontal="center" vertical="top"/>
    </xf>
    <xf numFmtId="44" fontId="4" fillId="0" borderId="0" xfId="0" applyNumberFormat="1" applyFont="1" applyBorder="1" applyAlignment="1">
      <alignment horizontal="center"/>
    </xf>
    <xf numFmtId="44" fontId="4" fillId="0" borderId="1" xfId="0" applyNumberFormat="1" applyFont="1" applyFill="1" applyBorder="1" applyAlignment="1">
      <alignment horizontal="center"/>
    </xf>
    <xf numFmtId="44" fontId="4" fillId="0" borderId="0" xfId="0" applyNumberFormat="1" applyFont="1" applyFill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H368"/>
  <sheetViews>
    <sheetView topLeftCell="A9" zoomScaleNormal="100" workbookViewId="0">
      <selection activeCell="D200" sqref="D200"/>
    </sheetView>
  </sheetViews>
  <sheetFormatPr defaultColWidth="28.54296875" defaultRowHeight="15.5" x14ac:dyDescent="0.35"/>
  <cols>
    <col min="1" max="1" width="14.54296875" style="46" customWidth="1"/>
    <col min="2" max="2" width="53.2695312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3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46.5" x14ac:dyDescent="0.35">
      <c r="A9" s="12" t="s">
        <v>13</v>
      </c>
      <c r="B9" s="17" t="s">
        <v>14</v>
      </c>
      <c r="C9" s="14">
        <v>3</v>
      </c>
      <c r="D9" s="14" t="s">
        <v>15</v>
      </c>
      <c r="E9" s="14" t="s">
        <v>16</v>
      </c>
      <c r="F9" s="15"/>
      <c r="G9" s="16">
        <f t="shared" ref="G9:G33" si="0">F9*C9</f>
        <v>0</v>
      </c>
    </row>
    <row r="10" spans="1:7" ht="31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18</v>
      </c>
      <c r="B11" s="17" t="s">
        <v>19</v>
      </c>
      <c r="C11" s="14">
        <v>40</v>
      </c>
      <c r="D11" s="14" t="s">
        <v>20</v>
      </c>
      <c r="E11" s="14" t="s">
        <v>16</v>
      </c>
      <c r="F11" s="15"/>
      <c r="G11" s="16">
        <f t="shared" si="0"/>
        <v>0</v>
      </c>
    </row>
    <row r="12" spans="1:7" x14ac:dyDescent="0.35">
      <c r="A12" s="12" t="s">
        <v>21</v>
      </c>
      <c r="B12" s="17" t="s">
        <v>22</v>
      </c>
      <c r="C12" s="14">
        <v>40</v>
      </c>
      <c r="D12" s="14" t="s">
        <v>20</v>
      </c>
      <c r="E12" s="14" t="s">
        <v>16</v>
      </c>
      <c r="F12" s="15"/>
      <c r="G12" s="16">
        <f t="shared" si="0"/>
        <v>0</v>
      </c>
    </row>
    <row r="13" spans="1:7" x14ac:dyDescent="0.35">
      <c r="A13" s="12" t="s">
        <v>23</v>
      </c>
      <c r="B13" s="17" t="s">
        <v>24</v>
      </c>
      <c r="C13" s="14">
        <v>40</v>
      </c>
      <c r="D13" s="14" t="s">
        <v>25</v>
      </c>
      <c r="E13" s="14" t="s">
        <v>16</v>
      </c>
      <c r="F13" s="15"/>
      <c r="G13" s="16">
        <f t="shared" si="0"/>
        <v>0</v>
      </c>
    </row>
    <row r="14" spans="1:7" x14ac:dyDescent="0.35">
      <c r="A14" s="12" t="s">
        <v>26</v>
      </c>
      <c r="B14" s="17" t="s">
        <v>27</v>
      </c>
      <c r="C14" s="14">
        <v>25</v>
      </c>
      <c r="D14" s="14" t="s">
        <v>25</v>
      </c>
      <c r="E14" s="14" t="s">
        <v>16</v>
      </c>
      <c r="F14" s="15"/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/>
      <c r="G15" s="16"/>
    </row>
    <row r="16" spans="1:7" ht="46.5" x14ac:dyDescent="0.35">
      <c r="A16" s="12"/>
      <c r="B16" s="13" t="s">
        <v>1545</v>
      </c>
      <c r="C16" s="14"/>
      <c r="D16" s="14"/>
      <c r="E16" s="14"/>
      <c r="F16" s="15"/>
      <c r="G16" s="16"/>
    </row>
    <row r="17" spans="1:7" ht="31" x14ac:dyDescent="0.35">
      <c r="A17" s="12" t="s">
        <v>30</v>
      </c>
      <c r="B17" s="17" t="s">
        <v>31</v>
      </c>
      <c r="C17" s="14">
        <v>10</v>
      </c>
      <c r="D17" s="14" t="s">
        <v>20</v>
      </c>
      <c r="E17" s="14" t="s">
        <v>16</v>
      </c>
      <c r="F17" s="15"/>
      <c r="G17" s="16">
        <f t="shared" si="0"/>
        <v>0</v>
      </c>
    </row>
    <row r="18" spans="1:7" x14ac:dyDescent="0.35">
      <c r="A18" s="12" t="s">
        <v>32</v>
      </c>
      <c r="B18" s="17" t="s">
        <v>33</v>
      </c>
      <c r="C18" s="14">
        <v>10</v>
      </c>
      <c r="D18" s="14" t="s">
        <v>20</v>
      </c>
      <c r="E18" s="14" t="s">
        <v>16</v>
      </c>
      <c r="F18" s="15"/>
      <c r="G18" s="16">
        <f t="shared" si="0"/>
        <v>0</v>
      </c>
    </row>
    <row r="19" spans="1:7" ht="31" x14ac:dyDescent="0.35">
      <c r="A19" s="12" t="s">
        <v>34</v>
      </c>
      <c r="B19" s="17" t="s">
        <v>35</v>
      </c>
      <c r="C19" s="14">
        <v>10</v>
      </c>
      <c r="D19" s="14" t="s">
        <v>15</v>
      </c>
      <c r="E19" s="14" t="s">
        <v>16</v>
      </c>
      <c r="F19" s="15"/>
      <c r="G19" s="16">
        <f t="shared" si="0"/>
        <v>0</v>
      </c>
    </row>
    <row r="20" spans="1:7" ht="31" x14ac:dyDescent="0.35">
      <c r="A20" s="12" t="s">
        <v>36</v>
      </c>
      <c r="B20" s="17" t="s">
        <v>37</v>
      </c>
      <c r="C20" s="14">
        <v>5</v>
      </c>
      <c r="D20" s="14" t="s">
        <v>15</v>
      </c>
      <c r="E20" s="14" t="s">
        <v>16</v>
      </c>
      <c r="F20" s="15"/>
      <c r="G20" s="16">
        <f t="shared" si="0"/>
        <v>0</v>
      </c>
    </row>
    <row r="21" spans="1:7" ht="31" x14ac:dyDescent="0.35">
      <c r="A21" s="12" t="s">
        <v>38</v>
      </c>
      <c r="B21" s="17" t="s">
        <v>39</v>
      </c>
      <c r="C21" s="14">
        <v>30</v>
      </c>
      <c r="D21" s="14" t="s">
        <v>40</v>
      </c>
      <c r="E21" s="14" t="s">
        <v>16</v>
      </c>
      <c r="F21" s="15"/>
      <c r="G21" s="16">
        <f t="shared" si="0"/>
        <v>0</v>
      </c>
    </row>
    <row r="22" spans="1:7" ht="31" x14ac:dyDescent="0.35">
      <c r="A22" s="12" t="s">
        <v>41</v>
      </c>
      <c r="B22" s="17" t="s">
        <v>42</v>
      </c>
      <c r="C22" s="14">
        <v>30</v>
      </c>
      <c r="D22" s="14" t="s">
        <v>40</v>
      </c>
      <c r="E22" s="14" t="s">
        <v>16</v>
      </c>
      <c r="F22" s="15"/>
      <c r="G22" s="16">
        <f t="shared" si="0"/>
        <v>0</v>
      </c>
    </row>
    <row r="23" spans="1:7" ht="31" x14ac:dyDescent="0.35">
      <c r="A23" s="12" t="s">
        <v>43</v>
      </c>
      <c r="B23" s="17" t="s">
        <v>44</v>
      </c>
      <c r="C23" s="14">
        <v>100</v>
      </c>
      <c r="D23" s="14" t="s">
        <v>20</v>
      </c>
      <c r="E23" s="14" t="s">
        <v>16</v>
      </c>
      <c r="F23" s="15"/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/>
      <c r="G24" s="16"/>
    </row>
    <row r="25" spans="1:7" ht="46.5" x14ac:dyDescent="0.35">
      <c r="A25" s="12"/>
      <c r="B25" s="18" t="s">
        <v>46</v>
      </c>
      <c r="C25" s="14"/>
      <c r="D25" s="14"/>
      <c r="E25" s="14"/>
      <c r="F25" s="15"/>
      <c r="G25" s="16"/>
    </row>
    <row r="26" spans="1:7" x14ac:dyDescent="0.35">
      <c r="A26" s="12" t="s">
        <v>47</v>
      </c>
      <c r="B26" s="17" t="s">
        <v>48</v>
      </c>
      <c r="C26" s="14">
        <v>10</v>
      </c>
      <c r="D26" s="14" t="s">
        <v>15</v>
      </c>
      <c r="E26" s="14" t="s">
        <v>16</v>
      </c>
      <c r="F26" s="15"/>
      <c r="G26" s="16">
        <f t="shared" si="0"/>
        <v>0</v>
      </c>
    </row>
    <row r="27" spans="1:7" x14ac:dyDescent="0.35">
      <c r="A27" s="12" t="s">
        <v>49</v>
      </c>
      <c r="B27" s="17" t="s">
        <v>50</v>
      </c>
      <c r="C27" s="14">
        <v>6</v>
      </c>
      <c r="D27" s="14" t="s">
        <v>15</v>
      </c>
      <c r="E27" s="14" t="s">
        <v>16</v>
      </c>
      <c r="F27" s="15"/>
      <c r="G27" s="16">
        <f t="shared" si="0"/>
        <v>0</v>
      </c>
    </row>
    <row r="28" spans="1:7" x14ac:dyDescent="0.35">
      <c r="A28" s="12" t="s">
        <v>51</v>
      </c>
      <c r="B28" s="17" t="s">
        <v>52</v>
      </c>
      <c r="C28" s="14">
        <v>6</v>
      </c>
      <c r="D28" s="14" t="s">
        <v>15</v>
      </c>
      <c r="E28" s="14" t="s">
        <v>16</v>
      </c>
      <c r="F28" s="15"/>
      <c r="G28" s="16">
        <f t="shared" si="0"/>
        <v>0</v>
      </c>
    </row>
    <row r="29" spans="1:7" ht="46.5" x14ac:dyDescent="0.35">
      <c r="A29" s="12" t="s">
        <v>53</v>
      </c>
      <c r="B29" s="17" t="s">
        <v>54</v>
      </c>
      <c r="C29" s="20">
        <v>6</v>
      </c>
      <c r="D29" s="20" t="s">
        <v>15</v>
      </c>
      <c r="E29" s="20" t="s">
        <v>16</v>
      </c>
      <c r="F29" s="21"/>
      <c r="G29" s="19">
        <f>F29*C29</f>
        <v>0</v>
      </c>
    </row>
    <row r="30" spans="1:7" x14ac:dyDescent="0.35">
      <c r="A30" s="12" t="s">
        <v>55</v>
      </c>
      <c r="B30" s="17" t="s">
        <v>56</v>
      </c>
      <c r="C30" s="14">
        <v>6</v>
      </c>
      <c r="D30" s="14" t="s">
        <v>15</v>
      </c>
      <c r="E30" s="14" t="s">
        <v>16</v>
      </c>
      <c r="F30" s="15"/>
      <c r="G30" s="16">
        <f t="shared" si="0"/>
        <v>0</v>
      </c>
    </row>
    <row r="31" spans="1:7" ht="31" x14ac:dyDescent="0.35">
      <c r="A31" s="12" t="s">
        <v>57</v>
      </c>
      <c r="B31" s="17" t="s">
        <v>58</v>
      </c>
      <c r="C31" s="14">
        <v>2</v>
      </c>
      <c r="D31" s="14" t="s">
        <v>15</v>
      </c>
      <c r="E31" s="14" t="s">
        <v>16</v>
      </c>
      <c r="F31" s="15"/>
      <c r="G31" s="16">
        <f t="shared" si="0"/>
        <v>0</v>
      </c>
    </row>
    <row r="32" spans="1:7" ht="31" x14ac:dyDescent="0.35">
      <c r="A32" s="12" t="s">
        <v>59</v>
      </c>
      <c r="B32" s="17" t="s">
        <v>60</v>
      </c>
      <c r="C32" s="14">
        <v>3</v>
      </c>
      <c r="D32" s="14" t="s">
        <v>15</v>
      </c>
      <c r="E32" s="14" t="s">
        <v>16</v>
      </c>
      <c r="F32" s="15"/>
      <c r="G32" s="16">
        <f t="shared" si="0"/>
        <v>0</v>
      </c>
    </row>
    <row r="33" spans="1:7" ht="31" x14ac:dyDescent="0.35">
      <c r="A33" s="12" t="s">
        <v>61</v>
      </c>
      <c r="B33" s="17" t="s">
        <v>62</v>
      </c>
      <c r="C33" s="14">
        <v>3</v>
      </c>
      <c r="D33" s="14" t="s">
        <v>15</v>
      </c>
      <c r="E33" s="14" t="s">
        <v>16</v>
      </c>
      <c r="F33" s="15"/>
      <c r="G33" s="16">
        <f t="shared" si="0"/>
        <v>0</v>
      </c>
    </row>
    <row r="34" spans="1:7" ht="46.5" x14ac:dyDescent="0.35">
      <c r="A34" s="12"/>
      <c r="B34" s="13" t="s">
        <v>63</v>
      </c>
      <c r="C34" s="14"/>
      <c r="D34" s="14"/>
      <c r="E34" s="14"/>
      <c r="F34" s="15"/>
      <c r="G34" s="16"/>
    </row>
    <row r="35" spans="1:7" x14ac:dyDescent="0.35">
      <c r="A35" s="12" t="s">
        <v>64</v>
      </c>
      <c r="B35" s="17" t="s">
        <v>65</v>
      </c>
      <c r="C35" s="14">
        <v>20</v>
      </c>
      <c r="D35" s="14" t="s">
        <v>15</v>
      </c>
      <c r="E35" s="14" t="s">
        <v>16</v>
      </c>
      <c r="F35" s="15"/>
      <c r="G35" s="16">
        <f t="shared" ref="G35:G59" si="1">F35*C35</f>
        <v>0</v>
      </c>
    </row>
    <row r="36" spans="1:7" x14ac:dyDescent="0.35">
      <c r="A36" s="12" t="s">
        <v>66</v>
      </c>
      <c r="B36" s="17" t="s">
        <v>67</v>
      </c>
      <c r="C36" s="14">
        <v>20</v>
      </c>
      <c r="D36" s="14" t="s">
        <v>15</v>
      </c>
      <c r="E36" s="14" t="s">
        <v>16</v>
      </c>
      <c r="F36" s="15"/>
      <c r="G36" s="16">
        <f t="shared" si="1"/>
        <v>0</v>
      </c>
    </row>
    <row r="37" spans="1:7" x14ac:dyDescent="0.35">
      <c r="A37" s="12" t="s">
        <v>68</v>
      </c>
      <c r="B37" s="17" t="s">
        <v>1543</v>
      </c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/>
      <c r="G38" s="16"/>
    </row>
    <row r="39" spans="1:7" x14ac:dyDescent="0.35">
      <c r="A39" s="12" t="s">
        <v>70</v>
      </c>
      <c r="B39" s="17" t="s">
        <v>71</v>
      </c>
      <c r="C39" s="14">
        <v>12</v>
      </c>
      <c r="D39" s="14" t="s">
        <v>25</v>
      </c>
      <c r="E39" s="14" t="s">
        <v>16</v>
      </c>
      <c r="F39" s="15"/>
      <c r="G39" s="16">
        <f t="shared" si="1"/>
        <v>0</v>
      </c>
    </row>
    <row r="40" spans="1:7" x14ac:dyDescent="0.35">
      <c r="A40" s="12" t="s">
        <v>72</v>
      </c>
      <c r="B40" s="17" t="s">
        <v>73</v>
      </c>
      <c r="C40" s="14">
        <v>12</v>
      </c>
      <c r="D40" s="14" t="s">
        <v>25</v>
      </c>
      <c r="E40" s="14" t="s">
        <v>16</v>
      </c>
      <c r="F40" s="15"/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/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/>
      <c r="G42" s="16"/>
    </row>
    <row r="43" spans="1:7" x14ac:dyDescent="0.35">
      <c r="A43" s="12" t="s">
        <v>76</v>
      </c>
      <c r="B43" s="17" t="s">
        <v>77</v>
      </c>
      <c r="C43" s="14">
        <v>6</v>
      </c>
      <c r="D43" s="14" t="s">
        <v>15</v>
      </c>
      <c r="E43" s="14" t="s">
        <v>16</v>
      </c>
      <c r="F43" s="15"/>
      <c r="G43" s="16">
        <f t="shared" si="1"/>
        <v>0</v>
      </c>
    </row>
    <row r="44" spans="1:7" ht="31" x14ac:dyDescent="0.35">
      <c r="A44" s="12"/>
      <c r="B44" s="13" t="s">
        <v>78</v>
      </c>
      <c r="C44" s="14"/>
      <c r="D44" s="14"/>
      <c r="E44" s="14"/>
      <c r="F44" s="15"/>
      <c r="G44" s="16"/>
    </row>
    <row r="45" spans="1:7" x14ac:dyDescent="0.35">
      <c r="A45" s="12" t="s">
        <v>79</v>
      </c>
      <c r="B45" s="17" t="s">
        <v>80</v>
      </c>
      <c r="C45" s="14">
        <v>6</v>
      </c>
      <c r="D45" s="14" t="s">
        <v>15</v>
      </c>
      <c r="E45" s="14" t="s">
        <v>16</v>
      </c>
      <c r="F45" s="15"/>
      <c r="G45" s="16">
        <f t="shared" si="1"/>
        <v>0</v>
      </c>
    </row>
    <row r="46" spans="1:7" ht="46.5" x14ac:dyDescent="0.35">
      <c r="A46" s="12"/>
      <c r="B46" s="13" t="s">
        <v>81</v>
      </c>
      <c r="C46" s="14"/>
      <c r="D46" s="14"/>
      <c r="E46" s="14"/>
      <c r="F46" s="15"/>
      <c r="G46" s="16"/>
    </row>
    <row r="47" spans="1:7" x14ac:dyDescent="0.35">
      <c r="A47" s="12" t="s">
        <v>82</v>
      </c>
      <c r="B47" s="17" t="s">
        <v>83</v>
      </c>
      <c r="C47" s="14">
        <v>6</v>
      </c>
      <c r="D47" s="14" t="s">
        <v>15</v>
      </c>
      <c r="E47" s="14" t="s">
        <v>16</v>
      </c>
      <c r="F47" s="15"/>
      <c r="G47" s="16">
        <f t="shared" si="1"/>
        <v>0</v>
      </c>
    </row>
    <row r="48" spans="1:7" x14ac:dyDescent="0.35">
      <c r="A48" s="12" t="s">
        <v>84</v>
      </c>
      <c r="B48" s="17" t="s">
        <v>85</v>
      </c>
      <c r="C48" s="14">
        <v>6</v>
      </c>
      <c r="D48" s="14" t="s">
        <v>15</v>
      </c>
      <c r="E48" s="14" t="s">
        <v>16</v>
      </c>
      <c r="F48" s="15"/>
      <c r="G48" s="16">
        <f t="shared" si="1"/>
        <v>0</v>
      </c>
    </row>
    <row r="49" spans="1:7" ht="31" x14ac:dyDescent="0.35">
      <c r="A49" s="12" t="s">
        <v>86</v>
      </c>
      <c r="B49" s="17" t="s">
        <v>87</v>
      </c>
      <c r="C49" s="14">
        <v>50</v>
      </c>
      <c r="D49" s="14" t="s">
        <v>25</v>
      </c>
      <c r="E49" s="14" t="s">
        <v>16</v>
      </c>
      <c r="F49" s="15"/>
      <c r="G49" s="16">
        <f t="shared" si="1"/>
        <v>0</v>
      </c>
    </row>
    <row r="50" spans="1:7" ht="31" x14ac:dyDescent="0.35">
      <c r="A50" s="12" t="s">
        <v>88</v>
      </c>
      <c r="B50" s="17" t="s">
        <v>89</v>
      </c>
      <c r="C50" s="14">
        <v>12</v>
      </c>
      <c r="D50" s="14" t="s">
        <v>25</v>
      </c>
      <c r="E50" s="14" t="s">
        <v>16</v>
      </c>
      <c r="F50" s="15"/>
      <c r="G50" s="16">
        <f t="shared" si="1"/>
        <v>0</v>
      </c>
    </row>
    <row r="51" spans="1:7" ht="46.5" x14ac:dyDescent="0.35">
      <c r="A51" s="12" t="s">
        <v>90</v>
      </c>
      <c r="B51" s="17" t="s">
        <v>91</v>
      </c>
      <c r="C51" s="14">
        <v>12</v>
      </c>
      <c r="D51" s="14" t="s">
        <v>25</v>
      </c>
      <c r="E51" s="14" t="s">
        <v>16</v>
      </c>
      <c r="F51" s="15"/>
      <c r="G51" s="16">
        <f t="shared" si="1"/>
        <v>0</v>
      </c>
    </row>
    <row r="52" spans="1:7" x14ac:dyDescent="0.35">
      <c r="A52" s="12" t="s">
        <v>92</v>
      </c>
      <c r="B52" s="17" t="s">
        <v>93</v>
      </c>
      <c r="C52" s="14">
        <v>10</v>
      </c>
      <c r="D52" s="14" t="s">
        <v>15</v>
      </c>
      <c r="E52" s="14" t="s">
        <v>16</v>
      </c>
      <c r="F52" s="15"/>
      <c r="G52" s="16">
        <f t="shared" si="1"/>
        <v>0</v>
      </c>
    </row>
    <row r="53" spans="1:7" x14ac:dyDescent="0.35">
      <c r="A53" s="12" t="s">
        <v>94</v>
      </c>
      <c r="B53" s="17" t="s">
        <v>95</v>
      </c>
      <c r="C53" s="14">
        <v>100</v>
      </c>
      <c r="D53" s="14" t="s">
        <v>25</v>
      </c>
      <c r="E53" s="14" t="s">
        <v>16</v>
      </c>
      <c r="F53" s="15"/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/>
      <c r="G54" s="16"/>
    </row>
    <row r="55" spans="1:7" x14ac:dyDescent="0.35">
      <c r="A55" s="12" t="s">
        <v>97</v>
      </c>
      <c r="B55" s="17" t="s">
        <v>98</v>
      </c>
      <c r="C55" s="14">
        <v>50</v>
      </c>
      <c r="D55" s="14" t="s">
        <v>25</v>
      </c>
      <c r="E55" s="14" t="s">
        <v>16</v>
      </c>
      <c r="F55" s="15"/>
      <c r="G55" s="16">
        <f t="shared" si="1"/>
        <v>0</v>
      </c>
    </row>
    <row r="56" spans="1:7" ht="46.5" x14ac:dyDescent="0.35">
      <c r="A56" s="12"/>
      <c r="B56" s="13" t="s">
        <v>99</v>
      </c>
      <c r="C56" s="14"/>
      <c r="D56" s="14"/>
      <c r="E56" s="14"/>
      <c r="F56" s="15"/>
      <c r="G56" s="16"/>
    </row>
    <row r="57" spans="1:7" x14ac:dyDescent="0.35">
      <c r="A57" s="12" t="s">
        <v>100</v>
      </c>
      <c r="B57" s="17" t="s">
        <v>101</v>
      </c>
      <c r="C57" s="14">
        <v>10</v>
      </c>
      <c r="D57" s="14" t="s">
        <v>15</v>
      </c>
      <c r="E57" s="14" t="s">
        <v>16</v>
      </c>
      <c r="F57" s="15"/>
      <c r="G57" s="16">
        <f t="shared" si="1"/>
        <v>0</v>
      </c>
    </row>
    <row r="58" spans="1:7" x14ac:dyDescent="0.35">
      <c r="A58" s="12" t="s">
        <v>102</v>
      </c>
      <c r="B58" s="17" t="s">
        <v>103</v>
      </c>
      <c r="C58" s="14">
        <v>10</v>
      </c>
      <c r="D58" s="14" t="s">
        <v>15</v>
      </c>
      <c r="E58" s="14" t="s">
        <v>16</v>
      </c>
      <c r="F58" s="15"/>
      <c r="G58" s="16">
        <f t="shared" si="1"/>
        <v>0</v>
      </c>
    </row>
    <row r="59" spans="1:7" x14ac:dyDescent="0.35">
      <c r="A59" s="12" t="s">
        <v>104</v>
      </c>
      <c r="B59" s="17" t="s">
        <v>105</v>
      </c>
      <c r="C59" s="14">
        <v>10</v>
      </c>
      <c r="D59" s="14" t="s">
        <v>15</v>
      </c>
      <c r="E59" s="14" t="s">
        <v>16</v>
      </c>
      <c r="F59" s="15"/>
      <c r="G59" s="16">
        <f t="shared" si="1"/>
        <v>0</v>
      </c>
    </row>
    <row r="60" spans="1:7" ht="31" x14ac:dyDescent="0.35">
      <c r="A60" s="12"/>
      <c r="B60" s="13" t="s">
        <v>106</v>
      </c>
      <c r="C60" s="14"/>
      <c r="D60" s="14"/>
      <c r="E60" s="14"/>
      <c r="F60" s="15"/>
      <c r="G60" s="16"/>
    </row>
    <row r="61" spans="1:7" x14ac:dyDescent="0.35">
      <c r="A61" s="12" t="s">
        <v>107</v>
      </c>
      <c r="B61" s="17" t="s">
        <v>101</v>
      </c>
      <c r="C61" s="14">
        <v>10</v>
      </c>
      <c r="D61" s="14" t="s">
        <v>15</v>
      </c>
      <c r="E61" s="14" t="s">
        <v>16</v>
      </c>
      <c r="F61" s="15"/>
      <c r="G61" s="16">
        <f t="shared" ref="G61:G79" si="2">F61*C61</f>
        <v>0</v>
      </c>
    </row>
    <row r="62" spans="1:7" x14ac:dyDescent="0.35">
      <c r="A62" s="12" t="s">
        <v>108</v>
      </c>
      <c r="B62" s="17" t="s">
        <v>103</v>
      </c>
      <c r="C62" s="14">
        <v>10</v>
      </c>
      <c r="D62" s="14" t="s">
        <v>15</v>
      </c>
      <c r="E62" s="14" t="s">
        <v>16</v>
      </c>
      <c r="F62" s="15"/>
      <c r="G62" s="16">
        <f t="shared" si="2"/>
        <v>0</v>
      </c>
    </row>
    <row r="63" spans="1:7" x14ac:dyDescent="0.35">
      <c r="A63" s="12" t="s">
        <v>109</v>
      </c>
      <c r="B63" s="17" t="s">
        <v>105</v>
      </c>
      <c r="C63" s="14">
        <v>10</v>
      </c>
      <c r="D63" s="14" t="s">
        <v>15</v>
      </c>
      <c r="E63" s="14" t="s">
        <v>16</v>
      </c>
      <c r="F63" s="15"/>
      <c r="G63" s="16">
        <f t="shared" si="2"/>
        <v>0</v>
      </c>
    </row>
    <row r="64" spans="1:7" x14ac:dyDescent="0.35">
      <c r="A64" s="12" t="s">
        <v>110</v>
      </c>
      <c r="B64" s="17" t="s">
        <v>111</v>
      </c>
      <c r="C64" s="14">
        <v>50</v>
      </c>
      <c r="D64" s="14" t="s">
        <v>25</v>
      </c>
      <c r="E64" s="14" t="s">
        <v>16</v>
      </c>
      <c r="F64" s="15"/>
      <c r="G64" s="16">
        <f t="shared" si="2"/>
        <v>0</v>
      </c>
    </row>
    <row r="65" spans="1:7" x14ac:dyDescent="0.35">
      <c r="A65" s="12" t="s">
        <v>112</v>
      </c>
      <c r="B65" s="17" t="s">
        <v>113</v>
      </c>
      <c r="C65" s="14">
        <v>5</v>
      </c>
      <c r="D65" s="14" t="s">
        <v>114</v>
      </c>
      <c r="E65" s="14" t="s">
        <v>16</v>
      </c>
      <c r="F65" s="15"/>
      <c r="G65" s="16">
        <f t="shared" si="2"/>
        <v>0</v>
      </c>
    </row>
    <row r="66" spans="1:7" ht="18.75" customHeight="1" x14ac:dyDescent="0.35">
      <c r="A66" s="12" t="s">
        <v>115</v>
      </c>
      <c r="B66" s="17" t="s">
        <v>116</v>
      </c>
      <c r="C66" s="14">
        <v>12</v>
      </c>
      <c r="D66" s="14" t="s">
        <v>40</v>
      </c>
      <c r="E66" s="14" t="s">
        <v>16</v>
      </c>
      <c r="F66" s="15"/>
      <c r="G66" s="16">
        <f t="shared" si="2"/>
        <v>0</v>
      </c>
    </row>
    <row r="67" spans="1:7" x14ac:dyDescent="0.35">
      <c r="A67" s="12" t="s">
        <v>117</v>
      </c>
      <c r="B67" s="17" t="s">
        <v>118</v>
      </c>
      <c r="C67" s="14">
        <v>5</v>
      </c>
      <c r="D67" s="14" t="s">
        <v>114</v>
      </c>
      <c r="E67" s="14" t="s">
        <v>16</v>
      </c>
      <c r="F67" s="15"/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/>
      <c r="G68" s="16"/>
    </row>
    <row r="69" spans="1:7" x14ac:dyDescent="0.35">
      <c r="A69" s="12" t="s">
        <v>120</v>
      </c>
      <c r="B69" s="17" t="s">
        <v>121</v>
      </c>
      <c r="C69" s="14">
        <v>5</v>
      </c>
      <c r="D69" s="14" t="s">
        <v>15</v>
      </c>
      <c r="E69" s="14" t="s">
        <v>16</v>
      </c>
      <c r="F69" s="15"/>
      <c r="G69" s="16">
        <f t="shared" si="2"/>
        <v>0</v>
      </c>
    </row>
    <row r="70" spans="1:7" x14ac:dyDescent="0.35">
      <c r="A70" s="12" t="s">
        <v>122</v>
      </c>
      <c r="B70" s="17" t="s">
        <v>123</v>
      </c>
      <c r="C70" s="14">
        <v>5</v>
      </c>
      <c r="D70" s="14" t="s">
        <v>15</v>
      </c>
      <c r="E70" s="14" t="s">
        <v>16</v>
      </c>
      <c r="F70" s="15"/>
      <c r="G70" s="16">
        <f t="shared" si="2"/>
        <v>0</v>
      </c>
    </row>
    <row r="71" spans="1:7" x14ac:dyDescent="0.35">
      <c r="A71" s="12" t="s">
        <v>124</v>
      </c>
      <c r="B71" s="17" t="s">
        <v>125</v>
      </c>
      <c r="C71" s="14">
        <v>25</v>
      </c>
      <c r="D71" s="14" t="s">
        <v>25</v>
      </c>
      <c r="E71" s="14" t="s">
        <v>16</v>
      </c>
      <c r="F71" s="15"/>
      <c r="G71" s="16">
        <f t="shared" si="2"/>
        <v>0</v>
      </c>
    </row>
    <row r="72" spans="1:7" x14ac:dyDescent="0.35">
      <c r="A72" s="12" t="s">
        <v>126</v>
      </c>
      <c r="B72" s="17" t="s">
        <v>127</v>
      </c>
      <c r="C72" s="14">
        <v>5</v>
      </c>
      <c r="D72" s="14" t="s">
        <v>114</v>
      </c>
      <c r="E72" s="14" t="s">
        <v>16</v>
      </c>
      <c r="F72" s="15"/>
      <c r="G72" s="16">
        <f t="shared" si="2"/>
        <v>0</v>
      </c>
    </row>
    <row r="73" spans="1:7" ht="31" x14ac:dyDescent="0.35">
      <c r="A73" s="12"/>
      <c r="B73" s="13" t="s">
        <v>128</v>
      </c>
      <c r="C73" s="14"/>
      <c r="D73" s="14"/>
      <c r="E73" s="14"/>
      <c r="F73" s="15"/>
      <c r="G73" s="16"/>
    </row>
    <row r="74" spans="1:7" x14ac:dyDescent="0.35">
      <c r="A74" s="12" t="s">
        <v>129</v>
      </c>
      <c r="B74" s="17" t="s">
        <v>130</v>
      </c>
      <c r="C74" s="14">
        <v>25</v>
      </c>
      <c r="D74" s="14" t="s">
        <v>25</v>
      </c>
      <c r="E74" s="14" t="s">
        <v>16</v>
      </c>
      <c r="F74" s="15"/>
      <c r="G74" s="16">
        <f t="shared" si="2"/>
        <v>0</v>
      </c>
    </row>
    <row r="75" spans="1:7" x14ac:dyDescent="0.35">
      <c r="A75" s="12" t="s">
        <v>131</v>
      </c>
      <c r="B75" s="17" t="s">
        <v>132</v>
      </c>
      <c r="C75" s="14">
        <v>25</v>
      </c>
      <c r="D75" s="14" t="s">
        <v>25</v>
      </c>
      <c r="E75" s="14" t="s">
        <v>16</v>
      </c>
      <c r="F75" s="15"/>
      <c r="G75" s="16">
        <f t="shared" si="2"/>
        <v>0</v>
      </c>
    </row>
    <row r="76" spans="1:7" x14ac:dyDescent="0.35">
      <c r="A76" s="12" t="s">
        <v>133</v>
      </c>
      <c r="B76" s="17" t="s">
        <v>134</v>
      </c>
      <c r="C76" s="14">
        <v>25</v>
      </c>
      <c r="D76" s="14" t="s">
        <v>25</v>
      </c>
      <c r="E76" s="14" t="s">
        <v>16</v>
      </c>
      <c r="F76" s="15"/>
      <c r="G76" s="16">
        <f t="shared" si="2"/>
        <v>0</v>
      </c>
    </row>
    <row r="77" spans="1:7" x14ac:dyDescent="0.35">
      <c r="A77" s="12" t="s">
        <v>135</v>
      </c>
      <c r="B77" s="17" t="s">
        <v>136</v>
      </c>
      <c r="C77" s="14">
        <v>25</v>
      </c>
      <c r="D77" s="14" t="s">
        <v>25</v>
      </c>
      <c r="E77" s="14" t="s">
        <v>16</v>
      </c>
      <c r="F77" s="15"/>
      <c r="G77" s="16">
        <f t="shared" si="2"/>
        <v>0</v>
      </c>
    </row>
    <row r="78" spans="1:7" ht="31" x14ac:dyDescent="0.35">
      <c r="A78" s="12"/>
      <c r="B78" s="13" t="s">
        <v>137</v>
      </c>
      <c r="C78" s="14"/>
      <c r="D78" s="14"/>
      <c r="E78" s="14"/>
      <c r="F78" s="15"/>
      <c r="G78" s="16"/>
    </row>
    <row r="79" spans="1:7" x14ac:dyDescent="0.35">
      <c r="A79" s="12" t="s">
        <v>138</v>
      </c>
      <c r="B79" s="17" t="s">
        <v>130</v>
      </c>
      <c r="C79" s="14">
        <v>25</v>
      </c>
      <c r="D79" s="14" t="s">
        <v>25</v>
      </c>
      <c r="E79" s="14" t="s">
        <v>16</v>
      </c>
      <c r="F79" s="15"/>
      <c r="G79" s="16">
        <f t="shared" si="2"/>
        <v>0</v>
      </c>
    </row>
    <row r="80" spans="1:7" x14ac:dyDescent="0.35">
      <c r="A80" s="12" t="s">
        <v>139</v>
      </c>
      <c r="B80" s="17" t="s">
        <v>132</v>
      </c>
      <c r="C80" s="14">
        <v>25</v>
      </c>
      <c r="D80" s="14" t="s">
        <v>25</v>
      </c>
      <c r="E80" s="14" t="s">
        <v>16</v>
      </c>
      <c r="F80" s="15"/>
      <c r="G80" s="16">
        <f t="shared" ref="G80:G116" si="3">F80*C80</f>
        <v>0</v>
      </c>
    </row>
    <row r="81" spans="1:7" x14ac:dyDescent="0.35">
      <c r="A81" s="12" t="s">
        <v>140</v>
      </c>
      <c r="B81" s="17" t="s">
        <v>134</v>
      </c>
      <c r="C81" s="14">
        <v>25</v>
      </c>
      <c r="D81" s="14" t="s">
        <v>25</v>
      </c>
      <c r="E81" s="14" t="s">
        <v>16</v>
      </c>
      <c r="F81" s="15"/>
      <c r="G81" s="16">
        <f t="shared" si="3"/>
        <v>0</v>
      </c>
    </row>
    <row r="82" spans="1:7" x14ac:dyDescent="0.35">
      <c r="A82" s="12" t="s">
        <v>141</v>
      </c>
      <c r="B82" s="17" t="s">
        <v>136</v>
      </c>
      <c r="C82" s="14">
        <v>25</v>
      </c>
      <c r="D82" s="14" t="s">
        <v>25</v>
      </c>
      <c r="E82" s="14" t="s">
        <v>16</v>
      </c>
      <c r="F82" s="15"/>
      <c r="G82" s="16">
        <f t="shared" si="3"/>
        <v>0</v>
      </c>
    </row>
    <row r="83" spans="1:7" ht="31" x14ac:dyDescent="0.35">
      <c r="A83" s="12"/>
      <c r="B83" s="22" t="s">
        <v>142</v>
      </c>
      <c r="C83" s="14"/>
      <c r="D83" s="14"/>
      <c r="E83" s="14"/>
      <c r="F83" s="15"/>
      <c r="G83" s="16"/>
    </row>
    <row r="84" spans="1:7" x14ac:dyDescent="0.35">
      <c r="A84" s="12" t="s">
        <v>143</v>
      </c>
      <c r="B84" s="17" t="s">
        <v>130</v>
      </c>
      <c r="C84" s="14">
        <v>6</v>
      </c>
      <c r="D84" s="14" t="s">
        <v>40</v>
      </c>
      <c r="E84" s="14" t="s">
        <v>16</v>
      </c>
      <c r="F84" s="15"/>
      <c r="G84" s="16">
        <f t="shared" si="3"/>
        <v>0</v>
      </c>
    </row>
    <row r="85" spans="1:7" x14ac:dyDescent="0.35">
      <c r="A85" s="12" t="s">
        <v>144</v>
      </c>
      <c r="B85" s="17" t="s">
        <v>132</v>
      </c>
      <c r="C85" s="14">
        <v>6</v>
      </c>
      <c r="D85" s="14" t="s">
        <v>40</v>
      </c>
      <c r="E85" s="14" t="s">
        <v>16</v>
      </c>
      <c r="F85" s="15"/>
      <c r="G85" s="16">
        <f t="shared" si="3"/>
        <v>0</v>
      </c>
    </row>
    <row r="86" spans="1:7" x14ac:dyDescent="0.35">
      <c r="A86" s="12" t="s">
        <v>145</v>
      </c>
      <c r="B86" s="17" t="s">
        <v>134</v>
      </c>
      <c r="C86" s="14">
        <v>6</v>
      </c>
      <c r="D86" s="14" t="s">
        <v>40</v>
      </c>
      <c r="E86" s="14" t="s">
        <v>16</v>
      </c>
      <c r="F86" s="15"/>
      <c r="G86" s="16">
        <f t="shared" si="3"/>
        <v>0</v>
      </c>
    </row>
    <row r="87" spans="1:7" x14ac:dyDescent="0.35">
      <c r="A87" s="12" t="s">
        <v>146</v>
      </c>
      <c r="B87" s="17" t="s">
        <v>136</v>
      </c>
      <c r="C87" s="14">
        <v>6</v>
      </c>
      <c r="D87" s="14" t="s">
        <v>40</v>
      </c>
      <c r="E87" s="14" t="s">
        <v>16</v>
      </c>
      <c r="F87" s="15"/>
      <c r="G87" s="16">
        <f t="shared" si="3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/>
      <c r="G88" s="16"/>
    </row>
    <row r="89" spans="1:7" x14ac:dyDescent="0.35">
      <c r="A89" s="12"/>
      <c r="B89" s="13" t="s">
        <v>148</v>
      </c>
      <c r="C89" s="14"/>
      <c r="D89" s="14"/>
      <c r="E89" s="14"/>
      <c r="F89" s="15"/>
      <c r="G89" s="16"/>
    </row>
    <row r="90" spans="1:7" x14ac:dyDescent="0.35">
      <c r="A90" s="12" t="s">
        <v>149</v>
      </c>
      <c r="B90" s="17" t="s">
        <v>150</v>
      </c>
      <c r="C90" s="14">
        <v>100</v>
      </c>
      <c r="D90" s="14" t="s">
        <v>40</v>
      </c>
      <c r="E90" s="14" t="s">
        <v>16</v>
      </c>
      <c r="F90" s="15"/>
      <c r="G90" s="16">
        <f t="shared" si="3"/>
        <v>0</v>
      </c>
    </row>
    <row r="91" spans="1:7" x14ac:dyDescent="0.35">
      <c r="A91" s="12" t="s">
        <v>151</v>
      </c>
      <c r="B91" s="17" t="s">
        <v>152</v>
      </c>
      <c r="C91" s="14">
        <v>100</v>
      </c>
      <c r="D91" s="14" t="s">
        <v>40</v>
      </c>
      <c r="E91" s="14" t="s">
        <v>16</v>
      </c>
      <c r="F91" s="15"/>
      <c r="G91" s="16">
        <f t="shared" si="3"/>
        <v>0</v>
      </c>
    </row>
    <row r="92" spans="1:7" x14ac:dyDescent="0.35">
      <c r="A92" s="12" t="s">
        <v>153</v>
      </c>
      <c r="B92" s="17" t="s">
        <v>154</v>
      </c>
      <c r="C92" s="14">
        <v>100</v>
      </c>
      <c r="D92" s="14" t="s">
        <v>40</v>
      </c>
      <c r="E92" s="14" t="s">
        <v>16</v>
      </c>
      <c r="F92" s="15"/>
      <c r="G92" s="16">
        <f t="shared" si="3"/>
        <v>0</v>
      </c>
    </row>
    <row r="93" spans="1:7" x14ac:dyDescent="0.35">
      <c r="A93" s="12" t="s">
        <v>155</v>
      </c>
      <c r="B93" s="17" t="s">
        <v>156</v>
      </c>
      <c r="C93" s="14">
        <v>100</v>
      </c>
      <c r="D93" s="14" t="s">
        <v>40</v>
      </c>
      <c r="E93" s="14" t="s">
        <v>16</v>
      </c>
      <c r="F93" s="15"/>
      <c r="G93" s="16">
        <f t="shared" si="3"/>
        <v>0</v>
      </c>
    </row>
    <row r="94" spans="1:7" x14ac:dyDescent="0.35">
      <c r="A94" s="12" t="s">
        <v>157</v>
      </c>
      <c r="B94" s="17" t="s">
        <v>158</v>
      </c>
      <c r="C94" s="14">
        <v>100</v>
      </c>
      <c r="D94" s="14" t="s">
        <v>40</v>
      </c>
      <c r="E94" s="14" t="s">
        <v>16</v>
      </c>
      <c r="F94" s="15"/>
      <c r="G94" s="16">
        <f t="shared" si="3"/>
        <v>0</v>
      </c>
    </row>
    <row r="95" spans="1:7" x14ac:dyDescent="0.35">
      <c r="A95" s="12" t="s">
        <v>159</v>
      </c>
      <c r="B95" s="17" t="s">
        <v>160</v>
      </c>
      <c r="C95" s="14">
        <v>100</v>
      </c>
      <c r="D95" s="14" t="s">
        <v>40</v>
      </c>
      <c r="E95" s="14" t="s">
        <v>16</v>
      </c>
      <c r="F95" s="15"/>
      <c r="G95" s="16">
        <f t="shared" si="3"/>
        <v>0</v>
      </c>
    </row>
    <row r="96" spans="1:7" x14ac:dyDescent="0.35">
      <c r="A96" s="12" t="s">
        <v>161</v>
      </c>
      <c r="B96" s="17" t="s">
        <v>162</v>
      </c>
      <c r="C96" s="14">
        <v>100</v>
      </c>
      <c r="D96" s="14" t="s">
        <v>40</v>
      </c>
      <c r="E96" s="14" t="s">
        <v>16</v>
      </c>
      <c r="F96" s="15"/>
      <c r="G96" s="16">
        <f t="shared" si="3"/>
        <v>0</v>
      </c>
    </row>
    <row r="97" spans="1:7" x14ac:dyDescent="0.35">
      <c r="A97" s="12" t="s">
        <v>163</v>
      </c>
      <c r="B97" s="17" t="s">
        <v>164</v>
      </c>
      <c r="C97" s="14">
        <v>100</v>
      </c>
      <c r="D97" s="14" t="s">
        <v>40</v>
      </c>
      <c r="E97" s="14" t="s">
        <v>16</v>
      </c>
      <c r="F97" s="15"/>
      <c r="G97" s="16">
        <f t="shared" si="3"/>
        <v>0</v>
      </c>
    </row>
    <row r="98" spans="1:7" x14ac:dyDescent="0.35">
      <c r="A98" s="12" t="s">
        <v>165</v>
      </c>
      <c r="B98" s="17" t="s">
        <v>166</v>
      </c>
      <c r="C98" s="14">
        <v>100</v>
      </c>
      <c r="D98" s="14" t="s">
        <v>40</v>
      </c>
      <c r="E98" s="14" t="s">
        <v>16</v>
      </c>
      <c r="F98" s="15"/>
      <c r="G98" s="16">
        <f t="shared" si="3"/>
        <v>0</v>
      </c>
    </row>
    <row r="99" spans="1:7" x14ac:dyDescent="0.35">
      <c r="A99" s="12" t="s">
        <v>167</v>
      </c>
      <c r="B99" s="17" t="s">
        <v>168</v>
      </c>
      <c r="C99" s="14">
        <v>100</v>
      </c>
      <c r="D99" s="14" t="s">
        <v>40</v>
      </c>
      <c r="E99" s="14" t="s">
        <v>16</v>
      </c>
      <c r="F99" s="15"/>
      <c r="G99" s="16">
        <f t="shared" si="3"/>
        <v>0</v>
      </c>
    </row>
    <row r="100" spans="1:7" x14ac:dyDescent="0.35">
      <c r="A100" s="12" t="s">
        <v>169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/>
      <c r="G100" s="16">
        <f t="shared" si="3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/>
      <c r="G101" s="16"/>
    </row>
    <row r="102" spans="1:7" x14ac:dyDescent="0.35">
      <c r="A102" s="12" t="s">
        <v>172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/>
      <c r="G102" s="16">
        <f t="shared" si="3"/>
        <v>0</v>
      </c>
    </row>
    <row r="103" spans="1:7" x14ac:dyDescent="0.35">
      <c r="A103" s="12" t="s">
        <v>174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/>
      <c r="G103" s="16">
        <f t="shared" si="3"/>
        <v>0</v>
      </c>
    </row>
    <row r="104" spans="1:7" x14ac:dyDescent="0.35">
      <c r="A104" s="12" t="s">
        <v>176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/>
      <c r="G104" s="16">
        <f t="shared" si="3"/>
        <v>0</v>
      </c>
    </row>
    <row r="105" spans="1:7" x14ac:dyDescent="0.35">
      <c r="A105" s="12" t="s">
        <v>178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/>
      <c r="G105" s="16">
        <f t="shared" si="3"/>
        <v>0</v>
      </c>
    </row>
    <row r="106" spans="1:7" x14ac:dyDescent="0.35">
      <c r="A106" s="12" t="s">
        <v>180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/>
      <c r="G106" s="16">
        <f t="shared" si="3"/>
        <v>0</v>
      </c>
    </row>
    <row r="107" spans="1:7" x14ac:dyDescent="0.35">
      <c r="A107" s="12" t="s">
        <v>182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/>
      <c r="G107" s="16">
        <f t="shared" si="3"/>
        <v>0</v>
      </c>
    </row>
    <row r="108" spans="1:7" x14ac:dyDescent="0.35">
      <c r="A108" s="12" t="s">
        <v>184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/>
      <c r="G108" s="16">
        <f t="shared" si="3"/>
        <v>0</v>
      </c>
    </row>
    <row r="109" spans="1:7" x14ac:dyDescent="0.35">
      <c r="A109" s="12" t="s">
        <v>186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/>
      <c r="G109" s="16">
        <f t="shared" si="3"/>
        <v>0</v>
      </c>
    </row>
    <row r="110" spans="1:7" x14ac:dyDescent="0.35">
      <c r="A110" s="12" t="s">
        <v>188</v>
      </c>
      <c r="B110" s="17" t="s">
        <v>189</v>
      </c>
      <c r="C110" s="14">
        <v>5</v>
      </c>
      <c r="D110" s="14" t="s">
        <v>114</v>
      </c>
      <c r="E110" s="14" t="s">
        <v>16</v>
      </c>
      <c r="F110" s="15"/>
      <c r="G110" s="16">
        <f t="shared" si="3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/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/>
      <c r="G112" s="16"/>
    </row>
    <row r="113" spans="1:7" ht="31" x14ac:dyDescent="0.35">
      <c r="A113" s="12" t="s">
        <v>192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/>
      <c r="G113" s="16">
        <f t="shared" si="3"/>
        <v>0</v>
      </c>
    </row>
    <row r="114" spans="1:7" ht="31" x14ac:dyDescent="0.35">
      <c r="A114" s="12" t="s">
        <v>194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/>
      <c r="G114" s="16">
        <f t="shared" si="3"/>
        <v>0</v>
      </c>
    </row>
    <row r="115" spans="1:7" ht="46.5" x14ac:dyDescent="0.35">
      <c r="A115" s="12" t="s">
        <v>196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/>
      <c r="G115" s="16">
        <f t="shared" si="3"/>
        <v>0</v>
      </c>
    </row>
    <row r="116" spans="1:7" x14ac:dyDescent="0.35">
      <c r="A116" s="12" t="s">
        <v>198</v>
      </c>
      <c r="B116" s="17" t="s">
        <v>199</v>
      </c>
      <c r="C116" s="14">
        <v>3</v>
      </c>
      <c r="D116" s="14" t="s">
        <v>114</v>
      </c>
      <c r="E116" s="14" t="s">
        <v>16</v>
      </c>
      <c r="F116" s="15"/>
      <c r="G116" s="16">
        <f t="shared" si="3"/>
        <v>0</v>
      </c>
    </row>
    <row r="117" spans="1:7" x14ac:dyDescent="0.35">
      <c r="A117" s="12" t="s">
        <v>200</v>
      </c>
      <c r="B117" s="17" t="s">
        <v>201</v>
      </c>
      <c r="C117" s="14">
        <v>3</v>
      </c>
      <c r="D117" s="14" t="s">
        <v>114</v>
      </c>
      <c r="E117" s="14" t="s">
        <v>16</v>
      </c>
      <c r="F117" s="15"/>
      <c r="G117" s="16">
        <f t="shared" ref="G117:G142" si="4">F117*C117</f>
        <v>0</v>
      </c>
    </row>
    <row r="118" spans="1:7" ht="31" x14ac:dyDescent="0.35">
      <c r="A118" s="12"/>
      <c r="B118" s="13" t="s">
        <v>202</v>
      </c>
      <c r="C118" s="14"/>
      <c r="D118" s="14"/>
      <c r="E118" s="14"/>
      <c r="F118" s="15"/>
      <c r="G118" s="16"/>
    </row>
    <row r="119" spans="1:7" x14ac:dyDescent="0.35">
      <c r="A119" s="12" t="s">
        <v>203</v>
      </c>
      <c r="B119" s="17" t="s">
        <v>130</v>
      </c>
      <c r="C119" s="14">
        <v>25</v>
      </c>
      <c r="D119" s="14" t="s">
        <v>25</v>
      </c>
      <c r="E119" s="14" t="s">
        <v>16</v>
      </c>
      <c r="F119" s="15"/>
      <c r="G119" s="16">
        <f t="shared" si="4"/>
        <v>0</v>
      </c>
    </row>
    <row r="120" spans="1:7" x14ac:dyDescent="0.35">
      <c r="A120" s="12" t="s">
        <v>204</v>
      </c>
      <c r="B120" s="17" t="s">
        <v>132</v>
      </c>
      <c r="C120" s="14">
        <v>25</v>
      </c>
      <c r="D120" s="14" t="s">
        <v>25</v>
      </c>
      <c r="E120" s="14" t="s">
        <v>16</v>
      </c>
      <c r="F120" s="15"/>
      <c r="G120" s="16">
        <f t="shared" si="4"/>
        <v>0</v>
      </c>
    </row>
    <row r="121" spans="1:7" x14ac:dyDescent="0.35">
      <c r="A121" s="12" t="s">
        <v>205</v>
      </c>
      <c r="B121" s="17" t="s">
        <v>134</v>
      </c>
      <c r="C121" s="14">
        <v>25</v>
      </c>
      <c r="D121" s="14" t="s">
        <v>25</v>
      </c>
      <c r="E121" s="14" t="s">
        <v>16</v>
      </c>
      <c r="F121" s="15"/>
      <c r="G121" s="16">
        <f t="shared" si="4"/>
        <v>0</v>
      </c>
    </row>
    <row r="122" spans="1:7" x14ac:dyDescent="0.35">
      <c r="A122" s="12" t="s">
        <v>206</v>
      </c>
      <c r="B122" s="23" t="s">
        <v>136</v>
      </c>
      <c r="C122" s="14">
        <v>25</v>
      </c>
      <c r="D122" s="14" t="s">
        <v>25</v>
      </c>
      <c r="E122" s="14" t="s">
        <v>16</v>
      </c>
      <c r="F122" s="15"/>
      <c r="G122" s="16">
        <f t="shared" si="4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/>
      <c r="G123" s="16"/>
    </row>
    <row r="124" spans="1:7" x14ac:dyDescent="0.35">
      <c r="A124" s="12" t="s">
        <v>208</v>
      </c>
      <c r="B124" s="17" t="s">
        <v>130</v>
      </c>
      <c r="C124" s="14">
        <v>25</v>
      </c>
      <c r="D124" s="14" t="s">
        <v>25</v>
      </c>
      <c r="E124" s="14" t="s">
        <v>16</v>
      </c>
      <c r="F124" s="15"/>
      <c r="G124" s="16">
        <f t="shared" si="4"/>
        <v>0</v>
      </c>
    </row>
    <row r="125" spans="1:7" x14ac:dyDescent="0.35">
      <c r="A125" s="12" t="s">
        <v>209</v>
      </c>
      <c r="B125" s="17" t="s">
        <v>132</v>
      </c>
      <c r="C125" s="14">
        <v>25</v>
      </c>
      <c r="D125" s="14" t="s">
        <v>25</v>
      </c>
      <c r="E125" s="14" t="s">
        <v>16</v>
      </c>
      <c r="F125" s="15"/>
      <c r="G125" s="16">
        <f t="shared" si="4"/>
        <v>0</v>
      </c>
    </row>
    <row r="126" spans="1:7" x14ac:dyDescent="0.35">
      <c r="A126" s="12" t="s">
        <v>210</v>
      </c>
      <c r="B126" s="17" t="s">
        <v>134</v>
      </c>
      <c r="C126" s="14">
        <v>25</v>
      </c>
      <c r="D126" s="14" t="s">
        <v>25</v>
      </c>
      <c r="E126" s="14" t="s">
        <v>16</v>
      </c>
      <c r="F126" s="15"/>
      <c r="G126" s="16">
        <f t="shared" si="4"/>
        <v>0</v>
      </c>
    </row>
    <row r="127" spans="1:7" x14ac:dyDescent="0.35">
      <c r="A127" s="12" t="s">
        <v>211</v>
      </c>
      <c r="B127" s="17" t="s">
        <v>136</v>
      </c>
      <c r="C127" s="14">
        <v>25</v>
      </c>
      <c r="D127" s="14" t="s">
        <v>25</v>
      </c>
      <c r="E127" s="14" t="s">
        <v>16</v>
      </c>
      <c r="F127" s="15"/>
      <c r="G127" s="16">
        <f t="shared" si="4"/>
        <v>0</v>
      </c>
    </row>
    <row r="128" spans="1:7" x14ac:dyDescent="0.35">
      <c r="A128" s="12" t="s">
        <v>212</v>
      </c>
      <c r="B128" s="17" t="s">
        <v>213</v>
      </c>
      <c r="C128" s="14">
        <v>25</v>
      </c>
      <c r="D128" s="14" t="s">
        <v>25</v>
      </c>
      <c r="E128" s="14" t="s">
        <v>16</v>
      </c>
      <c r="F128" s="15"/>
      <c r="G128" s="16">
        <f t="shared" si="4"/>
        <v>0</v>
      </c>
    </row>
    <row r="129" spans="1:7" ht="16.5" customHeight="1" x14ac:dyDescent="0.35">
      <c r="A129" s="12"/>
      <c r="B129" s="13" t="s">
        <v>214</v>
      </c>
      <c r="C129" s="14"/>
      <c r="D129" s="14"/>
      <c r="E129" s="14"/>
      <c r="F129" s="15"/>
      <c r="G129" s="16"/>
    </row>
    <row r="130" spans="1:7" x14ac:dyDescent="0.35">
      <c r="A130" s="12" t="s">
        <v>215</v>
      </c>
      <c r="B130" s="17" t="s">
        <v>130</v>
      </c>
      <c r="C130" s="14">
        <v>2</v>
      </c>
      <c r="D130" s="14" t="s">
        <v>25</v>
      </c>
      <c r="E130" s="14" t="s">
        <v>16</v>
      </c>
      <c r="F130" s="15"/>
      <c r="G130" s="16">
        <f t="shared" si="4"/>
        <v>0</v>
      </c>
    </row>
    <row r="131" spans="1:7" x14ac:dyDescent="0.35">
      <c r="A131" s="12" t="s">
        <v>216</v>
      </c>
      <c r="B131" s="17" t="s">
        <v>132</v>
      </c>
      <c r="C131" s="14">
        <v>2</v>
      </c>
      <c r="D131" s="14" t="s">
        <v>25</v>
      </c>
      <c r="E131" s="14" t="s">
        <v>16</v>
      </c>
      <c r="F131" s="15"/>
      <c r="G131" s="16">
        <f t="shared" si="4"/>
        <v>0</v>
      </c>
    </row>
    <row r="132" spans="1:7" x14ac:dyDescent="0.35">
      <c r="A132" s="12" t="s">
        <v>217</v>
      </c>
      <c r="B132" s="17" t="s">
        <v>218</v>
      </c>
      <c r="C132" s="14">
        <v>2</v>
      </c>
      <c r="D132" s="14" t="s">
        <v>25</v>
      </c>
      <c r="E132" s="14" t="s">
        <v>16</v>
      </c>
      <c r="F132" s="15"/>
      <c r="G132" s="16">
        <f t="shared" si="4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/>
      <c r="G133" s="16"/>
    </row>
    <row r="134" spans="1:7" x14ac:dyDescent="0.35">
      <c r="A134" s="12" t="s">
        <v>1541</v>
      </c>
      <c r="B134" s="17" t="s">
        <v>220</v>
      </c>
      <c r="C134" s="14">
        <v>1</v>
      </c>
      <c r="D134" s="14" t="s">
        <v>114</v>
      </c>
      <c r="E134" s="14" t="s">
        <v>16</v>
      </c>
      <c r="F134" s="15"/>
      <c r="G134" s="16">
        <f t="shared" si="4"/>
        <v>0</v>
      </c>
    </row>
    <row r="135" spans="1:7" x14ac:dyDescent="0.35">
      <c r="A135" s="12" t="s">
        <v>1540</v>
      </c>
      <c r="B135" s="17" t="s">
        <v>221</v>
      </c>
      <c r="C135" s="14">
        <v>2</v>
      </c>
      <c r="D135" s="14" t="s">
        <v>114</v>
      </c>
      <c r="E135" s="14" t="s">
        <v>16</v>
      </c>
      <c r="F135" s="15"/>
      <c r="G135" s="16">
        <f t="shared" si="4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/>
      <c r="G136" s="16"/>
    </row>
    <row r="137" spans="1:7" x14ac:dyDescent="0.35">
      <c r="A137" s="12" t="s">
        <v>223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/>
      <c r="G137" s="16">
        <f t="shared" si="4"/>
        <v>0</v>
      </c>
    </row>
    <row r="138" spans="1:7" x14ac:dyDescent="0.35">
      <c r="A138" s="12" t="s">
        <v>225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/>
      <c r="G138" s="16">
        <f t="shared" si="4"/>
        <v>0</v>
      </c>
    </row>
    <row r="139" spans="1:7" x14ac:dyDescent="0.35">
      <c r="A139" s="12" t="s">
        <v>227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/>
      <c r="G139" s="16">
        <f t="shared" si="4"/>
        <v>0</v>
      </c>
    </row>
    <row r="140" spans="1:7" x14ac:dyDescent="0.35">
      <c r="A140" s="12" t="s">
        <v>228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/>
      <c r="G140" s="16">
        <f t="shared" si="4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/>
      <c r="G141" s="16"/>
    </row>
    <row r="142" spans="1:7" x14ac:dyDescent="0.35">
      <c r="A142" s="12" t="s">
        <v>230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/>
      <c r="G142" s="16">
        <f t="shared" si="4"/>
        <v>0</v>
      </c>
    </row>
    <row r="143" spans="1:7" x14ac:dyDescent="0.35">
      <c r="A143" s="12" t="s">
        <v>231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/>
      <c r="G143" s="16">
        <f t="shared" ref="G143:G166" si="5">F143*C143</f>
        <v>0</v>
      </c>
    </row>
    <row r="144" spans="1:7" ht="31" x14ac:dyDescent="0.35">
      <c r="A144" s="12"/>
      <c r="B144" s="13" t="s">
        <v>232</v>
      </c>
      <c r="C144" s="14"/>
      <c r="D144" s="14"/>
      <c r="E144" s="14"/>
      <c r="F144" s="15"/>
      <c r="G144" s="16"/>
    </row>
    <row r="145" spans="1:7" x14ac:dyDescent="0.35">
      <c r="A145" s="12" t="s">
        <v>233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/>
      <c r="G145" s="16">
        <f t="shared" si="5"/>
        <v>0</v>
      </c>
    </row>
    <row r="146" spans="1:7" x14ac:dyDescent="0.35">
      <c r="A146" s="12" t="s">
        <v>234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/>
      <c r="G146" s="16">
        <f t="shared" si="5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/>
      <c r="G147" s="16"/>
    </row>
    <row r="148" spans="1:7" x14ac:dyDescent="0.35">
      <c r="A148" s="12" t="s">
        <v>236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/>
      <c r="G148" s="16">
        <f t="shared" si="5"/>
        <v>0</v>
      </c>
    </row>
    <row r="149" spans="1:7" x14ac:dyDescent="0.35">
      <c r="A149" s="12" t="s">
        <v>237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/>
      <c r="G149" s="16">
        <f t="shared" si="5"/>
        <v>0</v>
      </c>
    </row>
    <row r="150" spans="1:7" ht="46.5" x14ac:dyDescent="0.35">
      <c r="A150" s="12"/>
      <c r="B150" s="13" t="s">
        <v>238</v>
      </c>
      <c r="C150" s="14"/>
      <c r="D150" s="14"/>
      <c r="E150" s="14"/>
      <c r="F150" s="15"/>
      <c r="G150" s="16"/>
    </row>
    <row r="151" spans="1:7" x14ac:dyDescent="0.35">
      <c r="A151" s="12" t="s">
        <v>239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/>
      <c r="G151" s="16">
        <f t="shared" si="5"/>
        <v>0</v>
      </c>
    </row>
    <row r="152" spans="1:7" x14ac:dyDescent="0.35">
      <c r="A152" s="12" t="s">
        <v>240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/>
      <c r="G152" s="16">
        <f t="shared" si="5"/>
        <v>0</v>
      </c>
    </row>
    <row r="153" spans="1:7" x14ac:dyDescent="0.35">
      <c r="A153" s="12" t="s">
        <v>241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/>
      <c r="G153" s="16">
        <f t="shared" si="5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/>
      <c r="G154" s="16"/>
    </row>
    <row r="155" spans="1:7" ht="31" x14ac:dyDescent="0.35">
      <c r="A155" s="12" t="s">
        <v>243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/>
      <c r="G155" s="16">
        <f t="shared" si="5"/>
        <v>0</v>
      </c>
    </row>
    <row r="156" spans="1:7" ht="31" x14ac:dyDescent="0.35">
      <c r="A156" s="12" t="s">
        <v>245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/>
      <c r="G156" s="16">
        <f t="shared" si="5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/>
      <c r="G157" s="16"/>
    </row>
    <row r="158" spans="1:7" x14ac:dyDescent="0.35">
      <c r="A158" s="12" t="s">
        <v>248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/>
      <c r="G158" s="16">
        <f t="shared" si="5"/>
        <v>0</v>
      </c>
    </row>
    <row r="159" spans="1:7" ht="31" x14ac:dyDescent="0.35">
      <c r="A159" s="12" t="s">
        <v>250</v>
      </c>
      <c r="B159" s="17" t="s">
        <v>251</v>
      </c>
      <c r="C159" s="14">
        <v>50</v>
      </c>
      <c r="D159" s="14" t="s">
        <v>40</v>
      </c>
      <c r="E159" s="14" t="s">
        <v>16</v>
      </c>
      <c r="F159" s="15"/>
      <c r="G159" s="16">
        <f t="shared" si="5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/>
      <c r="G160" s="16"/>
    </row>
    <row r="161" spans="1:7" x14ac:dyDescent="0.35">
      <c r="A161" s="12" t="s">
        <v>253</v>
      </c>
      <c r="B161" s="17" t="s">
        <v>254</v>
      </c>
      <c r="C161" s="14">
        <v>50</v>
      </c>
      <c r="D161" s="14" t="s">
        <v>40</v>
      </c>
      <c r="E161" s="14" t="s">
        <v>16</v>
      </c>
      <c r="F161" s="15"/>
      <c r="G161" s="16">
        <f t="shared" si="5"/>
        <v>0</v>
      </c>
    </row>
    <row r="162" spans="1:7" x14ac:dyDescent="0.35">
      <c r="A162" s="12" t="s">
        <v>255</v>
      </c>
      <c r="B162" s="17" t="s">
        <v>256</v>
      </c>
      <c r="C162" s="14">
        <v>50</v>
      </c>
      <c r="D162" s="14" t="s">
        <v>40</v>
      </c>
      <c r="E162" s="14" t="s">
        <v>16</v>
      </c>
      <c r="F162" s="15"/>
      <c r="G162" s="16">
        <f t="shared" si="5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/>
      <c r="G163" s="16"/>
    </row>
    <row r="164" spans="1:7" ht="31" x14ac:dyDescent="0.35">
      <c r="A164" s="12" t="s">
        <v>258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/>
      <c r="G164" s="16">
        <f t="shared" si="5"/>
        <v>0</v>
      </c>
    </row>
    <row r="165" spans="1:7" x14ac:dyDescent="0.35">
      <c r="A165" s="12" t="s">
        <v>260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/>
      <c r="G165" s="16">
        <f t="shared" si="5"/>
        <v>0</v>
      </c>
    </row>
    <row r="166" spans="1:7" ht="31" x14ac:dyDescent="0.35">
      <c r="A166" s="12" t="s">
        <v>262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/>
      <c r="G166" s="16">
        <f t="shared" si="5"/>
        <v>0</v>
      </c>
    </row>
    <row r="167" spans="1:7" x14ac:dyDescent="0.35">
      <c r="A167" s="12" t="s">
        <v>264</v>
      </c>
      <c r="B167" s="13" t="s">
        <v>265</v>
      </c>
      <c r="C167" s="14">
        <v>0</v>
      </c>
      <c r="D167" s="14"/>
      <c r="E167" s="14" t="s">
        <v>16</v>
      </c>
      <c r="F167" s="15"/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/>
      <c r="G168" s="16"/>
    </row>
    <row r="169" spans="1:7" ht="39" customHeight="1" x14ac:dyDescent="0.35">
      <c r="A169" s="12" t="s">
        <v>267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/>
      <c r="G169" s="16">
        <f t="shared" ref="G169:G183" si="6">F169*C169</f>
        <v>0</v>
      </c>
    </row>
    <row r="170" spans="1:7" ht="46.5" x14ac:dyDescent="0.35">
      <c r="A170" s="12" t="s">
        <v>269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/>
      <c r="G170" s="16">
        <f t="shared" si="6"/>
        <v>0</v>
      </c>
    </row>
    <row r="171" spans="1:7" ht="31" x14ac:dyDescent="0.35">
      <c r="A171" s="12" t="s">
        <v>271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/>
      <c r="G171" s="16">
        <f t="shared" si="6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/>
      <c r="G172" s="16"/>
    </row>
    <row r="173" spans="1:7" ht="31" x14ac:dyDescent="0.35">
      <c r="A173" s="12" t="s">
        <v>274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/>
      <c r="G173" s="16">
        <f>F173*C173</f>
        <v>0</v>
      </c>
    </row>
    <row r="174" spans="1:7" ht="31" x14ac:dyDescent="0.35">
      <c r="A174" s="12" t="s">
        <v>276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/>
      <c r="G174" s="16">
        <f>F174*C174</f>
        <v>0</v>
      </c>
    </row>
    <row r="175" spans="1:7" x14ac:dyDescent="0.35">
      <c r="A175" s="12" t="s">
        <v>278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/>
      <c r="G175" s="16">
        <f>F175*C175</f>
        <v>0</v>
      </c>
    </row>
    <row r="176" spans="1:7" ht="46.5" x14ac:dyDescent="0.35">
      <c r="A176" s="12" t="s">
        <v>280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/>
      <c r="G176" s="16">
        <f>F176*C176</f>
        <v>0</v>
      </c>
    </row>
    <row r="177" spans="1:8" ht="31" x14ac:dyDescent="0.35">
      <c r="A177" s="12"/>
      <c r="B177" s="13" t="s">
        <v>282</v>
      </c>
      <c r="C177" s="14"/>
      <c r="D177" s="14"/>
      <c r="E177" s="14"/>
      <c r="F177" s="15"/>
      <c r="G177" s="16"/>
    </row>
    <row r="178" spans="1:8" ht="62" x14ac:dyDescent="0.35">
      <c r="A178" s="12" t="s">
        <v>283</v>
      </c>
      <c r="B178" s="17" t="s">
        <v>284</v>
      </c>
      <c r="C178" s="14">
        <v>1</v>
      </c>
      <c r="D178" s="14" t="s">
        <v>285</v>
      </c>
      <c r="E178" s="14" t="s">
        <v>16</v>
      </c>
      <c r="F178" s="15"/>
      <c r="G178" s="16">
        <f t="shared" si="6"/>
        <v>0</v>
      </c>
    </row>
    <row r="179" spans="1:8" ht="46.5" x14ac:dyDescent="0.35">
      <c r="A179" s="12" t="s">
        <v>286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/>
      <c r="G179" s="16">
        <f t="shared" si="6"/>
        <v>0</v>
      </c>
    </row>
    <row r="180" spans="1:8" x14ac:dyDescent="0.35">
      <c r="A180" s="12"/>
      <c r="B180" s="13" t="s">
        <v>289</v>
      </c>
      <c r="C180" s="14"/>
      <c r="D180" s="14"/>
      <c r="E180" s="14"/>
      <c r="F180" s="15"/>
      <c r="G180" s="16"/>
    </row>
    <row r="181" spans="1:8" ht="108.5" x14ac:dyDescent="0.35">
      <c r="A181" s="12" t="s">
        <v>290</v>
      </c>
      <c r="B181" s="17" t="s">
        <v>291</v>
      </c>
      <c r="C181" s="14">
        <v>20</v>
      </c>
      <c r="D181" s="14" t="s">
        <v>114</v>
      </c>
      <c r="E181" s="14" t="s">
        <v>16</v>
      </c>
      <c r="F181" s="15"/>
      <c r="G181" s="16">
        <f t="shared" si="6"/>
        <v>0</v>
      </c>
    </row>
    <row r="182" spans="1:8" ht="31" x14ac:dyDescent="0.35">
      <c r="A182" s="12"/>
      <c r="B182" s="13" t="s">
        <v>292</v>
      </c>
      <c r="C182" s="14"/>
      <c r="D182" s="14"/>
      <c r="E182" s="14"/>
      <c r="F182" s="15"/>
      <c r="G182" s="16"/>
    </row>
    <row r="183" spans="1:8" x14ac:dyDescent="0.35">
      <c r="A183" s="12" t="s">
        <v>293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/>
      <c r="G183" s="16">
        <f t="shared" si="6"/>
        <v>0</v>
      </c>
    </row>
    <row r="184" spans="1:8" ht="31" x14ac:dyDescent="0.35">
      <c r="A184" s="12"/>
      <c r="B184" s="13" t="s">
        <v>295</v>
      </c>
      <c r="C184" s="14"/>
      <c r="D184" s="14"/>
      <c r="E184" s="14"/>
      <c r="F184" s="15"/>
      <c r="G184" s="16"/>
    </row>
    <row r="185" spans="1:8" ht="62" x14ac:dyDescent="0.35">
      <c r="A185" s="12" t="s">
        <v>296</v>
      </c>
      <c r="B185" s="31" t="s">
        <v>297</v>
      </c>
      <c r="C185" s="14">
        <v>1</v>
      </c>
      <c r="D185" s="14" t="s">
        <v>298</v>
      </c>
      <c r="E185" s="14" t="s">
        <v>16</v>
      </c>
      <c r="F185" s="15"/>
      <c r="G185" s="16">
        <f>F185</f>
        <v>0</v>
      </c>
    </row>
    <row r="186" spans="1:8" ht="62.5" thickBot="1" x14ac:dyDescent="0.4">
      <c r="A186" s="12" t="s">
        <v>299</v>
      </c>
      <c r="B186" s="17" t="s">
        <v>300</v>
      </c>
      <c r="C186" s="14">
        <v>1</v>
      </c>
      <c r="D186" s="14" t="s">
        <v>298</v>
      </c>
      <c r="E186" s="14" t="s">
        <v>16</v>
      </c>
      <c r="F186" s="15"/>
      <c r="G186" s="32">
        <f>F186</f>
        <v>0</v>
      </c>
    </row>
    <row r="187" spans="1:8" ht="31" x14ac:dyDescent="0.35">
      <c r="A187" s="12"/>
      <c r="B187" s="13" t="s">
        <v>301</v>
      </c>
      <c r="C187" s="14"/>
      <c r="D187" s="14"/>
      <c r="E187" s="14"/>
      <c r="F187" s="33"/>
      <c r="G187" s="34">
        <f>SUM(G9:G186)</f>
        <v>0</v>
      </c>
    </row>
    <row r="188" spans="1:8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8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8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8" ht="46.5" x14ac:dyDescent="0.35">
      <c r="A191" s="12" t="s">
        <v>302</v>
      </c>
      <c r="B191" s="17" t="s">
        <v>14</v>
      </c>
      <c r="C191" s="14">
        <v>3</v>
      </c>
      <c r="D191" s="14" t="s">
        <v>15</v>
      </c>
      <c r="E191" s="14" t="s">
        <v>16</v>
      </c>
      <c r="F191" s="15"/>
      <c r="G191" s="33">
        <f t="shared" ref="G191" si="7">F191*C191</f>
        <v>0</v>
      </c>
      <c r="H191" s="41"/>
    </row>
    <row r="192" spans="1:8" ht="31" x14ac:dyDescent="0.35">
      <c r="A192" s="12"/>
      <c r="B192" s="18" t="s">
        <v>17</v>
      </c>
      <c r="C192" s="14"/>
      <c r="D192" s="14"/>
      <c r="E192" s="14"/>
      <c r="F192" s="15"/>
      <c r="G192" s="42"/>
      <c r="H192" s="41"/>
    </row>
    <row r="193" spans="1:8" x14ac:dyDescent="0.35">
      <c r="A193" s="12" t="s">
        <v>303</v>
      </c>
      <c r="B193" s="17" t="s">
        <v>19</v>
      </c>
      <c r="C193" s="14">
        <v>40</v>
      </c>
      <c r="D193" s="14" t="s">
        <v>20</v>
      </c>
      <c r="E193" s="14" t="s">
        <v>16</v>
      </c>
      <c r="F193" s="15"/>
      <c r="G193" s="33">
        <f t="shared" ref="G193:G196" si="8">F193*C193</f>
        <v>0</v>
      </c>
      <c r="H193" s="41"/>
    </row>
    <row r="194" spans="1:8" x14ac:dyDescent="0.35">
      <c r="A194" s="12" t="s">
        <v>304</v>
      </c>
      <c r="B194" s="17" t="s">
        <v>22</v>
      </c>
      <c r="C194" s="14">
        <v>40</v>
      </c>
      <c r="D194" s="14" t="s">
        <v>20</v>
      </c>
      <c r="E194" s="14" t="s">
        <v>16</v>
      </c>
      <c r="F194" s="15"/>
      <c r="G194" s="33">
        <f t="shared" si="8"/>
        <v>0</v>
      </c>
      <c r="H194" s="41"/>
    </row>
    <row r="195" spans="1:8" x14ac:dyDescent="0.35">
      <c r="A195" s="12" t="s">
        <v>305</v>
      </c>
      <c r="B195" s="17" t="s">
        <v>24</v>
      </c>
      <c r="C195" s="14">
        <v>40</v>
      </c>
      <c r="D195" s="14" t="s">
        <v>25</v>
      </c>
      <c r="E195" s="14" t="s">
        <v>16</v>
      </c>
      <c r="F195" s="15"/>
      <c r="G195" s="33">
        <f t="shared" si="8"/>
        <v>0</v>
      </c>
      <c r="H195" s="41"/>
    </row>
    <row r="196" spans="1:8" x14ac:dyDescent="0.35">
      <c r="A196" s="12" t="s">
        <v>306</v>
      </c>
      <c r="B196" s="17" t="s">
        <v>27</v>
      </c>
      <c r="C196" s="14">
        <v>25</v>
      </c>
      <c r="D196" s="14" t="s">
        <v>25</v>
      </c>
      <c r="E196" s="14" t="s">
        <v>16</v>
      </c>
      <c r="F196" s="15"/>
      <c r="G196" s="33">
        <f t="shared" si="8"/>
        <v>0</v>
      </c>
      <c r="H196" s="41"/>
    </row>
    <row r="197" spans="1:8" x14ac:dyDescent="0.35">
      <c r="A197" s="12"/>
      <c r="B197" s="13" t="s">
        <v>28</v>
      </c>
      <c r="C197" s="14"/>
      <c r="D197" s="14"/>
      <c r="E197" s="14"/>
      <c r="F197" s="15"/>
      <c r="G197" s="33"/>
      <c r="H197" s="41"/>
    </row>
    <row r="198" spans="1:8" ht="46.5" x14ac:dyDescent="0.35">
      <c r="A198" s="12"/>
      <c r="B198" s="13" t="s">
        <v>1545</v>
      </c>
      <c r="C198" s="14"/>
      <c r="D198" s="14"/>
      <c r="E198" s="14"/>
      <c r="F198" s="15"/>
      <c r="G198" s="33"/>
      <c r="H198" s="41"/>
    </row>
    <row r="199" spans="1:8" ht="31" x14ac:dyDescent="0.35">
      <c r="A199" s="12" t="s">
        <v>307</v>
      </c>
      <c r="B199" s="17" t="s">
        <v>31</v>
      </c>
      <c r="C199" s="14">
        <v>10</v>
      </c>
      <c r="D199" s="14" t="s">
        <v>20</v>
      </c>
      <c r="E199" s="14" t="s">
        <v>16</v>
      </c>
      <c r="F199" s="15"/>
      <c r="G199" s="33">
        <f t="shared" ref="G199:G205" si="9">F199*C199</f>
        <v>0</v>
      </c>
      <c r="H199" s="41"/>
    </row>
    <row r="200" spans="1:8" x14ac:dyDescent="0.35">
      <c r="A200" s="12" t="s">
        <v>308</v>
      </c>
      <c r="B200" s="17" t="s">
        <v>33</v>
      </c>
      <c r="C200" s="14">
        <v>10</v>
      </c>
      <c r="D200" s="14" t="s">
        <v>20</v>
      </c>
      <c r="E200" s="14" t="s">
        <v>16</v>
      </c>
      <c r="F200" s="15"/>
      <c r="G200" s="33">
        <f t="shared" si="9"/>
        <v>0</v>
      </c>
      <c r="H200" s="41"/>
    </row>
    <row r="201" spans="1:8" ht="31" x14ac:dyDescent="0.35">
      <c r="A201" s="12" t="s">
        <v>309</v>
      </c>
      <c r="B201" s="17" t="s">
        <v>35</v>
      </c>
      <c r="C201" s="14">
        <v>10</v>
      </c>
      <c r="D201" s="14" t="s">
        <v>15</v>
      </c>
      <c r="E201" s="14" t="s">
        <v>16</v>
      </c>
      <c r="F201" s="15"/>
      <c r="G201" s="33">
        <f t="shared" si="9"/>
        <v>0</v>
      </c>
      <c r="H201" s="41"/>
    </row>
    <row r="202" spans="1:8" ht="31" x14ac:dyDescent="0.35">
      <c r="A202" s="12" t="s">
        <v>310</v>
      </c>
      <c r="B202" s="17" t="s">
        <v>37</v>
      </c>
      <c r="C202" s="14">
        <v>5</v>
      </c>
      <c r="D202" s="14" t="s">
        <v>15</v>
      </c>
      <c r="E202" s="14" t="s">
        <v>16</v>
      </c>
      <c r="F202" s="15"/>
      <c r="G202" s="33">
        <f t="shared" si="9"/>
        <v>0</v>
      </c>
      <c r="H202" s="41"/>
    </row>
    <row r="203" spans="1:8" ht="31" x14ac:dyDescent="0.35">
      <c r="A203" s="12" t="s">
        <v>311</v>
      </c>
      <c r="B203" s="17" t="s">
        <v>39</v>
      </c>
      <c r="C203" s="14">
        <v>30</v>
      </c>
      <c r="D203" s="14" t="s">
        <v>40</v>
      </c>
      <c r="E203" s="14" t="s">
        <v>16</v>
      </c>
      <c r="F203" s="15"/>
      <c r="G203" s="33">
        <f t="shared" si="9"/>
        <v>0</v>
      </c>
      <c r="H203" s="41"/>
    </row>
    <row r="204" spans="1:8" ht="31" x14ac:dyDescent="0.35">
      <c r="A204" s="12" t="s">
        <v>312</v>
      </c>
      <c r="B204" s="17" t="s">
        <v>42</v>
      </c>
      <c r="C204" s="14">
        <v>30</v>
      </c>
      <c r="D204" s="14" t="s">
        <v>40</v>
      </c>
      <c r="E204" s="14" t="s">
        <v>16</v>
      </c>
      <c r="F204" s="15"/>
      <c r="G204" s="33">
        <f t="shared" si="9"/>
        <v>0</v>
      </c>
      <c r="H204" s="41"/>
    </row>
    <row r="205" spans="1:8" ht="31" x14ac:dyDescent="0.35">
      <c r="A205" s="12" t="s">
        <v>313</v>
      </c>
      <c r="B205" s="17" t="s">
        <v>44</v>
      </c>
      <c r="C205" s="14">
        <v>100</v>
      </c>
      <c r="D205" s="14" t="s">
        <v>20</v>
      </c>
      <c r="E205" s="14" t="s">
        <v>16</v>
      </c>
      <c r="F205" s="15"/>
      <c r="G205" s="33">
        <f t="shared" si="9"/>
        <v>0</v>
      </c>
      <c r="H205" s="41"/>
    </row>
    <row r="206" spans="1:8" x14ac:dyDescent="0.35">
      <c r="A206" s="12"/>
      <c r="B206" s="18" t="s">
        <v>45</v>
      </c>
      <c r="C206" s="14"/>
      <c r="D206" s="14"/>
      <c r="E206" s="14"/>
      <c r="F206" s="15"/>
      <c r="G206" s="33"/>
      <c r="H206" s="41"/>
    </row>
    <row r="207" spans="1:8" ht="46.5" x14ac:dyDescent="0.35">
      <c r="A207" s="12"/>
      <c r="B207" s="18" t="s">
        <v>46</v>
      </c>
      <c r="C207" s="14"/>
      <c r="D207" s="14"/>
      <c r="E207" s="14"/>
      <c r="F207" s="15"/>
      <c r="G207" s="33"/>
      <c r="H207" s="41"/>
    </row>
    <row r="208" spans="1:8" x14ac:dyDescent="0.35">
      <c r="A208" s="12" t="s">
        <v>314</v>
      </c>
      <c r="B208" s="17" t="s">
        <v>48</v>
      </c>
      <c r="C208" s="14">
        <v>10</v>
      </c>
      <c r="D208" s="14" t="s">
        <v>15</v>
      </c>
      <c r="E208" s="14" t="s">
        <v>16</v>
      </c>
      <c r="F208" s="15"/>
      <c r="G208" s="33">
        <f t="shared" ref="G208:G210" si="10">F208*C208</f>
        <v>0</v>
      </c>
      <c r="H208" s="41"/>
    </row>
    <row r="209" spans="1:8" x14ac:dyDescent="0.35">
      <c r="A209" s="12" t="s">
        <v>315</v>
      </c>
      <c r="B209" s="17" t="s">
        <v>50</v>
      </c>
      <c r="C209" s="14">
        <v>6</v>
      </c>
      <c r="D209" s="14" t="s">
        <v>15</v>
      </c>
      <c r="E209" s="14" t="s">
        <v>16</v>
      </c>
      <c r="F209" s="15"/>
      <c r="G209" s="33">
        <f t="shared" si="10"/>
        <v>0</v>
      </c>
      <c r="H209" s="41"/>
    </row>
    <row r="210" spans="1:8" x14ac:dyDescent="0.35">
      <c r="A210" s="12" t="s">
        <v>316</v>
      </c>
      <c r="B210" s="17" t="s">
        <v>52</v>
      </c>
      <c r="C210" s="14">
        <v>6</v>
      </c>
      <c r="D210" s="14" t="s">
        <v>15</v>
      </c>
      <c r="E210" s="14" t="s">
        <v>16</v>
      </c>
      <c r="F210" s="15"/>
      <c r="G210" s="33">
        <f t="shared" si="10"/>
        <v>0</v>
      </c>
      <c r="H210" s="41"/>
    </row>
    <row r="211" spans="1:8" ht="46.5" x14ac:dyDescent="0.35">
      <c r="A211" s="12" t="s">
        <v>317</v>
      </c>
      <c r="B211" s="17" t="s">
        <v>54</v>
      </c>
      <c r="C211" s="20">
        <v>6</v>
      </c>
      <c r="D211" s="20" t="s">
        <v>15</v>
      </c>
      <c r="E211" s="20" t="s">
        <v>16</v>
      </c>
      <c r="F211" s="21"/>
      <c r="G211" s="42">
        <f>F211*C211</f>
        <v>0</v>
      </c>
      <c r="H211" s="43"/>
    </row>
    <row r="212" spans="1:8" x14ac:dyDescent="0.35">
      <c r="A212" s="12" t="s">
        <v>318</v>
      </c>
      <c r="B212" s="17" t="s">
        <v>56</v>
      </c>
      <c r="C212" s="14">
        <v>6</v>
      </c>
      <c r="D212" s="14" t="s">
        <v>15</v>
      </c>
      <c r="E212" s="14" t="s">
        <v>16</v>
      </c>
      <c r="F212" s="15"/>
      <c r="G212" s="33">
        <f t="shared" ref="G212:G215" si="11">F212*C212</f>
        <v>0</v>
      </c>
      <c r="H212" s="41"/>
    </row>
    <row r="213" spans="1:8" ht="31" x14ac:dyDescent="0.35">
      <c r="A213" s="12" t="s">
        <v>319</v>
      </c>
      <c r="B213" s="17" t="s">
        <v>58</v>
      </c>
      <c r="C213" s="14">
        <v>2</v>
      </c>
      <c r="D213" s="14" t="s">
        <v>15</v>
      </c>
      <c r="E213" s="14" t="s">
        <v>16</v>
      </c>
      <c r="F213" s="15"/>
      <c r="G213" s="33">
        <f t="shared" si="11"/>
        <v>0</v>
      </c>
      <c r="H213" s="41"/>
    </row>
    <row r="214" spans="1:8" ht="31" x14ac:dyDescent="0.35">
      <c r="A214" s="12" t="s">
        <v>320</v>
      </c>
      <c r="B214" s="17" t="s">
        <v>60</v>
      </c>
      <c r="C214" s="14">
        <v>3</v>
      </c>
      <c r="D214" s="14" t="s">
        <v>15</v>
      </c>
      <c r="E214" s="14" t="s">
        <v>16</v>
      </c>
      <c r="F214" s="15"/>
      <c r="G214" s="33">
        <f t="shared" si="11"/>
        <v>0</v>
      </c>
      <c r="H214" s="41"/>
    </row>
    <row r="215" spans="1:8" ht="31" x14ac:dyDescent="0.35">
      <c r="A215" s="12" t="s">
        <v>321</v>
      </c>
      <c r="B215" s="17" t="s">
        <v>62</v>
      </c>
      <c r="C215" s="14">
        <v>3</v>
      </c>
      <c r="D215" s="14" t="s">
        <v>15</v>
      </c>
      <c r="E215" s="14" t="s">
        <v>16</v>
      </c>
      <c r="F215" s="15"/>
      <c r="G215" s="33">
        <f t="shared" si="11"/>
        <v>0</v>
      </c>
      <c r="H215" s="41"/>
    </row>
    <row r="216" spans="1:8" ht="46.5" x14ac:dyDescent="0.35">
      <c r="A216" s="12"/>
      <c r="B216" s="13" t="s">
        <v>63</v>
      </c>
      <c r="C216" s="14"/>
      <c r="D216" s="14"/>
      <c r="E216" s="14"/>
      <c r="F216" s="15"/>
      <c r="G216" s="33"/>
      <c r="H216" s="41"/>
    </row>
    <row r="217" spans="1:8" x14ac:dyDescent="0.35">
      <c r="A217" s="12" t="s">
        <v>322</v>
      </c>
      <c r="B217" s="17" t="s">
        <v>65</v>
      </c>
      <c r="C217" s="14">
        <v>20</v>
      </c>
      <c r="D217" s="14" t="s">
        <v>15</v>
      </c>
      <c r="E217" s="14" t="s">
        <v>16</v>
      </c>
      <c r="F217" s="15"/>
      <c r="G217" s="33">
        <f t="shared" ref="G217:G218" si="12">F217*C217</f>
        <v>0</v>
      </c>
      <c r="H217" s="41"/>
    </row>
    <row r="218" spans="1:8" x14ac:dyDescent="0.35">
      <c r="A218" s="12" t="s">
        <v>323</v>
      </c>
      <c r="B218" s="17" t="s">
        <v>67</v>
      </c>
      <c r="C218" s="14">
        <v>20</v>
      </c>
      <c r="D218" s="14" t="s">
        <v>15</v>
      </c>
      <c r="E218" s="14" t="s">
        <v>16</v>
      </c>
      <c r="F218" s="15"/>
      <c r="G218" s="33">
        <f t="shared" si="12"/>
        <v>0</v>
      </c>
      <c r="H218" s="41"/>
    </row>
    <row r="219" spans="1:8" x14ac:dyDescent="0.35">
      <c r="A219" s="12" t="s">
        <v>324</v>
      </c>
      <c r="B219" s="17" t="s">
        <v>1543</v>
      </c>
      <c r="C219" s="14"/>
      <c r="D219" s="14"/>
      <c r="E219" s="14"/>
      <c r="F219" s="15"/>
      <c r="G219" s="16"/>
    </row>
    <row r="220" spans="1:8" x14ac:dyDescent="0.35">
      <c r="A220" s="12"/>
      <c r="B220" s="13" t="s">
        <v>69</v>
      </c>
      <c r="C220" s="14"/>
      <c r="D220" s="14"/>
      <c r="E220" s="14"/>
      <c r="F220" s="15"/>
      <c r="G220" s="33"/>
      <c r="H220" s="41"/>
    </row>
    <row r="221" spans="1:8" x14ac:dyDescent="0.35">
      <c r="A221" s="12" t="s">
        <v>325</v>
      </c>
      <c r="B221" s="17" t="s">
        <v>71</v>
      </c>
      <c r="C221" s="14">
        <v>12</v>
      </c>
      <c r="D221" s="14" t="s">
        <v>25</v>
      </c>
      <c r="E221" s="14" t="s">
        <v>16</v>
      </c>
      <c r="F221" s="15"/>
      <c r="G221" s="33">
        <f t="shared" ref="G221:G222" si="13">F221*C221</f>
        <v>0</v>
      </c>
      <c r="H221" s="41"/>
    </row>
    <row r="222" spans="1:8" x14ac:dyDescent="0.35">
      <c r="A222" s="12" t="s">
        <v>326</v>
      </c>
      <c r="B222" s="17" t="s">
        <v>73</v>
      </c>
      <c r="C222" s="14">
        <v>12</v>
      </c>
      <c r="D222" s="14" t="s">
        <v>25</v>
      </c>
      <c r="E222" s="14" t="s">
        <v>16</v>
      </c>
      <c r="F222" s="15"/>
      <c r="G222" s="33">
        <f t="shared" si="13"/>
        <v>0</v>
      </c>
      <c r="H222" s="41"/>
    </row>
    <row r="223" spans="1:8" x14ac:dyDescent="0.35">
      <c r="A223" s="12"/>
      <c r="B223" s="13" t="s">
        <v>74</v>
      </c>
      <c r="C223" s="14"/>
      <c r="D223" s="14"/>
      <c r="E223" s="14"/>
      <c r="F223" s="15"/>
      <c r="G223" s="33"/>
      <c r="H223" s="41"/>
    </row>
    <row r="224" spans="1:8" ht="31" x14ac:dyDescent="0.35">
      <c r="A224" s="12"/>
      <c r="B224" s="13" t="s">
        <v>75</v>
      </c>
      <c r="C224" s="14"/>
      <c r="D224" s="14"/>
      <c r="E224" s="14"/>
      <c r="F224" s="15"/>
      <c r="G224" s="33"/>
      <c r="H224" s="41"/>
    </row>
    <row r="225" spans="1:8" x14ac:dyDescent="0.35">
      <c r="A225" s="12" t="s">
        <v>327</v>
      </c>
      <c r="B225" s="17" t="s">
        <v>77</v>
      </c>
      <c r="C225" s="14">
        <v>6</v>
      </c>
      <c r="D225" s="14" t="s">
        <v>15</v>
      </c>
      <c r="E225" s="14" t="s">
        <v>16</v>
      </c>
      <c r="F225" s="15"/>
      <c r="G225" s="33">
        <f t="shared" ref="G225" si="14">F225*C225</f>
        <v>0</v>
      </c>
      <c r="H225" s="41"/>
    </row>
    <row r="226" spans="1:8" ht="31" x14ac:dyDescent="0.35">
      <c r="A226" s="12"/>
      <c r="B226" s="13" t="s">
        <v>78</v>
      </c>
      <c r="C226" s="14"/>
      <c r="D226" s="14"/>
      <c r="E226" s="14"/>
      <c r="F226" s="15"/>
      <c r="G226" s="33"/>
      <c r="H226" s="41"/>
    </row>
    <row r="227" spans="1:8" x14ac:dyDescent="0.35">
      <c r="A227" s="12" t="s">
        <v>328</v>
      </c>
      <c r="B227" s="17" t="s">
        <v>80</v>
      </c>
      <c r="C227" s="14">
        <v>6</v>
      </c>
      <c r="D227" s="14" t="s">
        <v>15</v>
      </c>
      <c r="E227" s="14" t="s">
        <v>16</v>
      </c>
      <c r="F227" s="15"/>
      <c r="G227" s="33">
        <f t="shared" ref="G227" si="15">F227*C227</f>
        <v>0</v>
      </c>
      <c r="H227" s="41"/>
    </row>
    <row r="228" spans="1:8" ht="46.5" x14ac:dyDescent="0.35">
      <c r="A228" s="12"/>
      <c r="B228" s="13" t="s">
        <v>81</v>
      </c>
      <c r="C228" s="14"/>
      <c r="D228" s="14"/>
      <c r="E228" s="14"/>
      <c r="F228" s="15"/>
      <c r="G228" s="33"/>
      <c r="H228" s="41"/>
    </row>
    <row r="229" spans="1:8" x14ac:dyDescent="0.35">
      <c r="A229" s="12" t="s">
        <v>329</v>
      </c>
      <c r="B229" s="17" t="s">
        <v>83</v>
      </c>
      <c r="C229" s="14">
        <v>6</v>
      </c>
      <c r="D229" s="14" t="s">
        <v>15</v>
      </c>
      <c r="E229" s="14" t="s">
        <v>16</v>
      </c>
      <c r="F229" s="15"/>
      <c r="G229" s="33">
        <f t="shared" ref="G229:G235" si="16">F229*C229</f>
        <v>0</v>
      </c>
      <c r="H229" s="41"/>
    </row>
    <row r="230" spans="1:8" x14ac:dyDescent="0.35">
      <c r="A230" s="12" t="s">
        <v>330</v>
      </c>
      <c r="B230" s="17" t="s">
        <v>85</v>
      </c>
      <c r="C230" s="14">
        <v>6</v>
      </c>
      <c r="D230" s="14" t="s">
        <v>15</v>
      </c>
      <c r="E230" s="14" t="s">
        <v>16</v>
      </c>
      <c r="F230" s="15"/>
      <c r="G230" s="33">
        <f t="shared" si="16"/>
        <v>0</v>
      </c>
      <c r="H230" s="41"/>
    </row>
    <row r="231" spans="1:8" ht="31" x14ac:dyDescent="0.35">
      <c r="A231" s="12" t="s">
        <v>331</v>
      </c>
      <c r="B231" s="17" t="s">
        <v>87</v>
      </c>
      <c r="C231" s="14">
        <v>50</v>
      </c>
      <c r="D231" s="14" t="s">
        <v>25</v>
      </c>
      <c r="E231" s="14" t="s">
        <v>16</v>
      </c>
      <c r="F231" s="15"/>
      <c r="G231" s="33">
        <f t="shared" si="16"/>
        <v>0</v>
      </c>
      <c r="H231" s="41"/>
    </row>
    <row r="232" spans="1:8" ht="31" x14ac:dyDescent="0.35">
      <c r="A232" s="12" t="s">
        <v>332</v>
      </c>
      <c r="B232" s="17" t="s">
        <v>89</v>
      </c>
      <c r="C232" s="14">
        <v>12</v>
      </c>
      <c r="D232" s="14" t="s">
        <v>25</v>
      </c>
      <c r="E232" s="14" t="s">
        <v>16</v>
      </c>
      <c r="F232" s="15"/>
      <c r="G232" s="33">
        <f t="shared" si="16"/>
        <v>0</v>
      </c>
      <c r="H232" s="41"/>
    </row>
    <row r="233" spans="1:8" ht="46.5" x14ac:dyDescent="0.35">
      <c r="A233" s="12" t="s">
        <v>333</v>
      </c>
      <c r="B233" s="17" t="s">
        <v>91</v>
      </c>
      <c r="C233" s="14">
        <v>12</v>
      </c>
      <c r="D233" s="14" t="s">
        <v>25</v>
      </c>
      <c r="E233" s="14" t="s">
        <v>16</v>
      </c>
      <c r="F233" s="15"/>
      <c r="G233" s="33">
        <f t="shared" si="16"/>
        <v>0</v>
      </c>
      <c r="H233" s="41"/>
    </row>
    <row r="234" spans="1:8" x14ac:dyDescent="0.35">
      <c r="A234" s="12" t="s">
        <v>334</v>
      </c>
      <c r="B234" s="17" t="s">
        <v>93</v>
      </c>
      <c r="C234" s="14">
        <v>10</v>
      </c>
      <c r="D234" s="14" t="s">
        <v>15</v>
      </c>
      <c r="E234" s="14" t="s">
        <v>16</v>
      </c>
      <c r="F234" s="15"/>
      <c r="G234" s="33">
        <f t="shared" si="16"/>
        <v>0</v>
      </c>
      <c r="H234" s="41"/>
    </row>
    <row r="235" spans="1:8" x14ac:dyDescent="0.35">
      <c r="A235" s="12" t="s">
        <v>335</v>
      </c>
      <c r="B235" s="17" t="s">
        <v>95</v>
      </c>
      <c r="C235" s="14">
        <v>100</v>
      </c>
      <c r="D235" s="14" t="s">
        <v>25</v>
      </c>
      <c r="E235" s="14" t="s">
        <v>16</v>
      </c>
      <c r="F235" s="15"/>
      <c r="G235" s="33">
        <f t="shared" si="16"/>
        <v>0</v>
      </c>
      <c r="H235" s="41"/>
    </row>
    <row r="236" spans="1:8" x14ac:dyDescent="0.35">
      <c r="A236" s="12"/>
      <c r="B236" s="13" t="s">
        <v>96</v>
      </c>
      <c r="C236" s="14"/>
      <c r="D236" s="14"/>
      <c r="E236" s="14"/>
      <c r="F236" s="15"/>
      <c r="G236" s="33"/>
      <c r="H236" s="41"/>
    </row>
    <row r="237" spans="1:8" x14ac:dyDescent="0.35">
      <c r="A237" s="12" t="s">
        <v>336</v>
      </c>
      <c r="B237" s="17" t="s">
        <v>98</v>
      </c>
      <c r="C237" s="14">
        <v>50</v>
      </c>
      <c r="D237" s="14" t="s">
        <v>25</v>
      </c>
      <c r="E237" s="14" t="s">
        <v>16</v>
      </c>
      <c r="F237" s="15"/>
      <c r="G237" s="33">
        <f t="shared" ref="G237" si="17">F237*C237</f>
        <v>0</v>
      </c>
      <c r="H237" s="41"/>
    </row>
    <row r="238" spans="1:8" ht="46.5" x14ac:dyDescent="0.35">
      <c r="A238" s="12"/>
      <c r="B238" s="13" t="s">
        <v>99</v>
      </c>
      <c r="C238" s="14"/>
      <c r="D238" s="14"/>
      <c r="E238" s="14"/>
      <c r="F238" s="15"/>
      <c r="G238" s="33"/>
      <c r="H238" s="41"/>
    </row>
    <row r="239" spans="1:8" x14ac:dyDescent="0.35">
      <c r="A239" s="12" t="s">
        <v>337</v>
      </c>
      <c r="B239" s="17" t="s">
        <v>101</v>
      </c>
      <c r="C239" s="14">
        <v>10</v>
      </c>
      <c r="D239" s="14" t="s">
        <v>15</v>
      </c>
      <c r="E239" s="14" t="s">
        <v>16</v>
      </c>
      <c r="F239" s="15"/>
      <c r="G239" s="33">
        <f t="shared" ref="G239:G241" si="18">F239*C239</f>
        <v>0</v>
      </c>
      <c r="H239" s="41"/>
    </row>
    <row r="240" spans="1:8" x14ac:dyDescent="0.35">
      <c r="A240" s="12" t="s">
        <v>338</v>
      </c>
      <c r="B240" s="17" t="s">
        <v>103</v>
      </c>
      <c r="C240" s="14">
        <v>10</v>
      </c>
      <c r="D240" s="14" t="s">
        <v>15</v>
      </c>
      <c r="E240" s="14" t="s">
        <v>16</v>
      </c>
      <c r="F240" s="15"/>
      <c r="G240" s="33">
        <f t="shared" si="18"/>
        <v>0</v>
      </c>
      <c r="H240" s="41"/>
    </row>
    <row r="241" spans="1:8" x14ac:dyDescent="0.35">
      <c r="A241" s="12" t="s">
        <v>339</v>
      </c>
      <c r="B241" s="17" t="s">
        <v>105</v>
      </c>
      <c r="C241" s="14">
        <v>10</v>
      </c>
      <c r="D241" s="14" t="s">
        <v>15</v>
      </c>
      <c r="E241" s="14" t="s">
        <v>16</v>
      </c>
      <c r="F241" s="15"/>
      <c r="G241" s="33">
        <f t="shared" si="18"/>
        <v>0</v>
      </c>
      <c r="H241" s="41"/>
    </row>
    <row r="242" spans="1:8" ht="31" x14ac:dyDescent="0.35">
      <c r="A242" s="12"/>
      <c r="B242" s="13" t="s">
        <v>106</v>
      </c>
      <c r="C242" s="14"/>
      <c r="D242" s="14"/>
      <c r="E242" s="14"/>
      <c r="F242" s="15"/>
      <c r="G242" s="33"/>
      <c r="H242" s="41"/>
    </row>
    <row r="243" spans="1:8" x14ac:dyDescent="0.35">
      <c r="A243" s="12" t="s">
        <v>340</v>
      </c>
      <c r="B243" s="17" t="s">
        <v>101</v>
      </c>
      <c r="C243" s="14">
        <v>10</v>
      </c>
      <c r="D243" s="14" t="s">
        <v>15</v>
      </c>
      <c r="E243" s="14" t="s">
        <v>16</v>
      </c>
      <c r="F243" s="15"/>
      <c r="G243" s="33">
        <f t="shared" ref="G243:G249" si="19">F243*C243</f>
        <v>0</v>
      </c>
      <c r="H243" s="41"/>
    </row>
    <row r="244" spans="1:8" x14ac:dyDescent="0.35">
      <c r="A244" s="12" t="s">
        <v>341</v>
      </c>
      <c r="B244" s="17" t="s">
        <v>103</v>
      </c>
      <c r="C244" s="14">
        <v>10</v>
      </c>
      <c r="D244" s="14" t="s">
        <v>15</v>
      </c>
      <c r="E244" s="14" t="s">
        <v>16</v>
      </c>
      <c r="F244" s="15"/>
      <c r="G244" s="33">
        <f t="shared" si="19"/>
        <v>0</v>
      </c>
      <c r="H244" s="41"/>
    </row>
    <row r="245" spans="1:8" x14ac:dyDescent="0.35">
      <c r="A245" s="12" t="s">
        <v>342</v>
      </c>
      <c r="B245" s="17" t="s">
        <v>105</v>
      </c>
      <c r="C245" s="14">
        <v>10</v>
      </c>
      <c r="D245" s="14" t="s">
        <v>15</v>
      </c>
      <c r="E245" s="14" t="s">
        <v>16</v>
      </c>
      <c r="F245" s="15"/>
      <c r="G245" s="33">
        <f t="shared" si="19"/>
        <v>0</v>
      </c>
      <c r="H245" s="41"/>
    </row>
    <row r="246" spans="1:8" x14ac:dyDescent="0.35">
      <c r="A246" s="12" t="s">
        <v>343</v>
      </c>
      <c r="B246" s="17" t="s">
        <v>111</v>
      </c>
      <c r="C246" s="14">
        <v>50</v>
      </c>
      <c r="D246" s="14" t="s">
        <v>25</v>
      </c>
      <c r="E246" s="14" t="s">
        <v>16</v>
      </c>
      <c r="F246" s="15"/>
      <c r="G246" s="33">
        <f t="shared" si="19"/>
        <v>0</v>
      </c>
      <c r="H246" s="41"/>
    </row>
    <row r="247" spans="1:8" x14ac:dyDescent="0.35">
      <c r="A247" s="12" t="s">
        <v>344</v>
      </c>
      <c r="B247" s="17" t="s">
        <v>113</v>
      </c>
      <c r="C247" s="14">
        <v>5</v>
      </c>
      <c r="D247" s="14" t="s">
        <v>114</v>
      </c>
      <c r="E247" s="14" t="s">
        <v>16</v>
      </c>
      <c r="F247" s="15"/>
      <c r="G247" s="33">
        <f t="shared" si="19"/>
        <v>0</v>
      </c>
      <c r="H247" s="41"/>
    </row>
    <row r="248" spans="1:8" x14ac:dyDescent="0.35">
      <c r="A248" s="12" t="s">
        <v>345</v>
      </c>
      <c r="B248" s="17" t="s">
        <v>116</v>
      </c>
      <c r="C248" s="14">
        <v>12</v>
      </c>
      <c r="D248" s="14" t="s">
        <v>40</v>
      </c>
      <c r="E248" s="14" t="s">
        <v>16</v>
      </c>
      <c r="F248" s="15"/>
      <c r="G248" s="33">
        <f t="shared" si="19"/>
        <v>0</v>
      </c>
      <c r="H248" s="41"/>
    </row>
    <row r="249" spans="1:8" x14ac:dyDescent="0.35">
      <c r="A249" s="12" t="s">
        <v>346</v>
      </c>
      <c r="B249" s="17" t="s">
        <v>118</v>
      </c>
      <c r="C249" s="14">
        <v>5</v>
      </c>
      <c r="D249" s="14" t="s">
        <v>114</v>
      </c>
      <c r="E249" s="14" t="s">
        <v>16</v>
      </c>
      <c r="F249" s="15"/>
      <c r="G249" s="33">
        <f t="shared" si="19"/>
        <v>0</v>
      </c>
      <c r="H249" s="41"/>
    </row>
    <row r="250" spans="1:8" ht="31" x14ac:dyDescent="0.35">
      <c r="A250" s="12"/>
      <c r="B250" s="13" t="s">
        <v>119</v>
      </c>
      <c r="C250" s="14"/>
      <c r="D250" s="14"/>
      <c r="E250" s="14"/>
      <c r="F250" s="15"/>
      <c r="G250" s="33"/>
      <c r="H250" s="41"/>
    </row>
    <row r="251" spans="1:8" x14ac:dyDescent="0.35">
      <c r="A251" s="12" t="s">
        <v>347</v>
      </c>
      <c r="B251" s="17" t="s">
        <v>121</v>
      </c>
      <c r="C251" s="14">
        <v>5</v>
      </c>
      <c r="D251" s="14" t="s">
        <v>15</v>
      </c>
      <c r="E251" s="14" t="s">
        <v>16</v>
      </c>
      <c r="F251" s="15"/>
      <c r="G251" s="33">
        <f t="shared" ref="G251:G254" si="20">F251*C251</f>
        <v>0</v>
      </c>
      <c r="H251" s="41"/>
    </row>
    <row r="252" spans="1:8" x14ac:dyDescent="0.35">
      <c r="A252" s="12" t="s">
        <v>348</v>
      </c>
      <c r="B252" s="17" t="s">
        <v>123</v>
      </c>
      <c r="C252" s="14">
        <v>5</v>
      </c>
      <c r="D252" s="14" t="s">
        <v>15</v>
      </c>
      <c r="E252" s="14" t="s">
        <v>16</v>
      </c>
      <c r="F252" s="15"/>
      <c r="G252" s="33">
        <f t="shared" si="20"/>
        <v>0</v>
      </c>
      <c r="H252" s="41"/>
    </row>
    <row r="253" spans="1:8" x14ac:dyDescent="0.35">
      <c r="A253" s="12" t="s">
        <v>349</v>
      </c>
      <c r="B253" s="17" t="s">
        <v>125</v>
      </c>
      <c r="C253" s="14">
        <v>25</v>
      </c>
      <c r="D253" s="14" t="s">
        <v>25</v>
      </c>
      <c r="E253" s="14" t="s">
        <v>16</v>
      </c>
      <c r="F253" s="15"/>
      <c r="G253" s="33">
        <f t="shared" si="20"/>
        <v>0</v>
      </c>
      <c r="H253" s="41"/>
    </row>
    <row r="254" spans="1:8" x14ac:dyDescent="0.35">
      <c r="A254" s="12" t="s">
        <v>350</v>
      </c>
      <c r="B254" s="17" t="s">
        <v>127</v>
      </c>
      <c r="C254" s="14">
        <v>5</v>
      </c>
      <c r="D254" s="14" t="s">
        <v>114</v>
      </c>
      <c r="E254" s="14" t="s">
        <v>16</v>
      </c>
      <c r="F254" s="15"/>
      <c r="G254" s="33">
        <f t="shared" si="20"/>
        <v>0</v>
      </c>
      <c r="H254" s="41"/>
    </row>
    <row r="255" spans="1:8" ht="31" x14ac:dyDescent="0.35">
      <c r="A255" s="12"/>
      <c r="B255" s="13" t="s">
        <v>128</v>
      </c>
      <c r="C255" s="14"/>
      <c r="D255" s="14"/>
      <c r="E255" s="14"/>
      <c r="F255" s="15"/>
      <c r="G255" s="33"/>
      <c r="H255" s="41"/>
    </row>
    <row r="256" spans="1:8" x14ac:dyDescent="0.35">
      <c r="A256" s="12" t="s">
        <v>351</v>
      </c>
      <c r="B256" s="17" t="s">
        <v>130</v>
      </c>
      <c r="C256" s="14">
        <v>25</v>
      </c>
      <c r="D256" s="14" t="s">
        <v>25</v>
      </c>
      <c r="E256" s="14" t="s">
        <v>16</v>
      </c>
      <c r="F256" s="15"/>
      <c r="G256" s="33">
        <f t="shared" ref="G256:G259" si="21">F256*C256</f>
        <v>0</v>
      </c>
      <c r="H256" s="41"/>
    </row>
    <row r="257" spans="1:8" x14ac:dyDescent="0.35">
      <c r="A257" s="12" t="s">
        <v>352</v>
      </c>
      <c r="B257" s="17" t="s">
        <v>132</v>
      </c>
      <c r="C257" s="14">
        <v>25</v>
      </c>
      <c r="D257" s="14" t="s">
        <v>25</v>
      </c>
      <c r="E257" s="14" t="s">
        <v>16</v>
      </c>
      <c r="F257" s="15"/>
      <c r="G257" s="33">
        <f t="shared" si="21"/>
        <v>0</v>
      </c>
      <c r="H257" s="41"/>
    </row>
    <row r="258" spans="1:8" x14ac:dyDescent="0.35">
      <c r="A258" s="12" t="s">
        <v>353</v>
      </c>
      <c r="B258" s="17" t="s">
        <v>134</v>
      </c>
      <c r="C258" s="14">
        <v>25</v>
      </c>
      <c r="D258" s="14" t="s">
        <v>25</v>
      </c>
      <c r="E258" s="14" t="s">
        <v>16</v>
      </c>
      <c r="F258" s="15"/>
      <c r="G258" s="33">
        <f t="shared" si="21"/>
        <v>0</v>
      </c>
      <c r="H258" s="41"/>
    </row>
    <row r="259" spans="1:8" x14ac:dyDescent="0.35">
      <c r="A259" s="12" t="s">
        <v>354</v>
      </c>
      <c r="B259" s="17" t="s">
        <v>136</v>
      </c>
      <c r="C259" s="14">
        <v>25</v>
      </c>
      <c r="D259" s="14" t="s">
        <v>25</v>
      </c>
      <c r="E259" s="14" t="s">
        <v>16</v>
      </c>
      <c r="F259" s="15"/>
      <c r="G259" s="33">
        <f t="shared" si="21"/>
        <v>0</v>
      </c>
      <c r="H259" s="41"/>
    </row>
    <row r="260" spans="1:8" ht="31" x14ac:dyDescent="0.35">
      <c r="A260" s="12"/>
      <c r="B260" s="13" t="s">
        <v>137</v>
      </c>
      <c r="C260" s="14"/>
      <c r="D260" s="14"/>
      <c r="E260" s="14"/>
      <c r="F260" s="15"/>
      <c r="G260" s="33"/>
      <c r="H260" s="41"/>
    </row>
    <row r="261" spans="1:8" x14ac:dyDescent="0.35">
      <c r="A261" s="12" t="s">
        <v>355</v>
      </c>
      <c r="B261" s="17" t="s">
        <v>130</v>
      </c>
      <c r="C261" s="14">
        <v>25</v>
      </c>
      <c r="D261" s="14" t="s">
        <v>25</v>
      </c>
      <c r="E261" s="14" t="s">
        <v>16</v>
      </c>
      <c r="F261" s="15"/>
      <c r="G261" s="33">
        <f t="shared" ref="G261:G264" si="22">F261*C261</f>
        <v>0</v>
      </c>
      <c r="H261" s="41"/>
    </row>
    <row r="262" spans="1:8" x14ac:dyDescent="0.35">
      <c r="A262" s="12" t="s">
        <v>356</v>
      </c>
      <c r="B262" s="17" t="s">
        <v>132</v>
      </c>
      <c r="C262" s="14">
        <v>25</v>
      </c>
      <c r="D262" s="14" t="s">
        <v>25</v>
      </c>
      <c r="E262" s="14" t="s">
        <v>16</v>
      </c>
      <c r="F262" s="15"/>
      <c r="G262" s="33">
        <f t="shared" si="22"/>
        <v>0</v>
      </c>
      <c r="H262" s="41"/>
    </row>
    <row r="263" spans="1:8" x14ac:dyDescent="0.35">
      <c r="A263" s="12" t="s">
        <v>357</v>
      </c>
      <c r="B263" s="17" t="s">
        <v>134</v>
      </c>
      <c r="C263" s="14">
        <v>25</v>
      </c>
      <c r="D263" s="14" t="s">
        <v>25</v>
      </c>
      <c r="E263" s="14" t="s">
        <v>16</v>
      </c>
      <c r="F263" s="15"/>
      <c r="G263" s="33">
        <f t="shared" si="22"/>
        <v>0</v>
      </c>
      <c r="H263" s="41"/>
    </row>
    <row r="264" spans="1:8" x14ac:dyDescent="0.35">
      <c r="A264" s="12" t="s">
        <v>358</v>
      </c>
      <c r="B264" s="17" t="s">
        <v>136</v>
      </c>
      <c r="C264" s="14">
        <v>25</v>
      </c>
      <c r="D264" s="14" t="s">
        <v>25</v>
      </c>
      <c r="E264" s="14" t="s">
        <v>16</v>
      </c>
      <c r="F264" s="15"/>
      <c r="G264" s="33">
        <f t="shared" si="22"/>
        <v>0</v>
      </c>
      <c r="H264" s="41"/>
    </row>
    <row r="265" spans="1:8" ht="31" x14ac:dyDescent="0.35">
      <c r="A265" s="12"/>
      <c r="B265" s="22" t="s">
        <v>142</v>
      </c>
      <c r="C265" s="14"/>
      <c r="D265" s="14"/>
      <c r="E265" s="14"/>
      <c r="F265" s="15"/>
      <c r="G265" s="33"/>
      <c r="H265" s="41"/>
    </row>
    <row r="266" spans="1:8" x14ac:dyDescent="0.35">
      <c r="A266" s="12" t="s">
        <v>359</v>
      </c>
      <c r="B266" s="17" t="s">
        <v>130</v>
      </c>
      <c r="C266" s="14">
        <v>6</v>
      </c>
      <c r="D266" s="14" t="s">
        <v>40</v>
      </c>
      <c r="E266" s="14" t="s">
        <v>16</v>
      </c>
      <c r="F266" s="15"/>
      <c r="G266" s="33">
        <f t="shared" ref="G266:G269" si="23">F266*C266</f>
        <v>0</v>
      </c>
      <c r="H266" s="41"/>
    </row>
    <row r="267" spans="1:8" x14ac:dyDescent="0.35">
      <c r="A267" s="12" t="s">
        <v>360</v>
      </c>
      <c r="B267" s="17" t="s">
        <v>132</v>
      </c>
      <c r="C267" s="14">
        <v>6</v>
      </c>
      <c r="D267" s="14" t="s">
        <v>40</v>
      </c>
      <c r="E267" s="14" t="s">
        <v>16</v>
      </c>
      <c r="F267" s="15"/>
      <c r="G267" s="33">
        <f t="shared" si="23"/>
        <v>0</v>
      </c>
      <c r="H267" s="41"/>
    </row>
    <row r="268" spans="1:8" x14ac:dyDescent="0.35">
      <c r="A268" s="12" t="s">
        <v>361</v>
      </c>
      <c r="B268" s="17" t="s">
        <v>134</v>
      </c>
      <c r="C268" s="14">
        <v>6</v>
      </c>
      <c r="D268" s="14" t="s">
        <v>40</v>
      </c>
      <c r="E268" s="14" t="s">
        <v>16</v>
      </c>
      <c r="F268" s="15"/>
      <c r="G268" s="33">
        <f t="shared" si="23"/>
        <v>0</v>
      </c>
      <c r="H268" s="41"/>
    </row>
    <row r="269" spans="1:8" x14ac:dyDescent="0.35">
      <c r="A269" s="12" t="s">
        <v>362</v>
      </c>
      <c r="B269" s="17" t="s">
        <v>136</v>
      </c>
      <c r="C269" s="14">
        <v>6</v>
      </c>
      <c r="D269" s="14" t="s">
        <v>40</v>
      </c>
      <c r="E269" s="14" t="s">
        <v>16</v>
      </c>
      <c r="F269" s="15"/>
      <c r="G269" s="33">
        <f t="shared" si="23"/>
        <v>0</v>
      </c>
      <c r="H269" s="41"/>
    </row>
    <row r="270" spans="1:8" x14ac:dyDescent="0.35">
      <c r="A270" s="12"/>
      <c r="B270" s="13" t="s">
        <v>147</v>
      </c>
      <c r="C270" s="14"/>
      <c r="D270" s="14"/>
      <c r="E270" s="14"/>
      <c r="F270" s="15"/>
      <c r="G270" s="33"/>
      <c r="H270" s="41"/>
    </row>
    <row r="271" spans="1:8" x14ac:dyDescent="0.35">
      <c r="A271" s="12"/>
      <c r="B271" s="13" t="s">
        <v>148</v>
      </c>
      <c r="C271" s="14"/>
      <c r="D271" s="14"/>
      <c r="E271" s="14"/>
      <c r="F271" s="15"/>
      <c r="G271" s="33"/>
      <c r="H271" s="41"/>
    </row>
    <row r="272" spans="1:8" x14ac:dyDescent="0.35">
      <c r="A272" s="12" t="s">
        <v>363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/>
      <c r="G272" s="33">
        <f t="shared" ref="G272:G282" si="24">F272*C272</f>
        <v>0</v>
      </c>
      <c r="H272" s="41"/>
    </row>
    <row r="273" spans="1:8" x14ac:dyDescent="0.35">
      <c r="A273" s="12" t="s">
        <v>364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/>
      <c r="G273" s="33">
        <f t="shared" si="24"/>
        <v>0</v>
      </c>
      <c r="H273" s="41"/>
    </row>
    <row r="274" spans="1:8" x14ac:dyDescent="0.35">
      <c r="A274" s="12" t="s">
        <v>365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/>
      <c r="G274" s="33">
        <f t="shared" si="24"/>
        <v>0</v>
      </c>
      <c r="H274" s="41"/>
    </row>
    <row r="275" spans="1:8" x14ac:dyDescent="0.35">
      <c r="A275" s="12" t="s">
        <v>366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/>
      <c r="G275" s="33">
        <f t="shared" si="24"/>
        <v>0</v>
      </c>
      <c r="H275" s="41"/>
    </row>
    <row r="276" spans="1:8" x14ac:dyDescent="0.35">
      <c r="A276" s="12" t="s">
        <v>367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/>
      <c r="G276" s="33">
        <f t="shared" si="24"/>
        <v>0</v>
      </c>
      <c r="H276" s="41"/>
    </row>
    <row r="277" spans="1:8" x14ac:dyDescent="0.35">
      <c r="A277" s="12" t="s">
        <v>368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/>
      <c r="G277" s="33">
        <f t="shared" si="24"/>
        <v>0</v>
      </c>
      <c r="H277" s="41"/>
    </row>
    <row r="278" spans="1:8" x14ac:dyDescent="0.35">
      <c r="A278" s="12" t="s">
        <v>369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/>
      <c r="G278" s="33">
        <f t="shared" si="24"/>
        <v>0</v>
      </c>
      <c r="H278" s="41"/>
    </row>
    <row r="279" spans="1:8" x14ac:dyDescent="0.35">
      <c r="A279" s="12" t="s">
        <v>370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/>
      <c r="G279" s="33">
        <f t="shared" si="24"/>
        <v>0</v>
      </c>
      <c r="H279" s="41"/>
    </row>
    <row r="280" spans="1:8" x14ac:dyDescent="0.35">
      <c r="A280" s="12" t="s">
        <v>371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/>
      <c r="G280" s="33">
        <f t="shared" si="24"/>
        <v>0</v>
      </c>
      <c r="H280" s="41"/>
    </row>
    <row r="281" spans="1:8" x14ac:dyDescent="0.35">
      <c r="A281" s="12" t="s">
        <v>372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/>
      <c r="G281" s="33">
        <f t="shared" si="24"/>
        <v>0</v>
      </c>
      <c r="H281" s="41"/>
    </row>
    <row r="282" spans="1:8" x14ac:dyDescent="0.35">
      <c r="A282" s="12" t="s">
        <v>373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/>
      <c r="G282" s="33">
        <f t="shared" si="24"/>
        <v>0</v>
      </c>
      <c r="H282" s="41"/>
    </row>
    <row r="283" spans="1:8" x14ac:dyDescent="0.35">
      <c r="A283" s="12"/>
      <c r="B283" s="13" t="s">
        <v>171</v>
      </c>
      <c r="C283" s="14"/>
      <c r="D283" s="14"/>
      <c r="E283" s="14"/>
      <c r="F283" s="15"/>
      <c r="G283" s="33"/>
      <c r="H283" s="41"/>
    </row>
    <row r="284" spans="1:8" x14ac:dyDescent="0.35">
      <c r="A284" s="12" t="s">
        <v>374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/>
      <c r="G284" s="33">
        <f t="shared" ref="G284:G292" si="25">F284*C284</f>
        <v>0</v>
      </c>
      <c r="H284" s="41"/>
    </row>
    <row r="285" spans="1:8" x14ac:dyDescent="0.35">
      <c r="A285" s="12" t="s">
        <v>375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/>
      <c r="G285" s="33">
        <f t="shared" si="25"/>
        <v>0</v>
      </c>
      <c r="H285" s="41"/>
    </row>
    <row r="286" spans="1:8" x14ac:dyDescent="0.35">
      <c r="A286" s="12" t="s">
        <v>376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/>
      <c r="G286" s="33">
        <f t="shared" si="25"/>
        <v>0</v>
      </c>
      <c r="H286" s="41"/>
    </row>
    <row r="287" spans="1:8" x14ac:dyDescent="0.35">
      <c r="A287" s="12" t="s">
        <v>377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/>
      <c r="G287" s="33">
        <f t="shared" si="25"/>
        <v>0</v>
      </c>
      <c r="H287" s="41"/>
    </row>
    <row r="288" spans="1:8" x14ac:dyDescent="0.35">
      <c r="A288" s="12" t="s">
        <v>378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/>
      <c r="G288" s="33">
        <f t="shared" si="25"/>
        <v>0</v>
      </c>
      <c r="H288" s="41"/>
    </row>
    <row r="289" spans="1:8" x14ac:dyDescent="0.35">
      <c r="A289" s="12" t="s">
        <v>379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/>
      <c r="G289" s="33">
        <f t="shared" si="25"/>
        <v>0</v>
      </c>
      <c r="H289" s="41"/>
    </row>
    <row r="290" spans="1:8" x14ac:dyDescent="0.35">
      <c r="A290" s="12" t="s">
        <v>380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/>
      <c r="G290" s="33">
        <f t="shared" si="25"/>
        <v>0</v>
      </c>
      <c r="H290" s="41"/>
    </row>
    <row r="291" spans="1:8" x14ac:dyDescent="0.35">
      <c r="A291" s="12" t="s">
        <v>381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/>
      <c r="G291" s="33">
        <f t="shared" si="25"/>
        <v>0</v>
      </c>
      <c r="H291" s="41"/>
    </row>
    <row r="292" spans="1:8" x14ac:dyDescent="0.35">
      <c r="A292" s="12" t="s">
        <v>382</v>
      </c>
      <c r="B292" s="17" t="s">
        <v>189</v>
      </c>
      <c r="C292" s="14">
        <v>5</v>
      </c>
      <c r="D292" s="14" t="s">
        <v>114</v>
      </c>
      <c r="E292" s="14" t="s">
        <v>16</v>
      </c>
      <c r="F292" s="15"/>
      <c r="G292" s="33">
        <f t="shared" si="25"/>
        <v>0</v>
      </c>
      <c r="H292" s="41"/>
    </row>
    <row r="293" spans="1:8" x14ac:dyDescent="0.35">
      <c r="A293" s="12"/>
      <c r="B293" s="17" t="s">
        <v>190</v>
      </c>
      <c r="C293" s="14"/>
      <c r="D293" s="14"/>
      <c r="E293" s="14"/>
      <c r="F293" s="15"/>
      <c r="G293" s="33"/>
      <c r="H293" s="41"/>
    </row>
    <row r="294" spans="1:8" x14ac:dyDescent="0.35">
      <c r="A294" s="12"/>
      <c r="B294" s="13" t="s">
        <v>191</v>
      </c>
      <c r="C294" s="14"/>
      <c r="D294" s="14"/>
      <c r="E294" s="14"/>
      <c r="F294" s="15"/>
      <c r="G294" s="33"/>
      <c r="H294" s="41"/>
    </row>
    <row r="295" spans="1:8" ht="31" x14ac:dyDescent="0.35">
      <c r="A295" s="12" t="s">
        <v>383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/>
      <c r="G295" s="33">
        <f t="shared" ref="G295:G299" si="26">F295*C295</f>
        <v>0</v>
      </c>
      <c r="H295" s="41"/>
    </row>
    <row r="296" spans="1:8" ht="31" x14ac:dyDescent="0.35">
      <c r="A296" s="12" t="s">
        <v>384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/>
      <c r="G296" s="33">
        <f t="shared" si="26"/>
        <v>0</v>
      </c>
      <c r="H296" s="41"/>
    </row>
    <row r="297" spans="1:8" ht="46.5" x14ac:dyDescent="0.35">
      <c r="A297" s="12" t="s">
        <v>385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/>
      <c r="G297" s="33">
        <f t="shared" si="26"/>
        <v>0</v>
      </c>
      <c r="H297" s="41"/>
    </row>
    <row r="298" spans="1:8" x14ac:dyDescent="0.35">
      <c r="A298" s="12" t="s">
        <v>386</v>
      </c>
      <c r="B298" s="17" t="s">
        <v>199</v>
      </c>
      <c r="C298" s="14">
        <v>3</v>
      </c>
      <c r="D298" s="14" t="s">
        <v>114</v>
      </c>
      <c r="E298" s="14" t="s">
        <v>16</v>
      </c>
      <c r="F298" s="15"/>
      <c r="G298" s="33">
        <f t="shared" si="26"/>
        <v>0</v>
      </c>
      <c r="H298" s="41"/>
    </row>
    <row r="299" spans="1:8" x14ac:dyDescent="0.35">
      <c r="A299" s="12" t="s">
        <v>387</v>
      </c>
      <c r="B299" s="17" t="s">
        <v>201</v>
      </c>
      <c r="C299" s="14">
        <v>3</v>
      </c>
      <c r="D299" s="14" t="s">
        <v>114</v>
      </c>
      <c r="E299" s="14" t="s">
        <v>16</v>
      </c>
      <c r="F299" s="15"/>
      <c r="G299" s="33">
        <f t="shared" si="26"/>
        <v>0</v>
      </c>
      <c r="H299" s="41"/>
    </row>
    <row r="300" spans="1:8" ht="31" x14ac:dyDescent="0.35">
      <c r="A300" s="12"/>
      <c r="B300" s="13" t="s">
        <v>202</v>
      </c>
      <c r="C300" s="14"/>
      <c r="D300" s="14"/>
      <c r="E300" s="14"/>
      <c r="F300" s="15"/>
      <c r="G300" s="33"/>
      <c r="H300" s="41"/>
    </row>
    <row r="301" spans="1:8" x14ac:dyDescent="0.35">
      <c r="A301" s="12" t="s">
        <v>388</v>
      </c>
      <c r="B301" s="17" t="s">
        <v>130</v>
      </c>
      <c r="C301" s="14">
        <v>25</v>
      </c>
      <c r="D301" s="14" t="s">
        <v>25</v>
      </c>
      <c r="E301" s="14" t="s">
        <v>16</v>
      </c>
      <c r="F301" s="15"/>
      <c r="G301" s="33">
        <f t="shared" ref="G301:G304" si="27">F301*C301</f>
        <v>0</v>
      </c>
      <c r="H301" s="41"/>
    </row>
    <row r="302" spans="1:8" x14ac:dyDescent="0.35">
      <c r="A302" s="12" t="s">
        <v>389</v>
      </c>
      <c r="B302" s="17" t="s">
        <v>132</v>
      </c>
      <c r="C302" s="14">
        <v>25</v>
      </c>
      <c r="D302" s="14" t="s">
        <v>25</v>
      </c>
      <c r="E302" s="14" t="s">
        <v>16</v>
      </c>
      <c r="F302" s="15"/>
      <c r="G302" s="33">
        <f t="shared" si="27"/>
        <v>0</v>
      </c>
      <c r="H302" s="41"/>
    </row>
    <row r="303" spans="1:8" x14ac:dyDescent="0.35">
      <c r="A303" s="12" t="s">
        <v>390</v>
      </c>
      <c r="B303" s="17" t="s">
        <v>134</v>
      </c>
      <c r="C303" s="14">
        <v>25</v>
      </c>
      <c r="D303" s="14" t="s">
        <v>25</v>
      </c>
      <c r="E303" s="14" t="s">
        <v>16</v>
      </c>
      <c r="F303" s="15"/>
      <c r="G303" s="33">
        <f t="shared" si="27"/>
        <v>0</v>
      </c>
      <c r="H303" s="41"/>
    </row>
    <row r="304" spans="1:8" x14ac:dyDescent="0.35">
      <c r="A304" s="12" t="s">
        <v>391</v>
      </c>
      <c r="B304" s="23" t="s">
        <v>136</v>
      </c>
      <c r="C304" s="14">
        <v>25</v>
      </c>
      <c r="D304" s="14" t="s">
        <v>25</v>
      </c>
      <c r="E304" s="14" t="s">
        <v>16</v>
      </c>
      <c r="F304" s="15"/>
      <c r="G304" s="33">
        <f t="shared" si="27"/>
        <v>0</v>
      </c>
      <c r="H304" s="41"/>
    </row>
    <row r="305" spans="1:8" x14ac:dyDescent="0.35">
      <c r="A305" s="12"/>
      <c r="B305" s="24" t="s">
        <v>207</v>
      </c>
      <c r="C305" s="14"/>
      <c r="D305" s="14"/>
      <c r="E305" s="14"/>
      <c r="F305" s="15"/>
      <c r="G305" s="33"/>
      <c r="H305" s="41"/>
    </row>
    <row r="306" spans="1:8" x14ac:dyDescent="0.35">
      <c r="A306" s="12" t="s">
        <v>392</v>
      </c>
      <c r="B306" s="17" t="s">
        <v>130</v>
      </c>
      <c r="C306" s="14">
        <v>25</v>
      </c>
      <c r="D306" s="14" t="s">
        <v>25</v>
      </c>
      <c r="E306" s="14" t="s">
        <v>16</v>
      </c>
      <c r="F306" s="15"/>
      <c r="G306" s="33">
        <f t="shared" ref="G306:G310" si="28">F306*C306</f>
        <v>0</v>
      </c>
      <c r="H306" s="41"/>
    </row>
    <row r="307" spans="1:8" x14ac:dyDescent="0.35">
      <c r="A307" s="12" t="s">
        <v>393</v>
      </c>
      <c r="B307" s="17" t="s">
        <v>132</v>
      </c>
      <c r="C307" s="14">
        <v>25</v>
      </c>
      <c r="D307" s="14" t="s">
        <v>25</v>
      </c>
      <c r="E307" s="14" t="s">
        <v>16</v>
      </c>
      <c r="F307" s="15"/>
      <c r="G307" s="33">
        <f t="shared" si="28"/>
        <v>0</v>
      </c>
      <c r="H307" s="41"/>
    </row>
    <row r="308" spans="1:8" x14ac:dyDescent="0.35">
      <c r="A308" s="12" t="s">
        <v>394</v>
      </c>
      <c r="B308" s="17" t="s">
        <v>134</v>
      </c>
      <c r="C308" s="14">
        <v>25</v>
      </c>
      <c r="D308" s="14" t="s">
        <v>25</v>
      </c>
      <c r="E308" s="14" t="s">
        <v>16</v>
      </c>
      <c r="F308" s="15"/>
      <c r="G308" s="33">
        <f t="shared" si="28"/>
        <v>0</v>
      </c>
      <c r="H308" s="41"/>
    </row>
    <row r="309" spans="1:8" x14ac:dyDescent="0.35">
      <c r="A309" s="12" t="s">
        <v>395</v>
      </c>
      <c r="B309" s="17" t="s">
        <v>136</v>
      </c>
      <c r="C309" s="14">
        <v>25</v>
      </c>
      <c r="D309" s="14" t="s">
        <v>25</v>
      </c>
      <c r="E309" s="14" t="s">
        <v>16</v>
      </c>
      <c r="F309" s="15"/>
      <c r="G309" s="33">
        <f t="shared" si="28"/>
        <v>0</v>
      </c>
      <c r="H309" s="41"/>
    </row>
    <row r="310" spans="1:8" x14ac:dyDescent="0.35">
      <c r="A310" s="12" t="s">
        <v>396</v>
      </c>
      <c r="B310" s="17" t="s">
        <v>213</v>
      </c>
      <c r="C310" s="14">
        <v>25</v>
      </c>
      <c r="D310" s="14" t="s">
        <v>25</v>
      </c>
      <c r="E310" s="14" t="s">
        <v>16</v>
      </c>
      <c r="F310" s="15"/>
      <c r="G310" s="33">
        <f t="shared" si="28"/>
        <v>0</v>
      </c>
      <c r="H310" s="41"/>
    </row>
    <row r="311" spans="1:8" ht="31" x14ac:dyDescent="0.35">
      <c r="A311" s="12"/>
      <c r="B311" s="13" t="s">
        <v>214</v>
      </c>
      <c r="C311" s="14"/>
      <c r="D311" s="14"/>
      <c r="E311" s="14"/>
      <c r="F311" s="15"/>
      <c r="G311" s="33"/>
      <c r="H311" s="41"/>
    </row>
    <row r="312" spans="1:8" x14ac:dyDescent="0.35">
      <c r="A312" s="12" t="s">
        <v>397</v>
      </c>
      <c r="B312" s="17" t="s">
        <v>130</v>
      </c>
      <c r="C312" s="14">
        <v>2</v>
      </c>
      <c r="D312" s="14" t="s">
        <v>25</v>
      </c>
      <c r="E312" s="14" t="s">
        <v>16</v>
      </c>
      <c r="F312" s="15"/>
      <c r="G312" s="33">
        <f t="shared" ref="G312:G314" si="29">F312*C312</f>
        <v>0</v>
      </c>
      <c r="H312" s="41"/>
    </row>
    <row r="313" spans="1:8" x14ac:dyDescent="0.35">
      <c r="A313" s="12" t="s">
        <v>398</v>
      </c>
      <c r="B313" s="17" t="s">
        <v>132</v>
      </c>
      <c r="C313" s="14">
        <v>2</v>
      </c>
      <c r="D313" s="14" t="s">
        <v>25</v>
      </c>
      <c r="E313" s="14" t="s">
        <v>16</v>
      </c>
      <c r="F313" s="15"/>
      <c r="G313" s="33">
        <f t="shared" si="29"/>
        <v>0</v>
      </c>
      <c r="H313" s="41"/>
    </row>
    <row r="314" spans="1:8" x14ac:dyDescent="0.35">
      <c r="A314" s="12" t="s">
        <v>399</v>
      </c>
      <c r="B314" s="17" t="s">
        <v>218</v>
      </c>
      <c r="C314" s="14">
        <v>2</v>
      </c>
      <c r="D314" s="14" t="s">
        <v>25</v>
      </c>
      <c r="E314" s="14" t="s">
        <v>16</v>
      </c>
      <c r="F314" s="15"/>
      <c r="G314" s="33">
        <f t="shared" si="29"/>
        <v>0</v>
      </c>
      <c r="H314" s="41"/>
    </row>
    <row r="315" spans="1:8" x14ac:dyDescent="0.35">
      <c r="A315" s="12"/>
      <c r="B315" s="13" t="s">
        <v>219</v>
      </c>
      <c r="C315" s="14"/>
      <c r="D315" s="14"/>
      <c r="E315" s="14"/>
      <c r="F315" s="15"/>
      <c r="G315" s="33"/>
      <c r="H315" s="41"/>
    </row>
    <row r="316" spans="1:8" x14ac:dyDescent="0.35">
      <c r="A316" s="12" t="s">
        <v>400</v>
      </c>
      <c r="B316" s="17" t="s">
        <v>220</v>
      </c>
      <c r="C316" s="14">
        <v>1</v>
      </c>
      <c r="D316" s="14" t="s">
        <v>114</v>
      </c>
      <c r="E316" s="14" t="s">
        <v>16</v>
      </c>
      <c r="F316" s="15"/>
      <c r="G316" s="33">
        <f t="shared" ref="G316:G317" si="30">F316*C316</f>
        <v>0</v>
      </c>
      <c r="H316" s="41"/>
    </row>
    <row r="317" spans="1:8" x14ac:dyDescent="0.35">
      <c r="A317" s="12" t="s">
        <v>401</v>
      </c>
      <c r="B317" s="17" t="s">
        <v>221</v>
      </c>
      <c r="C317" s="14">
        <v>2</v>
      </c>
      <c r="D317" s="14" t="s">
        <v>114</v>
      </c>
      <c r="E317" s="14" t="s">
        <v>16</v>
      </c>
      <c r="F317" s="15"/>
      <c r="G317" s="33">
        <f t="shared" si="30"/>
        <v>0</v>
      </c>
      <c r="H317" s="41"/>
    </row>
    <row r="318" spans="1:8" x14ac:dyDescent="0.35">
      <c r="A318" s="12"/>
      <c r="B318" s="25" t="s">
        <v>222</v>
      </c>
      <c r="C318" s="14"/>
      <c r="D318" s="14"/>
      <c r="E318" s="14"/>
      <c r="F318" s="15"/>
      <c r="G318" s="33"/>
      <c r="H318" s="41"/>
    </row>
    <row r="319" spans="1:8" x14ac:dyDescent="0.35">
      <c r="A319" s="12" t="s">
        <v>402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/>
      <c r="G319" s="33">
        <f t="shared" ref="G319:G322" si="31">F319*C319</f>
        <v>0</v>
      </c>
      <c r="H319" s="41"/>
    </row>
    <row r="320" spans="1:8" x14ac:dyDescent="0.35">
      <c r="A320" s="12" t="s">
        <v>403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/>
      <c r="G320" s="33">
        <f t="shared" si="31"/>
        <v>0</v>
      </c>
      <c r="H320" s="41"/>
    </row>
    <row r="321" spans="1:8" x14ac:dyDescent="0.35">
      <c r="A321" s="12" t="s">
        <v>404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/>
      <c r="G321" s="33">
        <f t="shared" si="31"/>
        <v>0</v>
      </c>
      <c r="H321" s="41"/>
    </row>
    <row r="322" spans="1:8" x14ac:dyDescent="0.35">
      <c r="A322" s="12" t="s">
        <v>405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/>
      <c r="G322" s="33">
        <f t="shared" si="31"/>
        <v>0</v>
      </c>
      <c r="H322" s="41"/>
    </row>
    <row r="323" spans="1:8" ht="31" x14ac:dyDescent="0.35">
      <c r="A323" s="12"/>
      <c r="B323" s="26" t="s">
        <v>229</v>
      </c>
      <c r="C323" s="14"/>
      <c r="D323" s="14"/>
      <c r="E323" s="14"/>
      <c r="F323" s="15"/>
      <c r="G323" s="33"/>
      <c r="H323" s="41"/>
    </row>
    <row r="324" spans="1:8" x14ac:dyDescent="0.35">
      <c r="A324" s="12" t="s">
        <v>406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/>
      <c r="G324" s="33">
        <f t="shared" ref="G324:G325" si="32">F324*C324</f>
        <v>0</v>
      </c>
      <c r="H324" s="41"/>
    </row>
    <row r="325" spans="1:8" x14ac:dyDescent="0.35">
      <c r="A325" s="12" t="s">
        <v>407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/>
      <c r="G325" s="33">
        <f t="shared" si="32"/>
        <v>0</v>
      </c>
      <c r="H325" s="41"/>
    </row>
    <row r="326" spans="1:8" ht="31" x14ac:dyDescent="0.35">
      <c r="A326" s="12"/>
      <c r="B326" s="13" t="s">
        <v>232</v>
      </c>
      <c r="C326" s="14"/>
      <c r="D326" s="14"/>
      <c r="E326" s="14"/>
      <c r="F326" s="15"/>
      <c r="G326" s="33"/>
      <c r="H326" s="41"/>
    </row>
    <row r="327" spans="1:8" x14ac:dyDescent="0.35">
      <c r="A327" s="12" t="s">
        <v>408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/>
      <c r="G327" s="33">
        <f t="shared" ref="G327:G328" si="33">F327*C327</f>
        <v>0</v>
      </c>
      <c r="H327" s="41"/>
    </row>
    <row r="328" spans="1:8" x14ac:dyDescent="0.35">
      <c r="A328" s="12" t="s">
        <v>409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/>
      <c r="G328" s="33">
        <f t="shared" si="33"/>
        <v>0</v>
      </c>
      <c r="H328" s="41"/>
    </row>
    <row r="329" spans="1:8" x14ac:dyDescent="0.35">
      <c r="A329" s="12"/>
      <c r="B329" s="13" t="s">
        <v>235</v>
      </c>
      <c r="C329" s="14"/>
      <c r="D329" s="14"/>
      <c r="E329" s="14"/>
      <c r="F329" s="15"/>
      <c r="G329" s="33"/>
      <c r="H329" s="41"/>
    </row>
    <row r="330" spans="1:8" x14ac:dyDescent="0.35">
      <c r="A330" s="12" t="s">
        <v>410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/>
      <c r="G330" s="33">
        <f t="shared" ref="G330:G331" si="34">F330*C330</f>
        <v>0</v>
      </c>
      <c r="H330" s="41"/>
    </row>
    <row r="331" spans="1:8" x14ac:dyDescent="0.35">
      <c r="A331" s="12" t="s">
        <v>411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/>
      <c r="G331" s="33">
        <f t="shared" si="34"/>
        <v>0</v>
      </c>
      <c r="H331" s="41"/>
    </row>
    <row r="332" spans="1:8" ht="46.5" x14ac:dyDescent="0.35">
      <c r="A332" s="12"/>
      <c r="B332" s="13" t="s">
        <v>238</v>
      </c>
      <c r="C332" s="14"/>
      <c r="D332" s="14"/>
      <c r="E332" s="14"/>
      <c r="F332" s="15"/>
      <c r="G332" s="33"/>
      <c r="H332" s="41"/>
    </row>
    <row r="333" spans="1:8" x14ac:dyDescent="0.35">
      <c r="A333" s="12" t="s">
        <v>412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/>
      <c r="G333" s="33">
        <f t="shared" ref="G333:G335" si="35">F333*C333</f>
        <v>0</v>
      </c>
      <c r="H333" s="41"/>
    </row>
    <row r="334" spans="1:8" x14ac:dyDescent="0.35">
      <c r="A334" s="12" t="s">
        <v>413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/>
      <c r="G334" s="33">
        <f t="shared" si="35"/>
        <v>0</v>
      </c>
      <c r="H334" s="41"/>
    </row>
    <row r="335" spans="1:8" x14ac:dyDescent="0.35">
      <c r="A335" s="12" t="s">
        <v>414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/>
      <c r="G335" s="33">
        <f t="shared" si="35"/>
        <v>0</v>
      </c>
      <c r="H335" s="41"/>
    </row>
    <row r="336" spans="1:8" x14ac:dyDescent="0.35">
      <c r="A336" s="12"/>
      <c r="B336" s="13" t="s">
        <v>242</v>
      </c>
      <c r="C336" s="14"/>
      <c r="D336" s="14"/>
      <c r="E336" s="14"/>
      <c r="F336" s="15"/>
      <c r="G336" s="33"/>
      <c r="H336" s="41"/>
    </row>
    <row r="337" spans="1:8" ht="31" x14ac:dyDescent="0.35">
      <c r="A337" s="12" t="s">
        <v>415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/>
      <c r="G337" s="33">
        <f t="shared" ref="G337:G338" si="36">F337*C337</f>
        <v>0</v>
      </c>
      <c r="H337" s="41"/>
    </row>
    <row r="338" spans="1:8" ht="31" x14ac:dyDescent="0.35">
      <c r="A338" s="12" t="s">
        <v>416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/>
      <c r="G338" s="33">
        <f t="shared" si="36"/>
        <v>0</v>
      </c>
      <c r="H338" s="41"/>
    </row>
    <row r="339" spans="1:8" x14ac:dyDescent="0.35">
      <c r="A339" s="12"/>
      <c r="B339" s="13" t="s">
        <v>247</v>
      </c>
      <c r="C339" s="14"/>
      <c r="D339" s="14"/>
      <c r="E339" s="14"/>
      <c r="F339" s="15"/>
      <c r="G339" s="33"/>
      <c r="H339" s="41"/>
    </row>
    <row r="340" spans="1:8" x14ac:dyDescent="0.35">
      <c r="A340" s="12" t="s">
        <v>417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/>
      <c r="G340" s="33">
        <f t="shared" ref="G340:G341" si="37">F340*C340</f>
        <v>0</v>
      </c>
      <c r="H340" s="41"/>
    </row>
    <row r="341" spans="1:8" ht="31" x14ac:dyDescent="0.35">
      <c r="A341" s="12" t="s">
        <v>418</v>
      </c>
      <c r="B341" s="17" t="s">
        <v>251</v>
      </c>
      <c r="C341" s="14">
        <v>50</v>
      </c>
      <c r="D341" s="14" t="s">
        <v>40</v>
      </c>
      <c r="E341" s="14" t="s">
        <v>16</v>
      </c>
      <c r="F341" s="15"/>
      <c r="G341" s="33">
        <f t="shared" si="37"/>
        <v>0</v>
      </c>
      <c r="H341" s="41"/>
    </row>
    <row r="342" spans="1:8" x14ac:dyDescent="0.35">
      <c r="A342" s="12"/>
      <c r="B342" s="13" t="s">
        <v>252</v>
      </c>
      <c r="C342" s="14"/>
      <c r="D342" s="14"/>
      <c r="E342" s="14"/>
      <c r="F342" s="15"/>
      <c r="G342" s="33"/>
      <c r="H342" s="41"/>
    </row>
    <row r="343" spans="1:8" x14ac:dyDescent="0.35">
      <c r="A343" s="12" t="s">
        <v>419</v>
      </c>
      <c r="B343" s="17" t="s">
        <v>254</v>
      </c>
      <c r="C343" s="14">
        <v>50</v>
      </c>
      <c r="D343" s="14" t="s">
        <v>40</v>
      </c>
      <c r="E343" s="14" t="s">
        <v>16</v>
      </c>
      <c r="F343" s="15"/>
      <c r="G343" s="33">
        <f t="shared" ref="G343:G344" si="38">F343*C343</f>
        <v>0</v>
      </c>
      <c r="H343" s="41"/>
    </row>
    <row r="344" spans="1:8" x14ac:dyDescent="0.35">
      <c r="A344" s="12" t="s">
        <v>420</v>
      </c>
      <c r="B344" s="17" t="s">
        <v>256</v>
      </c>
      <c r="C344" s="14">
        <v>50</v>
      </c>
      <c r="D344" s="14" t="s">
        <v>40</v>
      </c>
      <c r="E344" s="14" t="s">
        <v>16</v>
      </c>
      <c r="F344" s="15"/>
      <c r="G344" s="33">
        <f t="shared" si="38"/>
        <v>0</v>
      </c>
      <c r="H344" s="41"/>
    </row>
    <row r="345" spans="1:8" x14ac:dyDescent="0.35">
      <c r="A345" s="12"/>
      <c r="B345" s="13" t="s">
        <v>257</v>
      </c>
      <c r="C345" s="14"/>
      <c r="D345" s="14"/>
      <c r="E345" s="14"/>
      <c r="F345" s="15"/>
      <c r="G345" s="33"/>
      <c r="H345" s="41"/>
    </row>
    <row r="346" spans="1:8" ht="31" x14ac:dyDescent="0.35">
      <c r="A346" s="12" t="s">
        <v>421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/>
      <c r="G346" s="33">
        <f t="shared" ref="G346:G348" si="39">F346*C346</f>
        <v>0</v>
      </c>
      <c r="H346" s="41"/>
    </row>
    <row r="347" spans="1:8" x14ac:dyDescent="0.35">
      <c r="A347" s="12" t="s">
        <v>422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/>
      <c r="G347" s="33">
        <f t="shared" si="39"/>
        <v>0</v>
      </c>
      <c r="H347" s="41"/>
    </row>
    <row r="348" spans="1:8" ht="31" x14ac:dyDescent="0.35">
      <c r="A348" s="12" t="s">
        <v>423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/>
      <c r="G348" s="33">
        <f t="shared" si="39"/>
        <v>0</v>
      </c>
      <c r="H348" s="41"/>
    </row>
    <row r="349" spans="1:8" x14ac:dyDescent="0.35">
      <c r="A349" s="12" t="s">
        <v>424</v>
      </c>
      <c r="B349" s="13" t="s">
        <v>265</v>
      </c>
      <c r="C349" s="14">
        <v>0</v>
      </c>
      <c r="D349" s="14"/>
      <c r="E349" s="14" t="s">
        <v>16</v>
      </c>
      <c r="F349" s="15"/>
      <c r="G349" s="33">
        <v>0</v>
      </c>
      <c r="H349" s="41"/>
    </row>
    <row r="350" spans="1:8" x14ac:dyDescent="0.35">
      <c r="A350" s="12"/>
      <c r="B350" s="13" t="s">
        <v>266</v>
      </c>
      <c r="C350" s="14"/>
      <c r="D350" s="14"/>
      <c r="E350" s="14"/>
      <c r="F350" s="15"/>
      <c r="G350" s="33"/>
      <c r="H350" s="41"/>
    </row>
    <row r="351" spans="1:8" ht="46.5" x14ac:dyDescent="0.35">
      <c r="A351" s="12" t="s">
        <v>425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/>
      <c r="G351" s="33">
        <f t="shared" ref="G351:G353" si="40">F351*C351</f>
        <v>0</v>
      </c>
      <c r="H351" s="41"/>
    </row>
    <row r="352" spans="1:8" ht="46.5" x14ac:dyDescent="0.35">
      <c r="A352" s="12" t="s">
        <v>426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/>
      <c r="G352" s="33">
        <f t="shared" si="40"/>
        <v>0</v>
      </c>
      <c r="H352" s="41"/>
    </row>
    <row r="353" spans="1:8" ht="31" x14ac:dyDescent="0.35">
      <c r="A353" s="12" t="s">
        <v>427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/>
      <c r="G353" s="33">
        <f t="shared" si="40"/>
        <v>0</v>
      </c>
      <c r="H353" s="41"/>
    </row>
    <row r="354" spans="1:8" x14ac:dyDescent="0.35">
      <c r="A354" s="12"/>
      <c r="B354" s="28" t="s">
        <v>273</v>
      </c>
      <c r="C354" s="14"/>
      <c r="D354" s="14"/>
      <c r="E354" s="14"/>
      <c r="F354" s="15"/>
      <c r="G354" s="33"/>
      <c r="H354" s="41"/>
    </row>
    <row r="355" spans="1:8" ht="31" x14ac:dyDescent="0.35">
      <c r="A355" s="12" t="s">
        <v>428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/>
      <c r="G355" s="33">
        <f>F355*C355</f>
        <v>0</v>
      </c>
      <c r="H355" s="41"/>
    </row>
    <row r="356" spans="1:8" ht="31" x14ac:dyDescent="0.35">
      <c r="A356" s="12" t="s">
        <v>429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/>
      <c r="G356" s="33">
        <f>F356*C356</f>
        <v>0</v>
      </c>
      <c r="H356" s="41"/>
    </row>
    <row r="357" spans="1:8" x14ac:dyDescent="0.35">
      <c r="A357" s="12" t="s">
        <v>430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/>
      <c r="G357" s="33">
        <f>F357*C357</f>
        <v>0</v>
      </c>
      <c r="H357" s="41"/>
    </row>
    <row r="358" spans="1:8" ht="46.5" x14ac:dyDescent="0.35">
      <c r="A358" s="12" t="s">
        <v>431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/>
      <c r="G358" s="33">
        <f>F358*C358</f>
        <v>0</v>
      </c>
      <c r="H358" s="41"/>
    </row>
    <row r="359" spans="1:8" ht="31" x14ac:dyDescent="0.35">
      <c r="A359" s="12"/>
      <c r="B359" s="13" t="s">
        <v>282</v>
      </c>
      <c r="C359" s="14"/>
      <c r="D359" s="14"/>
      <c r="E359" s="14"/>
      <c r="F359" s="15"/>
      <c r="G359" s="33"/>
      <c r="H359" s="41"/>
    </row>
    <row r="360" spans="1:8" ht="62" x14ac:dyDescent="0.35">
      <c r="A360" s="12" t="s">
        <v>432</v>
      </c>
      <c r="B360" s="17" t="s">
        <v>284</v>
      </c>
      <c r="C360" s="14"/>
      <c r="D360" s="14" t="s">
        <v>285</v>
      </c>
      <c r="E360" s="14" t="s">
        <v>16</v>
      </c>
      <c r="F360" s="15"/>
      <c r="G360" s="33">
        <f t="shared" ref="G360:G361" si="41">F360*C360</f>
        <v>0</v>
      </c>
      <c r="H360" s="41"/>
    </row>
    <row r="361" spans="1:8" ht="46.5" x14ac:dyDescent="0.35">
      <c r="A361" s="12" t="s">
        <v>433</v>
      </c>
      <c r="B361" s="17" t="s">
        <v>287</v>
      </c>
      <c r="C361" s="14">
        <v>2000</v>
      </c>
      <c r="D361" s="14" t="s">
        <v>288</v>
      </c>
      <c r="E361" s="14" t="s">
        <v>16</v>
      </c>
      <c r="F361" s="15"/>
      <c r="G361" s="33">
        <f t="shared" si="41"/>
        <v>0</v>
      </c>
      <c r="H361" s="41"/>
    </row>
    <row r="362" spans="1:8" x14ac:dyDescent="0.35">
      <c r="A362" s="12"/>
      <c r="B362" s="13" t="s">
        <v>289</v>
      </c>
      <c r="C362" s="14"/>
      <c r="D362" s="14"/>
      <c r="E362" s="14"/>
      <c r="F362" s="15"/>
      <c r="G362" s="33"/>
      <c r="H362" s="41"/>
    </row>
    <row r="363" spans="1:8" ht="108.5" x14ac:dyDescent="0.35">
      <c r="A363" s="12" t="s">
        <v>434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/>
      <c r="G363" s="33">
        <f t="shared" ref="G363" si="42">F363*C363</f>
        <v>0</v>
      </c>
      <c r="H363" s="41"/>
    </row>
    <row r="364" spans="1:8" ht="31" x14ac:dyDescent="0.35">
      <c r="A364" s="12"/>
      <c r="B364" s="13" t="s">
        <v>292</v>
      </c>
      <c r="C364" s="14"/>
      <c r="D364" s="14"/>
      <c r="E364" s="14"/>
      <c r="F364" s="15"/>
      <c r="G364" s="33"/>
      <c r="H364" s="41"/>
    </row>
    <row r="365" spans="1:8" x14ac:dyDescent="0.35">
      <c r="A365" s="12" t="s">
        <v>435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/>
      <c r="G365" s="33">
        <f t="shared" ref="G365" si="43">F365*C365</f>
        <v>0</v>
      </c>
      <c r="H365" s="41"/>
    </row>
    <row r="366" spans="1:8" ht="31" x14ac:dyDescent="0.35">
      <c r="A366" s="12"/>
      <c r="B366" s="13" t="s">
        <v>436</v>
      </c>
      <c r="C366" s="14"/>
      <c r="D366" s="14"/>
      <c r="E366" s="14"/>
      <c r="F366" s="15"/>
      <c r="G366" s="44">
        <f>SUM(G191:G365)</f>
        <v>0</v>
      </c>
    </row>
    <row r="367" spans="1:8" x14ac:dyDescent="0.35">
      <c r="A367" s="45"/>
      <c r="B367" s="13"/>
      <c r="C367" s="14"/>
      <c r="D367" s="14"/>
      <c r="E367" s="14"/>
      <c r="F367" s="15"/>
      <c r="G367" s="44"/>
    </row>
    <row r="368" spans="1:8" ht="46.5" x14ac:dyDescent="0.35">
      <c r="A368" s="35"/>
      <c r="B368" s="13" t="s">
        <v>437</v>
      </c>
      <c r="C368" s="14"/>
      <c r="D368" s="14"/>
      <c r="E368" s="14"/>
      <c r="F368" s="15"/>
      <c r="G368" s="44">
        <f>G366+G187</f>
        <v>0</v>
      </c>
    </row>
  </sheetData>
  <mergeCells count="7">
    <mergeCell ref="B6:G6"/>
    <mergeCell ref="B188:G188"/>
    <mergeCell ref="A1:G1"/>
    <mergeCell ref="A2:G2"/>
    <mergeCell ref="A3:G3"/>
    <mergeCell ref="A5:G5"/>
    <mergeCell ref="A4:G4"/>
  </mergeCells>
  <phoneticPr fontId="1" type="noConversion"/>
  <pageMargins left="0.7" right="0.7" top="0.75" bottom="0.75" header="0.3" footer="0.3"/>
  <pageSetup scale="59" orientation="portrait" horizontalDpi="1200" verticalDpi="1200" r:id="rId1"/>
  <rowBreaks count="3" manualBreakCount="3">
    <brk id="46" max="16383" man="1"/>
    <brk id="111" max="16383" man="1"/>
    <brk id="1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6040-F7DE-40FC-87E1-F9313890D6C6}">
  <sheetPr>
    <tabColor theme="0"/>
  </sheetPr>
  <dimension ref="A1:G368"/>
  <sheetViews>
    <sheetView topLeftCell="A173" zoomScaleNormal="100" workbookViewId="0">
      <selection activeCell="B16" sqref="B16"/>
    </sheetView>
  </sheetViews>
  <sheetFormatPr defaultColWidth="28.54296875" defaultRowHeight="15.5" x14ac:dyDescent="0.35"/>
  <cols>
    <col min="1" max="1" width="14.54296875" style="46" customWidth="1"/>
    <col min="2" max="2" width="53.2695312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438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46.5" x14ac:dyDescent="0.35">
      <c r="A9" s="12" t="s">
        <v>439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'Base Option'!F9+'Base Option'!F9*3%</f>
        <v>0</v>
      </c>
      <c r="G9" s="16">
        <f t="shared" ref="G9:G33" si="0">F9*C9</f>
        <v>0</v>
      </c>
    </row>
    <row r="10" spans="1:7" ht="31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440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'Base Option'!F11+'Base Option'!F11*3%</f>
        <v>0</v>
      </c>
      <c r="G11" s="16">
        <f t="shared" si="0"/>
        <v>0</v>
      </c>
    </row>
    <row r="12" spans="1:7" x14ac:dyDescent="0.35">
      <c r="A12" s="12" t="s">
        <v>441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'Base Option'!F12+'Base Option'!F12*3%</f>
        <v>0</v>
      </c>
      <c r="G12" s="16">
        <f t="shared" si="0"/>
        <v>0</v>
      </c>
    </row>
    <row r="13" spans="1:7" x14ac:dyDescent="0.35">
      <c r="A13" s="12" t="s">
        <v>442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'Base Option'!F13+'Base Option'!F13*3%</f>
        <v>0</v>
      </c>
      <c r="G13" s="16">
        <f t="shared" si="0"/>
        <v>0</v>
      </c>
    </row>
    <row r="14" spans="1:7" x14ac:dyDescent="0.35">
      <c r="A14" s="12" t="s">
        <v>443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'Base Option'!F14+'Base Option'!F14*3%</f>
        <v>0</v>
      </c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/>
      <c r="G15" s="16"/>
    </row>
    <row r="16" spans="1:7" ht="46.5" x14ac:dyDescent="0.35">
      <c r="A16" s="12"/>
      <c r="B16" s="13" t="s">
        <v>1545</v>
      </c>
      <c r="C16" s="14"/>
      <c r="D16" s="14"/>
      <c r="E16" s="14"/>
      <c r="F16" s="15"/>
      <c r="G16" s="16"/>
    </row>
    <row r="17" spans="1:7" ht="31" x14ac:dyDescent="0.35">
      <c r="A17" s="12" t="s">
        <v>444</v>
      </c>
      <c r="B17" s="17" t="s">
        <v>31</v>
      </c>
      <c r="C17" s="14">
        <v>10</v>
      </c>
      <c r="D17" s="47" t="s">
        <v>20</v>
      </c>
      <c r="E17" s="14" t="s">
        <v>16</v>
      </c>
      <c r="F17" s="15">
        <f>'Base Option'!F17+'Base Option'!F17*3%</f>
        <v>0</v>
      </c>
      <c r="G17" s="16">
        <f t="shared" si="0"/>
        <v>0</v>
      </c>
    </row>
    <row r="18" spans="1:7" x14ac:dyDescent="0.35">
      <c r="A18" s="12" t="s">
        <v>445</v>
      </c>
      <c r="B18" s="17" t="s">
        <v>33</v>
      </c>
      <c r="C18" s="14">
        <v>10</v>
      </c>
      <c r="D18" s="14" t="s">
        <v>20</v>
      </c>
      <c r="E18" s="14" t="s">
        <v>16</v>
      </c>
      <c r="F18" s="15">
        <f>'Base Option'!F18+'Base Option'!F18*3%</f>
        <v>0</v>
      </c>
      <c r="G18" s="16">
        <f t="shared" si="0"/>
        <v>0</v>
      </c>
    </row>
    <row r="19" spans="1:7" ht="31" x14ac:dyDescent="0.35">
      <c r="A19" s="12" t="s">
        <v>446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'Base Option'!F19+'Base Option'!F19*3%</f>
        <v>0</v>
      </c>
      <c r="G19" s="16">
        <f t="shared" si="0"/>
        <v>0</v>
      </c>
    </row>
    <row r="20" spans="1:7" ht="31" x14ac:dyDescent="0.35">
      <c r="A20" s="12" t="s">
        <v>447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'Base Option'!F20+'Base Option'!F20*3%</f>
        <v>0</v>
      </c>
      <c r="G20" s="16">
        <f t="shared" si="0"/>
        <v>0</v>
      </c>
    </row>
    <row r="21" spans="1:7" ht="31" x14ac:dyDescent="0.35">
      <c r="A21" s="12" t="s">
        <v>448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'Base Option'!F21+'Base Option'!F21*3%</f>
        <v>0</v>
      </c>
      <c r="G21" s="16">
        <f t="shared" si="0"/>
        <v>0</v>
      </c>
    </row>
    <row r="22" spans="1:7" ht="31" x14ac:dyDescent="0.35">
      <c r="A22" s="12" t="s">
        <v>449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'Base Option'!F22+'Base Option'!F22*3%</f>
        <v>0</v>
      </c>
      <c r="G22" s="16">
        <f t="shared" si="0"/>
        <v>0</v>
      </c>
    </row>
    <row r="23" spans="1:7" ht="31" x14ac:dyDescent="0.35">
      <c r="A23" s="12" t="s">
        <v>450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'Base Option'!F23+'Base Option'!F23*3%</f>
        <v>0</v>
      </c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/>
      <c r="G24" s="16"/>
    </row>
    <row r="25" spans="1:7" ht="46.5" x14ac:dyDescent="0.35">
      <c r="A25" s="12"/>
      <c r="B25" s="18" t="s">
        <v>46</v>
      </c>
      <c r="C25" s="14"/>
      <c r="D25" s="14"/>
      <c r="E25" s="14"/>
      <c r="F25" s="15"/>
      <c r="G25" s="16"/>
    </row>
    <row r="26" spans="1:7" x14ac:dyDescent="0.35">
      <c r="A26" s="12" t="s">
        <v>451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'Base Option'!F26+'Base Option'!F26*3%</f>
        <v>0</v>
      </c>
      <c r="G26" s="16">
        <f t="shared" si="0"/>
        <v>0</v>
      </c>
    </row>
    <row r="27" spans="1:7" x14ac:dyDescent="0.35">
      <c r="A27" s="12" t="s">
        <v>452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'Base Option'!F27+'Base Option'!F27*3%</f>
        <v>0</v>
      </c>
      <c r="G27" s="16">
        <f t="shared" si="0"/>
        <v>0</v>
      </c>
    </row>
    <row r="28" spans="1:7" x14ac:dyDescent="0.35">
      <c r="A28" s="12" t="s">
        <v>453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'Base Option'!F28+'Base Option'!F28*3%</f>
        <v>0</v>
      </c>
      <c r="G28" s="16">
        <f t="shared" si="0"/>
        <v>0</v>
      </c>
    </row>
    <row r="29" spans="1:7" ht="46.5" x14ac:dyDescent="0.35">
      <c r="A29" s="12" t="s">
        <v>454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'Base Option'!F29+'Base Option'!F29*3%</f>
        <v>0</v>
      </c>
      <c r="G29" s="19">
        <f>F29*C29</f>
        <v>0</v>
      </c>
    </row>
    <row r="30" spans="1:7" x14ac:dyDescent="0.35">
      <c r="A30" s="12" t="s">
        <v>455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'Base Option'!F30+'Base Option'!F30*3%</f>
        <v>0</v>
      </c>
      <c r="G30" s="16">
        <f t="shared" si="0"/>
        <v>0</v>
      </c>
    </row>
    <row r="31" spans="1:7" ht="31" x14ac:dyDescent="0.35">
      <c r="A31" s="12" t="s">
        <v>456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'Base Option'!F31+'Base Option'!F31*3%</f>
        <v>0</v>
      </c>
      <c r="G31" s="16">
        <f t="shared" si="0"/>
        <v>0</v>
      </c>
    </row>
    <row r="32" spans="1:7" ht="31" x14ac:dyDescent="0.35">
      <c r="A32" s="12" t="s">
        <v>457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'Base Option'!F32+'Base Option'!F32*3%</f>
        <v>0</v>
      </c>
      <c r="G32" s="16">
        <f t="shared" si="0"/>
        <v>0</v>
      </c>
    </row>
    <row r="33" spans="1:7" ht="31" x14ac:dyDescent="0.35">
      <c r="A33" s="12" t="s">
        <v>458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'Base Option'!F33+'Base Option'!F33*3%</f>
        <v>0</v>
      </c>
      <c r="G33" s="16">
        <f t="shared" si="0"/>
        <v>0</v>
      </c>
    </row>
    <row r="34" spans="1:7" ht="46.5" x14ac:dyDescent="0.35">
      <c r="A34" s="12"/>
      <c r="B34" s="13" t="s">
        <v>63</v>
      </c>
      <c r="C34" s="14"/>
      <c r="D34" s="14"/>
      <c r="E34" s="14"/>
      <c r="F34" s="15"/>
      <c r="G34" s="16"/>
    </row>
    <row r="35" spans="1:7" x14ac:dyDescent="0.35">
      <c r="A35" s="12" t="s">
        <v>459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'Base Option'!F35+'Base Option'!F35*3%</f>
        <v>0</v>
      </c>
      <c r="G35" s="16">
        <f t="shared" ref="G35:G59" si="1">F35*C35</f>
        <v>0</v>
      </c>
    </row>
    <row r="36" spans="1:7" x14ac:dyDescent="0.35">
      <c r="A36" s="12" t="s">
        <v>460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'Base Option'!F36+'Base Option'!F36*3%</f>
        <v>0</v>
      </c>
      <c r="G36" s="16">
        <f t="shared" si="1"/>
        <v>0</v>
      </c>
    </row>
    <row r="37" spans="1:7" x14ac:dyDescent="0.35">
      <c r="A37" s="12" t="s">
        <v>461</v>
      </c>
      <c r="B37" s="17" t="s">
        <v>1543</v>
      </c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/>
      <c r="G38" s="16"/>
    </row>
    <row r="39" spans="1:7" x14ac:dyDescent="0.35">
      <c r="A39" s="12" t="s">
        <v>462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'Base Option'!F39+'Base Option'!F39*3%</f>
        <v>0</v>
      </c>
      <c r="G39" s="16">
        <f t="shared" si="1"/>
        <v>0</v>
      </c>
    </row>
    <row r="40" spans="1:7" x14ac:dyDescent="0.35">
      <c r="A40" s="12" t="s">
        <v>463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'Base Option'!F40+'Base Option'!F40*3%</f>
        <v>0</v>
      </c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/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/>
      <c r="G42" s="16"/>
    </row>
    <row r="43" spans="1:7" x14ac:dyDescent="0.35">
      <c r="A43" s="12" t="s">
        <v>464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'Base Option'!F43+'Base Option'!F43*3%</f>
        <v>0</v>
      </c>
      <c r="G43" s="16">
        <f t="shared" si="1"/>
        <v>0</v>
      </c>
    </row>
    <row r="44" spans="1:7" ht="31" x14ac:dyDescent="0.35">
      <c r="A44" s="12"/>
      <c r="B44" s="13" t="s">
        <v>78</v>
      </c>
      <c r="C44" s="14"/>
      <c r="D44" s="14"/>
      <c r="E44" s="14"/>
      <c r="F44" s="15"/>
      <c r="G44" s="16"/>
    </row>
    <row r="45" spans="1:7" x14ac:dyDescent="0.35">
      <c r="A45" s="12" t="s">
        <v>465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'Base Option'!F45+'Base Option'!F45*3%</f>
        <v>0</v>
      </c>
      <c r="G45" s="16">
        <f t="shared" si="1"/>
        <v>0</v>
      </c>
    </row>
    <row r="46" spans="1:7" ht="46.5" x14ac:dyDescent="0.35">
      <c r="A46" s="12"/>
      <c r="B46" s="13" t="s">
        <v>81</v>
      </c>
      <c r="C46" s="14"/>
      <c r="D46" s="14"/>
      <c r="E46" s="14"/>
      <c r="F46" s="15"/>
      <c r="G46" s="16"/>
    </row>
    <row r="47" spans="1:7" x14ac:dyDescent="0.35">
      <c r="A47" s="12" t="s">
        <v>466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'Base Option'!F47+'Base Option'!F47*3%</f>
        <v>0</v>
      </c>
      <c r="G47" s="16">
        <f t="shared" si="1"/>
        <v>0</v>
      </c>
    </row>
    <row r="48" spans="1:7" x14ac:dyDescent="0.35">
      <c r="A48" s="12" t="s">
        <v>467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'Base Option'!F48+'Base Option'!F48*3%</f>
        <v>0</v>
      </c>
      <c r="G48" s="16">
        <f t="shared" si="1"/>
        <v>0</v>
      </c>
    </row>
    <row r="49" spans="1:7" ht="31" x14ac:dyDescent="0.35">
      <c r="A49" s="12" t="s">
        <v>468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'Base Option'!F49+'Base Option'!F49*3%</f>
        <v>0</v>
      </c>
      <c r="G49" s="16">
        <f t="shared" si="1"/>
        <v>0</v>
      </c>
    </row>
    <row r="50" spans="1:7" ht="31" x14ac:dyDescent="0.35">
      <c r="A50" s="12" t="s">
        <v>469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'Base Option'!F50+'Base Option'!F50*3%</f>
        <v>0</v>
      </c>
      <c r="G50" s="16">
        <f t="shared" si="1"/>
        <v>0</v>
      </c>
    </row>
    <row r="51" spans="1:7" ht="46.5" x14ac:dyDescent="0.35">
      <c r="A51" s="12" t="s">
        <v>470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'Base Option'!F51+'Base Option'!F51*3%</f>
        <v>0</v>
      </c>
      <c r="G51" s="16">
        <f t="shared" si="1"/>
        <v>0</v>
      </c>
    </row>
    <row r="52" spans="1:7" x14ac:dyDescent="0.35">
      <c r="A52" s="12" t="s">
        <v>471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'Base Option'!F52+'Base Option'!F52*3%</f>
        <v>0</v>
      </c>
      <c r="G52" s="16">
        <f t="shared" si="1"/>
        <v>0</v>
      </c>
    </row>
    <row r="53" spans="1:7" x14ac:dyDescent="0.35">
      <c r="A53" s="12" t="s">
        <v>472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'Base Option'!F53+'Base Option'!F53*3%</f>
        <v>0</v>
      </c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>
        <f>'Base Option'!F54+'Base Option'!F54*3%</f>
        <v>0</v>
      </c>
      <c r="G54" s="16"/>
    </row>
    <row r="55" spans="1:7" x14ac:dyDescent="0.35">
      <c r="A55" s="12" t="s">
        <v>473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'Base Option'!F55+'Base Option'!F55*3%</f>
        <v>0</v>
      </c>
      <c r="G55" s="16">
        <f t="shared" si="1"/>
        <v>0</v>
      </c>
    </row>
    <row r="56" spans="1:7" ht="46.5" x14ac:dyDescent="0.35">
      <c r="A56" s="12"/>
      <c r="B56" s="13" t="s">
        <v>99</v>
      </c>
      <c r="C56" s="14"/>
      <c r="D56" s="14"/>
      <c r="E56" s="14"/>
      <c r="F56" s="15">
        <f>'Base Option'!F56+'Base Option'!F56*3%</f>
        <v>0</v>
      </c>
      <c r="G56" s="16"/>
    </row>
    <row r="57" spans="1:7" x14ac:dyDescent="0.35">
      <c r="A57" s="12" t="s">
        <v>474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'Base Option'!F57+'Base Option'!F57*3%</f>
        <v>0</v>
      </c>
      <c r="G57" s="16">
        <f t="shared" si="1"/>
        <v>0</v>
      </c>
    </row>
    <row r="58" spans="1:7" x14ac:dyDescent="0.35">
      <c r="A58" s="12" t="s">
        <v>475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'Base Option'!F58+'Base Option'!F58*3%</f>
        <v>0</v>
      </c>
      <c r="G58" s="16">
        <f t="shared" si="1"/>
        <v>0</v>
      </c>
    </row>
    <row r="59" spans="1:7" x14ac:dyDescent="0.35">
      <c r="A59" s="12" t="s">
        <v>476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'Base Option'!F59+'Base Option'!F59*3%</f>
        <v>0</v>
      </c>
      <c r="G59" s="16">
        <f t="shared" si="1"/>
        <v>0</v>
      </c>
    </row>
    <row r="60" spans="1:7" ht="31" x14ac:dyDescent="0.35">
      <c r="A60" s="12"/>
      <c r="B60" s="13" t="s">
        <v>106</v>
      </c>
      <c r="C60" s="14"/>
      <c r="D60" s="14"/>
      <c r="E60" s="14"/>
      <c r="F60" s="15">
        <f>'Base Option'!F60+'Base Option'!F60*3%</f>
        <v>0</v>
      </c>
      <c r="G60" s="16"/>
    </row>
    <row r="61" spans="1:7" x14ac:dyDescent="0.35">
      <c r="A61" s="12" t="s">
        <v>477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'Base Option'!F61+'Base Option'!F61*3%</f>
        <v>0</v>
      </c>
      <c r="G61" s="16">
        <f t="shared" ref="G61:G124" si="2">F61*C61</f>
        <v>0</v>
      </c>
    </row>
    <row r="62" spans="1:7" x14ac:dyDescent="0.35">
      <c r="A62" s="12" t="s">
        <v>478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'Base Option'!F62+'Base Option'!F62*3%</f>
        <v>0</v>
      </c>
      <c r="G62" s="16">
        <f t="shared" si="2"/>
        <v>0</v>
      </c>
    </row>
    <row r="63" spans="1:7" x14ac:dyDescent="0.35">
      <c r="A63" s="12" t="s">
        <v>479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'Base Option'!F63+'Base Option'!F63*3%</f>
        <v>0</v>
      </c>
      <c r="G63" s="16">
        <f t="shared" si="2"/>
        <v>0</v>
      </c>
    </row>
    <row r="64" spans="1:7" x14ac:dyDescent="0.35">
      <c r="A64" s="12" t="s">
        <v>480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'Base Option'!F64+'Base Option'!F64*3%</f>
        <v>0</v>
      </c>
      <c r="G64" s="16">
        <f t="shared" si="2"/>
        <v>0</v>
      </c>
    </row>
    <row r="65" spans="1:7" x14ac:dyDescent="0.35">
      <c r="A65" s="12" t="s">
        <v>481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'Base Option'!F65+'Base Option'!F65*3%</f>
        <v>0</v>
      </c>
      <c r="G65" s="16">
        <f t="shared" si="2"/>
        <v>0</v>
      </c>
    </row>
    <row r="66" spans="1:7" ht="18.75" customHeight="1" x14ac:dyDescent="0.35">
      <c r="A66" s="12" t="s">
        <v>482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'Base Option'!F66+'Base Option'!F66*3%</f>
        <v>0</v>
      </c>
      <c r="G66" s="16">
        <f t="shared" si="2"/>
        <v>0</v>
      </c>
    </row>
    <row r="67" spans="1:7" x14ac:dyDescent="0.35">
      <c r="A67" s="12" t="s">
        <v>483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'Base Option'!F67+'Base Option'!F67*3%</f>
        <v>0</v>
      </c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>
        <f>'Base Option'!F68+'Base Option'!F68*3%</f>
        <v>0</v>
      </c>
      <c r="G68" s="16"/>
    </row>
    <row r="69" spans="1:7" x14ac:dyDescent="0.35">
      <c r="A69" s="12" t="s">
        <v>484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'Base Option'!F69+'Base Option'!F69*3%</f>
        <v>0</v>
      </c>
      <c r="G69" s="16">
        <f t="shared" si="2"/>
        <v>0</v>
      </c>
    </row>
    <row r="70" spans="1:7" x14ac:dyDescent="0.35">
      <c r="A70" s="12" t="s">
        <v>485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'Base Option'!F70+'Base Option'!F70*3%</f>
        <v>0</v>
      </c>
      <c r="G70" s="16">
        <f t="shared" si="2"/>
        <v>0</v>
      </c>
    </row>
    <row r="71" spans="1:7" x14ac:dyDescent="0.35">
      <c r="A71" s="12" t="s">
        <v>486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'Base Option'!F71+'Base Option'!F71*3%</f>
        <v>0</v>
      </c>
      <c r="G71" s="16">
        <f t="shared" si="2"/>
        <v>0</v>
      </c>
    </row>
    <row r="72" spans="1:7" x14ac:dyDescent="0.35">
      <c r="A72" s="12" t="s">
        <v>487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'Base Option'!F72+'Base Option'!F72*3%</f>
        <v>0</v>
      </c>
      <c r="G72" s="16">
        <f t="shared" si="2"/>
        <v>0</v>
      </c>
    </row>
    <row r="73" spans="1:7" ht="31" x14ac:dyDescent="0.35">
      <c r="A73" s="12"/>
      <c r="B73" s="13" t="s">
        <v>128</v>
      </c>
      <c r="C73" s="14"/>
      <c r="D73" s="14"/>
      <c r="E73" s="14"/>
      <c r="F73" s="15">
        <f>'Base Option'!F73+'Base Option'!F73*3%</f>
        <v>0</v>
      </c>
      <c r="G73" s="16"/>
    </row>
    <row r="74" spans="1:7" x14ac:dyDescent="0.35">
      <c r="A74" s="12" t="s">
        <v>488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'Base Option'!F74+'Base Option'!F74*3%</f>
        <v>0</v>
      </c>
      <c r="G74" s="16">
        <f t="shared" si="2"/>
        <v>0</v>
      </c>
    </row>
    <row r="75" spans="1:7" x14ac:dyDescent="0.35">
      <c r="A75" s="12" t="s">
        <v>489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'Base Option'!F75+'Base Option'!F75*3%</f>
        <v>0</v>
      </c>
      <c r="G75" s="16">
        <f t="shared" si="2"/>
        <v>0</v>
      </c>
    </row>
    <row r="76" spans="1:7" x14ac:dyDescent="0.35">
      <c r="A76" s="12" t="s">
        <v>490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'Base Option'!F76+'Base Option'!F76*3%</f>
        <v>0</v>
      </c>
      <c r="G76" s="16">
        <f t="shared" si="2"/>
        <v>0</v>
      </c>
    </row>
    <row r="77" spans="1:7" x14ac:dyDescent="0.35">
      <c r="A77" s="12" t="s">
        <v>491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'Base Option'!F77+'Base Option'!F77*3%</f>
        <v>0</v>
      </c>
      <c r="G77" s="16">
        <f t="shared" si="2"/>
        <v>0</v>
      </c>
    </row>
    <row r="78" spans="1:7" ht="31" x14ac:dyDescent="0.35">
      <c r="A78" s="12"/>
      <c r="B78" s="13" t="s">
        <v>137</v>
      </c>
      <c r="C78" s="14"/>
      <c r="D78" s="14"/>
      <c r="E78" s="14"/>
      <c r="F78" s="15">
        <f>'Base Option'!F78+'Base Option'!F78*3%</f>
        <v>0</v>
      </c>
      <c r="G78" s="16"/>
    </row>
    <row r="79" spans="1:7" x14ac:dyDescent="0.35">
      <c r="A79" s="12" t="s">
        <v>492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'Base Option'!F79+'Base Option'!F79*3%</f>
        <v>0</v>
      </c>
      <c r="G79" s="16">
        <f t="shared" si="2"/>
        <v>0</v>
      </c>
    </row>
    <row r="80" spans="1:7" x14ac:dyDescent="0.35">
      <c r="A80" s="12" t="s">
        <v>493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'Base Option'!F80+'Base Option'!F80*3%</f>
        <v>0</v>
      </c>
      <c r="G80" s="16">
        <f t="shared" si="2"/>
        <v>0</v>
      </c>
    </row>
    <row r="81" spans="1:7" x14ac:dyDescent="0.35">
      <c r="A81" s="12" t="s">
        <v>494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'Base Option'!F81+'Base Option'!F81*3%</f>
        <v>0</v>
      </c>
      <c r="G81" s="16">
        <f t="shared" si="2"/>
        <v>0</v>
      </c>
    </row>
    <row r="82" spans="1:7" x14ac:dyDescent="0.35">
      <c r="A82" s="12" t="s">
        <v>495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'Base Option'!F82+'Base Option'!F82*3%</f>
        <v>0</v>
      </c>
      <c r="G82" s="16">
        <f t="shared" si="2"/>
        <v>0</v>
      </c>
    </row>
    <row r="83" spans="1:7" ht="31" x14ac:dyDescent="0.35">
      <c r="A83" s="12"/>
      <c r="B83" s="22" t="s">
        <v>142</v>
      </c>
      <c r="C83" s="14"/>
      <c r="D83" s="14"/>
      <c r="E83" s="14"/>
      <c r="F83" s="15">
        <f>'Base Option'!F83+'Base Option'!F83*3%</f>
        <v>0</v>
      </c>
      <c r="G83" s="16"/>
    </row>
    <row r="84" spans="1:7" x14ac:dyDescent="0.35">
      <c r="A84" s="12" t="s">
        <v>496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'Base Option'!F84+'Base Option'!F84*3%</f>
        <v>0</v>
      </c>
      <c r="G84" s="16">
        <f t="shared" si="2"/>
        <v>0</v>
      </c>
    </row>
    <row r="85" spans="1:7" x14ac:dyDescent="0.35">
      <c r="A85" s="12" t="s">
        <v>497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'Base Option'!F85+'Base Option'!F85*3%</f>
        <v>0</v>
      </c>
      <c r="G85" s="16">
        <f t="shared" si="2"/>
        <v>0</v>
      </c>
    </row>
    <row r="86" spans="1:7" x14ac:dyDescent="0.35">
      <c r="A86" s="12" t="s">
        <v>498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'Base Option'!F86+'Base Option'!F86*3%</f>
        <v>0</v>
      </c>
      <c r="G86" s="16">
        <f t="shared" si="2"/>
        <v>0</v>
      </c>
    </row>
    <row r="87" spans="1:7" x14ac:dyDescent="0.35">
      <c r="A87" s="12" t="s">
        <v>499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'Base Option'!F87+'Base Option'!F87*3%</f>
        <v>0</v>
      </c>
      <c r="G87" s="16">
        <f t="shared" si="2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>
        <f>'Base Option'!F88+'Base Option'!F88*3%</f>
        <v>0</v>
      </c>
      <c r="G88" s="16"/>
    </row>
    <row r="89" spans="1:7" x14ac:dyDescent="0.35">
      <c r="A89" s="12"/>
      <c r="B89" s="13" t="s">
        <v>148</v>
      </c>
      <c r="C89" s="14"/>
      <c r="D89" s="14"/>
      <c r="E89" s="14"/>
      <c r="F89" s="15">
        <f>'Base Option'!F89+'Base Option'!F89*3%</f>
        <v>0</v>
      </c>
      <c r="G89" s="16"/>
    </row>
    <row r="90" spans="1:7" x14ac:dyDescent="0.35">
      <c r="A90" s="12" t="s">
        <v>500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'Base Option'!F90+'Base Option'!F90*3%</f>
        <v>0</v>
      </c>
      <c r="G90" s="16">
        <f t="shared" si="2"/>
        <v>0</v>
      </c>
    </row>
    <row r="91" spans="1:7" x14ac:dyDescent="0.35">
      <c r="A91" s="12" t="s">
        <v>501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'Base Option'!F91+'Base Option'!F91*3%</f>
        <v>0</v>
      </c>
      <c r="G91" s="16">
        <f t="shared" si="2"/>
        <v>0</v>
      </c>
    </row>
    <row r="92" spans="1:7" x14ac:dyDescent="0.35">
      <c r="A92" s="12" t="s">
        <v>502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'Base Option'!F92+'Base Option'!F92*3%</f>
        <v>0</v>
      </c>
      <c r="G92" s="16">
        <f t="shared" si="2"/>
        <v>0</v>
      </c>
    </row>
    <row r="93" spans="1:7" x14ac:dyDescent="0.35">
      <c r="A93" s="12" t="s">
        <v>503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'Base Option'!F93+'Base Option'!F93*3%</f>
        <v>0</v>
      </c>
      <c r="G93" s="16">
        <f t="shared" si="2"/>
        <v>0</v>
      </c>
    </row>
    <row r="94" spans="1:7" x14ac:dyDescent="0.35">
      <c r="A94" s="12" t="s">
        <v>504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'Base Option'!F94+'Base Option'!F94*3%</f>
        <v>0</v>
      </c>
      <c r="G94" s="16">
        <f t="shared" si="2"/>
        <v>0</v>
      </c>
    </row>
    <row r="95" spans="1:7" x14ac:dyDescent="0.35">
      <c r="A95" s="12" t="s">
        <v>505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'Base Option'!F95+'Base Option'!F95*3%</f>
        <v>0</v>
      </c>
      <c r="G95" s="16">
        <f t="shared" si="2"/>
        <v>0</v>
      </c>
    </row>
    <row r="96" spans="1:7" x14ac:dyDescent="0.35">
      <c r="A96" s="12" t="s">
        <v>506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'Base Option'!F96+'Base Option'!F96*3%</f>
        <v>0</v>
      </c>
      <c r="G96" s="16">
        <f t="shared" si="2"/>
        <v>0</v>
      </c>
    </row>
    <row r="97" spans="1:7" x14ac:dyDescent="0.35">
      <c r="A97" s="12" t="s">
        <v>507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'Base Option'!F97+'Base Option'!F97*3%</f>
        <v>0</v>
      </c>
      <c r="G97" s="16">
        <f t="shared" si="2"/>
        <v>0</v>
      </c>
    </row>
    <row r="98" spans="1:7" x14ac:dyDescent="0.35">
      <c r="A98" s="12" t="s">
        <v>508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'Base Option'!F98+'Base Option'!F98*3%</f>
        <v>0</v>
      </c>
      <c r="G98" s="16">
        <f t="shared" si="2"/>
        <v>0</v>
      </c>
    </row>
    <row r="99" spans="1:7" x14ac:dyDescent="0.35">
      <c r="A99" s="12" t="s">
        <v>509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'Base Option'!F99+'Base Option'!F99*3%</f>
        <v>0</v>
      </c>
      <c r="G99" s="16">
        <f t="shared" si="2"/>
        <v>0</v>
      </c>
    </row>
    <row r="100" spans="1:7" x14ac:dyDescent="0.35">
      <c r="A100" s="12" t="s">
        <v>510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'Base Option'!F100+'Base Option'!F100*3%</f>
        <v>0</v>
      </c>
      <c r="G100" s="16">
        <f t="shared" si="2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>
        <f>'Base Option'!F101+'Base Option'!F101*3%</f>
        <v>0</v>
      </c>
      <c r="G101" s="16"/>
    </row>
    <row r="102" spans="1:7" x14ac:dyDescent="0.35">
      <c r="A102" s="12" t="s">
        <v>511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'Base Option'!F102+'Base Option'!F102*3%</f>
        <v>0</v>
      </c>
      <c r="G102" s="16">
        <f t="shared" si="2"/>
        <v>0</v>
      </c>
    </row>
    <row r="103" spans="1:7" x14ac:dyDescent="0.35">
      <c r="A103" s="12" t="s">
        <v>512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'Base Option'!F103+'Base Option'!F103*3%</f>
        <v>0</v>
      </c>
      <c r="G103" s="16">
        <f t="shared" si="2"/>
        <v>0</v>
      </c>
    </row>
    <row r="104" spans="1:7" x14ac:dyDescent="0.35">
      <c r="A104" s="12" t="s">
        <v>513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'Base Option'!F104+'Base Option'!F104*3%</f>
        <v>0</v>
      </c>
      <c r="G104" s="16">
        <f t="shared" si="2"/>
        <v>0</v>
      </c>
    </row>
    <row r="105" spans="1:7" x14ac:dyDescent="0.35">
      <c r="A105" s="12" t="s">
        <v>514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'Base Option'!F105+'Base Option'!F105*3%</f>
        <v>0</v>
      </c>
      <c r="G105" s="16">
        <f t="shared" si="2"/>
        <v>0</v>
      </c>
    </row>
    <row r="106" spans="1:7" x14ac:dyDescent="0.35">
      <c r="A106" s="12" t="s">
        <v>515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'Base Option'!F106+'Base Option'!F106*3%</f>
        <v>0</v>
      </c>
      <c r="G106" s="16">
        <f t="shared" si="2"/>
        <v>0</v>
      </c>
    </row>
    <row r="107" spans="1:7" x14ac:dyDescent="0.35">
      <c r="A107" s="12" t="s">
        <v>516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'Base Option'!F107+'Base Option'!F107*3%</f>
        <v>0</v>
      </c>
      <c r="G107" s="16">
        <f t="shared" si="2"/>
        <v>0</v>
      </c>
    </row>
    <row r="108" spans="1:7" x14ac:dyDescent="0.35">
      <c r="A108" s="12" t="s">
        <v>517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'Base Option'!F108+'Base Option'!F108*3%</f>
        <v>0</v>
      </c>
      <c r="G108" s="16">
        <f t="shared" si="2"/>
        <v>0</v>
      </c>
    </row>
    <row r="109" spans="1:7" x14ac:dyDescent="0.35">
      <c r="A109" s="12" t="s">
        <v>518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'Base Option'!F109+'Base Option'!F109*3%</f>
        <v>0</v>
      </c>
      <c r="G109" s="16">
        <f t="shared" si="2"/>
        <v>0</v>
      </c>
    </row>
    <row r="110" spans="1:7" x14ac:dyDescent="0.35">
      <c r="A110" s="12" t="s">
        <v>519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'Base Option'!F110+'Base Option'!F110*3%</f>
        <v>0</v>
      </c>
      <c r="G110" s="16">
        <f t="shared" si="2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>
        <f>'Base Option'!F111+'Base Option'!F111*3%</f>
        <v>0</v>
      </c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>
        <f>'Base Option'!F112+'Base Option'!F112*3%</f>
        <v>0</v>
      </c>
      <c r="G112" s="16"/>
    </row>
    <row r="113" spans="1:7" ht="31" x14ac:dyDescent="0.35">
      <c r="A113" s="12" t="s">
        <v>520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'Base Option'!F113+'Base Option'!F113*3%</f>
        <v>0</v>
      </c>
      <c r="G113" s="16">
        <f t="shared" si="2"/>
        <v>0</v>
      </c>
    </row>
    <row r="114" spans="1:7" ht="31" x14ac:dyDescent="0.35">
      <c r="A114" s="12" t="s">
        <v>521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'Base Option'!F114+'Base Option'!F114*3%</f>
        <v>0</v>
      </c>
      <c r="G114" s="16">
        <f t="shared" si="2"/>
        <v>0</v>
      </c>
    </row>
    <row r="115" spans="1:7" ht="46.5" x14ac:dyDescent="0.35">
      <c r="A115" s="12" t="s">
        <v>522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'Base Option'!F115+'Base Option'!F115*3%</f>
        <v>0</v>
      </c>
      <c r="G115" s="16">
        <f t="shared" si="2"/>
        <v>0</v>
      </c>
    </row>
    <row r="116" spans="1:7" x14ac:dyDescent="0.35">
      <c r="A116" s="12" t="s">
        <v>523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'Base Option'!F116+'Base Option'!F116*3%</f>
        <v>0</v>
      </c>
      <c r="G116" s="16">
        <f t="shared" si="2"/>
        <v>0</v>
      </c>
    </row>
    <row r="117" spans="1:7" x14ac:dyDescent="0.35">
      <c r="A117" s="12" t="s">
        <v>524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'Base Option'!F117+'Base Option'!F117*3%</f>
        <v>0</v>
      </c>
      <c r="G117" s="16">
        <f t="shared" si="2"/>
        <v>0</v>
      </c>
    </row>
    <row r="118" spans="1:7" ht="31" x14ac:dyDescent="0.35">
      <c r="A118" s="12"/>
      <c r="B118" s="13" t="s">
        <v>202</v>
      </c>
      <c r="C118" s="14"/>
      <c r="D118" s="14"/>
      <c r="E118" s="14"/>
      <c r="F118" s="15">
        <f>'Base Option'!F118+'Base Option'!F118*3%</f>
        <v>0</v>
      </c>
      <c r="G118" s="16"/>
    </row>
    <row r="119" spans="1:7" x14ac:dyDescent="0.35">
      <c r="A119" s="12" t="s">
        <v>525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'Base Option'!F119+'Base Option'!F119*3%</f>
        <v>0</v>
      </c>
      <c r="G119" s="16">
        <f t="shared" si="2"/>
        <v>0</v>
      </c>
    </row>
    <row r="120" spans="1:7" x14ac:dyDescent="0.35">
      <c r="A120" s="12" t="s">
        <v>526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'Base Option'!F120+'Base Option'!F120*3%</f>
        <v>0</v>
      </c>
      <c r="G120" s="16">
        <f t="shared" si="2"/>
        <v>0</v>
      </c>
    </row>
    <row r="121" spans="1:7" x14ac:dyDescent="0.35">
      <c r="A121" s="12" t="s">
        <v>527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'Base Option'!F121+'Base Option'!F121*3%</f>
        <v>0</v>
      </c>
      <c r="G121" s="16">
        <f t="shared" si="2"/>
        <v>0</v>
      </c>
    </row>
    <row r="122" spans="1:7" x14ac:dyDescent="0.35">
      <c r="A122" s="12" t="s">
        <v>528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'Base Option'!F122+'Base Option'!F122*3%</f>
        <v>0</v>
      </c>
      <c r="G122" s="16">
        <f t="shared" si="2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>
        <f>'Base Option'!F123+'Base Option'!F123*3%</f>
        <v>0</v>
      </c>
      <c r="G123" s="16"/>
    </row>
    <row r="124" spans="1:7" x14ac:dyDescent="0.35">
      <c r="A124" s="12" t="s">
        <v>529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'Base Option'!F124+'Base Option'!F124*3%</f>
        <v>0</v>
      </c>
      <c r="G124" s="16">
        <f t="shared" si="2"/>
        <v>0</v>
      </c>
    </row>
    <row r="125" spans="1:7" x14ac:dyDescent="0.35">
      <c r="A125" s="12" t="s">
        <v>530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'Base Option'!F125+'Base Option'!F125*3%</f>
        <v>0</v>
      </c>
      <c r="G125" s="16">
        <f t="shared" ref="G125:G166" si="3">F125*C125</f>
        <v>0</v>
      </c>
    </row>
    <row r="126" spans="1:7" x14ac:dyDescent="0.35">
      <c r="A126" s="12" t="s">
        <v>531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'Base Option'!F126+'Base Option'!F126*3%</f>
        <v>0</v>
      </c>
      <c r="G126" s="16">
        <f t="shared" si="3"/>
        <v>0</v>
      </c>
    </row>
    <row r="127" spans="1:7" x14ac:dyDescent="0.35">
      <c r="A127" s="12" t="s">
        <v>532</v>
      </c>
      <c r="B127" s="17" t="s">
        <v>136</v>
      </c>
      <c r="C127" s="14">
        <v>25</v>
      </c>
      <c r="D127" s="14" t="s">
        <v>25</v>
      </c>
      <c r="E127" s="14" t="s">
        <v>16</v>
      </c>
      <c r="F127" s="15">
        <f>'Base Option'!F127+'Base Option'!F127*3%</f>
        <v>0</v>
      </c>
      <c r="G127" s="16">
        <f t="shared" si="3"/>
        <v>0</v>
      </c>
    </row>
    <row r="128" spans="1:7" x14ac:dyDescent="0.35">
      <c r="A128" s="12" t="s">
        <v>533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'Base Option'!F128+'Base Option'!F128*3%</f>
        <v>0</v>
      </c>
      <c r="G128" s="16">
        <f t="shared" si="3"/>
        <v>0</v>
      </c>
    </row>
    <row r="129" spans="1:7" ht="16.5" customHeight="1" x14ac:dyDescent="0.35">
      <c r="A129" s="12"/>
      <c r="B129" s="13" t="s">
        <v>214</v>
      </c>
      <c r="C129" s="14"/>
      <c r="D129" s="14"/>
      <c r="E129" s="14"/>
      <c r="F129" s="15">
        <f>'Base Option'!F129+'Base Option'!F129*3%</f>
        <v>0</v>
      </c>
      <c r="G129" s="16"/>
    </row>
    <row r="130" spans="1:7" x14ac:dyDescent="0.35">
      <c r="A130" s="12" t="s">
        <v>534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'Base Option'!F130+'Base Option'!F130*3%</f>
        <v>0</v>
      </c>
      <c r="G130" s="16">
        <f t="shared" si="3"/>
        <v>0</v>
      </c>
    </row>
    <row r="131" spans="1:7" x14ac:dyDescent="0.35">
      <c r="A131" s="12" t="s">
        <v>535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'Base Option'!F131+'Base Option'!F131*3%</f>
        <v>0</v>
      </c>
      <c r="G131" s="16">
        <f t="shared" si="3"/>
        <v>0</v>
      </c>
    </row>
    <row r="132" spans="1:7" x14ac:dyDescent="0.35">
      <c r="A132" s="12" t="s">
        <v>536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'Base Option'!F132+'Base Option'!F132*3%</f>
        <v>0</v>
      </c>
      <c r="G132" s="16">
        <f t="shared" si="3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>
        <f>'Base Option'!F133+'Base Option'!F133*3%</f>
        <v>0</v>
      </c>
      <c r="G133" s="16"/>
    </row>
    <row r="134" spans="1:7" x14ac:dyDescent="0.35">
      <c r="A134" s="12" t="s">
        <v>537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'Base Option'!F134+'Base Option'!F134*3%</f>
        <v>0</v>
      </c>
      <c r="G134" s="16">
        <f t="shared" si="3"/>
        <v>0</v>
      </c>
    </row>
    <row r="135" spans="1:7" x14ac:dyDescent="0.35">
      <c r="A135" s="12" t="s">
        <v>538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'Base Option'!F135+'Base Option'!F135*3%</f>
        <v>0</v>
      </c>
      <c r="G135" s="16">
        <f t="shared" si="3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>
        <f>'Base Option'!F136+'Base Option'!F136*3%</f>
        <v>0</v>
      </c>
      <c r="G136" s="16"/>
    </row>
    <row r="137" spans="1:7" x14ac:dyDescent="0.35">
      <c r="A137" s="12" t="s">
        <v>539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'Base Option'!F137+'Base Option'!F137*3%</f>
        <v>0</v>
      </c>
      <c r="G137" s="16">
        <f t="shared" si="3"/>
        <v>0</v>
      </c>
    </row>
    <row r="138" spans="1:7" x14ac:dyDescent="0.35">
      <c r="A138" s="12" t="s">
        <v>540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'Base Option'!F138+'Base Option'!F138*3%</f>
        <v>0</v>
      </c>
      <c r="G138" s="16">
        <f t="shared" si="3"/>
        <v>0</v>
      </c>
    </row>
    <row r="139" spans="1:7" x14ac:dyDescent="0.35">
      <c r="A139" s="12" t="s">
        <v>541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'Base Option'!F139+'Base Option'!F139*3%</f>
        <v>0</v>
      </c>
      <c r="G139" s="16">
        <f t="shared" si="3"/>
        <v>0</v>
      </c>
    </row>
    <row r="140" spans="1:7" x14ac:dyDescent="0.35">
      <c r="A140" s="12" t="s">
        <v>542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'Base Option'!F140+'Base Option'!F140*3%</f>
        <v>0</v>
      </c>
      <c r="G140" s="16">
        <f t="shared" si="3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>
        <f>'Base Option'!F141+'Base Option'!F141*3%</f>
        <v>0</v>
      </c>
      <c r="G141" s="16"/>
    </row>
    <row r="142" spans="1:7" x14ac:dyDescent="0.35">
      <c r="A142" s="12" t="s">
        <v>543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'Base Option'!F142+'Base Option'!F142*3%</f>
        <v>0</v>
      </c>
      <c r="G142" s="16">
        <f t="shared" si="3"/>
        <v>0</v>
      </c>
    </row>
    <row r="143" spans="1:7" x14ac:dyDescent="0.35">
      <c r="A143" s="12" t="s">
        <v>544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'Base Option'!F143+'Base Option'!F143*3%</f>
        <v>0</v>
      </c>
      <c r="G143" s="16">
        <f t="shared" si="3"/>
        <v>0</v>
      </c>
    </row>
    <row r="144" spans="1:7" ht="31" x14ac:dyDescent="0.35">
      <c r="A144" s="12"/>
      <c r="B144" s="13" t="s">
        <v>232</v>
      </c>
      <c r="C144" s="14"/>
      <c r="D144" s="14"/>
      <c r="E144" s="14"/>
      <c r="F144" s="15">
        <f>'Base Option'!F144+'Base Option'!F144*3%</f>
        <v>0</v>
      </c>
      <c r="G144" s="16"/>
    </row>
    <row r="145" spans="1:7" x14ac:dyDescent="0.35">
      <c r="A145" s="12" t="s">
        <v>545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'Base Option'!F145+'Base Option'!F145*3%</f>
        <v>0</v>
      </c>
      <c r="G145" s="16">
        <f t="shared" si="3"/>
        <v>0</v>
      </c>
    </row>
    <row r="146" spans="1:7" x14ac:dyDescent="0.35">
      <c r="A146" s="12" t="s">
        <v>546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'Base Option'!F146+'Base Option'!F146*3%</f>
        <v>0</v>
      </c>
      <c r="G146" s="16">
        <f t="shared" si="3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>
        <f>'Base Option'!F147+'Base Option'!F147*3%</f>
        <v>0</v>
      </c>
      <c r="G147" s="16"/>
    </row>
    <row r="148" spans="1:7" x14ac:dyDescent="0.35">
      <c r="A148" s="12" t="s">
        <v>547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'Base Option'!F148+'Base Option'!F148*3%</f>
        <v>0</v>
      </c>
      <c r="G148" s="16">
        <f t="shared" si="3"/>
        <v>0</v>
      </c>
    </row>
    <row r="149" spans="1:7" x14ac:dyDescent="0.35">
      <c r="A149" s="12" t="s">
        <v>548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'Base Option'!F149+'Base Option'!F149*3%</f>
        <v>0</v>
      </c>
      <c r="G149" s="16">
        <f t="shared" si="3"/>
        <v>0</v>
      </c>
    </row>
    <row r="150" spans="1:7" ht="46.5" x14ac:dyDescent="0.35">
      <c r="A150" s="12"/>
      <c r="B150" s="13" t="s">
        <v>238</v>
      </c>
      <c r="C150" s="14"/>
      <c r="D150" s="14"/>
      <c r="E150" s="14"/>
      <c r="F150" s="15">
        <f>'Base Option'!F150+'Base Option'!F150*3%</f>
        <v>0</v>
      </c>
      <c r="G150" s="16"/>
    </row>
    <row r="151" spans="1:7" x14ac:dyDescent="0.35">
      <c r="A151" s="12" t="s">
        <v>549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'Base Option'!F151+'Base Option'!F151*3%</f>
        <v>0</v>
      </c>
      <c r="G151" s="16">
        <f t="shared" si="3"/>
        <v>0</v>
      </c>
    </row>
    <row r="152" spans="1:7" x14ac:dyDescent="0.35">
      <c r="A152" s="12" t="s">
        <v>550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'Base Option'!F152+'Base Option'!F152*3%</f>
        <v>0</v>
      </c>
      <c r="G152" s="16">
        <f t="shared" si="3"/>
        <v>0</v>
      </c>
    </row>
    <row r="153" spans="1:7" x14ac:dyDescent="0.35">
      <c r="A153" s="12" t="s">
        <v>551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'Base Option'!F153+'Base Option'!F153*3%</f>
        <v>0</v>
      </c>
      <c r="G153" s="16">
        <f t="shared" si="3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>
        <f>'Base Option'!F154+'Base Option'!F154*3%</f>
        <v>0</v>
      </c>
      <c r="G154" s="16"/>
    </row>
    <row r="155" spans="1:7" ht="31" x14ac:dyDescent="0.35">
      <c r="A155" s="12" t="s">
        <v>552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'Base Option'!F155+'Base Option'!F155*3%</f>
        <v>0</v>
      </c>
      <c r="G155" s="16">
        <f t="shared" si="3"/>
        <v>0</v>
      </c>
    </row>
    <row r="156" spans="1:7" ht="31" x14ac:dyDescent="0.35">
      <c r="A156" s="12" t="s">
        <v>553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'Base Option'!F156+'Base Option'!F156*3%</f>
        <v>0</v>
      </c>
      <c r="G156" s="16">
        <f t="shared" si="3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>
        <f>'Base Option'!F157+'Base Option'!F157*3%</f>
        <v>0</v>
      </c>
      <c r="G157" s="16"/>
    </row>
    <row r="158" spans="1:7" x14ac:dyDescent="0.35">
      <c r="A158" s="12" t="s">
        <v>554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'Base Option'!F158+'Base Option'!F158*3%</f>
        <v>0</v>
      </c>
      <c r="G158" s="16">
        <f t="shared" si="3"/>
        <v>0</v>
      </c>
    </row>
    <row r="159" spans="1:7" ht="31" x14ac:dyDescent="0.35">
      <c r="A159" s="12" t="s">
        <v>555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'Base Option'!F159+'Base Option'!F159*3%</f>
        <v>0</v>
      </c>
      <c r="G159" s="16">
        <f t="shared" si="3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>
        <f>'Base Option'!F160+'Base Option'!F160*3%</f>
        <v>0</v>
      </c>
      <c r="G160" s="16"/>
    </row>
    <row r="161" spans="1:7" x14ac:dyDescent="0.35">
      <c r="A161" s="12" t="s">
        <v>556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'Base Option'!F161+'Base Option'!F161*3%</f>
        <v>0</v>
      </c>
      <c r="G161" s="16">
        <f t="shared" si="3"/>
        <v>0</v>
      </c>
    </row>
    <row r="162" spans="1:7" x14ac:dyDescent="0.35">
      <c r="A162" s="12" t="s">
        <v>557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'Base Option'!F162+'Base Option'!F162*3%</f>
        <v>0</v>
      </c>
      <c r="G162" s="16">
        <f t="shared" si="3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>
        <f>'Base Option'!F163+'Base Option'!F163*3%</f>
        <v>0</v>
      </c>
      <c r="G163" s="16"/>
    </row>
    <row r="164" spans="1:7" ht="31" x14ac:dyDescent="0.35">
      <c r="A164" s="12" t="s">
        <v>558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'Base Option'!F164+'Base Option'!F164*3%</f>
        <v>0</v>
      </c>
      <c r="G164" s="16">
        <f t="shared" si="3"/>
        <v>0</v>
      </c>
    </row>
    <row r="165" spans="1:7" x14ac:dyDescent="0.35">
      <c r="A165" s="12" t="s">
        <v>559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'Base Option'!F165+'Base Option'!F165*3%</f>
        <v>0</v>
      </c>
      <c r="G165" s="16">
        <f t="shared" si="3"/>
        <v>0</v>
      </c>
    </row>
    <row r="166" spans="1:7" ht="31" x14ac:dyDescent="0.35">
      <c r="A166" s="12" t="s">
        <v>560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'Base Option'!F166+'Base Option'!F166*3%</f>
        <v>0</v>
      </c>
      <c r="G166" s="16">
        <f t="shared" si="3"/>
        <v>0</v>
      </c>
    </row>
    <row r="167" spans="1:7" x14ac:dyDescent="0.35">
      <c r="A167" s="12" t="s">
        <v>561</v>
      </c>
      <c r="B167" s="13" t="s">
        <v>265</v>
      </c>
      <c r="C167" s="14">
        <v>0</v>
      </c>
      <c r="D167" s="14"/>
      <c r="E167" s="14" t="s">
        <v>16</v>
      </c>
      <c r="F167" s="15">
        <f>'Base Option'!F167+'Base Option'!F167*3%</f>
        <v>0</v>
      </c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>
        <f>'Base Option'!F168+'Base Option'!F168*3%</f>
        <v>0</v>
      </c>
      <c r="G168" s="16"/>
    </row>
    <row r="169" spans="1:7" ht="39" customHeight="1" x14ac:dyDescent="0.35">
      <c r="A169" s="12" t="s">
        <v>562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'Base Option'!F169+'Base Option'!F169*3%</f>
        <v>0</v>
      </c>
      <c r="G169" s="16">
        <f t="shared" ref="G169:G183" si="4">F169*C169</f>
        <v>0</v>
      </c>
    </row>
    <row r="170" spans="1:7" ht="46.5" x14ac:dyDescent="0.35">
      <c r="A170" s="12" t="s">
        <v>563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'Base Option'!F170+'Base Option'!F170*3%</f>
        <v>0</v>
      </c>
      <c r="G170" s="16">
        <f t="shared" si="4"/>
        <v>0</v>
      </c>
    </row>
    <row r="171" spans="1:7" ht="31" x14ac:dyDescent="0.35">
      <c r="A171" s="12" t="s">
        <v>564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'Base Option'!F171+'Base Option'!F171*3%</f>
        <v>0</v>
      </c>
      <c r="G171" s="16">
        <f t="shared" si="4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>
        <f>'Base Option'!F172+'Base Option'!F172*3%</f>
        <v>0</v>
      </c>
      <c r="G172" s="16"/>
    </row>
    <row r="173" spans="1:7" ht="31" x14ac:dyDescent="0.35">
      <c r="A173" s="12" t="s">
        <v>565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'Base Option'!F173+'Base Option'!F173*3%</f>
        <v>0</v>
      </c>
      <c r="G173" s="16">
        <f>F173*C173</f>
        <v>0</v>
      </c>
    </row>
    <row r="174" spans="1:7" ht="31" x14ac:dyDescent="0.35">
      <c r="A174" s="12" t="s">
        <v>566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'Base Option'!F174+'Base Option'!F174*3%</f>
        <v>0</v>
      </c>
      <c r="G174" s="16">
        <f>F174*C174</f>
        <v>0</v>
      </c>
    </row>
    <row r="175" spans="1:7" x14ac:dyDescent="0.35">
      <c r="A175" s="12" t="s">
        <v>567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'Base Option'!F175+'Base Option'!F175*3%</f>
        <v>0</v>
      </c>
      <c r="G175" s="16">
        <f>F175*C175</f>
        <v>0</v>
      </c>
    </row>
    <row r="176" spans="1:7" ht="46.5" x14ac:dyDescent="0.35">
      <c r="A176" s="12" t="s">
        <v>568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'Base Option'!F176+'Base Option'!F176*3%</f>
        <v>0</v>
      </c>
      <c r="G176" s="16">
        <f>F176*C176</f>
        <v>0</v>
      </c>
    </row>
    <row r="177" spans="1:7" ht="31" x14ac:dyDescent="0.35">
      <c r="A177" s="12"/>
      <c r="B177" s="13" t="s">
        <v>282</v>
      </c>
      <c r="C177" s="14"/>
      <c r="D177" s="14"/>
      <c r="E177" s="14"/>
      <c r="F177" s="15">
        <f>'Base Option'!F177+'Base Option'!F177*3%</f>
        <v>0</v>
      </c>
      <c r="G177" s="16"/>
    </row>
    <row r="178" spans="1:7" ht="62" x14ac:dyDescent="0.35">
      <c r="A178" s="12" t="s">
        <v>569</v>
      </c>
      <c r="B178" s="17" t="s">
        <v>284</v>
      </c>
      <c r="C178" s="14"/>
      <c r="D178" s="14" t="s">
        <v>285</v>
      </c>
      <c r="E178" s="14" t="s">
        <v>16</v>
      </c>
      <c r="F178" s="15">
        <v>0</v>
      </c>
      <c r="G178" s="16">
        <f t="shared" si="4"/>
        <v>0</v>
      </c>
    </row>
    <row r="179" spans="1:7" ht="46.5" x14ac:dyDescent="0.35">
      <c r="A179" s="12" t="s">
        <v>570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'Base Option'!F179+'Base Option'!F179*3%</f>
        <v>0</v>
      </c>
      <c r="G179" s="16">
        <f t="shared" si="4"/>
        <v>0</v>
      </c>
    </row>
    <row r="180" spans="1:7" x14ac:dyDescent="0.35">
      <c r="A180" s="12"/>
      <c r="B180" s="13" t="s">
        <v>289</v>
      </c>
      <c r="C180" s="14"/>
      <c r="D180" s="14"/>
      <c r="E180" s="14"/>
      <c r="F180" s="15">
        <f>'Base Option'!F180+'Base Option'!F180*3%</f>
        <v>0</v>
      </c>
      <c r="G180" s="16"/>
    </row>
    <row r="181" spans="1:7" ht="108.5" x14ac:dyDescent="0.35">
      <c r="A181" s="12" t="s">
        <v>571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'Base Option'!F181+'Base Option'!F181*3%</f>
        <v>0</v>
      </c>
      <c r="G181" s="16">
        <f t="shared" si="4"/>
        <v>0</v>
      </c>
    </row>
    <row r="182" spans="1:7" ht="31" x14ac:dyDescent="0.35">
      <c r="A182" s="12"/>
      <c r="B182" s="13" t="s">
        <v>292</v>
      </c>
      <c r="C182" s="14"/>
      <c r="D182" s="14"/>
      <c r="E182" s="14"/>
      <c r="F182" s="15">
        <f>'Base Option'!F182+'Base Option'!F182*3%</f>
        <v>0</v>
      </c>
      <c r="G182" s="16"/>
    </row>
    <row r="183" spans="1:7" x14ac:dyDescent="0.35">
      <c r="A183" s="12" t="s">
        <v>573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'Base Option'!F183+'Base Option'!F183*3%</f>
        <v>0</v>
      </c>
      <c r="G183" s="16">
        <f t="shared" si="4"/>
        <v>0</v>
      </c>
    </row>
    <row r="184" spans="1:7" ht="31" x14ac:dyDescent="0.35">
      <c r="A184" s="12"/>
      <c r="B184" s="13" t="s">
        <v>295</v>
      </c>
      <c r="C184" s="14"/>
      <c r="D184" s="14"/>
      <c r="E184" s="14"/>
      <c r="F184" s="15">
        <f>'Base Option'!F184+'Base Option'!F184*3%</f>
        <v>0</v>
      </c>
      <c r="G184" s="16"/>
    </row>
    <row r="185" spans="1:7" ht="62" x14ac:dyDescent="0.35">
      <c r="A185" s="12" t="s">
        <v>574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'Base Option'!F185+'Base Option'!F185*3%</f>
        <v>0</v>
      </c>
      <c r="G185" s="16">
        <f>F185</f>
        <v>0</v>
      </c>
    </row>
    <row r="186" spans="1:7" ht="62.5" thickBot="1" x14ac:dyDescent="0.4">
      <c r="A186" s="12" t="s">
        <v>575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'Base Option'!F186+'Base Option'!F186*3%</f>
        <v>0</v>
      </c>
      <c r="G186" s="32">
        <f>F186</f>
        <v>0</v>
      </c>
    </row>
    <row r="187" spans="1:7" ht="31" x14ac:dyDescent="0.35">
      <c r="A187" s="12"/>
      <c r="B187" s="13" t="s">
        <v>576</v>
      </c>
      <c r="C187" s="14"/>
      <c r="D187" s="14"/>
      <c r="E187" s="14"/>
      <c r="F187" s="33"/>
      <c r="G187" s="34">
        <f>SUM(G9:G186)</f>
        <v>0</v>
      </c>
    </row>
    <row r="188" spans="1:7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7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7" ht="46.5" x14ac:dyDescent="0.35">
      <c r="A191" s="12" t="s">
        <v>577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'Base Option'!F191+'Base Option'!F191*3%</f>
        <v>0</v>
      </c>
      <c r="G191" s="16">
        <f t="shared" ref="G191" si="5">F191*C191</f>
        <v>0</v>
      </c>
    </row>
    <row r="192" spans="1:7" ht="31" x14ac:dyDescent="0.35">
      <c r="A192" s="12"/>
      <c r="B192" s="18" t="s">
        <v>17</v>
      </c>
      <c r="C192" s="14"/>
      <c r="D192" s="14"/>
      <c r="E192" s="14"/>
      <c r="F192" s="15">
        <f>'Base Option'!F192+'Base Option'!F192*3%</f>
        <v>0</v>
      </c>
      <c r="G192" s="19"/>
    </row>
    <row r="193" spans="1:7" x14ac:dyDescent="0.35">
      <c r="A193" s="12" t="s">
        <v>578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'Base Option'!F193+'Base Option'!F193*3%</f>
        <v>0</v>
      </c>
      <c r="G193" s="16">
        <f t="shared" ref="G193:G196" si="6">F193*C193</f>
        <v>0</v>
      </c>
    </row>
    <row r="194" spans="1:7" x14ac:dyDescent="0.35">
      <c r="A194" s="12" t="s">
        <v>579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'Base Option'!F194+'Base Option'!F194*3%</f>
        <v>0</v>
      </c>
      <c r="G194" s="16">
        <f t="shared" si="6"/>
        <v>0</v>
      </c>
    </row>
    <row r="195" spans="1:7" x14ac:dyDescent="0.35">
      <c r="A195" s="12" t="s">
        <v>580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'Base Option'!F195+'Base Option'!F195*3%</f>
        <v>0</v>
      </c>
      <c r="G195" s="16">
        <f t="shared" si="6"/>
        <v>0</v>
      </c>
    </row>
    <row r="196" spans="1:7" x14ac:dyDescent="0.35">
      <c r="A196" s="12" t="s">
        <v>581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'Base Option'!F196+'Base Option'!F196*3%</f>
        <v>0</v>
      </c>
      <c r="G196" s="16">
        <f t="shared" si="6"/>
        <v>0</v>
      </c>
    </row>
    <row r="197" spans="1:7" x14ac:dyDescent="0.35">
      <c r="A197" s="12"/>
      <c r="B197" s="13" t="s">
        <v>28</v>
      </c>
      <c r="C197" s="14"/>
      <c r="D197" s="14"/>
      <c r="E197" s="14"/>
      <c r="F197" s="15">
        <f>'Base Option'!F197+'Base Option'!F197*3%</f>
        <v>0</v>
      </c>
      <c r="G197" s="16"/>
    </row>
    <row r="198" spans="1:7" ht="46.5" x14ac:dyDescent="0.35">
      <c r="A198" s="12"/>
      <c r="B198" s="13" t="s">
        <v>1545</v>
      </c>
      <c r="C198" s="14"/>
      <c r="D198" s="14"/>
      <c r="E198" s="14"/>
      <c r="F198" s="15">
        <f>'Base Option'!F198+'Base Option'!F198*3%</f>
        <v>0</v>
      </c>
      <c r="G198" s="16"/>
    </row>
    <row r="199" spans="1:7" ht="31" x14ac:dyDescent="0.35">
      <c r="A199" s="12" t="s">
        <v>582</v>
      </c>
      <c r="B199" s="17" t="s">
        <v>31</v>
      </c>
      <c r="C199" s="14">
        <v>10</v>
      </c>
      <c r="D199" s="14" t="s">
        <v>20</v>
      </c>
      <c r="E199" s="14" t="s">
        <v>16</v>
      </c>
      <c r="F199" s="15">
        <f>'Base Option'!F199+'Base Option'!F199*3%</f>
        <v>0</v>
      </c>
      <c r="G199" s="16">
        <f t="shared" ref="G199:G205" si="7">F199*C199</f>
        <v>0</v>
      </c>
    </row>
    <row r="200" spans="1:7" x14ac:dyDescent="0.35">
      <c r="A200" s="12" t="s">
        <v>583</v>
      </c>
      <c r="B200" s="17" t="s">
        <v>33</v>
      </c>
      <c r="C200" s="14">
        <v>10</v>
      </c>
      <c r="D200" s="14" t="s">
        <v>20</v>
      </c>
      <c r="E200" s="14" t="s">
        <v>16</v>
      </c>
      <c r="F200" s="15">
        <f>'Base Option'!F200+'Base Option'!F200*3%</f>
        <v>0</v>
      </c>
      <c r="G200" s="16">
        <f t="shared" si="7"/>
        <v>0</v>
      </c>
    </row>
    <row r="201" spans="1:7" ht="31" x14ac:dyDescent="0.35">
      <c r="A201" s="12" t="s">
        <v>584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'Base Option'!F201+'Base Option'!F201*3%</f>
        <v>0</v>
      </c>
      <c r="G201" s="16">
        <f t="shared" si="7"/>
        <v>0</v>
      </c>
    </row>
    <row r="202" spans="1:7" ht="31" x14ac:dyDescent="0.35">
      <c r="A202" s="12" t="s">
        <v>585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'Base Option'!F202+'Base Option'!F202*3%</f>
        <v>0</v>
      </c>
      <c r="G202" s="16">
        <f t="shared" si="7"/>
        <v>0</v>
      </c>
    </row>
    <row r="203" spans="1:7" ht="31" x14ac:dyDescent="0.35">
      <c r="A203" s="12" t="s">
        <v>586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'Base Option'!F203+'Base Option'!F203*3%</f>
        <v>0</v>
      </c>
      <c r="G203" s="16">
        <f t="shared" si="7"/>
        <v>0</v>
      </c>
    </row>
    <row r="204" spans="1:7" ht="31" x14ac:dyDescent="0.35">
      <c r="A204" s="12" t="s">
        <v>587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'Base Option'!F204+'Base Option'!F204*3%</f>
        <v>0</v>
      </c>
      <c r="G204" s="16">
        <f t="shared" si="7"/>
        <v>0</v>
      </c>
    </row>
    <row r="205" spans="1:7" ht="31" x14ac:dyDescent="0.35">
      <c r="A205" s="12" t="s">
        <v>588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'Base Option'!F205+'Base Option'!F205*3%</f>
        <v>0</v>
      </c>
      <c r="G205" s="16">
        <f t="shared" si="7"/>
        <v>0</v>
      </c>
    </row>
    <row r="206" spans="1:7" x14ac:dyDescent="0.35">
      <c r="A206" s="12"/>
      <c r="B206" s="18" t="s">
        <v>45</v>
      </c>
      <c r="C206" s="14"/>
      <c r="D206" s="14"/>
      <c r="E206" s="14"/>
      <c r="F206" s="15">
        <f>'Base Option'!F206+'Base Option'!F206*3%</f>
        <v>0</v>
      </c>
      <c r="G206" s="16"/>
    </row>
    <row r="207" spans="1:7" ht="46.5" x14ac:dyDescent="0.35">
      <c r="A207" s="12"/>
      <c r="B207" s="18" t="s">
        <v>46</v>
      </c>
      <c r="C207" s="14"/>
      <c r="D207" s="14"/>
      <c r="E207" s="14"/>
      <c r="F207" s="15">
        <f>'Base Option'!F207+'Base Option'!F207*3%</f>
        <v>0</v>
      </c>
      <c r="G207" s="16"/>
    </row>
    <row r="208" spans="1:7" x14ac:dyDescent="0.35">
      <c r="A208" s="12" t="s">
        <v>589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'Base Option'!F208+'Base Option'!F208*3%</f>
        <v>0</v>
      </c>
      <c r="G208" s="16">
        <f t="shared" ref="G208:G210" si="8">F208*C208</f>
        <v>0</v>
      </c>
    </row>
    <row r="209" spans="1:7" x14ac:dyDescent="0.35">
      <c r="A209" s="12" t="s">
        <v>590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'Base Option'!F209+'Base Option'!F209*3%</f>
        <v>0</v>
      </c>
      <c r="G209" s="16">
        <f t="shared" si="8"/>
        <v>0</v>
      </c>
    </row>
    <row r="210" spans="1:7" x14ac:dyDescent="0.35">
      <c r="A210" s="12" t="s">
        <v>591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'Base Option'!F210+'Base Option'!F210*3%</f>
        <v>0</v>
      </c>
      <c r="G210" s="16">
        <f t="shared" si="8"/>
        <v>0</v>
      </c>
    </row>
    <row r="211" spans="1:7" ht="46.5" x14ac:dyDescent="0.35">
      <c r="A211" s="12" t="s">
        <v>592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'Base Option'!F211+'Base Option'!F211*3%</f>
        <v>0</v>
      </c>
      <c r="G211" s="19">
        <f>F211*C211</f>
        <v>0</v>
      </c>
    </row>
    <row r="212" spans="1:7" x14ac:dyDescent="0.35">
      <c r="A212" s="12" t="s">
        <v>593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'Base Option'!F212+'Base Option'!F212*3%</f>
        <v>0</v>
      </c>
      <c r="G212" s="16">
        <f t="shared" ref="G212:G215" si="9">F212*C212</f>
        <v>0</v>
      </c>
    </row>
    <row r="213" spans="1:7" ht="31" x14ac:dyDescent="0.35">
      <c r="A213" s="12" t="s">
        <v>594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'Base Option'!F213+'Base Option'!F213*3%</f>
        <v>0</v>
      </c>
      <c r="G213" s="16">
        <f t="shared" si="9"/>
        <v>0</v>
      </c>
    </row>
    <row r="214" spans="1:7" ht="31" x14ac:dyDescent="0.35">
      <c r="A214" s="12" t="s">
        <v>595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'Base Option'!F214+'Base Option'!F214*3%</f>
        <v>0</v>
      </c>
      <c r="G214" s="16">
        <f t="shared" si="9"/>
        <v>0</v>
      </c>
    </row>
    <row r="215" spans="1:7" ht="31" x14ac:dyDescent="0.35">
      <c r="A215" s="12" t="s">
        <v>596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'Base Option'!F215+'Base Option'!F215*3%</f>
        <v>0</v>
      </c>
      <c r="G215" s="16">
        <f t="shared" si="9"/>
        <v>0</v>
      </c>
    </row>
    <row r="216" spans="1:7" ht="46.5" x14ac:dyDescent="0.35">
      <c r="A216" s="12"/>
      <c r="B216" s="13" t="s">
        <v>63</v>
      </c>
      <c r="C216" s="14"/>
      <c r="D216" s="14"/>
      <c r="E216" s="14"/>
      <c r="F216" s="15">
        <f>'Base Option'!F216+'Base Option'!F216*3%</f>
        <v>0</v>
      </c>
      <c r="G216" s="16"/>
    </row>
    <row r="217" spans="1:7" x14ac:dyDescent="0.35">
      <c r="A217" s="12" t="s">
        <v>597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'Base Option'!F217+'Base Option'!F217*3%</f>
        <v>0</v>
      </c>
      <c r="G217" s="16">
        <f t="shared" ref="G217:G218" si="10">F217*C217</f>
        <v>0</v>
      </c>
    </row>
    <row r="218" spans="1:7" x14ac:dyDescent="0.35">
      <c r="A218" s="12" t="s">
        <v>598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'Base Option'!F218+'Base Option'!F218*3%</f>
        <v>0</v>
      </c>
      <c r="G218" s="16">
        <f t="shared" si="10"/>
        <v>0</v>
      </c>
    </row>
    <row r="219" spans="1:7" x14ac:dyDescent="0.35">
      <c r="A219" s="12" t="s">
        <v>599</v>
      </c>
      <c r="B219" s="17" t="s">
        <v>1543</v>
      </c>
      <c r="C219" s="14"/>
      <c r="D219" s="14"/>
      <c r="E219" s="14"/>
      <c r="F219" s="15"/>
      <c r="G219" s="16"/>
    </row>
    <row r="220" spans="1:7" x14ac:dyDescent="0.35">
      <c r="A220" s="12"/>
      <c r="B220" s="13" t="s">
        <v>69</v>
      </c>
      <c r="C220" s="14"/>
      <c r="D220" s="14"/>
      <c r="E220" s="14"/>
      <c r="F220" s="15">
        <f>'Base Option'!F220+'Base Option'!F220*3%</f>
        <v>0</v>
      </c>
      <c r="G220" s="16"/>
    </row>
    <row r="221" spans="1:7" x14ac:dyDescent="0.35">
      <c r="A221" s="12" t="s">
        <v>600</v>
      </c>
      <c r="B221" s="17" t="s">
        <v>71</v>
      </c>
      <c r="C221" s="14">
        <v>12</v>
      </c>
      <c r="D221" s="14" t="s">
        <v>25</v>
      </c>
      <c r="E221" s="14" t="s">
        <v>16</v>
      </c>
      <c r="F221" s="15">
        <f>'Base Option'!F221+'Base Option'!F221*3%</f>
        <v>0</v>
      </c>
      <c r="G221" s="16">
        <f t="shared" ref="G221:G222" si="11">F221*C221</f>
        <v>0</v>
      </c>
    </row>
    <row r="222" spans="1:7" x14ac:dyDescent="0.35">
      <c r="A222" s="12" t="s">
        <v>601</v>
      </c>
      <c r="B222" s="17" t="s">
        <v>73</v>
      </c>
      <c r="C222" s="14">
        <v>12</v>
      </c>
      <c r="D222" s="14" t="s">
        <v>25</v>
      </c>
      <c r="E222" s="14" t="s">
        <v>16</v>
      </c>
      <c r="F222" s="15">
        <f>'Base Option'!F222+'Base Option'!F222*3%</f>
        <v>0</v>
      </c>
      <c r="G222" s="16">
        <f t="shared" si="11"/>
        <v>0</v>
      </c>
    </row>
    <row r="223" spans="1:7" x14ac:dyDescent="0.35">
      <c r="A223" s="12"/>
      <c r="B223" s="13" t="s">
        <v>74</v>
      </c>
      <c r="C223" s="14"/>
      <c r="D223" s="14"/>
      <c r="E223" s="14"/>
      <c r="F223" s="15">
        <f>'Base Option'!F223+'Base Option'!F223*3%</f>
        <v>0</v>
      </c>
      <c r="G223" s="16"/>
    </row>
    <row r="224" spans="1:7" ht="31" x14ac:dyDescent="0.35">
      <c r="A224" s="12"/>
      <c r="B224" s="13" t="s">
        <v>75</v>
      </c>
      <c r="C224" s="14"/>
      <c r="D224" s="14"/>
      <c r="E224" s="14"/>
      <c r="F224" s="15">
        <f>'Base Option'!F224+'Base Option'!F224*3%</f>
        <v>0</v>
      </c>
      <c r="G224" s="16"/>
    </row>
    <row r="225" spans="1:7" x14ac:dyDescent="0.35">
      <c r="A225" s="12" t="s">
        <v>602</v>
      </c>
      <c r="B225" s="17" t="s">
        <v>77</v>
      </c>
      <c r="C225" s="14">
        <v>6</v>
      </c>
      <c r="D225" s="14" t="s">
        <v>15</v>
      </c>
      <c r="E225" s="14" t="s">
        <v>16</v>
      </c>
      <c r="F225" s="15">
        <f>'Base Option'!F225+'Base Option'!F225*3%</f>
        <v>0</v>
      </c>
      <c r="G225" s="16">
        <f t="shared" ref="G225" si="12">F225*C225</f>
        <v>0</v>
      </c>
    </row>
    <row r="226" spans="1:7" ht="31" x14ac:dyDescent="0.35">
      <c r="A226" s="12"/>
      <c r="B226" s="13" t="s">
        <v>78</v>
      </c>
      <c r="C226" s="14"/>
      <c r="D226" s="14"/>
      <c r="E226" s="14"/>
      <c r="F226" s="15">
        <f>'Base Option'!F226+'Base Option'!F226*3%</f>
        <v>0</v>
      </c>
      <c r="G226" s="16"/>
    </row>
    <row r="227" spans="1:7" x14ac:dyDescent="0.35">
      <c r="A227" s="12" t="s">
        <v>603</v>
      </c>
      <c r="B227" s="17" t="s">
        <v>80</v>
      </c>
      <c r="C227" s="14">
        <v>6</v>
      </c>
      <c r="D227" s="14" t="s">
        <v>15</v>
      </c>
      <c r="E227" s="14" t="s">
        <v>16</v>
      </c>
      <c r="F227" s="15">
        <f>'Base Option'!F227+'Base Option'!F227*3%</f>
        <v>0</v>
      </c>
      <c r="G227" s="16">
        <f t="shared" ref="G227" si="13">F227*C227</f>
        <v>0</v>
      </c>
    </row>
    <row r="228" spans="1:7" ht="46.5" x14ac:dyDescent="0.35">
      <c r="A228" s="12"/>
      <c r="B228" s="13" t="s">
        <v>81</v>
      </c>
      <c r="C228" s="14"/>
      <c r="D228" s="14"/>
      <c r="E228" s="14"/>
      <c r="F228" s="15">
        <f>'Base Option'!F228+'Base Option'!F228*3%</f>
        <v>0</v>
      </c>
      <c r="G228" s="16"/>
    </row>
    <row r="229" spans="1:7" x14ac:dyDescent="0.35">
      <c r="A229" s="12" t="s">
        <v>604</v>
      </c>
      <c r="B229" s="17" t="s">
        <v>83</v>
      </c>
      <c r="C229" s="14">
        <v>6</v>
      </c>
      <c r="D229" s="14" t="s">
        <v>15</v>
      </c>
      <c r="E229" s="14" t="s">
        <v>16</v>
      </c>
      <c r="F229" s="15">
        <f>'Base Option'!F229+'Base Option'!F229*3%</f>
        <v>0</v>
      </c>
      <c r="G229" s="16">
        <f t="shared" ref="G229:G235" si="14">F229*C229</f>
        <v>0</v>
      </c>
    </row>
    <row r="230" spans="1:7" x14ac:dyDescent="0.35">
      <c r="A230" s="12" t="s">
        <v>605</v>
      </c>
      <c r="B230" s="17" t="s">
        <v>85</v>
      </c>
      <c r="C230" s="14">
        <v>6</v>
      </c>
      <c r="D230" s="14" t="s">
        <v>15</v>
      </c>
      <c r="E230" s="14" t="s">
        <v>16</v>
      </c>
      <c r="F230" s="15">
        <f>'Base Option'!F230+'Base Option'!F230*3%</f>
        <v>0</v>
      </c>
      <c r="G230" s="16">
        <f t="shared" si="14"/>
        <v>0</v>
      </c>
    </row>
    <row r="231" spans="1:7" ht="31" x14ac:dyDescent="0.35">
      <c r="A231" s="12" t="s">
        <v>606</v>
      </c>
      <c r="B231" s="17" t="s">
        <v>87</v>
      </c>
      <c r="C231" s="14">
        <v>50</v>
      </c>
      <c r="D231" s="14" t="s">
        <v>25</v>
      </c>
      <c r="E231" s="14" t="s">
        <v>16</v>
      </c>
      <c r="F231" s="15">
        <f>'Base Option'!F231+'Base Option'!F231*3%</f>
        <v>0</v>
      </c>
      <c r="G231" s="16">
        <f t="shared" si="14"/>
        <v>0</v>
      </c>
    </row>
    <row r="232" spans="1:7" ht="31" x14ac:dyDescent="0.35">
      <c r="A232" s="12" t="s">
        <v>607</v>
      </c>
      <c r="B232" s="17" t="s">
        <v>89</v>
      </c>
      <c r="C232" s="14">
        <v>12</v>
      </c>
      <c r="D232" s="14" t="s">
        <v>25</v>
      </c>
      <c r="E232" s="14" t="s">
        <v>16</v>
      </c>
      <c r="F232" s="15">
        <f>'Base Option'!F232+'Base Option'!F232*3%</f>
        <v>0</v>
      </c>
      <c r="G232" s="16">
        <f t="shared" si="14"/>
        <v>0</v>
      </c>
    </row>
    <row r="233" spans="1:7" ht="46.5" x14ac:dyDescent="0.35">
      <c r="A233" s="12" t="s">
        <v>608</v>
      </c>
      <c r="B233" s="17" t="s">
        <v>91</v>
      </c>
      <c r="C233" s="14">
        <v>12</v>
      </c>
      <c r="D233" s="14" t="s">
        <v>25</v>
      </c>
      <c r="E233" s="14" t="s">
        <v>16</v>
      </c>
      <c r="F233" s="15">
        <f>'Base Option'!F233+'Base Option'!F233*3%</f>
        <v>0</v>
      </c>
      <c r="G233" s="16">
        <f t="shared" si="14"/>
        <v>0</v>
      </c>
    </row>
    <row r="234" spans="1:7" x14ac:dyDescent="0.35">
      <c r="A234" s="12" t="s">
        <v>609</v>
      </c>
      <c r="B234" s="17" t="s">
        <v>93</v>
      </c>
      <c r="C234" s="14">
        <v>10</v>
      </c>
      <c r="D234" s="14" t="s">
        <v>15</v>
      </c>
      <c r="E234" s="14" t="s">
        <v>16</v>
      </c>
      <c r="F234" s="15">
        <f>'Base Option'!F234+'Base Option'!F234*3%</f>
        <v>0</v>
      </c>
      <c r="G234" s="16">
        <f t="shared" si="14"/>
        <v>0</v>
      </c>
    </row>
    <row r="235" spans="1:7" x14ac:dyDescent="0.35">
      <c r="A235" s="12" t="s">
        <v>610</v>
      </c>
      <c r="B235" s="17" t="s">
        <v>95</v>
      </c>
      <c r="C235" s="14">
        <v>100</v>
      </c>
      <c r="D235" s="14" t="s">
        <v>25</v>
      </c>
      <c r="E235" s="14" t="s">
        <v>16</v>
      </c>
      <c r="F235" s="15">
        <f>'Base Option'!F235+'Base Option'!F235*3%</f>
        <v>0</v>
      </c>
      <c r="G235" s="16">
        <f t="shared" si="14"/>
        <v>0</v>
      </c>
    </row>
    <row r="236" spans="1:7" x14ac:dyDescent="0.35">
      <c r="A236" s="12"/>
      <c r="B236" s="13" t="s">
        <v>96</v>
      </c>
      <c r="C236" s="14"/>
      <c r="D236" s="14"/>
      <c r="E236" s="14"/>
      <c r="F236" s="15">
        <f>'Base Option'!F236+'Base Option'!F236*3%</f>
        <v>0</v>
      </c>
      <c r="G236" s="16"/>
    </row>
    <row r="237" spans="1:7" x14ac:dyDescent="0.35">
      <c r="A237" s="12" t="s">
        <v>611</v>
      </c>
      <c r="B237" s="17" t="s">
        <v>98</v>
      </c>
      <c r="C237" s="14">
        <v>50</v>
      </c>
      <c r="D237" s="14" t="s">
        <v>25</v>
      </c>
      <c r="E237" s="14" t="s">
        <v>16</v>
      </c>
      <c r="F237" s="15">
        <f>'Base Option'!F237+'Base Option'!F237*3%</f>
        <v>0</v>
      </c>
      <c r="G237" s="16">
        <f t="shared" ref="G237" si="15">F237*C237</f>
        <v>0</v>
      </c>
    </row>
    <row r="238" spans="1:7" ht="46.5" x14ac:dyDescent="0.35">
      <c r="A238" s="12"/>
      <c r="B238" s="13" t="s">
        <v>99</v>
      </c>
      <c r="C238" s="14"/>
      <c r="D238" s="14"/>
      <c r="E238" s="14"/>
      <c r="F238" s="15">
        <f>'Base Option'!F238+'Base Option'!F238*3%</f>
        <v>0</v>
      </c>
      <c r="G238" s="16"/>
    </row>
    <row r="239" spans="1:7" x14ac:dyDescent="0.35">
      <c r="A239" s="12" t="s">
        <v>612</v>
      </c>
      <c r="B239" s="17" t="s">
        <v>101</v>
      </c>
      <c r="C239" s="14">
        <v>10</v>
      </c>
      <c r="D239" s="14" t="s">
        <v>15</v>
      </c>
      <c r="E239" s="14" t="s">
        <v>16</v>
      </c>
      <c r="F239" s="15">
        <f>'Base Option'!F239+'Base Option'!F239*3%</f>
        <v>0</v>
      </c>
      <c r="G239" s="16">
        <f t="shared" ref="G239:G241" si="16">F239*C239</f>
        <v>0</v>
      </c>
    </row>
    <row r="240" spans="1:7" x14ac:dyDescent="0.35">
      <c r="A240" s="12" t="s">
        <v>613</v>
      </c>
      <c r="B240" s="17" t="s">
        <v>103</v>
      </c>
      <c r="C240" s="14">
        <v>10</v>
      </c>
      <c r="D240" s="14" t="s">
        <v>15</v>
      </c>
      <c r="E240" s="14" t="s">
        <v>16</v>
      </c>
      <c r="F240" s="15">
        <f>'Base Option'!F240+'Base Option'!F240*3%</f>
        <v>0</v>
      </c>
      <c r="G240" s="16">
        <f t="shared" si="16"/>
        <v>0</v>
      </c>
    </row>
    <row r="241" spans="1:7" x14ac:dyDescent="0.35">
      <c r="A241" s="12" t="s">
        <v>614</v>
      </c>
      <c r="B241" s="17" t="s">
        <v>105</v>
      </c>
      <c r="C241" s="14">
        <v>10</v>
      </c>
      <c r="D241" s="14" t="s">
        <v>15</v>
      </c>
      <c r="E241" s="14" t="s">
        <v>16</v>
      </c>
      <c r="F241" s="15">
        <f>'Base Option'!F241+'Base Option'!F241*3%</f>
        <v>0</v>
      </c>
      <c r="G241" s="16">
        <f t="shared" si="16"/>
        <v>0</v>
      </c>
    </row>
    <row r="242" spans="1:7" ht="31" x14ac:dyDescent="0.35">
      <c r="A242" s="12"/>
      <c r="B242" s="13" t="s">
        <v>106</v>
      </c>
      <c r="C242" s="14"/>
      <c r="D242" s="14"/>
      <c r="E242" s="14"/>
      <c r="F242" s="15">
        <f>'Base Option'!F242+'Base Option'!F242*3%</f>
        <v>0</v>
      </c>
      <c r="G242" s="16"/>
    </row>
    <row r="243" spans="1:7" x14ac:dyDescent="0.35">
      <c r="A243" s="12" t="s">
        <v>615</v>
      </c>
      <c r="B243" s="17" t="s">
        <v>101</v>
      </c>
      <c r="C243" s="14">
        <v>10</v>
      </c>
      <c r="D243" s="14" t="s">
        <v>15</v>
      </c>
      <c r="E243" s="14" t="s">
        <v>16</v>
      </c>
      <c r="F243" s="15">
        <f>'Base Option'!F243+'Base Option'!F243*3%</f>
        <v>0</v>
      </c>
      <c r="G243" s="16">
        <f t="shared" ref="G243:G249" si="17">F243*C243</f>
        <v>0</v>
      </c>
    </row>
    <row r="244" spans="1:7" x14ac:dyDescent="0.35">
      <c r="A244" s="12" t="s">
        <v>616</v>
      </c>
      <c r="B244" s="17" t="s">
        <v>103</v>
      </c>
      <c r="C244" s="14">
        <v>10</v>
      </c>
      <c r="D244" s="14" t="s">
        <v>15</v>
      </c>
      <c r="E244" s="14" t="s">
        <v>16</v>
      </c>
      <c r="F244" s="15">
        <f>'Base Option'!F244+'Base Option'!F244*3%</f>
        <v>0</v>
      </c>
      <c r="G244" s="16">
        <f t="shared" si="17"/>
        <v>0</v>
      </c>
    </row>
    <row r="245" spans="1:7" x14ac:dyDescent="0.35">
      <c r="A245" s="12" t="s">
        <v>617</v>
      </c>
      <c r="B245" s="17" t="s">
        <v>105</v>
      </c>
      <c r="C245" s="14">
        <v>10</v>
      </c>
      <c r="D245" s="14" t="s">
        <v>15</v>
      </c>
      <c r="E245" s="14" t="s">
        <v>16</v>
      </c>
      <c r="F245" s="15">
        <f>'Base Option'!F245+'Base Option'!F245*3%</f>
        <v>0</v>
      </c>
      <c r="G245" s="16">
        <f t="shared" si="17"/>
        <v>0</v>
      </c>
    </row>
    <row r="246" spans="1:7" x14ac:dyDescent="0.35">
      <c r="A246" s="12" t="s">
        <v>618</v>
      </c>
      <c r="B246" s="17" t="s">
        <v>111</v>
      </c>
      <c r="C246" s="14">
        <v>50</v>
      </c>
      <c r="D246" s="14" t="s">
        <v>25</v>
      </c>
      <c r="E246" s="14" t="s">
        <v>16</v>
      </c>
      <c r="F246" s="15">
        <f>'Base Option'!F246+'Base Option'!F246*3%</f>
        <v>0</v>
      </c>
      <c r="G246" s="16">
        <f t="shared" si="17"/>
        <v>0</v>
      </c>
    </row>
    <row r="247" spans="1:7" x14ac:dyDescent="0.35">
      <c r="A247" s="12" t="s">
        <v>619</v>
      </c>
      <c r="B247" s="17" t="s">
        <v>113</v>
      </c>
      <c r="C247" s="14">
        <v>5</v>
      </c>
      <c r="D247" s="14" t="s">
        <v>114</v>
      </c>
      <c r="E247" s="14" t="s">
        <v>16</v>
      </c>
      <c r="F247" s="15">
        <f>'Base Option'!F247+'Base Option'!F247*3%</f>
        <v>0</v>
      </c>
      <c r="G247" s="16">
        <f t="shared" si="17"/>
        <v>0</v>
      </c>
    </row>
    <row r="248" spans="1:7" x14ac:dyDescent="0.35">
      <c r="A248" s="12" t="s">
        <v>620</v>
      </c>
      <c r="B248" s="17" t="s">
        <v>116</v>
      </c>
      <c r="C248" s="14">
        <v>12</v>
      </c>
      <c r="D248" s="14" t="s">
        <v>40</v>
      </c>
      <c r="E248" s="14" t="s">
        <v>16</v>
      </c>
      <c r="F248" s="15">
        <f>'Base Option'!F248+'Base Option'!F248*3%</f>
        <v>0</v>
      </c>
      <c r="G248" s="16">
        <f t="shared" si="17"/>
        <v>0</v>
      </c>
    </row>
    <row r="249" spans="1:7" x14ac:dyDescent="0.35">
      <c r="A249" s="12" t="s">
        <v>621</v>
      </c>
      <c r="B249" s="17" t="s">
        <v>118</v>
      </c>
      <c r="C249" s="14">
        <v>5</v>
      </c>
      <c r="D249" s="14" t="s">
        <v>114</v>
      </c>
      <c r="E249" s="14" t="s">
        <v>16</v>
      </c>
      <c r="F249" s="15">
        <f>'Base Option'!F249+'Base Option'!F249*3%</f>
        <v>0</v>
      </c>
      <c r="G249" s="16">
        <f t="shared" si="17"/>
        <v>0</v>
      </c>
    </row>
    <row r="250" spans="1:7" ht="31" x14ac:dyDescent="0.35">
      <c r="A250" s="12"/>
      <c r="B250" s="13" t="s">
        <v>119</v>
      </c>
      <c r="C250" s="14"/>
      <c r="D250" s="14"/>
      <c r="E250" s="14"/>
      <c r="F250" s="15">
        <f>'Base Option'!F250+'Base Option'!F250*3%</f>
        <v>0</v>
      </c>
      <c r="G250" s="16"/>
    </row>
    <row r="251" spans="1:7" x14ac:dyDescent="0.35">
      <c r="A251" s="12" t="s">
        <v>622</v>
      </c>
      <c r="B251" s="17" t="s">
        <v>121</v>
      </c>
      <c r="C251" s="14">
        <v>5</v>
      </c>
      <c r="D251" s="14" t="s">
        <v>15</v>
      </c>
      <c r="E251" s="14" t="s">
        <v>16</v>
      </c>
      <c r="F251" s="15">
        <f>'Base Option'!F251+'Base Option'!F251*3%</f>
        <v>0</v>
      </c>
      <c r="G251" s="16">
        <f t="shared" ref="G251:G254" si="18">F251*C251</f>
        <v>0</v>
      </c>
    </row>
    <row r="252" spans="1:7" x14ac:dyDescent="0.35">
      <c r="A252" s="12" t="s">
        <v>623</v>
      </c>
      <c r="B252" s="17" t="s">
        <v>123</v>
      </c>
      <c r="C252" s="14">
        <v>5</v>
      </c>
      <c r="D252" s="14" t="s">
        <v>15</v>
      </c>
      <c r="E252" s="14" t="s">
        <v>16</v>
      </c>
      <c r="F252" s="15">
        <f>'Base Option'!F252+'Base Option'!F252*3%</f>
        <v>0</v>
      </c>
      <c r="G252" s="16">
        <f t="shared" si="18"/>
        <v>0</v>
      </c>
    </row>
    <row r="253" spans="1:7" x14ac:dyDescent="0.35">
      <c r="A253" s="12" t="s">
        <v>624</v>
      </c>
      <c r="B253" s="17" t="s">
        <v>125</v>
      </c>
      <c r="C253" s="14">
        <v>25</v>
      </c>
      <c r="D253" s="14" t="s">
        <v>25</v>
      </c>
      <c r="E253" s="14" t="s">
        <v>16</v>
      </c>
      <c r="F253" s="15">
        <f>'Base Option'!F253+'Base Option'!F253*3%</f>
        <v>0</v>
      </c>
      <c r="G253" s="16">
        <f t="shared" si="18"/>
        <v>0</v>
      </c>
    </row>
    <row r="254" spans="1:7" x14ac:dyDescent="0.35">
      <c r="A254" s="12" t="s">
        <v>625</v>
      </c>
      <c r="B254" s="17" t="s">
        <v>127</v>
      </c>
      <c r="C254" s="14">
        <v>5</v>
      </c>
      <c r="D254" s="14" t="s">
        <v>114</v>
      </c>
      <c r="E254" s="14" t="s">
        <v>16</v>
      </c>
      <c r="F254" s="15">
        <f>'Base Option'!F254+'Base Option'!F254*3%</f>
        <v>0</v>
      </c>
      <c r="G254" s="16">
        <f t="shared" si="18"/>
        <v>0</v>
      </c>
    </row>
    <row r="255" spans="1:7" ht="31" x14ac:dyDescent="0.35">
      <c r="A255" s="12"/>
      <c r="B255" s="13" t="s">
        <v>128</v>
      </c>
      <c r="C255" s="14"/>
      <c r="D255" s="14"/>
      <c r="E255" s="14"/>
      <c r="F255" s="15">
        <f>'Base Option'!F255+'Base Option'!F255*3%</f>
        <v>0</v>
      </c>
      <c r="G255" s="16"/>
    </row>
    <row r="256" spans="1:7" x14ac:dyDescent="0.35">
      <c r="A256" s="12" t="s">
        <v>626</v>
      </c>
      <c r="B256" s="17" t="s">
        <v>130</v>
      </c>
      <c r="C256" s="14">
        <v>25</v>
      </c>
      <c r="D256" s="14" t="s">
        <v>25</v>
      </c>
      <c r="E256" s="14" t="s">
        <v>16</v>
      </c>
      <c r="F256" s="15">
        <f>'Base Option'!F256+'Base Option'!F256*3%</f>
        <v>0</v>
      </c>
      <c r="G256" s="16">
        <f t="shared" ref="G256:G259" si="19">F256*C256</f>
        <v>0</v>
      </c>
    </row>
    <row r="257" spans="1:7" x14ac:dyDescent="0.35">
      <c r="A257" s="12" t="s">
        <v>627</v>
      </c>
      <c r="B257" s="17" t="s">
        <v>132</v>
      </c>
      <c r="C257" s="14">
        <v>25</v>
      </c>
      <c r="D257" s="14" t="s">
        <v>25</v>
      </c>
      <c r="E257" s="14" t="s">
        <v>16</v>
      </c>
      <c r="F257" s="15">
        <f>'Base Option'!F257+'Base Option'!F257*3%</f>
        <v>0</v>
      </c>
      <c r="G257" s="16">
        <f t="shared" si="19"/>
        <v>0</v>
      </c>
    </row>
    <row r="258" spans="1:7" x14ac:dyDescent="0.35">
      <c r="A258" s="12" t="s">
        <v>628</v>
      </c>
      <c r="B258" s="17" t="s">
        <v>134</v>
      </c>
      <c r="C258" s="14">
        <v>25</v>
      </c>
      <c r="D258" s="14" t="s">
        <v>25</v>
      </c>
      <c r="E258" s="14" t="s">
        <v>16</v>
      </c>
      <c r="F258" s="15">
        <f>'Base Option'!F258+'Base Option'!F258*3%</f>
        <v>0</v>
      </c>
      <c r="G258" s="16">
        <f t="shared" si="19"/>
        <v>0</v>
      </c>
    </row>
    <row r="259" spans="1:7" x14ac:dyDescent="0.35">
      <c r="A259" s="12" t="s">
        <v>629</v>
      </c>
      <c r="B259" s="17" t="s">
        <v>136</v>
      </c>
      <c r="C259" s="14">
        <v>25</v>
      </c>
      <c r="D259" s="14" t="s">
        <v>25</v>
      </c>
      <c r="E259" s="14" t="s">
        <v>16</v>
      </c>
      <c r="F259" s="15">
        <f>'Base Option'!F259+'Base Option'!F259*3%</f>
        <v>0</v>
      </c>
      <c r="G259" s="16">
        <f t="shared" si="19"/>
        <v>0</v>
      </c>
    </row>
    <row r="260" spans="1:7" ht="31" x14ac:dyDescent="0.35">
      <c r="A260" s="12"/>
      <c r="B260" s="13" t="s">
        <v>137</v>
      </c>
      <c r="C260" s="14"/>
      <c r="D260" s="14"/>
      <c r="E260" s="14"/>
      <c r="F260" s="15">
        <f>'Base Option'!F260+'Base Option'!F260*3%</f>
        <v>0</v>
      </c>
      <c r="G260" s="16"/>
    </row>
    <row r="261" spans="1:7" x14ac:dyDescent="0.35">
      <c r="A261" s="12" t="s">
        <v>630</v>
      </c>
      <c r="B261" s="17" t="s">
        <v>130</v>
      </c>
      <c r="C261" s="14">
        <v>25</v>
      </c>
      <c r="D261" s="14" t="s">
        <v>25</v>
      </c>
      <c r="E261" s="14" t="s">
        <v>16</v>
      </c>
      <c r="F261" s="15">
        <f>'Base Option'!F261+'Base Option'!F261*3%</f>
        <v>0</v>
      </c>
      <c r="G261" s="16">
        <f t="shared" ref="G261:G264" si="20">F261*C261</f>
        <v>0</v>
      </c>
    </row>
    <row r="262" spans="1:7" x14ac:dyDescent="0.35">
      <c r="A262" s="12" t="s">
        <v>631</v>
      </c>
      <c r="B262" s="17" t="s">
        <v>132</v>
      </c>
      <c r="C262" s="14">
        <v>25</v>
      </c>
      <c r="D262" s="14" t="s">
        <v>25</v>
      </c>
      <c r="E262" s="14" t="s">
        <v>16</v>
      </c>
      <c r="F262" s="15">
        <f>'Base Option'!F262+'Base Option'!F262*3%</f>
        <v>0</v>
      </c>
      <c r="G262" s="16">
        <f t="shared" si="20"/>
        <v>0</v>
      </c>
    </row>
    <row r="263" spans="1:7" x14ac:dyDescent="0.35">
      <c r="A263" s="12" t="s">
        <v>632</v>
      </c>
      <c r="B263" s="17" t="s">
        <v>134</v>
      </c>
      <c r="C263" s="14">
        <v>25</v>
      </c>
      <c r="D263" s="14" t="s">
        <v>25</v>
      </c>
      <c r="E263" s="14" t="s">
        <v>16</v>
      </c>
      <c r="F263" s="15">
        <f>'Base Option'!F263+'Base Option'!F263*3%</f>
        <v>0</v>
      </c>
      <c r="G263" s="16">
        <f t="shared" si="20"/>
        <v>0</v>
      </c>
    </row>
    <row r="264" spans="1:7" x14ac:dyDescent="0.35">
      <c r="A264" s="12" t="s">
        <v>633</v>
      </c>
      <c r="B264" s="17" t="s">
        <v>136</v>
      </c>
      <c r="C264" s="14">
        <v>25</v>
      </c>
      <c r="D264" s="14" t="s">
        <v>25</v>
      </c>
      <c r="E264" s="14" t="s">
        <v>16</v>
      </c>
      <c r="F264" s="15">
        <f>'Base Option'!F264+'Base Option'!F264*3%</f>
        <v>0</v>
      </c>
      <c r="G264" s="16">
        <f t="shared" si="20"/>
        <v>0</v>
      </c>
    </row>
    <row r="265" spans="1:7" ht="31" x14ac:dyDescent="0.35">
      <c r="A265" s="12"/>
      <c r="B265" s="22" t="s">
        <v>142</v>
      </c>
      <c r="C265" s="14"/>
      <c r="D265" s="14"/>
      <c r="E265" s="14"/>
      <c r="F265" s="15">
        <f>'Base Option'!F265+'Base Option'!F265*3%</f>
        <v>0</v>
      </c>
      <c r="G265" s="16"/>
    </row>
    <row r="266" spans="1:7" x14ac:dyDescent="0.35">
      <c r="A266" s="12" t="s">
        <v>634</v>
      </c>
      <c r="B266" s="17" t="s">
        <v>130</v>
      </c>
      <c r="C266" s="14">
        <v>6</v>
      </c>
      <c r="D266" s="14" t="s">
        <v>40</v>
      </c>
      <c r="E266" s="14" t="s">
        <v>16</v>
      </c>
      <c r="F266" s="15">
        <f>'Base Option'!F266+'Base Option'!F266*3%</f>
        <v>0</v>
      </c>
      <c r="G266" s="16">
        <f t="shared" ref="G266:G269" si="21">F266*C266</f>
        <v>0</v>
      </c>
    </row>
    <row r="267" spans="1:7" x14ac:dyDescent="0.35">
      <c r="A267" s="12" t="s">
        <v>635</v>
      </c>
      <c r="B267" s="17" t="s">
        <v>132</v>
      </c>
      <c r="C267" s="14">
        <v>6</v>
      </c>
      <c r="D267" s="14" t="s">
        <v>40</v>
      </c>
      <c r="E267" s="14" t="s">
        <v>16</v>
      </c>
      <c r="F267" s="15">
        <f>'Base Option'!F267+'Base Option'!F267*3%</f>
        <v>0</v>
      </c>
      <c r="G267" s="16">
        <f t="shared" si="21"/>
        <v>0</v>
      </c>
    </row>
    <row r="268" spans="1:7" x14ac:dyDescent="0.35">
      <c r="A268" s="12" t="s">
        <v>636</v>
      </c>
      <c r="B268" s="17" t="s">
        <v>134</v>
      </c>
      <c r="C268" s="14">
        <v>6</v>
      </c>
      <c r="D268" s="14" t="s">
        <v>40</v>
      </c>
      <c r="E268" s="14" t="s">
        <v>16</v>
      </c>
      <c r="F268" s="15">
        <f>'Base Option'!F268+'Base Option'!F268*3%</f>
        <v>0</v>
      </c>
      <c r="G268" s="16">
        <f t="shared" si="21"/>
        <v>0</v>
      </c>
    </row>
    <row r="269" spans="1:7" x14ac:dyDescent="0.35">
      <c r="A269" s="12" t="s">
        <v>637</v>
      </c>
      <c r="B269" s="17" t="s">
        <v>136</v>
      </c>
      <c r="C269" s="14">
        <v>6</v>
      </c>
      <c r="D269" s="14" t="s">
        <v>40</v>
      </c>
      <c r="E269" s="14" t="s">
        <v>16</v>
      </c>
      <c r="F269" s="15">
        <f>'Base Option'!F269+'Base Option'!F269*3%</f>
        <v>0</v>
      </c>
      <c r="G269" s="16">
        <f t="shared" si="21"/>
        <v>0</v>
      </c>
    </row>
    <row r="270" spans="1:7" x14ac:dyDescent="0.35">
      <c r="A270" s="12"/>
      <c r="B270" s="13" t="s">
        <v>147</v>
      </c>
      <c r="C270" s="14"/>
      <c r="D270" s="14"/>
      <c r="E270" s="14"/>
      <c r="F270" s="15">
        <f>'Base Option'!F270+'Base Option'!F270*3%</f>
        <v>0</v>
      </c>
      <c r="G270" s="16"/>
    </row>
    <row r="271" spans="1:7" x14ac:dyDescent="0.35">
      <c r="A271" s="12"/>
      <c r="B271" s="13" t="s">
        <v>148</v>
      </c>
      <c r="C271" s="14"/>
      <c r="D271" s="14"/>
      <c r="E271" s="14"/>
      <c r="F271" s="15">
        <f>'Base Option'!F271+'Base Option'!F271*3%</f>
        <v>0</v>
      </c>
      <c r="G271" s="16"/>
    </row>
    <row r="272" spans="1:7" x14ac:dyDescent="0.35">
      <c r="A272" s="12" t="s">
        <v>638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>
        <f>'Base Option'!F272+'Base Option'!F272*3%</f>
        <v>0</v>
      </c>
      <c r="G272" s="16">
        <f t="shared" ref="G272:G282" si="22">F272*C272</f>
        <v>0</v>
      </c>
    </row>
    <row r="273" spans="1:7" x14ac:dyDescent="0.35">
      <c r="A273" s="12" t="s">
        <v>639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>
        <f>'Base Option'!F273+'Base Option'!F273*3%</f>
        <v>0</v>
      </c>
      <c r="G273" s="16">
        <f t="shared" si="22"/>
        <v>0</v>
      </c>
    </row>
    <row r="274" spans="1:7" x14ac:dyDescent="0.35">
      <c r="A274" s="12" t="s">
        <v>640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>
        <f>'Base Option'!F274+'Base Option'!F274*3%</f>
        <v>0</v>
      </c>
      <c r="G274" s="16">
        <f t="shared" si="22"/>
        <v>0</v>
      </c>
    </row>
    <row r="275" spans="1:7" x14ac:dyDescent="0.35">
      <c r="A275" s="12" t="s">
        <v>641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>
        <f>'Base Option'!F275+'Base Option'!F275*3%</f>
        <v>0</v>
      </c>
      <c r="G275" s="16">
        <f t="shared" si="22"/>
        <v>0</v>
      </c>
    </row>
    <row r="276" spans="1:7" x14ac:dyDescent="0.35">
      <c r="A276" s="12" t="s">
        <v>642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>
        <f>'Base Option'!F276+'Base Option'!F276*3%</f>
        <v>0</v>
      </c>
      <c r="G276" s="16">
        <f t="shared" si="22"/>
        <v>0</v>
      </c>
    </row>
    <row r="277" spans="1:7" x14ac:dyDescent="0.35">
      <c r="A277" s="12" t="s">
        <v>643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>
        <f>'Base Option'!F277+'Base Option'!F277*3%</f>
        <v>0</v>
      </c>
      <c r="G277" s="16">
        <f t="shared" si="22"/>
        <v>0</v>
      </c>
    </row>
    <row r="278" spans="1:7" x14ac:dyDescent="0.35">
      <c r="A278" s="12" t="s">
        <v>644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>
        <f>'Base Option'!F278+'Base Option'!F278*3%</f>
        <v>0</v>
      </c>
      <c r="G278" s="16">
        <f t="shared" si="22"/>
        <v>0</v>
      </c>
    </row>
    <row r="279" spans="1:7" x14ac:dyDescent="0.35">
      <c r="A279" s="12" t="s">
        <v>645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>
        <f>'Base Option'!F279+'Base Option'!F279*3%</f>
        <v>0</v>
      </c>
      <c r="G279" s="16">
        <f t="shared" si="22"/>
        <v>0</v>
      </c>
    </row>
    <row r="280" spans="1:7" x14ac:dyDescent="0.35">
      <c r="A280" s="12" t="s">
        <v>646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>
        <f>'Base Option'!F280+'Base Option'!F280*3%</f>
        <v>0</v>
      </c>
      <c r="G280" s="16">
        <f t="shared" si="22"/>
        <v>0</v>
      </c>
    </row>
    <row r="281" spans="1:7" x14ac:dyDescent="0.35">
      <c r="A281" s="12" t="s">
        <v>647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>
        <f>'Base Option'!F281+'Base Option'!F281*3%</f>
        <v>0</v>
      </c>
      <c r="G281" s="16">
        <f t="shared" si="22"/>
        <v>0</v>
      </c>
    </row>
    <row r="282" spans="1:7" x14ac:dyDescent="0.35">
      <c r="A282" s="12" t="s">
        <v>648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>
        <f>'Base Option'!F282+'Base Option'!F282*3%</f>
        <v>0</v>
      </c>
      <c r="G282" s="16">
        <f t="shared" si="22"/>
        <v>0</v>
      </c>
    </row>
    <row r="283" spans="1:7" x14ac:dyDescent="0.35">
      <c r="A283" s="12"/>
      <c r="B283" s="13" t="s">
        <v>171</v>
      </c>
      <c r="C283" s="14"/>
      <c r="D283" s="14"/>
      <c r="E283" s="14"/>
      <c r="F283" s="15">
        <f>'Base Option'!F283+'Base Option'!F283*3%</f>
        <v>0</v>
      </c>
      <c r="G283" s="16"/>
    </row>
    <row r="284" spans="1:7" x14ac:dyDescent="0.35">
      <c r="A284" s="12" t="s">
        <v>649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>
        <f>'Base Option'!F284+'Base Option'!F284*3%</f>
        <v>0</v>
      </c>
      <c r="G284" s="16">
        <f t="shared" ref="G284:G292" si="23">F284*C284</f>
        <v>0</v>
      </c>
    </row>
    <row r="285" spans="1:7" x14ac:dyDescent="0.35">
      <c r="A285" s="12" t="s">
        <v>650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>
        <f>'Base Option'!F285+'Base Option'!F285*3%</f>
        <v>0</v>
      </c>
      <c r="G285" s="16">
        <f t="shared" si="23"/>
        <v>0</v>
      </c>
    </row>
    <row r="286" spans="1:7" x14ac:dyDescent="0.35">
      <c r="A286" s="12" t="s">
        <v>651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>
        <f>'Base Option'!F286+'Base Option'!F286*3%</f>
        <v>0</v>
      </c>
      <c r="G286" s="16">
        <f t="shared" si="23"/>
        <v>0</v>
      </c>
    </row>
    <row r="287" spans="1:7" x14ac:dyDescent="0.35">
      <c r="A287" s="12" t="s">
        <v>652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>
        <f>'Base Option'!F287+'Base Option'!F287*3%</f>
        <v>0</v>
      </c>
      <c r="G287" s="16">
        <f t="shared" si="23"/>
        <v>0</v>
      </c>
    </row>
    <row r="288" spans="1:7" x14ac:dyDescent="0.35">
      <c r="A288" s="12" t="s">
        <v>653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>
        <f>'Base Option'!F288+'Base Option'!F288*3%</f>
        <v>0</v>
      </c>
      <c r="G288" s="16">
        <f t="shared" si="23"/>
        <v>0</v>
      </c>
    </row>
    <row r="289" spans="1:7" x14ac:dyDescent="0.35">
      <c r="A289" s="12" t="s">
        <v>654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>
        <f>'Base Option'!F289+'Base Option'!F289*3%</f>
        <v>0</v>
      </c>
      <c r="G289" s="16">
        <f t="shared" si="23"/>
        <v>0</v>
      </c>
    </row>
    <row r="290" spans="1:7" x14ac:dyDescent="0.35">
      <c r="A290" s="12" t="s">
        <v>655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>
        <f>'Base Option'!F290+'Base Option'!F290*3%</f>
        <v>0</v>
      </c>
      <c r="G290" s="16">
        <f t="shared" si="23"/>
        <v>0</v>
      </c>
    </row>
    <row r="291" spans="1:7" x14ac:dyDescent="0.35">
      <c r="A291" s="12" t="s">
        <v>656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>
        <f>'Base Option'!F291+'Base Option'!F291*3%</f>
        <v>0</v>
      </c>
      <c r="G291" s="16">
        <f t="shared" si="23"/>
        <v>0</v>
      </c>
    </row>
    <row r="292" spans="1:7" x14ac:dyDescent="0.35">
      <c r="A292" s="12" t="s">
        <v>657</v>
      </c>
      <c r="B292" s="17" t="s">
        <v>189</v>
      </c>
      <c r="C292" s="14">
        <v>5</v>
      </c>
      <c r="D292" s="14" t="s">
        <v>114</v>
      </c>
      <c r="E292" s="14" t="s">
        <v>16</v>
      </c>
      <c r="F292" s="15">
        <f>'Base Option'!F292+'Base Option'!F292*3%</f>
        <v>0</v>
      </c>
      <c r="G292" s="16">
        <f t="shared" si="23"/>
        <v>0</v>
      </c>
    </row>
    <row r="293" spans="1:7" x14ac:dyDescent="0.35">
      <c r="A293" s="12"/>
      <c r="B293" s="17" t="s">
        <v>190</v>
      </c>
      <c r="C293" s="14"/>
      <c r="D293" s="14"/>
      <c r="E293" s="14"/>
      <c r="F293" s="15">
        <f>'Base Option'!F293+'Base Option'!F293*3%</f>
        <v>0</v>
      </c>
      <c r="G293" s="16"/>
    </row>
    <row r="294" spans="1:7" x14ac:dyDescent="0.35">
      <c r="A294" s="12"/>
      <c r="B294" s="13" t="s">
        <v>191</v>
      </c>
      <c r="C294" s="14"/>
      <c r="D294" s="14"/>
      <c r="E294" s="14"/>
      <c r="F294" s="15">
        <f>'Base Option'!F294+'Base Option'!F294*3%</f>
        <v>0</v>
      </c>
      <c r="G294" s="16"/>
    </row>
    <row r="295" spans="1:7" ht="31" x14ac:dyDescent="0.35">
      <c r="A295" s="12" t="s">
        <v>658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>
        <f>'Base Option'!F295+'Base Option'!F295*3%</f>
        <v>0</v>
      </c>
      <c r="G295" s="16">
        <f t="shared" ref="G295:G299" si="24">F295*C295</f>
        <v>0</v>
      </c>
    </row>
    <row r="296" spans="1:7" ht="31" x14ac:dyDescent="0.35">
      <c r="A296" s="12" t="s">
        <v>659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>
        <f>'Base Option'!F296+'Base Option'!F296*3%</f>
        <v>0</v>
      </c>
      <c r="G296" s="16">
        <f t="shared" si="24"/>
        <v>0</v>
      </c>
    </row>
    <row r="297" spans="1:7" ht="46.5" x14ac:dyDescent="0.35">
      <c r="A297" s="12" t="s">
        <v>660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>
        <f>'Base Option'!F297+'Base Option'!F297*3%</f>
        <v>0</v>
      </c>
      <c r="G297" s="16">
        <f t="shared" si="24"/>
        <v>0</v>
      </c>
    </row>
    <row r="298" spans="1:7" x14ac:dyDescent="0.35">
      <c r="A298" s="12" t="s">
        <v>661</v>
      </c>
      <c r="B298" s="17" t="s">
        <v>199</v>
      </c>
      <c r="C298" s="14">
        <v>3</v>
      </c>
      <c r="D298" s="14" t="s">
        <v>114</v>
      </c>
      <c r="E298" s="14" t="s">
        <v>16</v>
      </c>
      <c r="F298" s="15">
        <f>'Base Option'!F298+'Base Option'!F298*3%</f>
        <v>0</v>
      </c>
      <c r="G298" s="16">
        <f t="shared" si="24"/>
        <v>0</v>
      </c>
    </row>
    <row r="299" spans="1:7" x14ac:dyDescent="0.35">
      <c r="A299" s="12" t="s">
        <v>662</v>
      </c>
      <c r="B299" s="17" t="s">
        <v>201</v>
      </c>
      <c r="C299" s="14">
        <v>3</v>
      </c>
      <c r="D299" s="14" t="s">
        <v>114</v>
      </c>
      <c r="E299" s="14" t="s">
        <v>16</v>
      </c>
      <c r="F299" s="15">
        <f>'Base Option'!F299+'Base Option'!F299*3%</f>
        <v>0</v>
      </c>
      <c r="G299" s="16">
        <f t="shared" si="24"/>
        <v>0</v>
      </c>
    </row>
    <row r="300" spans="1:7" ht="31" x14ac:dyDescent="0.35">
      <c r="A300" s="12"/>
      <c r="B300" s="13" t="s">
        <v>202</v>
      </c>
      <c r="C300" s="14"/>
      <c r="D300" s="14"/>
      <c r="E300" s="14"/>
      <c r="F300" s="15">
        <f>'Base Option'!F300+'Base Option'!F300*3%</f>
        <v>0</v>
      </c>
      <c r="G300" s="16"/>
    </row>
    <row r="301" spans="1:7" x14ac:dyDescent="0.35">
      <c r="A301" s="12" t="s">
        <v>663</v>
      </c>
      <c r="B301" s="17" t="s">
        <v>130</v>
      </c>
      <c r="C301" s="14">
        <v>25</v>
      </c>
      <c r="D301" s="14" t="s">
        <v>25</v>
      </c>
      <c r="E301" s="14" t="s">
        <v>16</v>
      </c>
      <c r="F301" s="15">
        <f>'Base Option'!F301+'Base Option'!F301*3%</f>
        <v>0</v>
      </c>
      <c r="G301" s="16">
        <f t="shared" ref="G301:G304" si="25">F301*C301</f>
        <v>0</v>
      </c>
    </row>
    <row r="302" spans="1:7" x14ac:dyDescent="0.35">
      <c r="A302" s="12" t="s">
        <v>664</v>
      </c>
      <c r="B302" s="17" t="s">
        <v>132</v>
      </c>
      <c r="C302" s="14">
        <v>25</v>
      </c>
      <c r="D302" s="14" t="s">
        <v>25</v>
      </c>
      <c r="E302" s="14" t="s">
        <v>16</v>
      </c>
      <c r="F302" s="15">
        <f>'Base Option'!F302+'Base Option'!F302*3%</f>
        <v>0</v>
      </c>
      <c r="G302" s="16">
        <f t="shared" si="25"/>
        <v>0</v>
      </c>
    </row>
    <row r="303" spans="1:7" x14ac:dyDescent="0.35">
      <c r="A303" s="12" t="s">
        <v>665</v>
      </c>
      <c r="B303" s="17" t="s">
        <v>134</v>
      </c>
      <c r="C303" s="14">
        <v>25</v>
      </c>
      <c r="D303" s="14" t="s">
        <v>25</v>
      </c>
      <c r="E303" s="14" t="s">
        <v>16</v>
      </c>
      <c r="F303" s="15">
        <f>'Base Option'!F303+'Base Option'!F303*3%</f>
        <v>0</v>
      </c>
      <c r="G303" s="16">
        <f t="shared" si="25"/>
        <v>0</v>
      </c>
    </row>
    <row r="304" spans="1:7" x14ac:dyDescent="0.35">
      <c r="A304" s="12" t="s">
        <v>666</v>
      </c>
      <c r="B304" s="23" t="s">
        <v>136</v>
      </c>
      <c r="C304" s="14">
        <v>25</v>
      </c>
      <c r="D304" s="14" t="s">
        <v>25</v>
      </c>
      <c r="E304" s="14" t="s">
        <v>16</v>
      </c>
      <c r="F304" s="15">
        <f>'Base Option'!F304+'Base Option'!F304*3%</f>
        <v>0</v>
      </c>
      <c r="G304" s="16">
        <f t="shared" si="25"/>
        <v>0</v>
      </c>
    </row>
    <row r="305" spans="1:7" x14ac:dyDescent="0.35">
      <c r="A305" s="12"/>
      <c r="B305" s="24" t="s">
        <v>207</v>
      </c>
      <c r="C305" s="14"/>
      <c r="D305" s="14"/>
      <c r="E305" s="14"/>
      <c r="F305" s="15">
        <f>'Base Option'!F305+'Base Option'!F305*3%</f>
        <v>0</v>
      </c>
      <c r="G305" s="16"/>
    </row>
    <row r="306" spans="1:7" x14ac:dyDescent="0.35">
      <c r="A306" s="12" t="s">
        <v>667</v>
      </c>
      <c r="B306" s="17" t="s">
        <v>130</v>
      </c>
      <c r="C306" s="14">
        <v>25</v>
      </c>
      <c r="D306" s="14" t="s">
        <v>25</v>
      </c>
      <c r="E306" s="14" t="s">
        <v>16</v>
      </c>
      <c r="F306" s="15">
        <f>'Base Option'!F306+'Base Option'!F306*3%</f>
        <v>0</v>
      </c>
      <c r="G306" s="16">
        <f t="shared" ref="G306:G310" si="26">F306*C306</f>
        <v>0</v>
      </c>
    </row>
    <row r="307" spans="1:7" x14ac:dyDescent="0.35">
      <c r="A307" s="12" t="s">
        <v>668</v>
      </c>
      <c r="B307" s="17" t="s">
        <v>132</v>
      </c>
      <c r="C307" s="14">
        <v>25</v>
      </c>
      <c r="D307" s="14" t="s">
        <v>25</v>
      </c>
      <c r="E307" s="14" t="s">
        <v>16</v>
      </c>
      <c r="F307" s="15">
        <f>'Base Option'!F307+'Base Option'!F307*3%</f>
        <v>0</v>
      </c>
      <c r="G307" s="16">
        <f t="shared" si="26"/>
        <v>0</v>
      </c>
    </row>
    <row r="308" spans="1:7" x14ac:dyDescent="0.35">
      <c r="A308" s="12" t="s">
        <v>669</v>
      </c>
      <c r="B308" s="17" t="s">
        <v>134</v>
      </c>
      <c r="C308" s="14">
        <v>25</v>
      </c>
      <c r="D308" s="14" t="s">
        <v>25</v>
      </c>
      <c r="E308" s="14" t="s">
        <v>16</v>
      </c>
      <c r="F308" s="15">
        <f>'Base Option'!F308+'Base Option'!F308*3%</f>
        <v>0</v>
      </c>
      <c r="G308" s="16">
        <f t="shared" si="26"/>
        <v>0</v>
      </c>
    </row>
    <row r="309" spans="1:7" x14ac:dyDescent="0.35">
      <c r="A309" s="12" t="s">
        <v>670</v>
      </c>
      <c r="B309" s="17" t="s">
        <v>136</v>
      </c>
      <c r="C309" s="14">
        <v>25</v>
      </c>
      <c r="D309" s="14" t="s">
        <v>25</v>
      </c>
      <c r="E309" s="14" t="s">
        <v>16</v>
      </c>
      <c r="F309" s="15">
        <f>'Base Option'!F309+'Base Option'!F309*3%</f>
        <v>0</v>
      </c>
      <c r="G309" s="16">
        <f t="shared" si="26"/>
        <v>0</v>
      </c>
    </row>
    <row r="310" spans="1:7" x14ac:dyDescent="0.35">
      <c r="A310" s="12" t="s">
        <v>671</v>
      </c>
      <c r="B310" s="17" t="s">
        <v>213</v>
      </c>
      <c r="C310" s="14">
        <v>25</v>
      </c>
      <c r="D310" s="14" t="s">
        <v>25</v>
      </c>
      <c r="E310" s="14" t="s">
        <v>16</v>
      </c>
      <c r="F310" s="15">
        <f>'Base Option'!F310+'Base Option'!F310*3%</f>
        <v>0</v>
      </c>
      <c r="G310" s="16">
        <f t="shared" si="26"/>
        <v>0</v>
      </c>
    </row>
    <row r="311" spans="1:7" ht="31" x14ac:dyDescent="0.35">
      <c r="A311" s="12"/>
      <c r="B311" s="13" t="s">
        <v>214</v>
      </c>
      <c r="C311" s="14"/>
      <c r="D311" s="14"/>
      <c r="E311" s="14"/>
      <c r="F311" s="15">
        <f>'Base Option'!F311+'Base Option'!F311*3%</f>
        <v>0</v>
      </c>
      <c r="G311" s="16"/>
    </row>
    <row r="312" spans="1:7" x14ac:dyDescent="0.35">
      <c r="A312" s="12" t="s">
        <v>672</v>
      </c>
      <c r="B312" s="17" t="s">
        <v>130</v>
      </c>
      <c r="C312" s="14">
        <v>2</v>
      </c>
      <c r="D312" s="14" t="s">
        <v>25</v>
      </c>
      <c r="E312" s="14" t="s">
        <v>16</v>
      </c>
      <c r="F312" s="15">
        <f>'Base Option'!F312+'Base Option'!F312*3%</f>
        <v>0</v>
      </c>
      <c r="G312" s="16">
        <f t="shared" ref="G312:G314" si="27">F312*C312</f>
        <v>0</v>
      </c>
    </row>
    <row r="313" spans="1:7" x14ac:dyDescent="0.35">
      <c r="A313" s="12" t="s">
        <v>673</v>
      </c>
      <c r="B313" s="17" t="s">
        <v>132</v>
      </c>
      <c r="C313" s="14">
        <v>2</v>
      </c>
      <c r="D313" s="14" t="s">
        <v>25</v>
      </c>
      <c r="E313" s="14" t="s">
        <v>16</v>
      </c>
      <c r="F313" s="15">
        <f>'Base Option'!F313+'Base Option'!F313*3%</f>
        <v>0</v>
      </c>
      <c r="G313" s="16">
        <f t="shared" si="27"/>
        <v>0</v>
      </c>
    </row>
    <row r="314" spans="1:7" x14ac:dyDescent="0.35">
      <c r="A314" s="12" t="s">
        <v>674</v>
      </c>
      <c r="B314" s="17" t="s">
        <v>218</v>
      </c>
      <c r="C314" s="14">
        <v>2</v>
      </c>
      <c r="D314" s="14" t="s">
        <v>25</v>
      </c>
      <c r="E314" s="14" t="s">
        <v>16</v>
      </c>
      <c r="F314" s="15">
        <f>'Base Option'!F314+'Base Option'!F314*3%</f>
        <v>0</v>
      </c>
      <c r="G314" s="16">
        <f t="shared" si="27"/>
        <v>0</v>
      </c>
    </row>
    <row r="315" spans="1:7" x14ac:dyDescent="0.35">
      <c r="A315" s="12"/>
      <c r="B315" s="13" t="s">
        <v>219</v>
      </c>
      <c r="C315" s="14"/>
      <c r="D315" s="14"/>
      <c r="E315" s="14"/>
      <c r="F315" s="15">
        <f>'Base Option'!F315+'Base Option'!F315*3%</f>
        <v>0</v>
      </c>
      <c r="G315" s="16"/>
    </row>
    <row r="316" spans="1:7" x14ac:dyDescent="0.35">
      <c r="A316" s="12" t="s">
        <v>675</v>
      </c>
      <c r="B316" s="17" t="s">
        <v>220</v>
      </c>
      <c r="C316" s="14">
        <v>1</v>
      </c>
      <c r="D316" s="14" t="s">
        <v>114</v>
      </c>
      <c r="E316" s="14" t="s">
        <v>16</v>
      </c>
      <c r="F316" s="15">
        <f>'Base Option'!F316+'Base Option'!F316*3%</f>
        <v>0</v>
      </c>
      <c r="G316" s="16">
        <f t="shared" ref="G316:G317" si="28">F316*C316</f>
        <v>0</v>
      </c>
    </row>
    <row r="317" spans="1:7" x14ac:dyDescent="0.35">
      <c r="A317" s="12" t="s">
        <v>676</v>
      </c>
      <c r="B317" s="17" t="s">
        <v>221</v>
      </c>
      <c r="C317" s="14">
        <v>2</v>
      </c>
      <c r="D317" s="14" t="s">
        <v>114</v>
      </c>
      <c r="E317" s="14" t="s">
        <v>16</v>
      </c>
      <c r="F317" s="15">
        <f>'Base Option'!F317+'Base Option'!F317*3%</f>
        <v>0</v>
      </c>
      <c r="G317" s="16">
        <f t="shared" si="28"/>
        <v>0</v>
      </c>
    </row>
    <row r="318" spans="1:7" x14ac:dyDescent="0.35">
      <c r="A318" s="12"/>
      <c r="B318" s="25" t="s">
        <v>222</v>
      </c>
      <c r="C318" s="14"/>
      <c r="D318" s="14"/>
      <c r="E318" s="14"/>
      <c r="F318" s="15">
        <f>'Base Option'!F318+'Base Option'!F318*3%</f>
        <v>0</v>
      </c>
      <c r="G318" s="16"/>
    </row>
    <row r="319" spans="1:7" x14ac:dyDescent="0.35">
      <c r="A319" s="12" t="s">
        <v>677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>
        <f>'Base Option'!F319+'Base Option'!F319*3%</f>
        <v>0</v>
      </c>
      <c r="G319" s="16">
        <f t="shared" ref="G319:G322" si="29">F319*C319</f>
        <v>0</v>
      </c>
    </row>
    <row r="320" spans="1:7" x14ac:dyDescent="0.35">
      <c r="A320" s="12" t="s">
        <v>678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>
        <f>'Base Option'!F320+'Base Option'!F320*3%</f>
        <v>0</v>
      </c>
      <c r="G320" s="16">
        <f t="shared" si="29"/>
        <v>0</v>
      </c>
    </row>
    <row r="321" spans="1:7" x14ac:dyDescent="0.35">
      <c r="A321" s="12" t="s">
        <v>679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>
        <f>'Base Option'!F321+'Base Option'!F321*3%</f>
        <v>0</v>
      </c>
      <c r="G321" s="16">
        <f t="shared" si="29"/>
        <v>0</v>
      </c>
    </row>
    <row r="322" spans="1:7" x14ac:dyDescent="0.35">
      <c r="A322" s="12" t="s">
        <v>680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>
        <f>'Base Option'!F322+'Base Option'!F322*3%</f>
        <v>0</v>
      </c>
      <c r="G322" s="16">
        <f t="shared" si="29"/>
        <v>0</v>
      </c>
    </row>
    <row r="323" spans="1:7" ht="31" x14ac:dyDescent="0.35">
      <c r="A323" s="12"/>
      <c r="B323" s="26" t="s">
        <v>229</v>
      </c>
      <c r="C323" s="14"/>
      <c r="D323" s="14"/>
      <c r="E323" s="14"/>
      <c r="F323" s="15">
        <f>'Base Option'!F323+'Base Option'!F323*3%</f>
        <v>0</v>
      </c>
      <c r="G323" s="16"/>
    </row>
    <row r="324" spans="1:7" x14ac:dyDescent="0.35">
      <c r="A324" s="12" t="s">
        <v>681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>
        <f>'Base Option'!F324+'Base Option'!F324*3%</f>
        <v>0</v>
      </c>
      <c r="G324" s="16">
        <f t="shared" ref="G324:G325" si="30">F324*C324</f>
        <v>0</v>
      </c>
    </row>
    <row r="325" spans="1:7" x14ac:dyDescent="0.35">
      <c r="A325" s="12" t="s">
        <v>682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>
        <f>'Base Option'!F325+'Base Option'!F325*3%</f>
        <v>0</v>
      </c>
      <c r="G325" s="16">
        <f t="shared" si="30"/>
        <v>0</v>
      </c>
    </row>
    <row r="326" spans="1:7" ht="31" x14ac:dyDescent="0.35">
      <c r="A326" s="12"/>
      <c r="B326" s="13" t="s">
        <v>232</v>
      </c>
      <c r="C326" s="14"/>
      <c r="D326" s="14"/>
      <c r="E326" s="14"/>
      <c r="F326" s="15">
        <f>'Base Option'!F326+'Base Option'!F326*3%</f>
        <v>0</v>
      </c>
      <c r="G326" s="16"/>
    </row>
    <row r="327" spans="1:7" x14ac:dyDescent="0.35">
      <c r="A327" s="12" t="s">
        <v>683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>
        <f>'Base Option'!F327+'Base Option'!F327*3%</f>
        <v>0</v>
      </c>
      <c r="G327" s="16">
        <f t="shared" ref="G327:G328" si="31">F327*C327</f>
        <v>0</v>
      </c>
    </row>
    <row r="328" spans="1:7" x14ac:dyDescent="0.35">
      <c r="A328" s="12" t="s">
        <v>684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>
        <f>'Base Option'!F328+'Base Option'!F328*3%</f>
        <v>0</v>
      </c>
      <c r="G328" s="16">
        <f t="shared" si="31"/>
        <v>0</v>
      </c>
    </row>
    <row r="329" spans="1:7" x14ac:dyDescent="0.35">
      <c r="A329" s="12"/>
      <c r="B329" s="13" t="s">
        <v>235</v>
      </c>
      <c r="C329" s="14"/>
      <c r="D329" s="14"/>
      <c r="E329" s="14"/>
      <c r="F329" s="15">
        <f>'Base Option'!F329+'Base Option'!F329*3%</f>
        <v>0</v>
      </c>
      <c r="G329" s="16"/>
    </row>
    <row r="330" spans="1:7" x14ac:dyDescent="0.35">
      <c r="A330" s="12" t="s">
        <v>685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>
        <f>'Base Option'!F330+'Base Option'!F330*3%</f>
        <v>0</v>
      </c>
      <c r="G330" s="16">
        <f t="shared" ref="G330:G331" si="32">F330*C330</f>
        <v>0</v>
      </c>
    </row>
    <row r="331" spans="1:7" x14ac:dyDescent="0.35">
      <c r="A331" s="12" t="s">
        <v>686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>
        <f>'Base Option'!F331+'Base Option'!F331*3%</f>
        <v>0</v>
      </c>
      <c r="G331" s="16">
        <f t="shared" si="32"/>
        <v>0</v>
      </c>
    </row>
    <row r="332" spans="1:7" ht="46.5" x14ac:dyDescent="0.35">
      <c r="A332" s="12"/>
      <c r="B332" s="13" t="s">
        <v>238</v>
      </c>
      <c r="C332" s="14"/>
      <c r="D332" s="14"/>
      <c r="E332" s="14"/>
      <c r="F332" s="15">
        <f>'Base Option'!F332+'Base Option'!F332*3%</f>
        <v>0</v>
      </c>
      <c r="G332" s="16"/>
    </row>
    <row r="333" spans="1:7" x14ac:dyDescent="0.35">
      <c r="A333" s="12" t="s">
        <v>687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>
        <f>'Base Option'!F333+'Base Option'!F333*3%</f>
        <v>0</v>
      </c>
      <c r="G333" s="16">
        <f t="shared" ref="G333:G335" si="33">F333*C333</f>
        <v>0</v>
      </c>
    </row>
    <row r="334" spans="1:7" x14ac:dyDescent="0.35">
      <c r="A334" s="12" t="s">
        <v>688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>
        <f>'Base Option'!F334+'Base Option'!F334*3%</f>
        <v>0</v>
      </c>
      <c r="G334" s="16">
        <f t="shared" si="33"/>
        <v>0</v>
      </c>
    </row>
    <row r="335" spans="1:7" x14ac:dyDescent="0.35">
      <c r="A335" s="12" t="s">
        <v>689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>
        <f>'Base Option'!F335+'Base Option'!F335*3%</f>
        <v>0</v>
      </c>
      <c r="G335" s="16">
        <f t="shared" si="33"/>
        <v>0</v>
      </c>
    </row>
    <row r="336" spans="1:7" x14ac:dyDescent="0.35">
      <c r="A336" s="12"/>
      <c r="B336" s="13" t="s">
        <v>242</v>
      </c>
      <c r="C336" s="14"/>
      <c r="D336" s="14"/>
      <c r="E336" s="14"/>
      <c r="F336" s="15">
        <f>'Base Option'!F336+'Base Option'!F336*3%</f>
        <v>0</v>
      </c>
      <c r="G336" s="16"/>
    </row>
    <row r="337" spans="1:7" ht="31" x14ac:dyDescent="0.35">
      <c r="A337" s="12" t="s">
        <v>690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>
        <f>'Base Option'!F337+'Base Option'!F337*3%</f>
        <v>0</v>
      </c>
      <c r="G337" s="16">
        <f t="shared" ref="G337:G338" si="34">F337*C337</f>
        <v>0</v>
      </c>
    </row>
    <row r="338" spans="1:7" ht="31" x14ac:dyDescent="0.35">
      <c r="A338" s="12" t="s">
        <v>691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>
        <f>'Base Option'!F338+'Base Option'!F338*3%</f>
        <v>0</v>
      </c>
      <c r="G338" s="16">
        <f t="shared" si="34"/>
        <v>0</v>
      </c>
    </row>
    <row r="339" spans="1:7" x14ac:dyDescent="0.35">
      <c r="A339" s="12"/>
      <c r="B339" s="13" t="s">
        <v>247</v>
      </c>
      <c r="C339" s="14"/>
      <c r="D339" s="14"/>
      <c r="E339" s="14"/>
      <c r="F339" s="15">
        <f>'Base Option'!F339+'Base Option'!F339*3%</f>
        <v>0</v>
      </c>
      <c r="G339" s="16"/>
    </row>
    <row r="340" spans="1:7" x14ac:dyDescent="0.35">
      <c r="A340" s="12" t="s">
        <v>692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>
        <f>'Base Option'!F340+'Base Option'!F340*3%</f>
        <v>0</v>
      </c>
      <c r="G340" s="16">
        <f t="shared" ref="G340:G341" si="35">F340*C340</f>
        <v>0</v>
      </c>
    </row>
    <row r="341" spans="1:7" ht="31" x14ac:dyDescent="0.35">
      <c r="A341" s="12" t="s">
        <v>693</v>
      </c>
      <c r="B341" s="17" t="s">
        <v>251</v>
      </c>
      <c r="C341" s="14">
        <v>50</v>
      </c>
      <c r="D341" s="14" t="s">
        <v>40</v>
      </c>
      <c r="E341" s="14" t="s">
        <v>16</v>
      </c>
      <c r="F341" s="15">
        <f>'Base Option'!F341+'Base Option'!F341*3%</f>
        <v>0</v>
      </c>
      <c r="G341" s="16">
        <f t="shared" si="35"/>
        <v>0</v>
      </c>
    </row>
    <row r="342" spans="1:7" x14ac:dyDescent="0.35">
      <c r="A342" s="12"/>
      <c r="B342" s="13" t="s">
        <v>252</v>
      </c>
      <c r="C342" s="14"/>
      <c r="D342" s="14"/>
      <c r="E342" s="14"/>
      <c r="F342" s="15">
        <f>'Base Option'!F342+'Base Option'!F342*3%</f>
        <v>0</v>
      </c>
      <c r="G342" s="16"/>
    </row>
    <row r="343" spans="1:7" x14ac:dyDescent="0.35">
      <c r="A343" s="12" t="s">
        <v>694</v>
      </c>
      <c r="B343" s="17" t="s">
        <v>254</v>
      </c>
      <c r="C343" s="14">
        <v>50</v>
      </c>
      <c r="D343" s="14" t="s">
        <v>40</v>
      </c>
      <c r="E343" s="14" t="s">
        <v>16</v>
      </c>
      <c r="F343" s="15">
        <f>'Base Option'!F343+'Base Option'!F343*3%</f>
        <v>0</v>
      </c>
      <c r="G343" s="16">
        <f t="shared" ref="G343:G344" si="36">F343*C343</f>
        <v>0</v>
      </c>
    </row>
    <row r="344" spans="1:7" x14ac:dyDescent="0.35">
      <c r="A344" s="12" t="s">
        <v>695</v>
      </c>
      <c r="B344" s="17" t="s">
        <v>256</v>
      </c>
      <c r="C344" s="14">
        <v>50</v>
      </c>
      <c r="D344" s="14" t="s">
        <v>40</v>
      </c>
      <c r="E344" s="14" t="s">
        <v>16</v>
      </c>
      <c r="F344" s="15">
        <f>'Base Option'!F344+'Base Option'!F344*3%</f>
        <v>0</v>
      </c>
      <c r="G344" s="16">
        <f t="shared" si="36"/>
        <v>0</v>
      </c>
    </row>
    <row r="345" spans="1:7" x14ac:dyDescent="0.35">
      <c r="A345" s="12"/>
      <c r="B345" s="13" t="s">
        <v>257</v>
      </c>
      <c r="C345" s="14"/>
      <c r="D345" s="14"/>
      <c r="E345" s="14"/>
      <c r="F345" s="15">
        <f>'Base Option'!F345+'Base Option'!F345*3%</f>
        <v>0</v>
      </c>
      <c r="G345" s="16"/>
    </row>
    <row r="346" spans="1:7" ht="31" x14ac:dyDescent="0.35">
      <c r="A346" s="12" t="s">
        <v>696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>
        <f>'Base Option'!F346+'Base Option'!F346*3%</f>
        <v>0</v>
      </c>
      <c r="G346" s="16">
        <f t="shared" ref="G346:G348" si="37">F346*C346</f>
        <v>0</v>
      </c>
    </row>
    <row r="347" spans="1:7" x14ac:dyDescent="0.35">
      <c r="A347" s="12" t="s">
        <v>697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>
        <f>'Base Option'!F347+'Base Option'!F347*3%</f>
        <v>0</v>
      </c>
      <c r="G347" s="16">
        <f t="shared" si="37"/>
        <v>0</v>
      </c>
    </row>
    <row r="348" spans="1:7" ht="31" x14ac:dyDescent="0.35">
      <c r="A348" s="12" t="s">
        <v>698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>
        <f>'Base Option'!F348+'Base Option'!F348*3%</f>
        <v>0</v>
      </c>
      <c r="G348" s="16">
        <f t="shared" si="37"/>
        <v>0</v>
      </c>
    </row>
    <row r="349" spans="1:7" x14ac:dyDescent="0.35">
      <c r="A349" s="12" t="s">
        <v>699</v>
      </c>
      <c r="B349" s="13" t="s">
        <v>265</v>
      </c>
      <c r="C349" s="14">
        <v>0</v>
      </c>
      <c r="D349" s="14"/>
      <c r="E349" s="14" t="s">
        <v>16</v>
      </c>
      <c r="F349" s="15">
        <f>'Base Option'!F349+'Base Option'!F349*3%</f>
        <v>0</v>
      </c>
      <c r="G349" s="16">
        <v>0</v>
      </c>
    </row>
    <row r="350" spans="1:7" x14ac:dyDescent="0.35">
      <c r="A350" s="12"/>
      <c r="B350" s="13" t="s">
        <v>266</v>
      </c>
      <c r="C350" s="14"/>
      <c r="D350" s="14"/>
      <c r="E350" s="14"/>
      <c r="F350" s="15">
        <f>'Base Option'!F350+'Base Option'!F350*3%</f>
        <v>0</v>
      </c>
      <c r="G350" s="16"/>
    </row>
    <row r="351" spans="1:7" ht="46.5" x14ac:dyDescent="0.35">
      <c r="A351" s="12" t="s">
        <v>700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>
        <f>'Base Option'!F351+'Base Option'!F351*3%</f>
        <v>0</v>
      </c>
      <c r="G351" s="16">
        <f t="shared" ref="G351:G353" si="38">F351*C351</f>
        <v>0</v>
      </c>
    </row>
    <row r="352" spans="1:7" ht="46.5" x14ac:dyDescent="0.35">
      <c r="A352" s="12" t="s">
        <v>701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>
        <f>'Base Option'!F352+'Base Option'!F352*3%</f>
        <v>0</v>
      </c>
      <c r="G352" s="16">
        <f t="shared" si="38"/>
        <v>0</v>
      </c>
    </row>
    <row r="353" spans="1:7" ht="31" x14ac:dyDescent="0.35">
      <c r="A353" s="12" t="s">
        <v>702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>
        <f>'Base Option'!F353+'Base Option'!F353*3%</f>
        <v>0</v>
      </c>
      <c r="G353" s="16">
        <f t="shared" si="38"/>
        <v>0</v>
      </c>
    </row>
    <row r="354" spans="1:7" x14ac:dyDescent="0.35">
      <c r="A354" s="12"/>
      <c r="B354" s="28" t="s">
        <v>273</v>
      </c>
      <c r="C354" s="14"/>
      <c r="D354" s="14"/>
      <c r="E354" s="14"/>
      <c r="F354" s="15">
        <f>'Base Option'!F354+'Base Option'!F354*3%</f>
        <v>0</v>
      </c>
      <c r="G354" s="16"/>
    </row>
    <row r="355" spans="1:7" ht="31" x14ac:dyDescent="0.35">
      <c r="A355" s="12" t="s">
        <v>703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>
        <f>'Base Option'!F355+'Base Option'!F355*3%</f>
        <v>0</v>
      </c>
      <c r="G355" s="16">
        <f>F355*C355</f>
        <v>0</v>
      </c>
    </row>
    <row r="356" spans="1:7" ht="31" x14ac:dyDescent="0.35">
      <c r="A356" s="12" t="s">
        <v>704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>
        <f>'Base Option'!F356+'Base Option'!F356*3%</f>
        <v>0</v>
      </c>
      <c r="G356" s="16">
        <f>F356*C356</f>
        <v>0</v>
      </c>
    </row>
    <row r="357" spans="1:7" x14ac:dyDescent="0.35">
      <c r="A357" s="12" t="s">
        <v>705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>
        <f>'Base Option'!F357+'Base Option'!F357*3%</f>
        <v>0</v>
      </c>
      <c r="G357" s="16">
        <f>F357*C357</f>
        <v>0</v>
      </c>
    </row>
    <row r="358" spans="1:7" ht="46.5" x14ac:dyDescent="0.35">
      <c r="A358" s="12" t="s">
        <v>706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>
        <f>'Base Option'!F358+'Base Option'!F358*3%</f>
        <v>0</v>
      </c>
      <c r="G358" s="16">
        <f>F358*C358</f>
        <v>0</v>
      </c>
    </row>
    <row r="359" spans="1:7" ht="31" x14ac:dyDescent="0.35">
      <c r="A359" s="12"/>
      <c r="B359" s="13" t="s">
        <v>282</v>
      </c>
      <c r="C359" s="14"/>
      <c r="D359" s="14"/>
      <c r="E359" s="14"/>
      <c r="F359" s="15">
        <f>'Base Option'!F359+'Base Option'!F359*3%</f>
        <v>0</v>
      </c>
      <c r="G359" s="16"/>
    </row>
    <row r="360" spans="1:7" ht="62" x14ac:dyDescent="0.35">
      <c r="A360" s="12" t="s">
        <v>707</v>
      </c>
      <c r="B360" s="17" t="s">
        <v>284</v>
      </c>
      <c r="C360" s="14"/>
      <c r="D360" s="14" t="s">
        <v>285</v>
      </c>
      <c r="E360" s="14" t="s">
        <v>16</v>
      </c>
      <c r="F360" s="15">
        <f>'Base Option'!F360+'Base Option'!F360*3%</f>
        <v>0</v>
      </c>
      <c r="G360" s="16">
        <f t="shared" ref="G360:G361" si="39">F360*C360</f>
        <v>0</v>
      </c>
    </row>
    <row r="361" spans="1:7" x14ac:dyDescent="0.35">
      <c r="A361" s="12" t="s">
        <v>708</v>
      </c>
      <c r="B361" s="17" t="s">
        <v>1542</v>
      </c>
      <c r="C361" s="14">
        <v>2000</v>
      </c>
      <c r="D361" s="14" t="s">
        <v>288</v>
      </c>
      <c r="E361" s="14" t="s">
        <v>16</v>
      </c>
      <c r="F361" s="15">
        <f>'Base Option'!F361+'Base Option'!F361*3%</f>
        <v>0</v>
      </c>
      <c r="G361" s="16">
        <f t="shared" si="39"/>
        <v>0</v>
      </c>
    </row>
    <row r="362" spans="1:7" x14ac:dyDescent="0.35">
      <c r="A362" s="12"/>
      <c r="B362" s="13" t="s">
        <v>289</v>
      </c>
      <c r="C362" s="14"/>
      <c r="D362" s="14"/>
      <c r="E362" s="14"/>
      <c r="F362" s="15">
        <f>'Base Option'!F362+'Base Option'!F362*3%</f>
        <v>0</v>
      </c>
      <c r="G362" s="16"/>
    </row>
    <row r="363" spans="1:7" ht="108.5" x14ac:dyDescent="0.35">
      <c r="A363" s="12" t="s">
        <v>709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>
        <f>'Base Option'!F363+'Base Option'!F363*3%</f>
        <v>0</v>
      </c>
      <c r="G363" s="16">
        <f t="shared" ref="G363" si="40">F363*C363</f>
        <v>0</v>
      </c>
    </row>
    <row r="364" spans="1:7" ht="31" x14ac:dyDescent="0.35">
      <c r="A364" s="12"/>
      <c r="B364" s="13" t="s">
        <v>292</v>
      </c>
      <c r="C364" s="14"/>
      <c r="D364" s="14"/>
      <c r="E364" s="14"/>
      <c r="F364" s="15">
        <f>'Base Option'!F364+'Base Option'!F364*3%</f>
        <v>0</v>
      </c>
      <c r="G364" s="16"/>
    </row>
    <row r="365" spans="1:7" x14ac:dyDescent="0.35">
      <c r="A365" s="12" t="s">
        <v>710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>
        <f>'Base Option'!F365+'Base Option'!F365*3%</f>
        <v>0</v>
      </c>
      <c r="G365" s="16">
        <f t="shared" ref="G365" si="41">F365*C365</f>
        <v>0</v>
      </c>
    </row>
    <row r="366" spans="1:7" ht="31" x14ac:dyDescent="0.35">
      <c r="A366" s="12"/>
      <c r="B366" s="13" t="s">
        <v>711</v>
      </c>
      <c r="C366" s="14"/>
      <c r="D366" s="14"/>
      <c r="E366" s="14"/>
      <c r="F366" s="33"/>
      <c r="G366" s="34">
        <f>SUM(G191:G365)</f>
        <v>0</v>
      </c>
    </row>
    <row r="367" spans="1:7" x14ac:dyDescent="0.35">
      <c r="A367" s="45"/>
      <c r="B367" s="13"/>
      <c r="C367" s="14"/>
      <c r="D367" s="14"/>
      <c r="E367" s="14"/>
      <c r="F367" s="33"/>
      <c r="G367" s="44"/>
    </row>
    <row r="368" spans="1:7" ht="46.5" x14ac:dyDescent="0.35">
      <c r="A368" s="35"/>
      <c r="B368" s="13" t="s">
        <v>712</v>
      </c>
      <c r="C368" s="14"/>
      <c r="D368" s="14"/>
      <c r="E368" s="14"/>
      <c r="F368" s="33"/>
      <c r="G368" s="44">
        <f>G366+G187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honeticPr fontId="1" type="noConversion"/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76E9-D1C0-491D-ADDF-C97DC2EC02C7}">
  <sheetPr>
    <tabColor theme="0"/>
  </sheetPr>
  <dimension ref="A1:G368"/>
  <sheetViews>
    <sheetView tabSelected="1" zoomScaleNormal="100" workbookViewId="0">
      <selection activeCell="B16" sqref="B16"/>
    </sheetView>
  </sheetViews>
  <sheetFormatPr defaultColWidth="28.54296875" defaultRowHeight="15.5" x14ac:dyDescent="0.35"/>
  <cols>
    <col min="1" max="1" width="14.54296875" style="46" customWidth="1"/>
    <col min="2" max="2" width="53.2695312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713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46.5" x14ac:dyDescent="0.35">
      <c r="A9" s="12" t="s">
        <v>714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'Option Year 1'!F9+'Option Year 1'!F9*3%</f>
        <v>0</v>
      </c>
      <c r="G9" s="16">
        <f t="shared" ref="G9:G33" si="0">F9*C9</f>
        <v>0</v>
      </c>
    </row>
    <row r="10" spans="1:7" ht="31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715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'Option Year 1'!F11+'Option Year 1'!F11*3%</f>
        <v>0</v>
      </c>
      <c r="G11" s="16">
        <f t="shared" si="0"/>
        <v>0</v>
      </c>
    </row>
    <row r="12" spans="1:7" x14ac:dyDescent="0.35">
      <c r="A12" s="12" t="s">
        <v>716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'Option Year 1'!F12+'Option Year 1'!F12*3%</f>
        <v>0</v>
      </c>
      <c r="G12" s="16">
        <f t="shared" si="0"/>
        <v>0</v>
      </c>
    </row>
    <row r="13" spans="1:7" x14ac:dyDescent="0.35">
      <c r="A13" s="12" t="s">
        <v>717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'Option Year 1'!F13+'Option Year 1'!F13*3%</f>
        <v>0</v>
      </c>
      <c r="G13" s="16">
        <f t="shared" si="0"/>
        <v>0</v>
      </c>
    </row>
    <row r="14" spans="1:7" x14ac:dyDescent="0.35">
      <c r="A14" s="12" t="s">
        <v>718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'Option Year 1'!F14+'Option Year 1'!F14*3%</f>
        <v>0</v>
      </c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>
        <f>'Option Year 1'!F15+'Option Year 1'!F15*3%</f>
        <v>0</v>
      </c>
      <c r="G15" s="16"/>
    </row>
    <row r="16" spans="1:7" ht="46.5" x14ac:dyDescent="0.35">
      <c r="A16" s="12"/>
      <c r="B16" s="13" t="s">
        <v>1545</v>
      </c>
      <c r="C16" s="14"/>
      <c r="D16" s="14"/>
      <c r="E16" s="14"/>
      <c r="F16" s="15">
        <f>'Option Year 1'!F16+'Option Year 1'!F16*3%</f>
        <v>0</v>
      </c>
      <c r="G16" s="16"/>
    </row>
    <row r="17" spans="1:7" ht="31" x14ac:dyDescent="0.35">
      <c r="A17" s="12" t="s">
        <v>719</v>
      </c>
      <c r="B17" s="17" t="s">
        <v>31</v>
      </c>
      <c r="C17" s="14">
        <v>10</v>
      </c>
      <c r="D17" s="14" t="s">
        <v>20</v>
      </c>
      <c r="E17" s="14" t="s">
        <v>16</v>
      </c>
      <c r="F17" s="15">
        <f>'Option Year 1'!F17+'Option Year 1'!F17*3%</f>
        <v>0</v>
      </c>
      <c r="G17" s="16">
        <f t="shared" si="0"/>
        <v>0</v>
      </c>
    </row>
    <row r="18" spans="1:7" x14ac:dyDescent="0.35">
      <c r="A18" s="12" t="s">
        <v>720</v>
      </c>
      <c r="B18" s="17" t="s">
        <v>33</v>
      </c>
      <c r="C18" s="14">
        <v>10</v>
      </c>
      <c r="D18" s="14" t="s">
        <v>20</v>
      </c>
      <c r="E18" s="14" t="s">
        <v>16</v>
      </c>
      <c r="F18" s="15">
        <f>'Option Year 1'!F18+'Option Year 1'!F18*3%</f>
        <v>0</v>
      </c>
      <c r="G18" s="16">
        <f t="shared" si="0"/>
        <v>0</v>
      </c>
    </row>
    <row r="19" spans="1:7" ht="31" x14ac:dyDescent="0.35">
      <c r="A19" s="12" t="s">
        <v>721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'Option Year 1'!F19+'Option Year 1'!F19*3%</f>
        <v>0</v>
      </c>
      <c r="G19" s="16">
        <f t="shared" si="0"/>
        <v>0</v>
      </c>
    </row>
    <row r="20" spans="1:7" ht="31" x14ac:dyDescent="0.35">
      <c r="A20" s="12" t="s">
        <v>722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'Option Year 1'!F20+'Option Year 1'!F20*3%</f>
        <v>0</v>
      </c>
      <c r="G20" s="16">
        <f t="shared" si="0"/>
        <v>0</v>
      </c>
    </row>
    <row r="21" spans="1:7" ht="31" x14ac:dyDescent="0.35">
      <c r="A21" s="12" t="s">
        <v>723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'Option Year 1'!F21+'Option Year 1'!F21*3%</f>
        <v>0</v>
      </c>
      <c r="G21" s="16">
        <f t="shared" si="0"/>
        <v>0</v>
      </c>
    </row>
    <row r="22" spans="1:7" ht="31" x14ac:dyDescent="0.35">
      <c r="A22" s="12" t="s">
        <v>724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'Option Year 1'!F22+'Option Year 1'!F22*3%</f>
        <v>0</v>
      </c>
      <c r="G22" s="16">
        <f t="shared" si="0"/>
        <v>0</v>
      </c>
    </row>
    <row r="23" spans="1:7" ht="31" x14ac:dyDescent="0.35">
      <c r="A23" s="12" t="s">
        <v>725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'Option Year 1'!F23+'Option Year 1'!F23*3%</f>
        <v>0</v>
      </c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>
        <f>'Option Year 1'!F24+'Option Year 1'!F24*3%</f>
        <v>0</v>
      </c>
      <c r="G24" s="16"/>
    </row>
    <row r="25" spans="1:7" ht="46.5" x14ac:dyDescent="0.35">
      <c r="A25" s="12"/>
      <c r="B25" s="18" t="s">
        <v>46</v>
      </c>
      <c r="C25" s="14"/>
      <c r="D25" s="14"/>
      <c r="E25" s="14"/>
      <c r="F25" s="15">
        <f>'Option Year 1'!F25+'Option Year 1'!F25*3%</f>
        <v>0</v>
      </c>
      <c r="G25" s="16"/>
    </row>
    <row r="26" spans="1:7" x14ac:dyDescent="0.35">
      <c r="A26" s="12" t="s">
        <v>726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'Option Year 1'!F26+'Option Year 1'!F26*3%</f>
        <v>0</v>
      </c>
      <c r="G26" s="16">
        <f t="shared" si="0"/>
        <v>0</v>
      </c>
    </row>
    <row r="27" spans="1:7" x14ac:dyDescent="0.35">
      <c r="A27" s="12" t="s">
        <v>727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'Option Year 1'!F27+'Option Year 1'!F27*3%</f>
        <v>0</v>
      </c>
      <c r="G27" s="16">
        <f t="shared" si="0"/>
        <v>0</v>
      </c>
    </row>
    <row r="28" spans="1:7" x14ac:dyDescent="0.35">
      <c r="A28" s="12" t="s">
        <v>728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'Option Year 1'!F28+'Option Year 1'!F28*3%</f>
        <v>0</v>
      </c>
      <c r="G28" s="16">
        <f t="shared" si="0"/>
        <v>0</v>
      </c>
    </row>
    <row r="29" spans="1:7" ht="46.5" x14ac:dyDescent="0.35">
      <c r="A29" s="12" t="s">
        <v>729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'Option Year 1'!F29+'Option Year 1'!F29*3%</f>
        <v>0</v>
      </c>
      <c r="G29" s="19">
        <f>F29*C29</f>
        <v>0</v>
      </c>
    </row>
    <row r="30" spans="1:7" x14ac:dyDescent="0.35">
      <c r="A30" s="12" t="s">
        <v>730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'Option Year 1'!F30+'Option Year 1'!F30*3%</f>
        <v>0</v>
      </c>
      <c r="G30" s="16">
        <f t="shared" si="0"/>
        <v>0</v>
      </c>
    </row>
    <row r="31" spans="1:7" ht="31" x14ac:dyDescent="0.35">
      <c r="A31" s="12" t="s">
        <v>731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'Option Year 1'!F31+'Option Year 1'!F31*3%</f>
        <v>0</v>
      </c>
      <c r="G31" s="16">
        <f t="shared" si="0"/>
        <v>0</v>
      </c>
    </row>
    <row r="32" spans="1:7" ht="31" x14ac:dyDescent="0.35">
      <c r="A32" s="12" t="s">
        <v>732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'Option Year 1'!F32+'Option Year 1'!F32*3%</f>
        <v>0</v>
      </c>
      <c r="G32" s="16">
        <f t="shared" si="0"/>
        <v>0</v>
      </c>
    </row>
    <row r="33" spans="1:7" ht="31" x14ac:dyDescent="0.35">
      <c r="A33" s="12" t="s">
        <v>733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'Option Year 1'!F33+'Option Year 1'!F33*3%</f>
        <v>0</v>
      </c>
      <c r="G33" s="16">
        <f t="shared" si="0"/>
        <v>0</v>
      </c>
    </row>
    <row r="34" spans="1:7" ht="46.5" x14ac:dyDescent="0.35">
      <c r="A34" s="12"/>
      <c r="B34" s="13" t="s">
        <v>63</v>
      </c>
      <c r="C34" s="14"/>
      <c r="D34" s="14"/>
      <c r="E34" s="14"/>
      <c r="F34" s="15">
        <f>'Option Year 1'!F34+'Option Year 1'!F34*3%</f>
        <v>0</v>
      </c>
      <c r="G34" s="16"/>
    </row>
    <row r="35" spans="1:7" x14ac:dyDescent="0.35">
      <c r="A35" s="12" t="s">
        <v>734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'Option Year 1'!F35+'Option Year 1'!F35*3%</f>
        <v>0</v>
      </c>
      <c r="G35" s="16">
        <f t="shared" ref="G35:G59" si="1">F35*C35</f>
        <v>0</v>
      </c>
    </row>
    <row r="36" spans="1:7" x14ac:dyDescent="0.35">
      <c r="A36" s="12" t="s">
        <v>735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'Option Year 1'!F36+'Option Year 1'!F36*3%</f>
        <v>0</v>
      </c>
      <c r="G36" s="16">
        <f t="shared" si="1"/>
        <v>0</v>
      </c>
    </row>
    <row r="37" spans="1:7" x14ac:dyDescent="0.35">
      <c r="A37" s="12" t="s">
        <v>736</v>
      </c>
      <c r="B37" s="17" t="s">
        <v>1543</v>
      </c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>
        <f>'Option Year 1'!F38+'Option Year 1'!F38*3%</f>
        <v>0</v>
      </c>
      <c r="G38" s="16"/>
    </row>
    <row r="39" spans="1:7" x14ac:dyDescent="0.35">
      <c r="A39" s="12" t="s">
        <v>737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'Option Year 1'!F39+'Option Year 1'!F39*3%</f>
        <v>0</v>
      </c>
      <c r="G39" s="16">
        <f t="shared" si="1"/>
        <v>0</v>
      </c>
    </row>
    <row r="40" spans="1:7" x14ac:dyDescent="0.35">
      <c r="A40" s="12" t="s">
        <v>738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'Option Year 1'!F40+'Option Year 1'!F40*3%</f>
        <v>0</v>
      </c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>
        <f>'Option Year 1'!F41+'Option Year 1'!F41*3%</f>
        <v>0</v>
      </c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>
        <f>'Option Year 1'!F42+'Option Year 1'!F42*3%</f>
        <v>0</v>
      </c>
      <c r="G42" s="16"/>
    </row>
    <row r="43" spans="1:7" x14ac:dyDescent="0.35">
      <c r="A43" s="12" t="s">
        <v>739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'Option Year 1'!F43+'Option Year 1'!F43*3%</f>
        <v>0</v>
      </c>
      <c r="G43" s="16">
        <f t="shared" si="1"/>
        <v>0</v>
      </c>
    </row>
    <row r="44" spans="1:7" ht="31" x14ac:dyDescent="0.35">
      <c r="A44" s="12"/>
      <c r="B44" s="13" t="s">
        <v>78</v>
      </c>
      <c r="C44" s="14"/>
      <c r="D44" s="14"/>
      <c r="E44" s="14"/>
      <c r="F44" s="15">
        <f>'Option Year 1'!F44+'Option Year 1'!F44*3%</f>
        <v>0</v>
      </c>
      <c r="G44" s="16"/>
    </row>
    <row r="45" spans="1:7" x14ac:dyDescent="0.35">
      <c r="A45" s="12" t="s">
        <v>740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'Option Year 1'!F45+'Option Year 1'!F45*3%</f>
        <v>0</v>
      </c>
      <c r="G45" s="16">
        <f t="shared" si="1"/>
        <v>0</v>
      </c>
    </row>
    <row r="46" spans="1:7" ht="46.5" x14ac:dyDescent="0.35">
      <c r="A46" s="12"/>
      <c r="B46" s="13" t="s">
        <v>81</v>
      </c>
      <c r="C46" s="14"/>
      <c r="D46" s="14"/>
      <c r="E46" s="14"/>
      <c r="F46" s="15">
        <f>'Option Year 1'!F46+'Option Year 1'!F46*3%</f>
        <v>0</v>
      </c>
      <c r="G46" s="16"/>
    </row>
    <row r="47" spans="1:7" x14ac:dyDescent="0.35">
      <c r="A47" s="12" t="s">
        <v>741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'Option Year 1'!F47+'Option Year 1'!F47*3%</f>
        <v>0</v>
      </c>
      <c r="G47" s="16">
        <f t="shared" si="1"/>
        <v>0</v>
      </c>
    </row>
    <row r="48" spans="1:7" x14ac:dyDescent="0.35">
      <c r="A48" s="12" t="s">
        <v>742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'Option Year 1'!F48+'Option Year 1'!F48*3%</f>
        <v>0</v>
      </c>
      <c r="G48" s="16">
        <f t="shared" si="1"/>
        <v>0</v>
      </c>
    </row>
    <row r="49" spans="1:7" ht="31" x14ac:dyDescent="0.35">
      <c r="A49" s="12" t="s">
        <v>743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'Option Year 1'!F49+'Option Year 1'!F49*3%</f>
        <v>0</v>
      </c>
      <c r="G49" s="16">
        <f t="shared" si="1"/>
        <v>0</v>
      </c>
    </row>
    <row r="50" spans="1:7" ht="31" x14ac:dyDescent="0.35">
      <c r="A50" s="12" t="s">
        <v>744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'Option Year 1'!F50+'Option Year 1'!F50*3%</f>
        <v>0</v>
      </c>
      <c r="G50" s="16">
        <f t="shared" si="1"/>
        <v>0</v>
      </c>
    </row>
    <row r="51" spans="1:7" ht="46.5" x14ac:dyDescent="0.35">
      <c r="A51" s="12" t="s">
        <v>745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'Option Year 1'!F51+'Option Year 1'!F51*3%</f>
        <v>0</v>
      </c>
      <c r="G51" s="16">
        <f t="shared" si="1"/>
        <v>0</v>
      </c>
    </row>
    <row r="52" spans="1:7" x14ac:dyDescent="0.35">
      <c r="A52" s="12" t="s">
        <v>746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'Option Year 1'!F52+'Option Year 1'!F52*3%</f>
        <v>0</v>
      </c>
      <c r="G52" s="16">
        <f t="shared" si="1"/>
        <v>0</v>
      </c>
    </row>
    <row r="53" spans="1:7" x14ac:dyDescent="0.35">
      <c r="A53" s="12" t="s">
        <v>747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'Option Year 1'!F53+'Option Year 1'!F53*3%</f>
        <v>0</v>
      </c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>
        <f>'Option Year 1'!F54+'Option Year 1'!F54*3%</f>
        <v>0</v>
      </c>
      <c r="G54" s="16"/>
    </row>
    <row r="55" spans="1:7" x14ac:dyDescent="0.35">
      <c r="A55" s="12" t="s">
        <v>748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'Option Year 1'!F55+'Option Year 1'!F55*3%</f>
        <v>0</v>
      </c>
      <c r="G55" s="16">
        <f t="shared" si="1"/>
        <v>0</v>
      </c>
    </row>
    <row r="56" spans="1:7" ht="46.5" x14ac:dyDescent="0.35">
      <c r="A56" s="12"/>
      <c r="B56" s="13" t="s">
        <v>99</v>
      </c>
      <c r="C56" s="14"/>
      <c r="D56" s="14"/>
      <c r="E56" s="14"/>
      <c r="F56" s="15">
        <f>'Option Year 1'!F56+'Option Year 1'!F56*3%</f>
        <v>0</v>
      </c>
      <c r="G56" s="16"/>
    </row>
    <row r="57" spans="1:7" x14ac:dyDescent="0.35">
      <c r="A57" s="12" t="s">
        <v>749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'Option Year 1'!F57+'Option Year 1'!F57*3%</f>
        <v>0</v>
      </c>
      <c r="G57" s="16">
        <f t="shared" si="1"/>
        <v>0</v>
      </c>
    </row>
    <row r="58" spans="1:7" x14ac:dyDescent="0.35">
      <c r="A58" s="12" t="s">
        <v>750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'Option Year 1'!F58+'Option Year 1'!F58*3%</f>
        <v>0</v>
      </c>
      <c r="G58" s="16">
        <f t="shared" si="1"/>
        <v>0</v>
      </c>
    </row>
    <row r="59" spans="1:7" x14ac:dyDescent="0.35">
      <c r="A59" s="12" t="s">
        <v>751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'Option Year 1'!F59+'Option Year 1'!F59*3%</f>
        <v>0</v>
      </c>
      <c r="G59" s="16">
        <f t="shared" si="1"/>
        <v>0</v>
      </c>
    </row>
    <row r="60" spans="1:7" ht="31" x14ac:dyDescent="0.35">
      <c r="A60" s="12"/>
      <c r="B60" s="13" t="s">
        <v>106</v>
      </c>
      <c r="C60" s="14"/>
      <c r="D60" s="14"/>
      <c r="E60" s="14"/>
      <c r="F60" s="15">
        <f>'Option Year 1'!F60+'Option Year 1'!F60*3%</f>
        <v>0</v>
      </c>
      <c r="G60" s="16"/>
    </row>
    <row r="61" spans="1:7" x14ac:dyDescent="0.35">
      <c r="A61" s="12" t="s">
        <v>752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'Option Year 1'!F61+'Option Year 1'!F61*3%</f>
        <v>0</v>
      </c>
      <c r="G61" s="16">
        <f t="shared" ref="G61:G124" si="2">F61*C61</f>
        <v>0</v>
      </c>
    </row>
    <row r="62" spans="1:7" x14ac:dyDescent="0.35">
      <c r="A62" s="12" t="s">
        <v>753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'Option Year 1'!F62+'Option Year 1'!F62*3%</f>
        <v>0</v>
      </c>
      <c r="G62" s="16">
        <f t="shared" si="2"/>
        <v>0</v>
      </c>
    </row>
    <row r="63" spans="1:7" x14ac:dyDescent="0.35">
      <c r="A63" s="12" t="s">
        <v>754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'Option Year 1'!F63+'Option Year 1'!F63*3%</f>
        <v>0</v>
      </c>
      <c r="G63" s="16">
        <f t="shared" si="2"/>
        <v>0</v>
      </c>
    </row>
    <row r="64" spans="1:7" x14ac:dyDescent="0.35">
      <c r="A64" s="12" t="s">
        <v>755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'Option Year 1'!F64+'Option Year 1'!F64*3%</f>
        <v>0</v>
      </c>
      <c r="G64" s="16">
        <f t="shared" si="2"/>
        <v>0</v>
      </c>
    </row>
    <row r="65" spans="1:7" x14ac:dyDescent="0.35">
      <c r="A65" s="12" t="s">
        <v>756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'Option Year 1'!F65+'Option Year 1'!F65*3%</f>
        <v>0</v>
      </c>
      <c r="G65" s="16">
        <f t="shared" si="2"/>
        <v>0</v>
      </c>
    </row>
    <row r="66" spans="1:7" ht="18.75" customHeight="1" x14ac:dyDescent="0.35">
      <c r="A66" s="12" t="s">
        <v>757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'Option Year 1'!F66+'Option Year 1'!F66*3%</f>
        <v>0</v>
      </c>
      <c r="G66" s="16">
        <f t="shared" si="2"/>
        <v>0</v>
      </c>
    </row>
    <row r="67" spans="1:7" x14ac:dyDescent="0.35">
      <c r="A67" s="12" t="s">
        <v>758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'Option Year 1'!F67+'Option Year 1'!F67*3%</f>
        <v>0</v>
      </c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>
        <f>'Option Year 1'!F68+'Option Year 1'!F68*3%</f>
        <v>0</v>
      </c>
      <c r="G68" s="16"/>
    </row>
    <row r="69" spans="1:7" x14ac:dyDescent="0.35">
      <c r="A69" s="12" t="s">
        <v>759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'Option Year 1'!F69+'Option Year 1'!F69*3%</f>
        <v>0</v>
      </c>
      <c r="G69" s="16">
        <f t="shared" si="2"/>
        <v>0</v>
      </c>
    </row>
    <row r="70" spans="1:7" x14ac:dyDescent="0.35">
      <c r="A70" s="12" t="s">
        <v>760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'Option Year 1'!F70+'Option Year 1'!F70*3%</f>
        <v>0</v>
      </c>
      <c r="G70" s="16">
        <f t="shared" si="2"/>
        <v>0</v>
      </c>
    </row>
    <row r="71" spans="1:7" x14ac:dyDescent="0.35">
      <c r="A71" s="12" t="s">
        <v>761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'Option Year 1'!F71+'Option Year 1'!F71*3%</f>
        <v>0</v>
      </c>
      <c r="G71" s="16">
        <f t="shared" si="2"/>
        <v>0</v>
      </c>
    </row>
    <row r="72" spans="1:7" x14ac:dyDescent="0.35">
      <c r="A72" s="12" t="s">
        <v>762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'Option Year 1'!F72+'Option Year 1'!F72*3%</f>
        <v>0</v>
      </c>
      <c r="G72" s="16">
        <f t="shared" si="2"/>
        <v>0</v>
      </c>
    </row>
    <row r="73" spans="1:7" ht="31" x14ac:dyDescent="0.35">
      <c r="A73" s="12"/>
      <c r="B73" s="13" t="s">
        <v>128</v>
      </c>
      <c r="C73" s="14"/>
      <c r="D73" s="14"/>
      <c r="E73" s="14"/>
      <c r="F73" s="15">
        <f>'Option Year 1'!F73+'Option Year 1'!F73*3%</f>
        <v>0</v>
      </c>
      <c r="G73" s="16"/>
    </row>
    <row r="74" spans="1:7" x14ac:dyDescent="0.35">
      <c r="A74" s="12" t="s">
        <v>763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'Option Year 1'!F74+'Option Year 1'!F74*3%</f>
        <v>0</v>
      </c>
      <c r="G74" s="16">
        <f t="shared" si="2"/>
        <v>0</v>
      </c>
    </row>
    <row r="75" spans="1:7" x14ac:dyDescent="0.35">
      <c r="A75" s="12" t="s">
        <v>764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'Option Year 1'!F75+'Option Year 1'!F75*3%</f>
        <v>0</v>
      </c>
      <c r="G75" s="16">
        <f t="shared" si="2"/>
        <v>0</v>
      </c>
    </row>
    <row r="76" spans="1:7" x14ac:dyDescent="0.35">
      <c r="A76" s="12" t="s">
        <v>765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'Option Year 1'!F76+'Option Year 1'!F76*3%</f>
        <v>0</v>
      </c>
      <c r="G76" s="16">
        <f t="shared" si="2"/>
        <v>0</v>
      </c>
    </row>
    <row r="77" spans="1:7" x14ac:dyDescent="0.35">
      <c r="A77" s="12" t="s">
        <v>766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'Option Year 1'!F77+'Option Year 1'!F77*3%</f>
        <v>0</v>
      </c>
      <c r="G77" s="16">
        <f t="shared" si="2"/>
        <v>0</v>
      </c>
    </row>
    <row r="78" spans="1:7" ht="31" x14ac:dyDescent="0.35">
      <c r="A78" s="12"/>
      <c r="B78" s="13" t="s">
        <v>137</v>
      </c>
      <c r="C78" s="14"/>
      <c r="D78" s="14"/>
      <c r="E78" s="14"/>
      <c r="F78" s="15">
        <f>'Option Year 1'!F78+'Option Year 1'!F78*3%</f>
        <v>0</v>
      </c>
      <c r="G78" s="16"/>
    </row>
    <row r="79" spans="1:7" x14ac:dyDescent="0.35">
      <c r="A79" s="12" t="s">
        <v>767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'Option Year 1'!F79+'Option Year 1'!F79*3%</f>
        <v>0</v>
      </c>
      <c r="G79" s="16">
        <f t="shared" si="2"/>
        <v>0</v>
      </c>
    </row>
    <row r="80" spans="1:7" x14ac:dyDescent="0.35">
      <c r="A80" s="12" t="s">
        <v>768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'Option Year 1'!F80+'Option Year 1'!F80*3%</f>
        <v>0</v>
      </c>
      <c r="G80" s="16">
        <f t="shared" si="2"/>
        <v>0</v>
      </c>
    </row>
    <row r="81" spans="1:7" x14ac:dyDescent="0.35">
      <c r="A81" s="12" t="s">
        <v>769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'Option Year 1'!F81+'Option Year 1'!F81*3%</f>
        <v>0</v>
      </c>
      <c r="G81" s="16">
        <f t="shared" si="2"/>
        <v>0</v>
      </c>
    </row>
    <row r="82" spans="1:7" x14ac:dyDescent="0.35">
      <c r="A82" s="12" t="s">
        <v>770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'Option Year 1'!F82+'Option Year 1'!F82*3%</f>
        <v>0</v>
      </c>
      <c r="G82" s="16">
        <f t="shared" si="2"/>
        <v>0</v>
      </c>
    </row>
    <row r="83" spans="1:7" ht="31" x14ac:dyDescent="0.35">
      <c r="A83" s="12"/>
      <c r="B83" s="22" t="s">
        <v>142</v>
      </c>
      <c r="C83" s="14"/>
      <c r="D83" s="14"/>
      <c r="E83" s="14"/>
      <c r="F83" s="15">
        <f>'Option Year 1'!F83+'Option Year 1'!F83*3%</f>
        <v>0</v>
      </c>
      <c r="G83" s="16"/>
    </row>
    <row r="84" spans="1:7" x14ac:dyDescent="0.35">
      <c r="A84" s="12" t="s">
        <v>771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'Option Year 1'!F84+'Option Year 1'!F84*3%</f>
        <v>0</v>
      </c>
      <c r="G84" s="16">
        <f t="shared" si="2"/>
        <v>0</v>
      </c>
    </row>
    <row r="85" spans="1:7" x14ac:dyDescent="0.35">
      <c r="A85" s="12" t="s">
        <v>772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'Option Year 1'!F85+'Option Year 1'!F85*3%</f>
        <v>0</v>
      </c>
      <c r="G85" s="16">
        <f t="shared" si="2"/>
        <v>0</v>
      </c>
    </row>
    <row r="86" spans="1:7" x14ac:dyDescent="0.35">
      <c r="A86" s="12" t="s">
        <v>773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'Option Year 1'!F86+'Option Year 1'!F86*3%</f>
        <v>0</v>
      </c>
      <c r="G86" s="16">
        <f t="shared" si="2"/>
        <v>0</v>
      </c>
    </row>
    <row r="87" spans="1:7" x14ac:dyDescent="0.35">
      <c r="A87" s="12" t="s">
        <v>774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'Option Year 1'!F87+'Option Year 1'!F87*3%</f>
        <v>0</v>
      </c>
      <c r="G87" s="16">
        <f t="shared" si="2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>
        <f>'Option Year 1'!F88+'Option Year 1'!F88*3%</f>
        <v>0</v>
      </c>
      <c r="G88" s="16"/>
    </row>
    <row r="89" spans="1:7" x14ac:dyDescent="0.35">
      <c r="A89" s="12"/>
      <c r="B89" s="13" t="s">
        <v>148</v>
      </c>
      <c r="C89" s="14"/>
      <c r="D89" s="14"/>
      <c r="E89" s="14"/>
      <c r="F89" s="15">
        <f>'Option Year 1'!F89+'Option Year 1'!F89*3%</f>
        <v>0</v>
      </c>
      <c r="G89" s="16"/>
    </row>
    <row r="90" spans="1:7" x14ac:dyDescent="0.35">
      <c r="A90" s="12" t="s">
        <v>775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'Option Year 1'!F90+'Option Year 1'!F90*3%</f>
        <v>0</v>
      </c>
      <c r="G90" s="16">
        <f t="shared" si="2"/>
        <v>0</v>
      </c>
    </row>
    <row r="91" spans="1:7" x14ac:dyDescent="0.35">
      <c r="A91" s="12" t="s">
        <v>776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'Option Year 1'!F91+'Option Year 1'!F91*3%</f>
        <v>0</v>
      </c>
      <c r="G91" s="16">
        <f t="shared" si="2"/>
        <v>0</v>
      </c>
    </row>
    <row r="92" spans="1:7" x14ac:dyDescent="0.35">
      <c r="A92" s="12" t="s">
        <v>777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'Option Year 1'!F92+'Option Year 1'!F92*3%</f>
        <v>0</v>
      </c>
      <c r="G92" s="16">
        <f t="shared" si="2"/>
        <v>0</v>
      </c>
    </row>
    <row r="93" spans="1:7" x14ac:dyDescent="0.35">
      <c r="A93" s="12" t="s">
        <v>778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'Option Year 1'!F93+'Option Year 1'!F93*3%</f>
        <v>0</v>
      </c>
      <c r="G93" s="16">
        <f t="shared" si="2"/>
        <v>0</v>
      </c>
    </row>
    <row r="94" spans="1:7" x14ac:dyDescent="0.35">
      <c r="A94" s="12" t="s">
        <v>779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'Option Year 1'!F94+'Option Year 1'!F94*3%</f>
        <v>0</v>
      </c>
      <c r="G94" s="16">
        <f t="shared" si="2"/>
        <v>0</v>
      </c>
    </row>
    <row r="95" spans="1:7" x14ac:dyDescent="0.35">
      <c r="A95" s="12" t="s">
        <v>780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'Option Year 1'!F95+'Option Year 1'!F95*3%</f>
        <v>0</v>
      </c>
      <c r="G95" s="16">
        <f t="shared" si="2"/>
        <v>0</v>
      </c>
    </row>
    <row r="96" spans="1:7" x14ac:dyDescent="0.35">
      <c r="A96" s="12" t="s">
        <v>781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'Option Year 1'!F96+'Option Year 1'!F96*3%</f>
        <v>0</v>
      </c>
      <c r="G96" s="16">
        <f t="shared" si="2"/>
        <v>0</v>
      </c>
    </row>
    <row r="97" spans="1:7" x14ac:dyDescent="0.35">
      <c r="A97" s="12" t="s">
        <v>782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'Option Year 1'!F97+'Option Year 1'!F97*3%</f>
        <v>0</v>
      </c>
      <c r="G97" s="16">
        <f t="shared" si="2"/>
        <v>0</v>
      </c>
    </row>
    <row r="98" spans="1:7" x14ac:dyDescent="0.35">
      <c r="A98" s="12" t="s">
        <v>783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'Option Year 1'!F98+'Option Year 1'!F98*3%</f>
        <v>0</v>
      </c>
      <c r="G98" s="16">
        <f t="shared" si="2"/>
        <v>0</v>
      </c>
    </row>
    <row r="99" spans="1:7" x14ac:dyDescent="0.35">
      <c r="A99" s="12" t="s">
        <v>784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'Option Year 1'!F99+'Option Year 1'!F99*3%</f>
        <v>0</v>
      </c>
      <c r="G99" s="16">
        <f t="shared" si="2"/>
        <v>0</v>
      </c>
    </row>
    <row r="100" spans="1:7" x14ac:dyDescent="0.35">
      <c r="A100" s="12" t="s">
        <v>785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'Option Year 1'!F100+'Option Year 1'!F100*3%</f>
        <v>0</v>
      </c>
      <c r="G100" s="16">
        <f t="shared" si="2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>
        <f>'Option Year 1'!F101+'Option Year 1'!F101*3%</f>
        <v>0</v>
      </c>
      <c r="G101" s="16"/>
    </row>
    <row r="102" spans="1:7" x14ac:dyDescent="0.35">
      <c r="A102" s="12" t="s">
        <v>786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'Option Year 1'!F102+'Option Year 1'!F102*3%</f>
        <v>0</v>
      </c>
      <c r="G102" s="16">
        <f t="shared" si="2"/>
        <v>0</v>
      </c>
    </row>
    <row r="103" spans="1:7" x14ac:dyDescent="0.35">
      <c r="A103" s="12" t="s">
        <v>787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'Option Year 1'!F103+'Option Year 1'!F103*3%</f>
        <v>0</v>
      </c>
      <c r="G103" s="16">
        <f t="shared" si="2"/>
        <v>0</v>
      </c>
    </row>
    <row r="104" spans="1:7" x14ac:dyDescent="0.35">
      <c r="A104" s="12" t="s">
        <v>788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'Option Year 1'!F104+'Option Year 1'!F104*3%</f>
        <v>0</v>
      </c>
      <c r="G104" s="16">
        <f t="shared" si="2"/>
        <v>0</v>
      </c>
    </row>
    <row r="105" spans="1:7" x14ac:dyDescent="0.35">
      <c r="A105" s="12" t="s">
        <v>789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'Option Year 1'!F105+'Option Year 1'!F105*3%</f>
        <v>0</v>
      </c>
      <c r="G105" s="16">
        <f t="shared" si="2"/>
        <v>0</v>
      </c>
    </row>
    <row r="106" spans="1:7" x14ac:dyDescent="0.35">
      <c r="A106" s="12" t="s">
        <v>790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'Option Year 1'!F106+'Option Year 1'!F106*3%</f>
        <v>0</v>
      </c>
      <c r="G106" s="16">
        <f t="shared" si="2"/>
        <v>0</v>
      </c>
    </row>
    <row r="107" spans="1:7" x14ac:dyDescent="0.35">
      <c r="A107" s="12" t="s">
        <v>791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'Option Year 1'!F107+'Option Year 1'!F107*3%</f>
        <v>0</v>
      </c>
      <c r="G107" s="16">
        <f t="shared" si="2"/>
        <v>0</v>
      </c>
    </row>
    <row r="108" spans="1:7" x14ac:dyDescent="0.35">
      <c r="A108" s="12" t="s">
        <v>792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'Option Year 1'!F108+'Option Year 1'!F108*3%</f>
        <v>0</v>
      </c>
      <c r="G108" s="16">
        <f t="shared" si="2"/>
        <v>0</v>
      </c>
    </row>
    <row r="109" spans="1:7" x14ac:dyDescent="0.35">
      <c r="A109" s="12" t="s">
        <v>793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'Option Year 1'!F109+'Option Year 1'!F109*3%</f>
        <v>0</v>
      </c>
      <c r="G109" s="16">
        <f t="shared" si="2"/>
        <v>0</v>
      </c>
    </row>
    <row r="110" spans="1:7" x14ac:dyDescent="0.35">
      <c r="A110" s="12" t="s">
        <v>794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'Option Year 1'!F110+'Option Year 1'!F110*3%</f>
        <v>0</v>
      </c>
      <c r="G110" s="16">
        <f t="shared" si="2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>
        <f>'Option Year 1'!F111+'Option Year 1'!F111*3%</f>
        <v>0</v>
      </c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>
        <f>'Option Year 1'!F112+'Option Year 1'!F112*3%</f>
        <v>0</v>
      </c>
      <c r="G112" s="16"/>
    </row>
    <row r="113" spans="1:7" ht="31" x14ac:dyDescent="0.35">
      <c r="A113" s="12" t="s">
        <v>795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'Option Year 1'!F113+'Option Year 1'!F113*3%</f>
        <v>0</v>
      </c>
      <c r="G113" s="16">
        <f t="shared" si="2"/>
        <v>0</v>
      </c>
    </row>
    <row r="114" spans="1:7" ht="31" x14ac:dyDescent="0.35">
      <c r="A114" s="12" t="s">
        <v>796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'Option Year 1'!F114+'Option Year 1'!F114*3%</f>
        <v>0</v>
      </c>
      <c r="G114" s="16">
        <f t="shared" si="2"/>
        <v>0</v>
      </c>
    </row>
    <row r="115" spans="1:7" ht="46.5" x14ac:dyDescent="0.35">
      <c r="A115" s="12" t="s">
        <v>797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'Option Year 1'!F115+'Option Year 1'!F115*3%</f>
        <v>0</v>
      </c>
      <c r="G115" s="16">
        <f t="shared" si="2"/>
        <v>0</v>
      </c>
    </row>
    <row r="116" spans="1:7" x14ac:dyDescent="0.35">
      <c r="A116" s="12" t="s">
        <v>798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'Option Year 1'!F116+'Option Year 1'!F116*3%</f>
        <v>0</v>
      </c>
      <c r="G116" s="16">
        <f t="shared" si="2"/>
        <v>0</v>
      </c>
    </row>
    <row r="117" spans="1:7" x14ac:dyDescent="0.35">
      <c r="A117" s="12" t="s">
        <v>799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'Option Year 1'!F117+'Option Year 1'!F117*3%</f>
        <v>0</v>
      </c>
      <c r="G117" s="16">
        <f t="shared" si="2"/>
        <v>0</v>
      </c>
    </row>
    <row r="118" spans="1:7" ht="31" x14ac:dyDescent="0.35">
      <c r="A118" s="12"/>
      <c r="B118" s="13" t="s">
        <v>202</v>
      </c>
      <c r="C118" s="14"/>
      <c r="D118" s="14"/>
      <c r="E118" s="14"/>
      <c r="F118" s="15">
        <f>'Option Year 1'!F118+'Option Year 1'!F118*3%</f>
        <v>0</v>
      </c>
      <c r="G118" s="16"/>
    </row>
    <row r="119" spans="1:7" x14ac:dyDescent="0.35">
      <c r="A119" s="12" t="s">
        <v>800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'Option Year 1'!F119+'Option Year 1'!F119*3%</f>
        <v>0</v>
      </c>
      <c r="G119" s="16">
        <f t="shared" si="2"/>
        <v>0</v>
      </c>
    </row>
    <row r="120" spans="1:7" x14ac:dyDescent="0.35">
      <c r="A120" s="12" t="s">
        <v>801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'Option Year 1'!F120+'Option Year 1'!F120*3%</f>
        <v>0</v>
      </c>
      <c r="G120" s="16">
        <f t="shared" si="2"/>
        <v>0</v>
      </c>
    </row>
    <row r="121" spans="1:7" x14ac:dyDescent="0.35">
      <c r="A121" s="12" t="s">
        <v>802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'Option Year 1'!F121+'Option Year 1'!F121*3%</f>
        <v>0</v>
      </c>
      <c r="G121" s="16">
        <f t="shared" si="2"/>
        <v>0</v>
      </c>
    </row>
    <row r="122" spans="1:7" x14ac:dyDescent="0.35">
      <c r="A122" s="12" t="s">
        <v>803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'Option Year 1'!F122+'Option Year 1'!F122*3%</f>
        <v>0</v>
      </c>
      <c r="G122" s="16">
        <f t="shared" si="2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>
        <f>'Option Year 1'!F123+'Option Year 1'!F123*3%</f>
        <v>0</v>
      </c>
      <c r="G123" s="16"/>
    </row>
    <row r="124" spans="1:7" x14ac:dyDescent="0.35">
      <c r="A124" s="12" t="s">
        <v>804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'Option Year 1'!F124+'Option Year 1'!F124*3%</f>
        <v>0</v>
      </c>
      <c r="G124" s="16">
        <f t="shared" si="2"/>
        <v>0</v>
      </c>
    </row>
    <row r="125" spans="1:7" x14ac:dyDescent="0.35">
      <c r="A125" s="12" t="s">
        <v>805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'Option Year 1'!F125+'Option Year 1'!F125*3%</f>
        <v>0</v>
      </c>
      <c r="G125" s="16">
        <f t="shared" ref="G125:G166" si="3">F125*C125</f>
        <v>0</v>
      </c>
    </row>
    <row r="126" spans="1:7" x14ac:dyDescent="0.35">
      <c r="A126" s="12" t="s">
        <v>806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'Option Year 1'!F126+'Option Year 1'!F126*3%</f>
        <v>0</v>
      </c>
      <c r="G126" s="16">
        <f t="shared" si="3"/>
        <v>0</v>
      </c>
    </row>
    <row r="127" spans="1:7" x14ac:dyDescent="0.35">
      <c r="A127" s="12" t="s">
        <v>807</v>
      </c>
      <c r="B127" s="17" t="s">
        <v>136</v>
      </c>
      <c r="C127" s="14">
        <v>25</v>
      </c>
      <c r="D127" s="14" t="s">
        <v>25</v>
      </c>
      <c r="E127" s="14" t="s">
        <v>16</v>
      </c>
      <c r="F127" s="15">
        <f>'Option Year 1'!F127+'Option Year 1'!F127*3%</f>
        <v>0</v>
      </c>
      <c r="G127" s="16">
        <f t="shared" si="3"/>
        <v>0</v>
      </c>
    </row>
    <row r="128" spans="1:7" x14ac:dyDescent="0.35">
      <c r="A128" s="12" t="s">
        <v>808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'Option Year 1'!F128+'Option Year 1'!F128*3%</f>
        <v>0</v>
      </c>
      <c r="G128" s="16">
        <f t="shared" si="3"/>
        <v>0</v>
      </c>
    </row>
    <row r="129" spans="1:7" ht="16.5" customHeight="1" x14ac:dyDescent="0.35">
      <c r="A129" s="12"/>
      <c r="B129" s="13" t="s">
        <v>214</v>
      </c>
      <c r="C129" s="14"/>
      <c r="D129" s="14"/>
      <c r="E129" s="14"/>
      <c r="F129" s="15">
        <f>'Option Year 1'!F129+'Option Year 1'!F129*3%</f>
        <v>0</v>
      </c>
      <c r="G129" s="16"/>
    </row>
    <row r="130" spans="1:7" x14ac:dyDescent="0.35">
      <c r="A130" s="12" t="s">
        <v>809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'Option Year 1'!F130+'Option Year 1'!F130*3%</f>
        <v>0</v>
      </c>
      <c r="G130" s="16">
        <f t="shared" si="3"/>
        <v>0</v>
      </c>
    </row>
    <row r="131" spans="1:7" x14ac:dyDescent="0.35">
      <c r="A131" s="12" t="s">
        <v>810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'Option Year 1'!F131+'Option Year 1'!F131*3%</f>
        <v>0</v>
      </c>
      <c r="G131" s="16">
        <f t="shared" si="3"/>
        <v>0</v>
      </c>
    </row>
    <row r="132" spans="1:7" x14ac:dyDescent="0.35">
      <c r="A132" s="12" t="s">
        <v>811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'Option Year 1'!F132+'Option Year 1'!F132*3%</f>
        <v>0</v>
      </c>
      <c r="G132" s="16">
        <f t="shared" si="3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>
        <f>'Option Year 1'!F133+'Option Year 1'!F133*3%</f>
        <v>0</v>
      </c>
      <c r="G133" s="16"/>
    </row>
    <row r="134" spans="1:7" x14ac:dyDescent="0.35">
      <c r="A134" s="12" t="s">
        <v>812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'Option Year 1'!F134+'Option Year 1'!F134*3%</f>
        <v>0</v>
      </c>
      <c r="G134" s="16">
        <f t="shared" si="3"/>
        <v>0</v>
      </c>
    </row>
    <row r="135" spans="1:7" x14ac:dyDescent="0.35">
      <c r="A135" s="12" t="s">
        <v>813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'Option Year 1'!F135+'Option Year 1'!F135*3%</f>
        <v>0</v>
      </c>
      <c r="G135" s="16">
        <f t="shared" si="3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>
        <f>'Option Year 1'!F136+'Option Year 1'!F136*3%</f>
        <v>0</v>
      </c>
      <c r="G136" s="16"/>
    </row>
    <row r="137" spans="1:7" x14ac:dyDescent="0.35">
      <c r="A137" s="12" t="s">
        <v>814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'Option Year 1'!F137+'Option Year 1'!F137*3%</f>
        <v>0</v>
      </c>
      <c r="G137" s="16">
        <f t="shared" si="3"/>
        <v>0</v>
      </c>
    </row>
    <row r="138" spans="1:7" x14ac:dyDescent="0.35">
      <c r="A138" s="12" t="s">
        <v>815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'Option Year 1'!F138+'Option Year 1'!F138*3%</f>
        <v>0</v>
      </c>
      <c r="G138" s="16">
        <f t="shared" si="3"/>
        <v>0</v>
      </c>
    </row>
    <row r="139" spans="1:7" x14ac:dyDescent="0.35">
      <c r="A139" s="12" t="s">
        <v>816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'Option Year 1'!F139+'Option Year 1'!F139*3%</f>
        <v>0</v>
      </c>
      <c r="G139" s="16">
        <f t="shared" si="3"/>
        <v>0</v>
      </c>
    </row>
    <row r="140" spans="1:7" x14ac:dyDescent="0.35">
      <c r="A140" s="12" t="s">
        <v>817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'Option Year 1'!F140+'Option Year 1'!F140*3%</f>
        <v>0</v>
      </c>
      <c r="G140" s="16">
        <f t="shared" si="3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>
        <f>'Option Year 1'!F141+'Option Year 1'!F141*3%</f>
        <v>0</v>
      </c>
      <c r="G141" s="16"/>
    </row>
    <row r="142" spans="1:7" x14ac:dyDescent="0.35">
      <c r="A142" s="12" t="s">
        <v>818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'Option Year 1'!F142+'Option Year 1'!F142*3%</f>
        <v>0</v>
      </c>
      <c r="G142" s="16">
        <f t="shared" si="3"/>
        <v>0</v>
      </c>
    </row>
    <row r="143" spans="1:7" x14ac:dyDescent="0.35">
      <c r="A143" s="12" t="s">
        <v>819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'Option Year 1'!F143+'Option Year 1'!F143*3%</f>
        <v>0</v>
      </c>
      <c r="G143" s="16">
        <f t="shared" si="3"/>
        <v>0</v>
      </c>
    </row>
    <row r="144" spans="1:7" ht="31" x14ac:dyDescent="0.35">
      <c r="A144" s="12"/>
      <c r="B144" s="13" t="s">
        <v>232</v>
      </c>
      <c r="C144" s="14"/>
      <c r="D144" s="14"/>
      <c r="E144" s="14"/>
      <c r="F144" s="15">
        <f>'Option Year 1'!F144+'Option Year 1'!F144*3%</f>
        <v>0</v>
      </c>
      <c r="G144" s="16"/>
    </row>
    <row r="145" spans="1:7" x14ac:dyDescent="0.35">
      <c r="A145" s="12" t="s">
        <v>820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'Option Year 1'!F145+'Option Year 1'!F145*3%</f>
        <v>0</v>
      </c>
      <c r="G145" s="16">
        <f t="shared" si="3"/>
        <v>0</v>
      </c>
    </row>
    <row r="146" spans="1:7" x14ac:dyDescent="0.35">
      <c r="A146" s="12" t="s">
        <v>821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'Option Year 1'!F146+'Option Year 1'!F146*3%</f>
        <v>0</v>
      </c>
      <c r="G146" s="16">
        <f t="shared" si="3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>
        <f>'Option Year 1'!F147+'Option Year 1'!F147*3%</f>
        <v>0</v>
      </c>
      <c r="G147" s="16"/>
    </row>
    <row r="148" spans="1:7" x14ac:dyDescent="0.35">
      <c r="A148" s="12" t="s">
        <v>822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'Option Year 1'!F148+'Option Year 1'!F148*3%</f>
        <v>0</v>
      </c>
      <c r="G148" s="16">
        <f t="shared" si="3"/>
        <v>0</v>
      </c>
    </row>
    <row r="149" spans="1:7" x14ac:dyDescent="0.35">
      <c r="A149" s="12" t="s">
        <v>823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'Option Year 1'!F149+'Option Year 1'!F149*3%</f>
        <v>0</v>
      </c>
      <c r="G149" s="16">
        <f t="shared" si="3"/>
        <v>0</v>
      </c>
    </row>
    <row r="150" spans="1:7" ht="46.5" x14ac:dyDescent="0.35">
      <c r="A150" s="12"/>
      <c r="B150" s="13" t="s">
        <v>238</v>
      </c>
      <c r="C150" s="14"/>
      <c r="D150" s="14"/>
      <c r="E150" s="14"/>
      <c r="F150" s="15">
        <f>'Option Year 1'!F150+'Option Year 1'!F150*3%</f>
        <v>0</v>
      </c>
      <c r="G150" s="16"/>
    </row>
    <row r="151" spans="1:7" x14ac:dyDescent="0.35">
      <c r="A151" s="12" t="s">
        <v>824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'Option Year 1'!F151+'Option Year 1'!F151*3%</f>
        <v>0</v>
      </c>
      <c r="G151" s="16">
        <f t="shared" si="3"/>
        <v>0</v>
      </c>
    </row>
    <row r="152" spans="1:7" x14ac:dyDescent="0.35">
      <c r="A152" s="12" t="s">
        <v>825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'Option Year 1'!F152+'Option Year 1'!F152*3%</f>
        <v>0</v>
      </c>
      <c r="G152" s="16">
        <f t="shared" si="3"/>
        <v>0</v>
      </c>
    </row>
    <row r="153" spans="1:7" x14ac:dyDescent="0.35">
      <c r="A153" s="12" t="s">
        <v>826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'Option Year 1'!F153+'Option Year 1'!F153*3%</f>
        <v>0</v>
      </c>
      <c r="G153" s="16">
        <f t="shared" si="3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>
        <f>'Option Year 1'!F154+'Option Year 1'!F154*3%</f>
        <v>0</v>
      </c>
      <c r="G154" s="16"/>
    </row>
    <row r="155" spans="1:7" ht="31" x14ac:dyDescent="0.35">
      <c r="A155" s="12" t="s">
        <v>827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'Option Year 1'!F155+'Option Year 1'!F155*3%</f>
        <v>0</v>
      </c>
      <c r="G155" s="16">
        <f t="shared" si="3"/>
        <v>0</v>
      </c>
    </row>
    <row r="156" spans="1:7" ht="31" x14ac:dyDescent="0.35">
      <c r="A156" s="12" t="s">
        <v>828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'Option Year 1'!F156+'Option Year 1'!F156*3%</f>
        <v>0</v>
      </c>
      <c r="G156" s="16">
        <f t="shared" si="3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>
        <f>'Option Year 1'!F157+'Option Year 1'!F157*3%</f>
        <v>0</v>
      </c>
      <c r="G157" s="16"/>
    </row>
    <row r="158" spans="1:7" x14ac:dyDescent="0.35">
      <c r="A158" s="12" t="s">
        <v>829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'Option Year 1'!F158+'Option Year 1'!F158*3%</f>
        <v>0</v>
      </c>
      <c r="G158" s="16">
        <f t="shared" si="3"/>
        <v>0</v>
      </c>
    </row>
    <row r="159" spans="1:7" ht="31" x14ac:dyDescent="0.35">
      <c r="A159" s="12" t="s">
        <v>830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'Option Year 1'!F159+'Option Year 1'!F159*3%</f>
        <v>0</v>
      </c>
      <c r="G159" s="16">
        <f t="shared" si="3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>
        <f>'Option Year 1'!F160+'Option Year 1'!F160*3%</f>
        <v>0</v>
      </c>
      <c r="G160" s="16"/>
    </row>
    <row r="161" spans="1:7" x14ac:dyDescent="0.35">
      <c r="A161" s="12" t="s">
        <v>831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'Option Year 1'!F161+'Option Year 1'!F161*3%</f>
        <v>0</v>
      </c>
      <c r="G161" s="16">
        <f t="shared" si="3"/>
        <v>0</v>
      </c>
    </row>
    <row r="162" spans="1:7" x14ac:dyDescent="0.35">
      <c r="A162" s="12" t="s">
        <v>832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'Option Year 1'!F162+'Option Year 1'!F162*3%</f>
        <v>0</v>
      </c>
      <c r="G162" s="16">
        <f t="shared" si="3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>
        <f>'Option Year 1'!F163+'Option Year 1'!F163*3%</f>
        <v>0</v>
      </c>
      <c r="G163" s="16"/>
    </row>
    <row r="164" spans="1:7" ht="31" x14ac:dyDescent="0.35">
      <c r="A164" s="12" t="s">
        <v>833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'Option Year 1'!F164+'Option Year 1'!F164*3%</f>
        <v>0</v>
      </c>
      <c r="G164" s="16">
        <f t="shared" si="3"/>
        <v>0</v>
      </c>
    </row>
    <row r="165" spans="1:7" x14ac:dyDescent="0.35">
      <c r="A165" s="12" t="s">
        <v>834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'Option Year 1'!F165+'Option Year 1'!F165*3%</f>
        <v>0</v>
      </c>
      <c r="G165" s="16">
        <f t="shared" si="3"/>
        <v>0</v>
      </c>
    </row>
    <row r="166" spans="1:7" ht="31" x14ac:dyDescent="0.35">
      <c r="A166" s="12" t="s">
        <v>835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'Option Year 1'!F166+'Option Year 1'!F166*3%</f>
        <v>0</v>
      </c>
      <c r="G166" s="16">
        <f t="shared" si="3"/>
        <v>0</v>
      </c>
    </row>
    <row r="167" spans="1:7" x14ac:dyDescent="0.35">
      <c r="A167" s="12" t="s">
        <v>836</v>
      </c>
      <c r="B167" s="13" t="s">
        <v>265</v>
      </c>
      <c r="C167" s="14">
        <v>0</v>
      </c>
      <c r="D167" s="14"/>
      <c r="E167" s="14" t="s">
        <v>16</v>
      </c>
      <c r="F167" s="15">
        <f>'Option Year 1'!F167+'Option Year 1'!F167*3%</f>
        <v>0</v>
      </c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>
        <f>'Option Year 1'!F168+'Option Year 1'!F168*3%</f>
        <v>0</v>
      </c>
      <c r="G168" s="16"/>
    </row>
    <row r="169" spans="1:7" ht="39" customHeight="1" x14ac:dyDescent="0.35">
      <c r="A169" s="12" t="s">
        <v>837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'Option Year 1'!F169+'Option Year 1'!F169*3%</f>
        <v>0</v>
      </c>
      <c r="G169" s="16">
        <f t="shared" ref="G169:G183" si="4">F169*C169</f>
        <v>0</v>
      </c>
    </row>
    <row r="170" spans="1:7" ht="46.5" x14ac:dyDescent="0.35">
      <c r="A170" s="12" t="s">
        <v>838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'Option Year 1'!F170+'Option Year 1'!F170*3%</f>
        <v>0</v>
      </c>
      <c r="G170" s="16">
        <f t="shared" si="4"/>
        <v>0</v>
      </c>
    </row>
    <row r="171" spans="1:7" ht="31" x14ac:dyDescent="0.35">
      <c r="A171" s="12" t="s">
        <v>839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'Option Year 1'!F171+'Option Year 1'!F171*3%</f>
        <v>0</v>
      </c>
      <c r="G171" s="16">
        <f t="shared" si="4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>
        <f>'Option Year 1'!F172+'Option Year 1'!F172*3%</f>
        <v>0</v>
      </c>
      <c r="G172" s="16"/>
    </row>
    <row r="173" spans="1:7" ht="31" x14ac:dyDescent="0.35">
      <c r="A173" s="12" t="s">
        <v>840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'Option Year 1'!F173+'Option Year 1'!F173*3%</f>
        <v>0</v>
      </c>
      <c r="G173" s="16">
        <f>F173*C173</f>
        <v>0</v>
      </c>
    </row>
    <row r="174" spans="1:7" ht="31" x14ac:dyDescent="0.35">
      <c r="A174" s="12" t="s">
        <v>841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'Option Year 1'!F174+'Option Year 1'!F174*3%</f>
        <v>0</v>
      </c>
      <c r="G174" s="16">
        <f>F174*C174</f>
        <v>0</v>
      </c>
    </row>
    <row r="175" spans="1:7" x14ac:dyDescent="0.35">
      <c r="A175" s="12" t="s">
        <v>842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'Option Year 1'!F175+'Option Year 1'!F175*3%</f>
        <v>0</v>
      </c>
      <c r="G175" s="16">
        <f>F175*C175</f>
        <v>0</v>
      </c>
    </row>
    <row r="176" spans="1:7" ht="46.5" x14ac:dyDescent="0.35">
      <c r="A176" s="12" t="s">
        <v>843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'Option Year 1'!F176+'Option Year 1'!F176*3%</f>
        <v>0</v>
      </c>
      <c r="G176" s="16">
        <f>F176*C176</f>
        <v>0</v>
      </c>
    </row>
    <row r="177" spans="1:7" ht="31" x14ac:dyDescent="0.35">
      <c r="A177" s="12"/>
      <c r="B177" s="13" t="s">
        <v>282</v>
      </c>
      <c r="C177" s="14"/>
      <c r="D177" s="14"/>
      <c r="E177" s="14"/>
      <c r="F177" s="15">
        <f>'Option Year 1'!F177+'Option Year 1'!F177*3%</f>
        <v>0</v>
      </c>
      <c r="G177" s="16"/>
    </row>
    <row r="178" spans="1:7" ht="62" x14ac:dyDescent="0.35">
      <c r="A178" s="12" t="s">
        <v>844</v>
      </c>
      <c r="B178" s="17" t="s">
        <v>284</v>
      </c>
      <c r="C178" s="14"/>
      <c r="D178" s="14" t="s">
        <v>285</v>
      </c>
      <c r="E178" s="14" t="s">
        <v>16</v>
      </c>
      <c r="F178" s="15">
        <f>'Option Year 1'!F178+'Option Year 1'!F178*3%</f>
        <v>0</v>
      </c>
      <c r="G178" s="16">
        <f t="shared" si="4"/>
        <v>0</v>
      </c>
    </row>
    <row r="179" spans="1:7" ht="46.5" x14ac:dyDescent="0.35">
      <c r="A179" s="12" t="s">
        <v>845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'Option Year 1'!F179+'Option Year 1'!F179*3%</f>
        <v>0</v>
      </c>
      <c r="G179" s="16">
        <f t="shared" si="4"/>
        <v>0</v>
      </c>
    </row>
    <row r="180" spans="1:7" x14ac:dyDescent="0.35">
      <c r="A180" s="12"/>
      <c r="B180" s="13" t="s">
        <v>289</v>
      </c>
      <c r="C180" s="14"/>
      <c r="D180" s="14"/>
      <c r="E180" s="14"/>
      <c r="F180" s="15">
        <f>'Option Year 1'!F180+'Option Year 1'!F180*3%</f>
        <v>0</v>
      </c>
      <c r="G180" s="16"/>
    </row>
    <row r="181" spans="1:7" ht="108.5" x14ac:dyDescent="0.35">
      <c r="A181" s="12" t="s">
        <v>846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'Option Year 1'!F181+'Option Year 1'!F181*3%</f>
        <v>0</v>
      </c>
      <c r="G181" s="16">
        <f t="shared" si="4"/>
        <v>0</v>
      </c>
    </row>
    <row r="182" spans="1:7" ht="31" x14ac:dyDescent="0.35">
      <c r="A182" s="12"/>
      <c r="B182" s="13" t="s">
        <v>292</v>
      </c>
      <c r="C182" s="14"/>
      <c r="D182" s="14"/>
      <c r="E182" s="14"/>
      <c r="F182" s="15">
        <f>'Option Year 1'!F182+'Option Year 1'!F182*3%</f>
        <v>0</v>
      </c>
      <c r="G182" s="16"/>
    </row>
    <row r="183" spans="1:7" x14ac:dyDescent="0.35">
      <c r="A183" s="12" t="s">
        <v>847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'Option Year 1'!F183+'Option Year 1'!F183*3%</f>
        <v>0</v>
      </c>
      <c r="G183" s="16">
        <f t="shared" si="4"/>
        <v>0</v>
      </c>
    </row>
    <row r="184" spans="1:7" ht="31" x14ac:dyDescent="0.35">
      <c r="A184" s="12"/>
      <c r="B184" s="13" t="s">
        <v>295</v>
      </c>
      <c r="C184" s="14"/>
      <c r="D184" s="14"/>
      <c r="E184" s="14"/>
      <c r="F184" s="15">
        <f>'Option Year 1'!F184+'Option Year 1'!F184*3%</f>
        <v>0</v>
      </c>
      <c r="G184" s="16"/>
    </row>
    <row r="185" spans="1:7" ht="62" x14ac:dyDescent="0.35">
      <c r="A185" s="12" t="s">
        <v>848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'Option Year 1'!F185+'Option Year 1'!F185*3%</f>
        <v>0</v>
      </c>
      <c r="G185" s="16">
        <f>F185</f>
        <v>0</v>
      </c>
    </row>
    <row r="186" spans="1:7" ht="62.5" thickBot="1" x14ac:dyDescent="0.4">
      <c r="A186" s="12" t="s">
        <v>849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'Option Year 1'!F186+'Option Year 1'!F186*3%</f>
        <v>0</v>
      </c>
      <c r="G186" s="32">
        <f>F186</f>
        <v>0</v>
      </c>
    </row>
    <row r="187" spans="1:7" ht="31" x14ac:dyDescent="0.35">
      <c r="A187" s="12"/>
      <c r="B187" s="13" t="s">
        <v>850</v>
      </c>
      <c r="C187" s="14"/>
      <c r="D187" s="14"/>
      <c r="E187" s="14"/>
      <c r="F187" s="33"/>
      <c r="G187" s="34">
        <f>SUM(G9:G186)</f>
        <v>0</v>
      </c>
    </row>
    <row r="188" spans="1:7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7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7" ht="46.5" x14ac:dyDescent="0.35">
      <c r="A191" s="12" t="s">
        <v>851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'Option Year 1'!F191+'Option Year 1'!F191*3%</f>
        <v>0</v>
      </c>
      <c r="G191" s="16">
        <f t="shared" ref="G191" si="5">F191*C191</f>
        <v>0</v>
      </c>
    </row>
    <row r="192" spans="1:7" ht="31" x14ac:dyDescent="0.35">
      <c r="A192" s="12"/>
      <c r="B192" s="18" t="s">
        <v>17</v>
      </c>
      <c r="C192" s="14"/>
      <c r="D192" s="14"/>
      <c r="E192" s="14"/>
      <c r="F192" s="15">
        <f>'Option Year 1'!F192+'Option Year 1'!F192*3%</f>
        <v>0</v>
      </c>
      <c r="G192" s="19"/>
    </row>
    <row r="193" spans="1:7" x14ac:dyDescent="0.35">
      <c r="A193" s="12" t="s">
        <v>852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'Option Year 1'!F193+'Option Year 1'!F193*3%</f>
        <v>0</v>
      </c>
      <c r="G193" s="16">
        <f t="shared" ref="G193:G196" si="6">F193*C193</f>
        <v>0</v>
      </c>
    </row>
    <row r="194" spans="1:7" x14ac:dyDescent="0.35">
      <c r="A194" s="12" t="s">
        <v>853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'Option Year 1'!F194+'Option Year 1'!F194*3%</f>
        <v>0</v>
      </c>
      <c r="G194" s="16">
        <f t="shared" si="6"/>
        <v>0</v>
      </c>
    </row>
    <row r="195" spans="1:7" x14ac:dyDescent="0.35">
      <c r="A195" s="12" t="s">
        <v>854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'Option Year 1'!F195+'Option Year 1'!F195*3%</f>
        <v>0</v>
      </c>
      <c r="G195" s="16">
        <f t="shared" si="6"/>
        <v>0</v>
      </c>
    </row>
    <row r="196" spans="1:7" x14ac:dyDescent="0.35">
      <c r="A196" s="12" t="s">
        <v>855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'Option Year 1'!F196+'Option Year 1'!F196*3%</f>
        <v>0</v>
      </c>
      <c r="G196" s="16">
        <f t="shared" si="6"/>
        <v>0</v>
      </c>
    </row>
    <row r="197" spans="1:7" x14ac:dyDescent="0.35">
      <c r="A197" s="12"/>
      <c r="B197" s="13" t="s">
        <v>28</v>
      </c>
      <c r="C197" s="14"/>
      <c r="D197" s="14"/>
      <c r="E197" s="14"/>
      <c r="F197" s="15">
        <f>'Option Year 1'!F197+'Option Year 1'!F197*3%</f>
        <v>0</v>
      </c>
      <c r="G197" s="16"/>
    </row>
    <row r="198" spans="1:7" ht="46.5" x14ac:dyDescent="0.35">
      <c r="A198" s="12"/>
      <c r="B198" s="13" t="s">
        <v>29</v>
      </c>
      <c r="C198" s="14"/>
      <c r="D198" s="14"/>
      <c r="E198" s="14"/>
      <c r="F198" s="15">
        <f>'Option Year 1'!F198+'Option Year 1'!F198*3%</f>
        <v>0</v>
      </c>
      <c r="G198" s="16"/>
    </row>
    <row r="199" spans="1:7" ht="31" x14ac:dyDescent="0.35">
      <c r="A199" s="12" t="s">
        <v>856</v>
      </c>
      <c r="B199" s="17" t="s">
        <v>31</v>
      </c>
      <c r="C199" s="14">
        <v>10</v>
      </c>
      <c r="D199" s="14" t="s">
        <v>20</v>
      </c>
      <c r="E199" s="14" t="s">
        <v>16</v>
      </c>
      <c r="F199" s="15">
        <f>'Option Year 1'!F199+'Option Year 1'!F199*3%</f>
        <v>0</v>
      </c>
      <c r="G199" s="16">
        <f t="shared" ref="G199:G205" si="7">F199*C199</f>
        <v>0</v>
      </c>
    </row>
    <row r="200" spans="1:7" x14ac:dyDescent="0.35">
      <c r="A200" s="12" t="s">
        <v>857</v>
      </c>
      <c r="B200" s="17" t="s">
        <v>33</v>
      </c>
      <c r="C200" s="14">
        <v>10</v>
      </c>
      <c r="D200" s="14" t="s">
        <v>20</v>
      </c>
      <c r="E200" s="14" t="s">
        <v>16</v>
      </c>
      <c r="F200" s="15">
        <f>'Option Year 1'!F200+'Option Year 1'!F200*3%</f>
        <v>0</v>
      </c>
      <c r="G200" s="16">
        <f t="shared" si="7"/>
        <v>0</v>
      </c>
    </row>
    <row r="201" spans="1:7" ht="31" x14ac:dyDescent="0.35">
      <c r="A201" s="12" t="s">
        <v>858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'Option Year 1'!F201+'Option Year 1'!F201*3%</f>
        <v>0</v>
      </c>
      <c r="G201" s="16">
        <f t="shared" si="7"/>
        <v>0</v>
      </c>
    </row>
    <row r="202" spans="1:7" ht="31" x14ac:dyDescent="0.35">
      <c r="A202" s="12" t="s">
        <v>859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'Option Year 1'!F202+'Option Year 1'!F202*3%</f>
        <v>0</v>
      </c>
      <c r="G202" s="16">
        <f t="shared" si="7"/>
        <v>0</v>
      </c>
    </row>
    <row r="203" spans="1:7" ht="31" x14ac:dyDescent="0.35">
      <c r="A203" s="12" t="s">
        <v>860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'Option Year 1'!F203+'Option Year 1'!F203*3%</f>
        <v>0</v>
      </c>
      <c r="G203" s="16">
        <f t="shared" si="7"/>
        <v>0</v>
      </c>
    </row>
    <row r="204" spans="1:7" ht="31" x14ac:dyDescent="0.35">
      <c r="A204" s="12" t="s">
        <v>861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'Option Year 1'!F204+'Option Year 1'!F204*3%</f>
        <v>0</v>
      </c>
      <c r="G204" s="16">
        <f t="shared" si="7"/>
        <v>0</v>
      </c>
    </row>
    <row r="205" spans="1:7" ht="31" x14ac:dyDescent="0.35">
      <c r="A205" s="12" t="s">
        <v>862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'Option Year 1'!F205+'Option Year 1'!F205*3%</f>
        <v>0</v>
      </c>
      <c r="G205" s="16">
        <f t="shared" si="7"/>
        <v>0</v>
      </c>
    </row>
    <row r="206" spans="1:7" x14ac:dyDescent="0.35">
      <c r="A206" s="12"/>
      <c r="B206" s="18" t="s">
        <v>45</v>
      </c>
      <c r="C206" s="14"/>
      <c r="D206" s="14"/>
      <c r="E206" s="14"/>
      <c r="F206" s="15">
        <f>'Option Year 1'!F206+'Option Year 1'!F206*3%</f>
        <v>0</v>
      </c>
      <c r="G206" s="16"/>
    </row>
    <row r="207" spans="1:7" ht="46.5" x14ac:dyDescent="0.35">
      <c r="A207" s="12"/>
      <c r="B207" s="13" t="s">
        <v>1545</v>
      </c>
      <c r="C207" s="14"/>
      <c r="D207" s="14"/>
      <c r="E207" s="14"/>
      <c r="F207" s="15">
        <f>'Option Year 1'!F207+'Option Year 1'!F207*3%</f>
        <v>0</v>
      </c>
      <c r="G207" s="16"/>
    </row>
    <row r="208" spans="1:7" x14ac:dyDescent="0.35">
      <c r="A208" s="12" t="s">
        <v>863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'Option Year 1'!F208+'Option Year 1'!F208*3%</f>
        <v>0</v>
      </c>
      <c r="G208" s="16">
        <f t="shared" ref="G208:G210" si="8">F208*C208</f>
        <v>0</v>
      </c>
    </row>
    <row r="209" spans="1:7" x14ac:dyDescent="0.35">
      <c r="A209" s="12" t="s">
        <v>864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'Option Year 1'!F209+'Option Year 1'!F209*3%</f>
        <v>0</v>
      </c>
      <c r="G209" s="16">
        <f t="shared" si="8"/>
        <v>0</v>
      </c>
    </row>
    <row r="210" spans="1:7" x14ac:dyDescent="0.35">
      <c r="A210" s="12" t="s">
        <v>865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'Option Year 1'!F210+'Option Year 1'!F210*3%</f>
        <v>0</v>
      </c>
      <c r="G210" s="16">
        <f t="shared" si="8"/>
        <v>0</v>
      </c>
    </row>
    <row r="211" spans="1:7" ht="46.5" x14ac:dyDescent="0.35">
      <c r="A211" s="12" t="s">
        <v>866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'Option Year 1'!F211+'Option Year 1'!F211*3%</f>
        <v>0</v>
      </c>
      <c r="G211" s="19">
        <f>F211*C211</f>
        <v>0</v>
      </c>
    </row>
    <row r="212" spans="1:7" x14ac:dyDescent="0.35">
      <c r="A212" s="12" t="s">
        <v>867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'Option Year 1'!F212+'Option Year 1'!F212*3%</f>
        <v>0</v>
      </c>
      <c r="G212" s="16">
        <f t="shared" ref="G212:G215" si="9">F212*C212</f>
        <v>0</v>
      </c>
    </row>
    <row r="213" spans="1:7" ht="31" x14ac:dyDescent="0.35">
      <c r="A213" s="12" t="s">
        <v>868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'Option Year 1'!F213+'Option Year 1'!F213*3%</f>
        <v>0</v>
      </c>
      <c r="G213" s="16">
        <f t="shared" si="9"/>
        <v>0</v>
      </c>
    </row>
    <row r="214" spans="1:7" ht="31" x14ac:dyDescent="0.35">
      <c r="A214" s="12" t="s">
        <v>869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'Option Year 1'!F214+'Option Year 1'!F214*3%</f>
        <v>0</v>
      </c>
      <c r="G214" s="16">
        <f t="shared" si="9"/>
        <v>0</v>
      </c>
    </row>
    <row r="215" spans="1:7" ht="31" x14ac:dyDescent="0.35">
      <c r="A215" s="12" t="s">
        <v>870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'Option Year 1'!F215+'Option Year 1'!F215*3%</f>
        <v>0</v>
      </c>
      <c r="G215" s="16">
        <f t="shared" si="9"/>
        <v>0</v>
      </c>
    </row>
    <row r="216" spans="1:7" ht="46.5" x14ac:dyDescent="0.35">
      <c r="A216" s="12"/>
      <c r="B216" s="13" t="s">
        <v>63</v>
      </c>
      <c r="C216" s="14"/>
      <c r="D216" s="14"/>
      <c r="E216" s="14"/>
      <c r="F216" s="15">
        <f>'Option Year 1'!F216+'Option Year 1'!F216*3%</f>
        <v>0</v>
      </c>
      <c r="G216" s="16"/>
    </row>
    <row r="217" spans="1:7" x14ac:dyDescent="0.35">
      <c r="A217" s="12" t="s">
        <v>871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'Option Year 1'!F217+'Option Year 1'!F217*3%</f>
        <v>0</v>
      </c>
      <c r="G217" s="16">
        <f t="shared" ref="G217:G218" si="10">F217*C217</f>
        <v>0</v>
      </c>
    </row>
    <row r="218" spans="1:7" x14ac:dyDescent="0.35">
      <c r="A218" s="12" t="s">
        <v>872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'Option Year 1'!F218+'Option Year 1'!F218*3%</f>
        <v>0</v>
      </c>
      <c r="G218" s="16">
        <f t="shared" si="10"/>
        <v>0</v>
      </c>
    </row>
    <row r="219" spans="1:7" x14ac:dyDescent="0.35">
      <c r="A219" s="12" t="s">
        <v>873</v>
      </c>
      <c r="B219" s="17" t="s">
        <v>1543</v>
      </c>
      <c r="C219" s="14"/>
      <c r="D219" s="14"/>
      <c r="E219" s="14"/>
      <c r="F219" s="15"/>
      <c r="G219" s="16"/>
    </row>
    <row r="220" spans="1:7" x14ac:dyDescent="0.35">
      <c r="A220" s="12"/>
      <c r="B220" s="13" t="s">
        <v>69</v>
      </c>
      <c r="C220" s="14"/>
      <c r="D220" s="14"/>
      <c r="E220" s="14"/>
      <c r="F220" s="15">
        <f>'Option Year 1'!F220+'Option Year 1'!F220*3%</f>
        <v>0</v>
      </c>
      <c r="G220" s="16"/>
    </row>
    <row r="221" spans="1:7" x14ac:dyDescent="0.35">
      <c r="A221" s="12" t="s">
        <v>874</v>
      </c>
      <c r="B221" s="17" t="s">
        <v>71</v>
      </c>
      <c r="C221" s="14">
        <v>12</v>
      </c>
      <c r="D221" s="14" t="s">
        <v>25</v>
      </c>
      <c r="E221" s="14" t="s">
        <v>16</v>
      </c>
      <c r="F221" s="15">
        <f>'Option Year 1'!F221+'Option Year 1'!F221*3%</f>
        <v>0</v>
      </c>
      <c r="G221" s="16">
        <f t="shared" ref="G221:G222" si="11">F221*C221</f>
        <v>0</v>
      </c>
    </row>
    <row r="222" spans="1:7" x14ac:dyDescent="0.35">
      <c r="A222" s="12" t="s">
        <v>875</v>
      </c>
      <c r="B222" s="17" t="s">
        <v>73</v>
      </c>
      <c r="C222" s="14">
        <v>12</v>
      </c>
      <c r="D222" s="14" t="s">
        <v>25</v>
      </c>
      <c r="E222" s="14" t="s">
        <v>16</v>
      </c>
      <c r="F222" s="15">
        <f>'Option Year 1'!F222+'Option Year 1'!F222*3%</f>
        <v>0</v>
      </c>
      <c r="G222" s="16">
        <f t="shared" si="11"/>
        <v>0</v>
      </c>
    </row>
    <row r="223" spans="1:7" x14ac:dyDescent="0.35">
      <c r="A223" s="12"/>
      <c r="B223" s="13" t="s">
        <v>74</v>
      </c>
      <c r="C223" s="14"/>
      <c r="D223" s="14"/>
      <c r="E223" s="14"/>
      <c r="F223" s="15">
        <f>'Option Year 1'!F223+'Option Year 1'!F223*3%</f>
        <v>0</v>
      </c>
      <c r="G223" s="16"/>
    </row>
    <row r="224" spans="1:7" ht="31" x14ac:dyDescent="0.35">
      <c r="A224" s="12"/>
      <c r="B224" s="13" t="s">
        <v>75</v>
      </c>
      <c r="C224" s="14"/>
      <c r="D224" s="14"/>
      <c r="E224" s="14"/>
      <c r="F224" s="15">
        <f>'Option Year 1'!F224+'Option Year 1'!F224*3%</f>
        <v>0</v>
      </c>
      <c r="G224" s="16"/>
    </row>
    <row r="225" spans="1:7" x14ac:dyDescent="0.35">
      <c r="A225" s="12" t="s">
        <v>876</v>
      </c>
      <c r="B225" s="17" t="s">
        <v>77</v>
      </c>
      <c r="C225" s="14">
        <v>6</v>
      </c>
      <c r="D225" s="14" t="s">
        <v>15</v>
      </c>
      <c r="E225" s="14" t="s">
        <v>16</v>
      </c>
      <c r="F225" s="15">
        <f>'Option Year 1'!F225+'Option Year 1'!F225*3%</f>
        <v>0</v>
      </c>
      <c r="G225" s="16">
        <f t="shared" ref="G225" si="12">F225*C225</f>
        <v>0</v>
      </c>
    </row>
    <row r="226" spans="1:7" ht="31" x14ac:dyDescent="0.35">
      <c r="A226" s="12"/>
      <c r="B226" s="13" t="s">
        <v>78</v>
      </c>
      <c r="C226" s="14"/>
      <c r="D226" s="14"/>
      <c r="E226" s="14"/>
      <c r="F226" s="15">
        <f>'Option Year 1'!F226+'Option Year 1'!F226*3%</f>
        <v>0</v>
      </c>
      <c r="G226" s="16"/>
    </row>
    <row r="227" spans="1:7" x14ac:dyDescent="0.35">
      <c r="A227" s="12" t="s">
        <v>877</v>
      </c>
      <c r="B227" s="17" t="s">
        <v>80</v>
      </c>
      <c r="C227" s="14">
        <v>6</v>
      </c>
      <c r="D227" s="14" t="s">
        <v>15</v>
      </c>
      <c r="E227" s="14" t="s">
        <v>16</v>
      </c>
      <c r="F227" s="15">
        <f>'Option Year 1'!F227+'Option Year 1'!F227*3%</f>
        <v>0</v>
      </c>
      <c r="G227" s="16">
        <f t="shared" ref="G227" si="13">F227*C227</f>
        <v>0</v>
      </c>
    </row>
    <row r="228" spans="1:7" ht="46.5" x14ac:dyDescent="0.35">
      <c r="A228" s="12"/>
      <c r="B228" s="13" t="s">
        <v>81</v>
      </c>
      <c r="C228" s="14"/>
      <c r="D228" s="14"/>
      <c r="E228" s="14"/>
      <c r="F228" s="15">
        <f>'Option Year 1'!F228+'Option Year 1'!F228*3%</f>
        <v>0</v>
      </c>
      <c r="G228" s="16"/>
    </row>
    <row r="229" spans="1:7" x14ac:dyDescent="0.35">
      <c r="A229" s="12" t="s">
        <v>878</v>
      </c>
      <c r="B229" s="17" t="s">
        <v>83</v>
      </c>
      <c r="C229" s="14">
        <v>6</v>
      </c>
      <c r="D229" s="14" t="s">
        <v>15</v>
      </c>
      <c r="E229" s="14" t="s">
        <v>16</v>
      </c>
      <c r="F229" s="15">
        <f>'Option Year 1'!F229+'Option Year 1'!F229*3%</f>
        <v>0</v>
      </c>
      <c r="G229" s="16">
        <f t="shared" ref="G229:G235" si="14">F229*C229</f>
        <v>0</v>
      </c>
    </row>
    <row r="230" spans="1:7" x14ac:dyDescent="0.35">
      <c r="A230" s="12" t="s">
        <v>879</v>
      </c>
      <c r="B230" s="17" t="s">
        <v>85</v>
      </c>
      <c r="C230" s="14">
        <v>6</v>
      </c>
      <c r="D230" s="14" t="s">
        <v>15</v>
      </c>
      <c r="E230" s="14" t="s">
        <v>16</v>
      </c>
      <c r="F230" s="15">
        <f>'Option Year 1'!F230+'Option Year 1'!F230*3%</f>
        <v>0</v>
      </c>
      <c r="G230" s="16">
        <f t="shared" si="14"/>
        <v>0</v>
      </c>
    </row>
    <row r="231" spans="1:7" ht="31" x14ac:dyDescent="0.35">
      <c r="A231" s="12" t="s">
        <v>880</v>
      </c>
      <c r="B231" s="17" t="s">
        <v>87</v>
      </c>
      <c r="C231" s="14">
        <v>50</v>
      </c>
      <c r="D231" s="14" t="s">
        <v>25</v>
      </c>
      <c r="E231" s="14" t="s">
        <v>16</v>
      </c>
      <c r="F231" s="15">
        <f>'Option Year 1'!F231+'Option Year 1'!F231*3%</f>
        <v>0</v>
      </c>
      <c r="G231" s="16">
        <f t="shared" si="14"/>
        <v>0</v>
      </c>
    </row>
    <row r="232" spans="1:7" ht="31" x14ac:dyDescent="0.35">
      <c r="A232" s="12" t="s">
        <v>881</v>
      </c>
      <c r="B232" s="17" t="s">
        <v>89</v>
      </c>
      <c r="C232" s="14">
        <v>12</v>
      </c>
      <c r="D232" s="14" t="s">
        <v>25</v>
      </c>
      <c r="E232" s="14" t="s">
        <v>16</v>
      </c>
      <c r="F232" s="15">
        <f>'Option Year 1'!F232+'Option Year 1'!F232*3%</f>
        <v>0</v>
      </c>
      <c r="G232" s="16">
        <f t="shared" si="14"/>
        <v>0</v>
      </c>
    </row>
    <row r="233" spans="1:7" ht="46.5" x14ac:dyDescent="0.35">
      <c r="A233" s="12" t="s">
        <v>882</v>
      </c>
      <c r="B233" s="17" t="s">
        <v>91</v>
      </c>
      <c r="C233" s="14">
        <v>12</v>
      </c>
      <c r="D233" s="14" t="s">
        <v>25</v>
      </c>
      <c r="E233" s="14" t="s">
        <v>16</v>
      </c>
      <c r="F233" s="15">
        <f>'Option Year 1'!F233+'Option Year 1'!F233*3%</f>
        <v>0</v>
      </c>
      <c r="G233" s="16">
        <f t="shared" si="14"/>
        <v>0</v>
      </c>
    </row>
    <row r="234" spans="1:7" x14ac:dyDescent="0.35">
      <c r="A234" s="12" t="s">
        <v>883</v>
      </c>
      <c r="B234" s="17" t="s">
        <v>93</v>
      </c>
      <c r="C234" s="14">
        <v>10</v>
      </c>
      <c r="D234" s="14" t="s">
        <v>15</v>
      </c>
      <c r="E234" s="14" t="s">
        <v>16</v>
      </c>
      <c r="F234" s="15">
        <f>'Option Year 1'!F234+'Option Year 1'!F234*3%</f>
        <v>0</v>
      </c>
      <c r="G234" s="16">
        <f t="shared" si="14"/>
        <v>0</v>
      </c>
    </row>
    <row r="235" spans="1:7" x14ac:dyDescent="0.35">
      <c r="A235" s="12" t="s">
        <v>884</v>
      </c>
      <c r="B235" s="17" t="s">
        <v>95</v>
      </c>
      <c r="C235" s="14">
        <v>100</v>
      </c>
      <c r="D235" s="14" t="s">
        <v>25</v>
      </c>
      <c r="E235" s="14" t="s">
        <v>16</v>
      </c>
      <c r="F235" s="15">
        <f>'Option Year 1'!F235+'Option Year 1'!F235*3%</f>
        <v>0</v>
      </c>
      <c r="G235" s="16">
        <f t="shared" si="14"/>
        <v>0</v>
      </c>
    </row>
    <row r="236" spans="1:7" x14ac:dyDescent="0.35">
      <c r="A236" s="12"/>
      <c r="B236" s="13" t="s">
        <v>96</v>
      </c>
      <c r="C236" s="14"/>
      <c r="D236" s="14"/>
      <c r="E236" s="14"/>
      <c r="F236" s="15">
        <f>'Option Year 1'!F236+'Option Year 1'!F236*3%</f>
        <v>0</v>
      </c>
      <c r="G236" s="16"/>
    </row>
    <row r="237" spans="1:7" x14ac:dyDescent="0.35">
      <c r="A237" s="12" t="s">
        <v>885</v>
      </c>
      <c r="B237" s="17" t="s">
        <v>98</v>
      </c>
      <c r="C237" s="14">
        <v>50</v>
      </c>
      <c r="D237" s="14" t="s">
        <v>25</v>
      </c>
      <c r="E237" s="14" t="s">
        <v>16</v>
      </c>
      <c r="F237" s="15">
        <f>'Option Year 1'!F237+'Option Year 1'!F237*3%</f>
        <v>0</v>
      </c>
      <c r="G237" s="16">
        <f t="shared" ref="G237" si="15">F237*C237</f>
        <v>0</v>
      </c>
    </row>
    <row r="238" spans="1:7" ht="46.5" x14ac:dyDescent="0.35">
      <c r="A238" s="12"/>
      <c r="B238" s="13" t="s">
        <v>99</v>
      </c>
      <c r="C238" s="14"/>
      <c r="D238" s="14"/>
      <c r="E238" s="14"/>
      <c r="F238" s="15">
        <f>'Option Year 1'!F238+'Option Year 1'!F238*3%</f>
        <v>0</v>
      </c>
      <c r="G238" s="16"/>
    </row>
    <row r="239" spans="1:7" x14ac:dyDescent="0.35">
      <c r="A239" s="12" t="s">
        <v>886</v>
      </c>
      <c r="B239" s="17" t="s">
        <v>101</v>
      </c>
      <c r="C239" s="14">
        <v>10</v>
      </c>
      <c r="D239" s="14" t="s">
        <v>15</v>
      </c>
      <c r="E239" s="14" t="s">
        <v>16</v>
      </c>
      <c r="F239" s="15">
        <f>'Option Year 1'!F239+'Option Year 1'!F239*3%</f>
        <v>0</v>
      </c>
      <c r="G239" s="16">
        <f t="shared" ref="G239:G241" si="16">F239*C239</f>
        <v>0</v>
      </c>
    </row>
    <row r="240" spans="1:7" x14ac:dyDescent="0.35">
      <c r="A240" s="12" t="s">
        <v>887</v>
      </c>
      <c r="B240" s="17" t="s">
        <v>103</v>
      </c>
      <c r="C240" s="14">
        <v>10</v>
      </c>
      <c r="D240" s="14" t="s">
        <v>15</v>
      </c>
      <c r="E240" s="14" t="s">
        <v>16</v>
      </c>
      <c r="F240" s="15">
        <f>'Option Year 1'!F240+'Option Year 1'!F240*3%</f>
        <v>0</v>
      </c>
      <c r="G240" s="16">
        <f t="shared" si="16"/>
        <v>0</v>
      </c>
    </row>
    <row r="241" spans="1:7" x14ac:dyDescent="0.35">
      <c r="A241" s="12" t="s">
        <v>888</v>
      </c>
      <c r="B241" s="17" t="s">
        <v>105</v>
      </c>
      <c r="C241" s="14">
        <v>10</v>
      </c>
      <c r="D241" s="14" t="s">
        <v>15</v>
      </c>
      <c r="E241" s="14" t="s">
        <v>16</v>
      </c>
      <c r="F241" s="15">
        <f>'Option Year 1'!F241+'Option Year 1'!F241*3%</f>
        <v>0</v>
      </c>
      <c r="G241" s="16">
        <f t="shared" si="16"/>
        <v>0</v>
      </c>
    </row>
    <row r="242" spans="1:7" ht="31" x14ac:dyDescent="0.35">
      <c r="A242" s="12"/>
      <c r="B242" s="13" t="s">
        <v>106</v>
      </c>
      <c r="C242" s="14"/>
      <c r="D242" s="14"/>
      <c r="E242" s="14"/>
      <c r="F242" s="15">
        <f>'Option Year 1'!F242+'Option Year 1'!F242*3%</f>
        <v>0</v>
      </c>
      <c r="G242" s="16"/>
    </row>
    <row r="243" spans="1:7" x14ac:dyDescent="0.35">
      <c r="A243" s="12" t="s">
        <v>889</v>
      </c>
      <c r="B243" s="17" t="s">
        <v>101</v>
      </c>
      <c r="C243" s="14">
        <v>10</v>
      </c>
      <c r="D243" s="14" t="s">
        <v>15</v>
      </c>
      <c r="E243" s="14" t="s">
        <v>16</v>
      </c>
      <c r="F243" s="15">
        <f>'Option Year 1'!F243+'Option Year 1'!F243*3%</f>
        <v>0</v>
      </c>
      <c r="G243" s="16">
        <f t="shared" ref="G243:G249" si="17">F243*C243</f>
        <v>0</v>
      </c>
    </row>
    <row r="244" spans="1:7" x14ac:dyDescent="0.35">
      <c r="A244" s="12" t="s">
        <v>890</v>
      </c>
      <c r="B244" s="17" t="s">
        <v>103</v>
      </c>
      <c r="C244" s="14">
        <v>10</v>
      </c>
      <c r="D244" s="14" t="s">
        <v>15</v>
      </c>
      <c r="E244" s="14" t="s">
        <v>16</v>
      </c>
      <c r="F244" s="15">
        <f>'Option Year 1'!F244+'Option Year 1'!F244*3%</f>
        <v>0</v>
      </c>
      <c r="G244" s="16">
        <f t="shared" si="17"/>
        <v>0</v>
      </c>
    </row>
    <row r="245" spans="1:7" x14ac:dyDescent="0.35">
      <c r="A245" s="12" t="s">
        <v>891</v>
      </c>
      <c r="B245" s="17" t="s">
        <v>105</v>
      </c>
      <c r="C245" s="14">
        <v>10</v>
      </c>
      <c r="D245" s="14" t="s">
        <v>15</v>
      </c>
      <c r="E245" s="14" t="s">
        <v>16</v>
      </c>
      <c r="F245" s="15">
        <f>'Option Year 1'!F245+'Option Year 1'!F245*3%</f>
        <v>0</v>
      </c>
      <c r="G245" s="16">
        <f t="shared" si="17"/>
        <v>0</v>
      </c>
    </row>
    <row r="246" spans="1:7" x14ac:dyDescent="0.35">
      <c r="A246" s="12" t="s">
        <v>892</v>
      </c>
      <c r="B246" s="17" t="s">
        <v>111</v>
      </c>
      <c r="C246" s="14">
        <v>50</v>
      </c>
      <c r="D246" s="14" t="s">
        <v>25</v>
      </c>
      <c r="E246" s="14" t="s">
        <v>16</v>
      </c>
      <c r="F246" s="15">
        <f>'Option Year 1'!F246+'Option Year 1'!F246*3%</f>
        <v>0</v>
      </c>
      <c r="G246" s="16">
        <f t="shared" si="17"/>
        <v>0</v>
      </c>
    </row>
    <row r="247" spans="1:7" x14ac:dyDescent="0.35">
      <c r="A247" s="12" t="s">
        <v>893</v>
      </c>
      <c r="B247" s="17" t="s">
        <v>113</v>
      </c>
      <c r="C247" s="14">
        <v>5</v>
      </c>
      <c r="D247" s="14" t="s">
        <v>114</v>
      </c>
      <c r="E247" s="14" t="s">
        <v>16</v>
      </c>
      <c r="F247" s="15">
        <f>'Option Year 1'!F247+'Option Year 1'!F247*3%</f>
        <v>0</v>
      </c>
      <c r="G247" s="16">
        <f t="shared" si="17"/>
        <v>0</v>
      </c>
    </row>
    <row r="248" spans="1:7" x14ac:dyDescent="0.35">
      <c r="A248" s="12" t="s">
        <v>894</v>
      </c>
      <c r="B248" s="17" t="s">
        <v>116</v>
      </c>
      <c r="C248" s="14">
        <v>12</v>
      </c>
      <c r="D248" s="14" t="s">
        <v>40</v>
      </c>
      <c r="E248" s="14" t="s">
        <v>16</v>
      </c>
      <c r="F248" s="15">
        <f>'Option Year 1'!F248+'Option Year 1'!F248*3%</f>
        <v>0</v>
      </c>
      <c r="G248" s="16">
        <f t="shared" si="17"/>
        <v>0</v>
      </c>
    </row>
    <row r="249" spans="1:7" x14ac:dyDescent="0.35">
      <c r="A249" s="12" t="s">
        <v>895</v>
      </c>
      <c r="B249" s="17" t="s">
        <v>118</v>
      </c>
      <c r="C249" s="14">
        <v>5</v>
      </c>
      <c r="D249" s="14" t="s">
        <v>114</v>
      </c>
      <c r="E249" s="14" t="s">
        <v>16</v>
      </c>
      <c r="F249" s="15">
        <f>'Option Year 1'!F249+'Option Year 1'!F249*3%</f>
        <v>0</v>
      </c>
      <c r="G249" s="16">
        <f t="shared" si="17"/>
        <v>0</v>
      </c>
    </row>
    <row r="250" spans="1:7" ht="31" x14ac:dyDescent="0.35">
      <c r="A250" s="12"/>
      <c r="B250" s="13" t="s">
        <v>119</v>
      </c>
      <c r="C250" s="14"/>
      <c r="D250" s="14"/>
      <c r="E250" s="14"/>
      <c r="F250" s="15">
        <f>'Option Year 1'!F250+'Option Year 1'!F250*3%</f>
        <v>0</v>
      </c>
      <c r="G250" s="16"/>
    </row>
    <row r="251" spans="1:7" x14ac:dyDescent="0.35">
      <c r="A251" s="12" t="s">
        <v>896</v>
      </c>
      <c r="B251" s="17" t="s">
        <v>121</v>
      </c>
      <c r="C251" s="14">
        <v>5</v>
      </c>
      <c r="D251" s="14" t="s">
        <v>15</v>
      </c>
      <c r="E251" s="14" t="s">
        <v>16</v>
      </c>
      <c r="F251" s="15">
        <f>'Option Year 1'!F251+'Option Year 1'!F251*3%</f>
        <v>0</v>
      </c>
      <c r="G251" s="16">
        <f t="shared" ref="G251:G254" si="18">F251*C251</f>
        <v>0</v>
      </c>
    </row>
    <row r="252" spans="1:7" x14ac:dyDescent="0.35">
      <c r="A252" s="12" t="s">
        <v>897</v>
      </c>
      <c r="B252" s="17" t="s">
        <v>123</v>
      </c>
      <c r="C252" s="14">
        <v>5</v>
      </c>
      <c r="D252" s="14" t="s">
        <v>15</v>
      </c>
      <c r="E252" s="14" t="s">
        <v>16</v>
      </c>
      <c r="F252" s="15">
        <f>'Option Year 1'!F252+'Option Year 1'!F252*3%</f>
        <v>0</v>
      </c>
      <c r="G252" s="16">
        <f t="shared" si="18"/>
        <v>0</v>
      </c>
    </row>
    <row r="253" spans="1:7" x14ac:dyDescent="0.35">
      <c r="A253" s="12" t="s">
        <v>898</v>
      </c>
      <c r="B253" s="17" t="s">
        <v>125</v>
      </c>
      <c r="C253" s="14">
        <v>25</v>
      </c>
      <c r="D253" s="14" t="s">
        <v>25</v>
      </c>
      <c r="E253" s="14" t="s">
        <v>16</v>
      </c>
      <c r="F253" s="15">
        <f>'Option Year 1'!F253+'Option Year 1'!F253*3%</f>
        <v>0</v>
      </c>
      <c r="G253" s="16">
        <f t="shared" si="18"/>
        <v>0</v>
      </c>
    </row>
    <row r="254" spans="1:7" x14ac:dyDescent="0.35">
      <c r="A254" s="12" t="s">
        <v>899</v>
      </c>
      <c r="B254" s="17" t="s">
        <v>127</v>
      </c>
      <c r="C254" s="14">
        <v>5</v>
      </c>
      <c r="D254" s="14" t="s">
        <v>114</v>
      </c>
      <c r="E254" s="14" t="s">
        <v>16</v>
      </c>
      <c r="F254" s="15">
        <f>'Option Year 1'!F254+'Option Year 1'!F254*3%</f>
        <v>0</v>
      </c>
      <c r="G254" s="16">
        <f t="shared" si="18"/>
        <v>0</v>
      </c>
    </row>
    <row r="255" spans="1:7" ht="31" x14ac:dyDescent="0.35">
      <c r="A255" s="12"/>
      <c r="B255" s="13" t="s">
        <v>128</v>
      </c>
      <c r="C255" s="14"/>
      <c r="D255" s="14"/>
      <c r="E255" s="14"/>
      <c r="F255" s="15">
        <f>'Option Year 1'!F255+'Option Year 1'!F255*3%</f>
        <v>0</v>
      </c>
      <c r="G255" s="16"/>
    </row>
    <row r="256" spans="1:7" x14ac:dyDescent="0.35">
      <c r="A256" s="12" t="s">
        <v>900</v>
      </c>
      <c r="B256" s="17" t="s">
        <v>130</v>
      </c>
      <c r="C256" s="14">
        <v>25</v>
      </c>
      <c r="D256" s="14" t="s">
        <v>25</v>
      </c>
      <c r="E256" s="14" t="s">
        <v>16</v>
      </c>
      <c r="F256" s="15">
        <f>'Option Year 1'!F256+'Option Year 1'!F256*3%</f>
        <v>0</v>
      </c>
      <c r="G256" s="16">
        <f t="shared" ref="G256:G259" si="19">F256*C256</f>
        <v>0</v>
      </c>
    </row>
    <row r="257" spans="1:7" x14ac:dyDescent="0.35">
      <c r="A257" s="12" t="s">
        <v>901</v>
      </c>
      <c r="B257" s="17" t="s">
        <v>132</v>
      </c>
      <c r="C257" s="14">
        <v>25</v>
      </c>
      <c r="D257" s="14" t="s">
        <v>25</v>
      </c>
      <c r="E257" s="14" t="s">
        <v>16</v>
      </c>
      <c r="F257" s="15">
        <f>'Option Year 1'!F257+'Option Year 1'!F257*3%</f>
        <v>0</v>
      </c>
      <c r="G257" s="16">
        <f t="shared" si="19"/>
        <v>0</v>
      </c>
    </row>
    <row r="258" spans="1:7" x14ac:dyDescent="0.35">
      <c r="A258" s="12" t="s">
        <v>902</v>
      </c>
      <c r="B258" s="17" t="s">
        <v>134</v>
      </c>
      <c r="C258" s="14">
        <v>25</v>
      </c>
      <c r="D258" s="14" t="s">
        <v>25</v>
      </c>
      <c r="E258" s="14" t="s">
        <v>16</v>
      </c>
      <c r="F258" s="15">
        <f>'Option Year 1'!F258+'Option Year 1'!F258*3%</f>
        <v>0</v>
      </c>
      <c r="G258" s="16">
        <f t="shared" si="19"/>
        <v>0</v>
      </c>
    </row>
    <row r="259" spans="1:7" x14ac:dyDescent="0.35">
      <c r="A259" s="12" t="s">
        <v>903</v>
      </c>
      <c r="B259" s="17" t="s">
        <v>136</v>
      </c>
      <c r="C259" s="14">
        <v>25</v>
      </c>
      <c r="D259" s="14" t="s">
        <v>25</v>
      </c>
      <c r="E259" s="14" t="s">
        <v>16</v>
      </c>
      <c r="F259" s="15">
        <f>'Option Year 1'!F259+'Option Year 1'!F259*3%</f>
        <v>0</v>
      </c>
      <c r="G259" s="16">
        <f t="shared" si="19"/>
        <v>0</v>
      </c>
    </row>
    <row r="260" spans="1:7" ht="31" x14ac:dyDescent="0.35">
      <c r="A260" s="12"/>
      <c r="B260" s="13" t="s">
        <v>137</v>
      </c>
      <c r="C260" s="14"/>
      <c r="D260" s="14"/>
      <c r="E260" s="14"/>
      <c r="F260" s="15">
        <f>'Option Year 1'!F260+'Option Year 1'!F260*3%</f>
        <v>0</v>
      </c>
      <c r="G260" s="16"/>
    </row>
    <row r="261" spans="1:7" x14ac:dyDescent="0.35">
      <c r="A261" s="12" t="s">
        <v>904</v>
      </c>
      <c r="B261" s="17" t="s">
        <v>130</v>
      </c>
      <c r="C261" s="14">
        <v>25</v>
      </c>
      <c r="D261" s="14" t="s">
        <v>25</v>
      </c>
      <c r="E261" s="14" t="s">
        <v>16</v>
      </c>
      <c r="F261" s="15">
        <f>'Option Year 1'!F261+'Option Year 1'!F261*3%</f>
        <v>0</v>
      </c>
      <c r="G261" s="16">
        <f t="shared" ref="G261:G264" si="20">F261*C261</f>
        <v>0</v>
      </c>
    </row>
    <row r="262" spans="1:7" x14ac:dyDescent="0.35">
      <c r="A262" s="12" t="s">
        <v>905</v>
      </c>
      <c r="B262" s="17" t="s">
        <v>132</v>
      </c>
      <c r="C262" s="14">
        <v>25</v>
      </c>
      <c r="D262" s="14" t="s">
        <v>25</v>
      </c>
      <c r="E262" s="14" t="s">
        <v>16</v>
      </c>
      <c r="F262" s="15">
        <f>'Option Year 1'!F262+'Option Year 1'!F262*3%</f>
        <v>0</v>
      </c>
      <c r="G262" s="16">
        <f t="shared" si="20"/>
        <v>0</v>
      </c>
    </row>
    <row r="263" spans="1:7" x14ac:dyDescent="0.35">
      <c r="A263" s="12" t="s">
        <v>906</v>
      </c>
      <c r="B263" s="17" t="s">
        <v>134</v>
      </c>
      <c r="C263" s="14">
        <v>25</v>
      </c>
      <c r="D263" s="14" t="s">
        <v>25</v>
      </c>
      <c r="E263" s="14" t="s">
        <v>16</v>
      </c>
      <c r="F263" s="15">
        <f>'Option Year 1'!F263+'Option Year 1'!F263*3%</f>
        <v>0</v>
      </c>
      <c r="G263" s="16">
        <f t="shared" si="20"/>
        <v>0</v>
      </c>
    </row>
    <row r="264" spans="1:7" x14ac:dyDescent="0.35">
      <c r="A264" s="12" t="s">
        <v>907</v>
      </c>
      <c r="B264" s="17" t="s">
        <v>136</v>
      </c>
      <c r="C264" s="14">
        <v>25</v>
      </c>
      <c r="D264" s="14" t="s">
        <v>25</v>
      </c>
      <c r="E264" s="14" t="s">
        <v>16</v>
      </c>
      <c r="F264" s="15">
        <f>'Option Year 1'!F264+'Option Year 1'!F264*3%</f>
        <v>0</v>
      </c>
      <c r="G264" s="16">
        <f t="shared" si="20"/>
        <v>0</v>
      </c>
    </row>
    <row r="265" spans="1:7" ht="31" x14ac:dyDescent="0.35">
      <c r="A265" s="12"/>
      <c r="B265" s="22" t="s">
        <v>142</v>
      </c>
      <c r="C265" s="14"/>
      <c r="D265" s="14"/>
      <c r="E265" s="14"/>
      <c r="F265" s="15">
        <f>'Option Year 1'!F265+'Option Year 1'!F265*3%</f>
        <v>0</v>
      </c>
      <c r="G265" s="16"/>
    </row>
    <row r="266" spans="1:7" x14ac:dyDescent="0.35">
      <c r="A266" s="12" t="s">
        <v>908</v>
      </c>
      <c r="B266" s="17" t="s">
        <v>130</v>
      </c>
      <c r="C266" s="14">
        <v>6</v>
      </c>
      <c r="D266" s="14" t="s">
        <v>40</v>
      </c>
      <c r="E266" s="14" t="s">
        <v>16</v>
      </c>
      <c r="F266" s="15">
        <f>'Option Year 1'!F266+'Option Year 1'!F266*3%</f>
        <v>0</v>
      </c>
      <c r="G266" s="16">
        <f t="shared" ref="G266:G269" si="21">F266*C266</f>
        <v>0</v>
      </c>
    </row>
    <row r="267" spans="1:7" x14ac:dyDescent="0.35">
      <c r="A267" s="12" t="s">
        <v>909</v>
      </c>
      <c r="B267" s="17" t="s">
        <v>132</v>
      </c>
      <c r="C267" s="14">
        <v>6</v>
      </c>
      <c r="D267" s="14" t="s">
        <v>40</v>
      </c>
      <c r="E267" s="14" t="s">
        <v>16</v>
      </c>
      <c r="F267" s="15">
        <f>'Option Year 1'!F267+'Option Year 1'!F267*3%</f>
        <v>0</v>
      </c>
      <c r="G267" s="16">
        <f t="shared" si="21"/>
        <v>0</v>
      </c>
    </row>
    <row r="268" spans="1:7" x14ac:dyDescent="0.35">
      <c r="A268" s="12" t="s">
        <v>910</v>
      </c>
      <c r="B268" s="17" t="s">
        <v>134</v>
      </c>
      <c r="C268" s="14">
        <v>6</v>
      </c>
      <c r="D268" s="14" t="s">
        <v>40</v>
      </c>
      <c r="E268" s="14" t="s">
        <v>16</v>
      </c>
      <c r="F268" s="15">
        <f>'Option Year 1'!F268+'Option Year 1'!F268*3%</f>
        <v>0</v>
      </c>
      <c r="G268" s="16">
        <f t="shared" si="21"/>
        <v>0</v>
      </c>
    </row>
    <row r="269" spans="1:7" x14ac:dyDescent="0.35">
      <c r="A269" s="12" t="s">
        <v>911</v>
      </c>
      <c r="B269" s="17" t="s">
        <v>136</v>
      </c>
      <c r="C269" s="14">
        <v>6</v>
      </c>
      <c r="D269" s="14" t="s">
        <v>40</v>
      </c>
      <c r="E269" s="14" t="s">
        <v>16</v>
      </c>
      <c r="F269" s="15">
        <f>'Option Year 1'!F269+'Option Year 1'!F269*3%</f>
        <v>0</v>
      </c>
      <c r="G269" s="16">
        <f t="shared" si="21"/>
        <v>0</v>
      </c>
    </row>
    <row r="270" spans="1:7" x14ac:dyDescent="0.35">
      <c r="A270" s="12"/>
      <c r="B270" s="13" t="s">
        <v>147</v>
      </c>
      <c r="C270" s="14"/>
      <c r="D270" s="14"/>
      <c r="E270" s="14"/>
      <c r="F270" s="15">
        <f>'Option Year 1'!F270+'Option Year 1'!F270*3%</f>
        <v>0</v>
      </c>
      <c r="G270" s="16"/>
    </row>
    <row r="271" spans="1:7" x14ac:dyDescent="0.35">
      <c r="A271" s="12"/>
      <c r="B271" s="13" t="s">
        <v>148</v>
      </c>
      <c r="C271" s="14"/>
      <c r="D271" s="14"/>
      <c r="E271" s="14"/>
      <c r="F271" s="15">
        <f>'Option Year 1'!F271+'Option Year 1'!F271*3%</f>
        <v>0</v>
      </c>
      <c r="G271" s="16"/>
    </row>
    <row r="272" spans="1:7" x14ac:dyDescent="0.35">
      <c r="A272" s="12" t="s">
        <v>912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>
        <f>'Option Year 1'!F272+'Option Year 1'!F272*3%</f>
        <v>0</v>
      </c>
      <c r="G272" s="16">
        <f t="shared" ref="G272:G282" si="22">F272*C272</f>
        <v>0</v>
      </c>
    </row>
    <row r="273" spans="1:7" x14ac:dyDescent="0.35">
      <c r="A273" s="12" t="s">
        <v>913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>
        <f>'Option Year 1'!F273+'Option Year 1'!F273*3%</f>
        <v>0</v>
      </c>
      <c r="G273" s="16">
        <f t="shared" si="22"/>
        <v>0</v>
      </c>
    </row>
    <row r="274" spans="1:7" x14ac:dyDescent="0.35">
      <c r="A274" s="12" t="s">
        <v>914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>
        <f>'Option Year 1'!F274+'Option Year 1'!F274*3%</f>
        <v>0</v>
      </c>
      <c r="G274" s="16">
        <f t="shared" si="22"/>
        <v>0</v>
      </c>
    </row>
    <row r="275" spans="1:7" x14ac:dyDescent="0.35">
      <c r="A275" s="12" t="s">
        <v>915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>
        <f>'Option Year 1'!F275+'Option Year 1'!F275*3%</f>
        <v>0</v>
      </c>
      <c r="G275" s="16">
        <f t="shared" si="22"/>
        <v>0</v>
      </c>
    </row>
    <row r="276" spans="1:7" x14ac:dyDescent="0.35">
      <c r="A276" s="12" t="s">
        <v>916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>
        <f>'Option Year 1'!F276+'Option Year 1'!F276*3%</f>
        <v>0</v>
      </c>
      <c r="G276" s="16">
        <f t="shared" si="22"/>
        <v>0</v>
      </c>
    </row>
    <row r="277" spans="1:7" x14ac:dyDescent="0.35">
      <c r="A277" s="12" t="s">
        <v>917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>
        <f>'Option Year 1'!F277+'Option Year 1'!F277*3%</f>
        <v>0</v>
      </c>
      <c r="G277" s="16">
        <f t="shared" si="22"/>
        <v>0</v>
      </c>
    </row>
    <row r="278" spans="1:7" x14ac:dyDescent="0.35">
      <c r="A278" s="12" t="s">
        <v>918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>
        <f>'Option Year 1'!F278+'Option Year 1'!F278*3%</f>
        <v>0</v>
      </c>
      <c r="G278" s="16">
        <f t="shared" si="22"/>
        <v>0</v>
      </c>
    </row>
    <row r="279" spans="1:7" x14ac:dyDescent="0.35">
      <c r="A279" s="12" t="s">
        <v>919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>
        <f>'Option Year 1'!F279+'Option Year 1'!F279*3%</f>
        <v>0</v>
      </c>
      <c r="G279" s="16">
        <f t="shared" si="22"/>
        <v>0</v>
      </c>
    </row>
    <row r="280" spans="1:7" x14ac:dyDescent="0.35">
      <c r="A280" s="12" t="s">
        <v>920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>
        <f>'Option Year 1'!F280+'Option Year 1'!F280*3%</f>
        <v>0</v>
      </c>
      <c r="G280" s="16">
        <f t="shared" si="22"/>
        <v>0</v>
      </c>
    </row>
    <row r="281" spans="1:7" x14ac:dyDescent="0.35">
      <c r="A281" s="12" t="s">
        <v>921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>
        <f>'Option Year 1'!F281+'Option Year 1'!F281*3%</f>
        <v>0</v>
      </c>
      <c r="G281" s="16">
        <f t="shared" si="22"/>
        <v>0</v>
      </c>
    </row>
    <row r="282" spans="1:7" x14ac:dyDescent="0.35">
      <c r="A282" s="12" t="s">
        <v>922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>
        <f>'Option Year 1'!F282+'Option Year 1'!F282*3%</f>
        <v>0</v>
      </c>
      <c r="G282" s="16">
        <f t="shared" si="22"/>
        <v>0</v>
      </c>
    </row>
    <row r="283" spans="1:7" x14ac:dyDescent="0.35">
      <c r="A283" s="12"/>
      <c r="B283" s="13" t="s">
        <v>171</v>
      </c>
      <c r="C283" s="14"/>
      <c r="D283" s="14"/>
      <c r="E283" s="14"/>
      <c r="F283" s="15">
        <f>'Option Year 1'!F283+'Option Year 1'!F283*3%</f>
        <v>0</v>
      </c>
      <c r="G283" s="16"/>
    </row>
    <row r="284" spans="1:7" x14ac:dyDescent="0.35">
      <c r="A284" s="12" t="s">
        <v>923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>
        <f>'Option Year 1'!F284+'Option Year 1'!F284*3%</f>
        <v>0</v>
      </c>
      <c r="G284" s="16">
        <f t="shared" ref="G284:G292" si="23">F284*C284</f>
        <v>0</v>
      </c>
    </row>
    <row r="285" spans="1:7" x14ac:dyDescent="0.35">
      <c r="A285" s="12" t="s">
        <v>924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>
        <f>'Option Year 1'!F285+'Option Year 1'!F285*3%</f>
        <v>0</v>
      </c>
      <c r="G285" s="16">
        <f t="shared" si="23"/>
        <v>0</v>
      </c>
    </row>
    <row r="286" spans="1:7" x14ac:dyDescent="0.35">
      <c r="A286" s="12" t="s">
        <v>925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>
        <f>'Option Year 1'!F286+'Option Year 1'!F286*3%</f>
        <v>0</v>
      </c>
      <c r="G286" s="16">
        <f t="shared" si="23"/>
        <v>0</v>
      </c>
    </row>
    <row r="287" spans="1:7" x14ac:dyDescent="0.35">
      <c r="A287" s="12" t="s">
        <v>926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>
        <f>'Option Year 1'!F287+'Option Year 1'!F287*3%</f>
        <v>0</v>
      </c>
      <c r="G287" s="16">
        <f t="shared" si="23"/>
        <v>0</v>
      </c>
    </row>
    <row r="288" spans="1:7" x14ac:dyDescent="0.35">
      <c r="A288" s="12" t="s">
        <v>927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>
        <f>'Option Year 1'!F288+'Option Year 1'!F288*3%</f>
        <v>0</v>
      </c>
      <c r="G288" s="16">
        <f t="shared" si="23"/>
        <v>0</v>
      </c>
    </row>
    <row r="289" spans="1:7" x14ac:dyDescent="0.35">
      <c r="A289" s="12" t="s">
        <v>928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>
        <f>'Option Year 1'!F289+'Option Year 1'!F289*3%</f>
        <v>0</v>
      </c>
      <c r="G289" s="16">
        <f t="shared" si="23"/>
        <v>0</v>
      </c>
    </row>
    <row r="290" spans="1:7" x14ac:dyDescent="0.35">
      <c r="A290" s="12" t="s">
        <v>929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>
        <f>'Option Year 1'!F290+'Option Year 1'!F290*3%</f>
        <v>0</v>
      </c>
      <c r="G290" s="16">
        <f t="shared" si="23"/>
        <v>0</v>
      </c>
    </row>
    <row r="291" spans="1:7" x14ac:dyDescent="0.35">
      <c r="A291" s="12" t="s">
        <v>930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>
        <f>'Option Year 1'!F291+'Option Year 1'!F291*3%</f>
        <v>0</v>
      </c>
      <c r="G291" s="16">
        <f t="shared" si="23"/>
        <v>0</v>
      </c>
    </row>
    <row r="292" spans="1:7" x14ac:dyDescent="0.35">
      <c r="A292" s="12" t="s">
        <v>931</v>
      </c>
      <c r="B292" s="17" t="s">
        <v>189</v>
      </c>
      <c r="C292" s="14">
        <v>5</v>
      </c>
      <c r="D292" s="14" t="s">
        <v>114</v>
      </c>
      <c r="E292" s="14" t="s">
        <v>16</v>
      </c>
      <c r="F292" s="15">
        <f>'Option Year 1'!F292+'Option Year 1'!F292*3%</f>
        <v>0</v>
      </c>
      <c r="G292" s="16">
        <f t="shared" si="23"/>
        <v>0</v>
      </c>
    </row>
    <row r="293" spans="1:7" x14ac:dyDescent="0.35">
      <c r="A293" s="12"/>
      <c r="B293" s="17" t="s">
        <v>190</v>
      </c>
      <c r="C293" s="14"/>
      <c r="D293" s="14"/>
      <c r="E293" s="14"/>
      <c r="F293" s="15">
        <f>'Option Year 1'!F293+'Option Year 1'!F293*3%</f>
        <v>0</v>
      </c>
      <c r="G293" s="16"/>
    </row>
    <row r="294" spans="1:7" x14ac:dyDescent="0.35">
      <c r="A294" s="12"/>
      <c r="B294" s="13" t="s">
        <v>191</v>
      </c>
      <c r="C294" s="14"/>
      <c r="D294" s="14"/>
      <c r="E294" s="14"/>
      <c r="F294" s="15">
        <f>'Option Year 1'!F294+'Option Year 1'!F294*3%</f>
        <v>0</v>
      </c>
      <c r="G294" s="16"/>
    </row>
    <row r="295" spans="1:7" ht="31" x14ac:dyDescent="0.35">
      <c r="A295" s="12" t="s">
        <v>932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>
        <f>'Option Year 1'!F295+'Option Year 1'!F295*3%</f>
        <v>0</v>
      </c>
      <c r="G295" s="16">
        <f t="shared" ref="G295:G299" si="24">F295*C295</f>
        <v>0</v>
      </c>
    </row>
    <row r="296" spans="1:7" ht="31" x14ac:dyDescent="0.35">
      <c r="A296" s="12" t="s">
        <v>933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>
        <f>'Option Year 1'!F296+'Option Year 1'!F296*3%</f>
        <v>0</v>
      </c>
      <c r="G296" s="16">
        <f t="shared" si="24"/>
        <v>0</v>
      </c>
    </row>
    <row r="297" spans="1:7" ht="46.5" x14ac:dyDescent="0.35">
      <c r="A297" s="12" t="s">
        <v>934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>
        <f>'Option Year 1'!F297+'Option Year 1'!F297*3%</f>
        <v>0</v>
      </c>
      <c r="G297" s="16">
        <f t="shared" si="24"/>
        <v>0</v>
      </c>
    </row>
    <row r="298" spans="1:7" x14ac:dyDescent="0.35">
      <c r="A298" s="12" t="s">
        <v>935</v>
      </c>
      <c r="B298" s="17" t="s">
        <v>199</v>
      </c>
      <c r="C298" s="14">
        <v>3</v>
      </c>
      <c r="D298" s="14" t="s">
        <v>114</v>
      </c>
      <c r="E298" s="14" t="s">
        <v>16</v>
      </c>
      <c r="F298" s="15">
        <f>'Option Year 1'!F298+'Option Year 1'!F298*3%</f>
        <v>0</v>
      </c>
      <c r="G298" s="16">
        <f t="shared" si="24"/>
        <v>0</v>
      </c>
    </row>
    <row r="299" spans="1:7" x14ac:dyDescent="0.35">
      <c r="A299" s="12" t="s">
        <v>936</v>
      </c>
      <c r="B299" s="17" t="s">
        <v>201</v>
      </c>
      <c r="C299" s="14">
        <v>3</v>
      </c>
      <c r="D299" s="14" t="s">
        <v>114</v>
      </c>
      <c r="E299" s="14" t="s">
        <v>16</v>
      </c>
      <c r="F299" s="15">
        <f>'Option Year 1'!F299+'Option Year 1'!F299*3%</f>
        <v>0</v>
      </c>
      <c r="G299" s="16">
        <f t="shared" si="24"/>
        <v>0</v>
      </c>
    </row>
    <row r="300" spans="1:7" ht="31" x14ac:dyDescent="0.35">
      <c r="A300" s="12"/>
      <c r="B300" s="13" t="s">
        <v>202</v>
      </c>
      <c r="C300" s="14"/>
      <c r="D300" s="14"/>
      <c r="E300" s="14"/>
      <c r="F300" s="15">
        <f>'Option Year 1'!F300+'Option Year 1'!F300*3%</f>
        <v>0</v>
      </c>
      <c r="G300" s="16"/>
    </row>
    <row r="301" spans="1:7" x14ac:dyDescent="0.35">
      <c r="A301" s="12" t="s">
        <v>937</v>
      </c>
      <c r="B301" s="17" t="s">
        <v>130</v>
      </c>
      <c r="C301" s="14">
        <v>25</v>
      </c>
      <c r="D301" s="14" t="s">
        <v>25</v>
      </c>
      <c r="E301" s="14" t="s">
        <v>16</v>
      </c>
      <c r="F301" s="15">
        <f>'Option Year 1'!F301+'Option Year 1'!F301*3%</f>
        <v>0</v>
      </c>
      <c r="G301" s="16">
        <f t="shared" ref="G301:G304" si="25">F301*C301</f>
        <v>0</v>
      </c>
    </row>
    <row r="302" spans="1:7" x14ac:dyDescent="0.35">
      <c r="A302" s="12" t="s">
        <v>938</v>
      </c>
      <c r="B302" s="17" t="s">
        <v>132</v>
      </c>
      <c r="C302" s="14">
        <v>25</v>
      </c>
      <c r="D302" s="14" t="s">
        <v>25</v>
      </c>
      <c r="E302" s="14" t="s">
        <v>16</v>
      </c>
      <c r="F302" s="15">
        <f>'Option Year 1'!F302+'Option Year 1'!F302*3%</f>
        <v>0</v>
      </c>
      <c r="G302" s="16">
        <f t="shared" si="25"/>
        <v>0</v>
      </c>
    </row>
    <row r="303" spans="1:7" x14ac:dyDescent="0.35">
      <c r="A303" s="12" t="s">
        <v>939</v>
      </c>
      <c r="B303" s="17" t="s">
        <v>134</v>
      </c>
      <c r="C303" s="14">
        <v>25</v>
      </c>
      <c r="D303" s="14" t="s">
        <v>25</v>
      </c>
      <c r="E303" s="14" t="s">
        <v>16</v>
      </c>
      <c r="F303" s="15">
        <f>'Option Year 1'!F303+'Option Year 1'!F303*3%</f>
        <v>0</v>
      </c>
      <c r="G303" s="16">
        <f t="shared" si="25"/>
        <v>0</v>
      </c>
    </row>
    <row r="304" spans="1:7" x14ac:dyDescent="0.35">
      <c r="A304" s="12" t="s">
        <v>940</v>
      </c>
      <c r="B304" s="23" t="s">
        <v>136</v>
      </c>
      <c r="C304" s="14">
        <v>25</v>
      </c>
      <c r="D304" s="14" t="s">
        <v>25</v>
      </c>
      <c r="E304" s="14" t="s">
        <v>16</v>
      </c>
      <c r="F304" s="15">
        <f>'Option Year 1'!F304+'Option Year 1'!F304*3%</f>
        <v>0</v>
      </c>
      <c r="G304" s="16">
        <f t="shared" si="25"/>
        <v>0</v>
      </c>
    </row>
    <row r="305" spans="1:7" x14ac:dyDescent="0.35">
      <c r="A305" s="12"/>
      <c r="B305" s="24" t="s">
        <v>207</v>
      </c>
      <c r="C305" s="14"/>
      <c r="D305" s="14"/>
      <c r="E305" s="14"/>
      <c r="F305" s="15">
        <f>'Option Year 1'!F305+'Option Year 1'!F305*3%</f>
        <v>0</v>
      </c>
      <c r="G305" s="16"/>
    </row>
    <row r="306" spans="1:7" x14ac:dyDescent="0.35">
      <c r="A306" s="12" t="s">
        <v>941</v>
      </c>
      <c r="B306" s="17" t="s">
        <v>130</v>
      </c>
      <c r="C306" s="14">
        <v>25</v>
      </c>
      <c r="D306" s="14" t="s">
        <v>25</v>
      </c>
      <c r="E306" s="14" t="s">
        <v>16</v>
      </c>
      <c r="F306" s="15">
        <f>'Option Year 1'!F306+'Option Year 1'!F306*3%</f>
        <v>0</v>
      </c>
      <c r="G306" s="16">
        <f t="shared" ref="G306:G310" si="26">F306*C306</f>
        <v>0</v>
      </c>
    </row>
    <row r="307" spans="1:7" x14ac:dyDescent="0.35">
      <c r="A307" s="12" t="s">
        <v>942</v>
      </c>
      <c r="B307" s="17" t="s">
        <v>132</v>
      </c>
      <c r="C307" s="14">
        <v>25</v>
      </c>
      <c r="D307" s="14" t="s">
        <v>25</v>
      </c>
      <c r="E307" s="14" t="s">
        <v>16</v>
      </c>
      <c r="F307" s="15">
        <f>'Option Year 1'!F307+'Option Year 1'!F307*3%</f>
        <v>0</v>
      </c>
      <c r="G307" s="16">
        <f t="shared" si="26"/>
        <v>0</v>
      </c>
    </row>
    <row r="308" spans="1:7" x14ac:dyDescent="0.35">
      <c r="A308" s="12" t="s">
        <v>943</v>
      </c>
      <c r="B308" s="17" t="s">
        <v>134</v>
      </c>
      <c r="C308" s="14">
        <v>25</v>
      </c>
      <c r="D308" s="14" t="s">
        <v>25</v>
      </c>
      <c r="E308" s="14" t="s">
        <v>16</v>
      </c>
      <c r="F308" s="15">
        <f>'Option Year 1'!F308+'Option Year 1'!F308*3%</f>
        <v>0</v>
      </c>
      <c r="G308" s="16">
        <f t="shared" si="26"/>
        <v>0</v>
      </c>
    </row>
    <row r="309" spans="1:7" x14ac:dyDescent="0.35">
      <c r="A309" s="12" t="s">
        <v>944</v>
      </c>
      <c r="B309" s="17" t="s">
        <v>136</v>
      </c>
      <c r="C309" s="14">
        <v>25</v>
      </c>
      <c r="D309" s="14" t="s">
        <v>25</v>
      </c>
      <c r="E309" s="14" t="s">
        <v>16</v>
      </c>
      <c r="F309" s="15">
        <f>'Option Year 1'!F309+'Option Year 1'!F309*3%</f>
        <v>0</v>
      </c>
      <c r="G309" s="16">
        <f t="shared" si="26"/>
        <v>0</v>
      </c>
    </row>
    <row r="310" spans="1:7" x14ac:dyDescent="0.35">
      <c r="A310" s="12" t="s">
        <v>945</v>
      </c>
      <c r="B310" s="17" t="s">
        <v>213</v>
      </c>
      <c r="C310" s="14">
        <v>25</v>
      </c>
      <c r="D310" s="14" t="s">
        <v>25</v>
      </c>
      <c r="E310" s="14" t="s">
        <v>16</v>
      </c>
      <c r="F310" s="15">
        <f>'Option Year 1'!F310+'Option Year 1'!F310*3%</f>
        <v>0</v>
      </c>
      <c r="G310" s="16">
        <f t="shared" si="26"/>
        <v>0</v>
      </c>
    </row>
    <row r="311" spans="1:7" ht="31" x14ac:dyDescent="0.35">
      <c r="A311" s="12"/>
      <c r="B311" s="13" t="s">
        <v>214</v>
      </c>
      <c r="C311" s="14"/>
      <c r="D311" s="14"/>
      <c r="E311" s="14"/>
      <c r="F311" s="15">
        <f>'Option Year 1'!F311+'Option Year 1'!F311*3%</f>
        <v>0</v>
      </c>
      <c r="G311" s="16"/>
    </row>
    <row r="312" spans="1:7" x14ac:dyDescent="0.35">
      <c r="A312" s="12" t="s">
        <v>946</v>
      </c>
      <c r="B312" s="17" t="s">
        <v>130</v>
      </c>
      <c r="C312" s="14">
        <v>2</v>
      </c>
      <c r="D312" s="14" t="s">
        <v>25</v>
      </c>
      <c r="E312" s="14" t="s">
        <v>16</v>
      </c>
      <c r="F312" s="15">
        <f>'Option Year 1'!F312+'Option Year 1'!F312*3%</f>
        <v>0</v>
      </c>
      <c r="G312" s="16">
        <f t="shared" ref="G312:G314" si="27">F312*C312</f>
        <v>0</v>
      </c>
    </row>
    <row r="313" spans="1:7" x14ac:dyDescent="0.35">
      <c r="A313" s="12" t="s">
        <v>947</v>
      </c>
      <c r="B313" s="17" t="s">
        <v>132</v>
      </c>
      <c r="C313" s="14">
        <v>2</v>
      </c>
      <c r="D313" s="14" t="s">
        <v>25</v>
      </c>
      <c r="E313" s="14" t="s">
        <v>16</v>
      </c>
      <c r="F313" s="15">
        <f>'Option Year 1'!F313+'Option Year 1'!F313*3%</f>
        <v>0</v>
      </c>
      <c r="G313" s="16">
        <f t="shared" si="27"/>
        <v>0</v>
      </c>
    </row>
    <row r="314" spans="1:7" x14ac:dyDescent="0.35">
      <c r="A314" s="12" t="s">
        <v>948</v>
      </c>
      <c r="B314" s="17" t="s">
        <v>218</v>
      </c>
      <c r="C314" s="14">
        <v>2</v>
      </c>
      <c r="D314" s="14" t="s">
        <v>25</v>
      </c>
      <c r="E314" s="14" t="s">
        <v>16</v>
      </c>
      <c r="F314" s="15">
        <f>'Option Year 1'!F314+'Option Year 1'!F314*3%</f>
        <v>0</v>
      </c>
      <c r="G314" s="16">
        <f t="shared" si="27"/>
        <v>0</v>
      </c>
    </row>
    <row r="315" spans="1:7" x14ac:dyDescent="0.35">
      <c r="A315" s="12"/>
      <c r="B315" s="13" t="s">
        <v>219</v>
      </c>
      <c r="C315" s="14"/>
      <c r="D315" s="14"/>
      <c r="E315" s="14"/>
      <c r="F315" s="15">
        <f>'Option Year 1'!F315+'Option Year 1'!F315*3%</f>
        <v>0</v>
      </c>
      <c r="G315" s="16"/>
    </row>
    <row r="316" spans="1:7" x14ac:dyDescent="0.35">
      <c r="A316" s="12" t="s">
        <v>949</v>
      </c>
      <c r="B316" s="17" t="s">
        <v>220</v>
      </c>
      <c r="C316" s="14">
        <v>1</v>
      </c>
      <c r="D316" s="14" t="s">
        <v>114</v>
      </c>
      <c r="E316" s="14" t="s">
        <v>16</v>
      </c>
      <c r="F316" s="15">
        <f>'Option Year 1'!F316+'Option Year 1'!F316*3%</f>
        <v>0</v>
      </c>
      <c r="G316" s="16">
        <f t="shared" ref="G316:G317" si="28">F316*C316</f>
        <v>0</v>
      </c>
    </row>
    <row r="317" spans="1:7" x14ac:dyDescent="0.35">
      <c r="A317" s="12" t="s">
        <v>950</v>
      </c>
      <c r="B317" s="17" t="s">
        <v>221</v>
      </c>
      <c r="C317" s="14">
        <v>2</v>
      </c>
      <c r="D317" s="14" t="s">
        <v>114</v>
      </c>
      <c r="E317" s="14" t="s">
        <v>16</v>
      </c>
      <c r="F317" s="15">
        <f>'Option Year 1'!F317+'Option Year 1'!F317*3%</f>
        <v>0</v>
      </c>
      <c r="G317" s="16">
        <f t="shared" si="28"/>
        <v>0</v>
      </c>
    </row>
    <row r="318" spans="1:7" x14ac:dyDescent="0.35">
      <c r="A318" s="12"/>
      <c r="B318" s="25" t="s">
        <v>222</v>
      </c>
      <c r="C318" s="14"/>
      <c r="D318" s="14"/>
      <c r="E318" s="14"/>
      <c r="F318" s="15">
        <f>'Option Year 1'!F318+'Option Year 1'!F318*3%</f>
        <v>0</v>
      </c>
      <c r="G318" s="16"/>
    </row>
    <row r="319" spans="1:7" x14ac:dyDescent="0.35">
      <c r="A319" s="12" t="s">
        <v>951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>
        <f>'Option Year 1'!F319+'Option Year 1'!F319*3%</f>
        <v>0</v>
      </c>
      <c r="G319" s="16">
        <f t="shared" ref="G319:G322" si="29">F319*C319</f>
        <v>0</v>
      </c>
    </row>
    <row r="320" spans="1:7" x14ac:dyDescent="0.35">
      <c r="A320" s="12" t="s">
        <v>952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>
        <f>'Option Year 1'!F320+'Option Year 1'!F320*3%</f>
        <v>0</v>
      </c>
      <c r="G320" s="16">
        <f t="shared" si="29"/>
        <v>0</v>
      </c>
    </row>
    <row r="321" spans="1:7" x14ac:dyDescent="0.35">
      <c r="A321" s="12" t="s">
        <v>953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>
        <f>'Option Year 1'!F321+'Option Year 1'!F321*3%</f>
        <v>0</v>
      </c>
      <c r="G321" s="16">
        <f t="shared" si="29"/>
        <v>0</v>
      </c>
    </row>
    <row r="322" spans="1:7" x14ac:dyDescent="0.35">
      <c r="A322" s="12" t="s">
        <v>954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>
        <f>'Option Year 1'!F322+'Option Year 1'!F322*3%</f>
        <v>0</v>
      </c>
      <c r="G322" s="16">
        <f t="shared" si="29"/>
        <v>0</v>
      </c>
    </row>
    <row r="323" spans="1:7" ht="31" x14ac:dyDescent="0.35">
      <c r="A323" s="12"/>
      <c r="B323" s="26" t="s">
        <v>229</v>
      </c>
      <c r="C323" s="14"/>
      <c r="D323" s="14"/>
      <c r="E323" s="14"/>
      <c r="F323" s="15">
        <f>'Option Year 1'!F323+'Option Year 1'!F323*3%</f>
        <v>0</v>
      </c>
      <c r="G323" s="16"/>
    </row>
    <row r="324" spans="1:7" x14ac:dyDescent="0.35">
      <c r="A324" s="12" t="s">
        <v>955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>
        <f>'Option Year 1'!F324+'Option Year 1'!F324*3%</f>
        <v>0</v>
      </c>
      <c r="G324" s="16">
        <f t="shared" ref="G324:G325" si="30">F324*C324</f>
        <v>0</v>
      </c>
    </row>
    <row r="325" spans="1:7" x14ac:dyDescent="0.35">
      <c r="A325" s="12" t="s">
        <v>956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>
        <f>'Option Year 1'!F325+'Option Year 1'!F325*3%</f>
        <v>0</v>
      </c>
      <c r="G325" s="16">
        <f t="shared" si="30"/>
        <v>0</v>
      </c>
    </row>
    <row r="326" spans="1:7" ht="31" x14ac:dyDescent="0.35">
      <c r="A326" s="12"/>
      <c r="B326" s="13" t="s">
        <v>232</v>
      </c>
      <c r="C326" s="14"/>
      <c r="D326" s="14"/>
      <c r="E326" s="14"/>
      <c r="F326" s="15">
        <f>'Option Year 1'!F326+'Option Year 1'!F326*3%</f>
        <v>0</v>
      </c>
      <c r="G326" s="16"/>
    </row>
    <row r="327" spans="1:7" x14ac:dyDescent="0.35">
      <c r="A327" s="12" t="s">
        <v>957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>
        <f>'Option Year 1'!F327+'Option Year 1'!F327*3%</f>
        <v>0</v>
      </c>
      <c r="G327" s="16">
        <f t="shared" ref="G327:G328" si="31">F327*C327</f>
        <v>0</v>
      </c>
    </row>
    <row r="328" spans="1:7" x14ac:dyDescent="0.35">
      <c r="A328" s="12" t="s">
        <v>958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>
        <f>'Option Year 1'!F328+'Option Year 1'!F328*3%</f>
        <v>0</v>
      </c>
      <c r="G328" s="16">
        <f t="shared" si="31"/>
        <v>0</v>
      </c>
    </row>
    <row r="329" spans="1:7" x14ac:dyDescent="0.35">
      <c r="A329" s="12"/>
      <c r="B329" s="13" t="s">
        <v>235</v>
      </c>
      <c r="C329" s="14"/>
      <c r="D329" s="14"/>
      <c r="E329" s="14"/>
      <c r="F329" s="15">
        <f>'Option Year 1'!F329+'Option Year 1'!F329*3%</f>
        <v>0</v>
      </c>
      <c r="G329" s="16"/>
    </row>
    <row r="330" spans="1:7" x14ac:dyDescent="0.35">
      <c r="A330" s="12" t="s">
        <v>959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>
        <f>'Option Year 1'!F330+'Option Year 1'!F330*3%</f>
        <v>0</v>
      </c>
      <c r="G330" s="16">
        <f t="shared" ref="G330:G331" si="32">F330*C330</f>
        <v>0</v>
      </c>
    </row>
    <row r="331" spans="1:7" x14ac:dyDescent="0.35">
      <c r="A331" s="12" t="s">
        <v>960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>
        <f>'Option Year 1'!F331+'Option Year 1'!F331*3%</f>
        <v>0</v>
      </c>
      <c r="G331" s="16">
        <f t="shared" si="32"/>
        <v>0</v>
      </c>
    </row>
    <row r="332" spans="1:7" ht="46.5" x14ac:dyDescent="0.35">
      <c r="A332" s="12"/>
      <c r="B332" s="13" t="s">
        <v>238</v>
      </c>
      <c r="C332" s="14"/>
      <c r="D332" s="14"/>
      <c r="E332" s="14"/>
      <c r="F332" s="15">
        <f>'Option Year 1'!F332+'Option Year 1'!F332*3%</f>
        <v>0</v>
      </c>
      <c r="G332" s="16"/>
    </row>
    <row r="333" spans="1:7" x14ac:dyDescent="0.35">
      <c r="A333" s="12" t="s">
        <v>961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>
        <f>'Option Year 1'!F333+'Option Year 1'!F333*3%</f>
        <v>0</v>
      </c>
      <c r="G333" s="16">
        <f t="shared" ref="G333:G335" si="33">F333*C333</f>
        <v>0</v>
      </c>
    </row>
    <row r="334" spans="1:7" x14ac:dyDescent="0.35">
      <c r="A334" s="12" t="s">
        <v>962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>
        <f>'Option Year 1'!F334+'Option Year 1'!F334*3%</f>
        <v>0</v>
      </c>
      <c r="G334" s="16">
        <f t="shared" si="33"/>
        <v>0</v>
      </c>
    </row>
    <row r="335" spans="1:7" x14ac:dyDescent="0.35">
      <c r="A335" s="12" t="s">
        <v>963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>
        <f>'Option Year 1'!F335+'Option Year 1'!F335*3%</f>
        <v>0</v>
      </c>
      <c r="G335" s="16">
        <f t="shared" si="33"/>
        <v>0</v>
      </c>
    </row>
    <row r="336" spans="1:7" x14ac:dyDescent="0.35">
      <c r="A336" s="12"/>
      <c r="B336" s="13" t="s">
        <v>242</v>
      </c>
      <c r="C336" s="14"/>
      <c r="D336" s="14"/>
      <c r="E336" s="14"/>
      <c r="F336" s="15">
        <f>'Option Year 1'!F336+'Option Year 1'!F336*3%</f>
        <v>0</v>
      </c>
      <c r="G336" s="16"/>
    </row>
    <row r="337" spans="1:7" ht="31" x14ac:dyDescent="0.35">
      <c r="A337" s="12" t="s">
        <v>964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>
        <f>'Option Year 1'!F337+'Option Year 1'!F337*3%</f>
        <v>0</v>
      </c>
      <c r="G337" s="16">
        <f t="shared" ref="G337:G338" si="34">F337*C337</f>
        <v>0</v>
      </c>
    </row>
    <row r="338" spans="1:7" ht="31" x14ac:dyDescent="0.35">
      <c r="A338" s="12" t="s">
        <v>965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>
        <f>'Option Year 1'!F338+'Option Year 1'!F338*3%</f>
        <v>0</v>
      </c>
      <c r="G338" s="16">
        <f t="shared" si="34"/>
        <v>0</v>
      </c>
    </row>
    <row r="339" spans="1:7" x14ac:dyDescent="0.35">
      <c r="A339" s="12"/>
      <c r="B339" s="13" t="s">
        <v>247</v>
      </c>
      <c r="C339" s="14"/>
      <c r="D339" s="14"/>
      <c r="E339" s="14"/>
      <c r="F339" s="15">
        <f>'Option Year 1'!F339+'Option Year 1'!F339*3%</f>
        <v>0</v>
      </c>
      <c r="G339" s="16"/>
    </row>
    <row r="340" spans="1:7" x14ac:dyDescent="0.35">
      <c r="A340" s="12" t="s">
        <v>966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>
        <f>'Option Year 1'!F340+'Option Year 1'!F340*3%</f>
        <v>0</v>
      </c>
      <c r="G340" s="16">
        <f t="shared" ref="G340:G341" si="35">F340*C340</f>
        <v>0</v>
      </c>
    </row>
    <row r="341" spans="1:7" ht="31" x14ac:dyDescent="0.35">
      <c r="A341" s="12" t="s">
        <v>967</v>
      </c>
      <c r="B341" s="17" t="s">
        <v>251</v>
      </c>
      <c r="C341" s="14">
        <v>50</v>
      </c>
      <c r="D341" s="14" t="s">
        <v>40</v>
      </c>
      <c r="E341" s="14" t="s">
        <v>16</v>
      </c>
      <c r="F341" s="15">
        <f>'Option Year 1'!F341+'Option Year 1'!F341*3%</f>
        <v>0</v>
      </c>
      <c r="G341" s="16">
        <f t="shared" si="35"/>
        <v>0</v>
      </c>
    </row>
    <row r="342" spans="1:7" x14ac:dyDescent="0.35">
      <c r="A342" s="12"/>
      <c r="B342" s="13" t="s">
        <v>252</v>
      </c>
      <c r="C342" s="14"/>
      <c r="D342" s="14"/>
      <c r="E342" s="14"/>
      <c r="F342" s="15">
        <f>'Option Year 1'!F342+'Option Year 1'!F342*3%</f>
        <v>0</v>
      </c>
      <c r="G342" s="16"/>
    </row>
    <row r="343" spans="1:7" x14ac:dyDescent="0.35">
      <c r="A343" s="12" t="s">
        <v>968</v>
      </c>
      <c r="B343" s="17" t="s">
        <v>254</v>
      </c>
      <c r="C343" s="14">
        <v>50</v>
      </c>
      <c r="D343" s="14" t="s">
        <v>40</v>
      </c>
      <c r="E343" s="14" t="s">
        <v>16</v>
      </c>
      <c r="F343" s="15">
        <f>'Option Year 1'!F343+'Option Year 1'!F343*3%</f>
        <v>0</v>
      </c>
      <c r="G343" s="16">
        <f t="shared" ref="G343:G344" si="36">F343*C343</f>
        <v>0</v>
      </c>
    </row>
    <row r="344" spans="1:7" x14ac:dyDescent="0.35">
      <c r="A344" s="12" t="s">
        <v>969</v>
      </c>
      <c r="B344" s="17" t="s">
        <v>256</v>
      </c>
      <c r="C344" s="14">
        <v>50</v>
      </c>
      <c r="D344" s="14" t="s">
        <v>40</v>
      </c>
      <c r="E344" s="14" t="s">
        <v>16</v>
      </c>
      <c r="F344" s="15">
        <f>'Option Year 1'!F344+'Option Year 1'!F344*3%</f>
        <v>0</v>
      </c>
      <c r="G344" s="16">
        <f t="shared" si="36"/>
        <v>0</v>
      </c>
    </row>
    <row r="345" spans="1:7" x14ac:dyDescent="0.35">
      <c r="A345" s="12"/>
      <c r="B345" s="13" t="s">
        <v>257</v>
      </c>
      <c r="C345" s="14"/>
      <c r="D345" s="14"/>
      <c r="E345" s="14"/>
      <c r="F345" s="15">
        <f>'Option Year 1'!F345+'Option Year 1'!F345*3%</f>
        <v>0</v>
      </c>
      <c r="G345" s="16"/>
    </row>
    <row r="346" spans="1:7" ht="31" x14ac:dyDescent="0.35">
      <c r="A346" s="12" t="s">
        <v>970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>
        <f>'Option Year 1'!F346+'Option Year 1'!F346*3%</f>
        <v>0</v>
      </c>
      <c r="G346" s="16">
        <f t="shared" ref="G346:G348" si="37">F346*C346</f>
        <v>0</v>
      </c>
    </row>
    <row r="347" spans="1:7" x14ac:dyDescent="0.35">
      <c r="A347" s="12" t="s">
        <v>971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>
        <f>'Option Year 1'!F347+'Option Year 1'!F347*3%</f>
        <v>0</v>
      </c>
      <c r="G347" s="16">
        <f t="shared" si="37"/>
        <v>0</v>
      </c>
    </row>
    <row r="348" spans="1:7" ht="31" x14ac:dyDescent="0.35">
      <c r="A348" s="12" t="s">
        <v>972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>
        <f>'Option Year 1'!F348+'Option Year 1'!F348*3%</f>
        <v>0</v>
      </c>
      <c r="G348" s="16">
        <f t="shared" si="37"/>
        <v>0</v>
      </c>
    </row>
    <row r="349" spans="1:7" x14ac:dyDescent="0.35">
      <c r="A349" s="12" t="s">
        <v>973</v>
      </c>
      <c r="B349" s="13" t="s">
        <v>265</v>
      </c>
      <c r="C349" s="14">
        <v>0</v>
      </c>
      <c r="D349" s="14"/>
      <c r="E349" s="14" t="s">
        <v>16</v>
      </c>
      <c r="F349" s="15">
        <f>'Option Year 1'!F349+'Option Year 1'!F349*3%</f>
        <v>0</v>
      </c>
      <c r="G349" s="16">
        <v>0</v>
      </c>
    </row>
    <row r="350" spans="1:7" x14ac:dyDescent="0.35">
      <c r="A350" s="12"/>
      <c r="B350" s="13" t="s">
        <v>266</v>
      </c>
      <c r="C350" s="14"/>
      <c r="D350" s="14"/>
      <c r="E350" s="14"/>
      <c r="F350" s="15">
        <f>'Option Year 1'!F350+'Option Year 1'!F350*3%</f>
        <v>0</v>
      </c>
      <c r="G350" s="16"/>
    </row>
    <row r="351" spans="1:7" ht="46.5" x14ac:dyDescent="0.35">
      <c r="A351" s="12" t="s">
        <v>974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>
        <f>'Option Year 1'!F351+'Option Year 1'!F351*3%</f>
        <v>0</v>
      </c>
      <c r="G351" s="16">
        <f t="shared" ref="G351:G353" si="38">F351*C351</f>
        <v>0</v>
      </c>
    </row>
    <row r="352" spans="1:7" ht="46.5" x14ac:dyDescent="0.35">
      <c r="A352" s="12" t="s">
        <v>975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>
        <f>'Option Year 1'!F352+'Option Year 1'!F352*3%</f>
        <v>0</v>
      </c>
      <c r="G352" s="16">
        <f t="shared" si="38"/>
        <v>0</v>
      </c>
    </row>
    <row r="353" spans="1:7" ht="31" x14ac:dyDescent="0.35">
      <c r="A353" s="12" t="s">
        <v>976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>
        <f>'Option Year 1'!F353+'Option Year 1'!F353*3%</f>
        <v>0</v>
      </c>
      <c r="G353" s="16">
        <f t="shared" si="38"/>
        <v>0</v>
      </c>
    </row>
    <row r="354" spans="1:7" x14ac:dyDescent="0.35">
      <c r="A354" s="12"/>
      <c r="B354" s="28" t="s">
        <v>273</v>
      </c>
      <c r="C354" s="14"/>
      <c r="D354" s="14"/>
      <c r="E354" s="14"/>
      <c r="F354" s="15">
        <f>'Option Year 1'!F354+'Option Year 1'!F354*3%</f>
        <v>0</v>
      </c>
      <c r="G354" s="16"/>
    </row>
    <row r="355" spans="1:7" ht="31" x14ac:dyDescent="0.35">
      <c r="A355" s="12" t="s">
        <v>977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>
        <f>'Option Year 1'!F355+'Option Year 1'!F355*3%</f>
        <v>0</v>
      </c>
      <c r="G355" s="16">
        <f>F355*C355</f>
        <v>0</v>
      </c>
    </row>
    <row r="356" spans="1:7" ht="31" x14ac:dyDescent="0.35">
      <c r="A356" s="12" t="s">
        <v>978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>
        <f>'Option Year 1'!F356+'Option Year 1'!F356*3%</f>
        <v>0</v>
      </c>
      <c r="G356" s="16">
        <f>F356*C356</f>
        <v>0</v>
      </c>
    </row>
    <row r="357" spans="1:7" x14ac:dyDescent="0.35">
      <c r="A357" s="12" t="s">
        <v>979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>
        <f>'Option Year 1'!F357+'Option Year 1'!F357*3%</f>
        <v>0</v>
      </c>
      <c r="G357" s="16">
        <f>F357*C357</f>
        <v>0</v>
      </c>
    </row>
    <row r="358" spans="1:7" ht="46.5" x14ac:dyDescent="0.35">
      <c r="A358" s="12" t="s">
        <v>980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>
        <f>'Option Year 1'!F358+'Option Year 1'!F358*3%</f>
        <v>0</v>
      </c>
      <c r="G358" s="16">
        <f>F358*C358</f>
        <v>0</v>
      </c>
    </row>
    <row r="359" spans="1:7" ht="31" x14ac:dyDescent="0.35">
      <c r="A359" s="12"/>
      <c r="B359" s="13" t="s">
        <v>282</v>
      </c>
      <c r="C359" s="14"/>
      <c r="D359" s="14"/>
      <c r="E359" s="14"/>
      <c r="F359" s="15">
        <f>'Option Year 1'!F359+'Option Year 1'!F359*3%</f>
        <v>0</v>
      </c>
      <c r="G359" s="16"/>
    </row>
    <row r="360" spans="1:7" ht="62" x14ac:dyDescent="0.35">
      <c r="A360" s="12" t="s">
        <v>981</v>
      </c>
      <c r="B360" s="17" t="s">
        <v>284</v>
      </c>
      <c r="C360" s="14"/>
      <c r="D360" s="14" t="s">
        <v>285</v>
      </c>
      <c r="E360" s="14" t="s">
        <v>16</v>
      </c>
      <c r="F360" s="15">
        <f>'Option Year 1'!F360+'Option Year 1'!F360*3%</f>
        <v>0</v>
      </c>
      <c r="G360" s="16">
        <f t="shared" ref="G360:G361" si="39">F360*C360</f>
        <v>0</v>
      </c>
    </row>
    <row r="361" spans="1:7" ht="46.5" x14ac:dyDescent="0.35">
      <c r="A361" s="12" t="s">
        <v>982</v>
      </c>
      <c r="B361" s="17" t="s">
        <v>287</v>
      </c>
      <c r="C361" s="14">
        <v>2000</v>
      </c>
      <c r="D361" s="14" t="s">
        <v>288</v>
      </c>
      <c r="E361" s="14" t="s">
        <v>16</v>
      </c>
      <c r="F361" s="15">
        <f>'Option Year 1'!F361+'Option Year 1'!F361*3%</f>
        <v>0</v>
      </c>
      <c r="G361" s="16">
        <f t="shared" si="39"/>
        <v>0</v>
      </c>
    </row>
    <row r="362" spans="1:7" x14ac:dyDescent="0.35">
      <c r="A362" s="12"/>
      <c r="B362" s="13" t="s">
        <v>289</v>
      </c>
      <c r="C362" s="14"/>
      <c r="D362" s="14"/>
      <c r="E362" s="14"/>
      <c r="F362" s="15">
        <f>'Option Year 1'!F362+'Option Year 1'!F362*3%</f>
        <v>0</v>
      </c>
      <c r="G362" s="16"/>
    </row>
    <row r="363" spans="1:7" ht="108.5" x14ac:dyDescent="0.35">
      <c r="A363" s="12" t="s">
        <v>983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>
        <f>'Option Year 1'!F363+'Option Year 1'!F363*3%</f>
        <v>0</v>
      </c>
      <c r="G363" s="16">
        <f t="shared" ref="G363" si="40">F363*C363</f>
        <v>0</v>
      </c>
    </row>
    <row r="364" spans="1:7" ht="31" x14ac:dyDescent="0.35">
      <c r="A364" s="12"/>
      <c r="B364" s="13" t="s">
        <v>292</v>
      </c>
      <c r="C364" s="14"/>
      <c r="D364" s="14"/>
      <c r="E364" s="14"/>
      <c r="F364" s="15">
        <f>'Option Year 1'!F364+'Option Year 1'!F364*3%</f>
        <v>0</v>
      </c>
      <c r="G364" s="16"/>
    </row>
    <row r="365" spans="1:7" x14ac:dyDescent="0.35">
      <c r="A365" s="12" t="s">
        <v>984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>
        <f>'Option Year 1'!F365+'Option Year 1'!F365*3%</f>
        <v>0</v>
      </c>
      <c r="G365" s="16">
        <f t="shared" ref="G365" si="41">F365*C365</f>
        <v>0</v>
      </c>
    </row>
    <row r="366" spans="1:7" ht="31" x14ac:dyDescent="0.35">
      <c r="A366" s="12"/>
      <c r="B366" s="13" t="s">
        <v>985</v>
      </c>
      <c r="C366" s="14"/>
      <c r="D366" s="14"/>
      <c r="E366" s="14"/>
      <c r="F366" s="33"/>
      <c r="G366" s="34">
        <f>SUM(G191:G365)</f>
        <v>0</v>
      </c>
    </row>
    <row r="367" spans="1:7" x14ac:dyDescent="0.35">
      <c r="A367" s="45"/>
      <c r="B367" s="13"/>
      <c r="C367" s="14"/>
      <c r="D367" s="14"/>
      <c r="E367" s="14"/>
      <c r="F367" s="33"/>
      <c r="G367" s="44"/>
    </row>
    <row r="368" spans="1:7" ht="46.5" x14ac:dyDescent="0.35">
      <c r="A368" s="35"/>
      <c r="B368" s="13" t="s">
        <v>986</v>
      </c>
      <c r="C368" s="14"/>
      <c r="D368" s="14"/>
      <c r="E368" s="14"/>
      <c r="F368" s="33"/>
      <c r="G368" s="44">
        <f>G366+G187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6154-084E-43DB-BCE1-BC582387E973}">
  <sheetPr>
    <tabColor theme="0"/>
  </sheetPr>
  <dimension ref="A1:G368"/>
  <sheetViews>
    <sheetView topLeftCell="A191" zoomScaleNormal="100" workbookViewId="0">
      <selection activeCell="B208" sqref="B208"/>
    </sheetView>
  </sheetViews>
  <sheetFormatPr defaultColWidth="28.54296875" defaultRowHeight="15.5" x14ac:dyDescent="0.35"/>
  <cols>
    <col min="1" max="1" width="14.54296875" style="46" customWidth="1"/>
    <col min="2" max="2" width="53.2695312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987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46.5" x14ac:dyDescent="0.35">
      <c r="A9" s="12" t="s">
        <v>988</v>
      </c>
      <c r="B9" s="17" t="s">
        <v>14</v>
      </c>
      <c r="C9" s="14">
        <v>3</v>
      </c>
      <c r="D9" s="14" t="s">
        <v>15</v>
      </c>
      <c r="E9" s="14" t="s">
        <v>16</v>
      </c>
      <c r="F9" s="15">
        <f>'Option Year 2'!F9+'Option Year 2'!F9*3%</f>
        <v>0</v>
      </c>
      <c r="G9" s="16">
        <f t="shared" ref="G9:G33" si="0">F9*C9</f>
        <v>0</v>
      </c>
    </row>
    <row r="10" spans="1:7" ht="31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989</v>
      </c>
      <c r="B11" s="17" t="s">
        <v>19</v>
      </c>
      <c r="C11" s="14">
        <v>40</v>
      </c>
      <c r="D11" s="14" t="s">
        <v>20</v>
      </c>
      <c r="E11" s="14" t="s">
        <v>16</v>
      </c>
      <c r="F11" s="15">
        <f>'Option Year 2'!F11+'Option Year 2'!F11*3%</f>
        <v>0</v>
      </c>
      <c r="G11" s="16">
        <f t="shared" si="0"/>
        <v>0</v>
      </c>
    </row>
    <row r="12" spans="1:7" x14ac:dyDescent="0.35">
      <c r="A12" s="12" t="s">
        <v>990</v>
      </c>
      <c r="B12" s="17" t="s">
        <v>22</v>
      </c>
      <c r="C12" s="14">
        <v>40</v>
      </c>
      <c r="D12" s="14" t="s">
        <v>20</v>
      </c>
      <c r="E12" s="14" t="s">
        <v>16</v>
      </c>
      <c r="F12" s="15">
        <f>'Option Year 2'!F12+'Option Year 2'!F12*3%</f>
        <v>0</v>
      </c>
      <c r="G12" s="16">
        <f t="shared" si="0"/>
        <v>0</v>
      </c>
    </row>
    <row r="13" spans="1:7" x14ac:dyDescent="0.35">
      <c r="A13" s="12" t="s">
        <v>991</v>
      </c>
      <c r="B13" s="17" t="s">
        <v>24</v>
      </c>
      <c r="C13" s="14">
        <v>40</v>
      </c>
      <c r="D13" s="14" t="s">
        <v>25</v>
      </c>
      <c r="E13" s="14" t="s">
        <v>16</v>
      </c>
      <c r="F13" s="15">
        <f>'Option Year 2'!F13+'Option Year 2'!F13*3%</f>
        <v>0</v>
      </c>
      <c r="G13" s="16">
        <f t="shared" si="0"/>
        <v>0</v>
      </c>
    </row>
    <row r="14" spans="1:7" x14ac:dyDescent="0.35">
      <c r="A14" s="12" t="s">
        <v>992</v>
      </c>
      <c r="B14" s="17" t="s">
        <v>27</v>
      </c>
      <c r="C14" s="14">
        <v>25</v>
      </c>
      <c r="D14" s="14" t="s">
        <v>25</v>
      </c>
      <c r="E14" s="14" t="s">
        <v>16</v>
      </c>
      <c r="F14" s="15">
        <f>'Option Year 2'!F14+'Option Year 2'!F14*3%</f>
        <v>0</v>
      </c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>
        <f>'Option Year 2'!F15+'Option Year 2'!F15*3%</f>
        <v>0</v>
      </c>
      <c r="G15" s="16"/>
    </row>
    <row r="16" spans="1:7" ht="46.5" x14ac:dyDescent="0.35">
      <c r="A16" s="12"/>
      <c r="B16" s="13" t="s">
        <v>1545</v>
      </c>
      <c r="C16" s="14"/>
      <c r="D16" s="14"/>
      <c r="E16" s="14"/>
      <c r="F16" s="15">
        <f>'Option Year 2'!F16+'Option Year 2'!F16*3%</f>
        <v>0</v>
      </c>
      <c r="G16" s="16"/>
    </row>
    <row r="17" spans="1:7" ht="31" x14ac:dyDescent="0.35">
      <c r="A17" s="12" t="s">
        <v>993</v>
      </c>
      <c r="B17" s="17" t="s">
        <v>31</v>
      </c>
      <c r="C17" s="14">
        <v>10</v>
      </c>
      <c r="D17" s="14" t="s">
        <v>20</v>
      </c>
      <c r="E17" s="14" t="s">
        <v>16</v>
      </c>
      <c r="F17" s="15">
        <f>'Option Year 2'!F17+'Option Year 2'!F17*3%</f>
        <v>0</v>
      </c>
      <c r="G17" s="16">
        <f t="shared" si="0"/>
        <v>0</v>
      </c>
    </row>
    <row r="18" spans="1:7" x14ac:dyDescent="0.35">
      <c r="A18" s="12" t="s">
        <v>994</v>
      </c>
      <c r="B18" s="17" t="s">
        <v>33</v>
      </c>
      <c r="C18" s="14">
        <v>10</v>
      </c>
      <c r="D18" s="14" t="s">
        <v>20</v>
      </c>
      <c r="E18" s="14" t="s">
        <v>16</v>
      </c>
      <c r="F18" s="15">
        <f>'Option Year 2'!F18+'Option Year 2'!F18*3%</f>
        <v>0</v>
      </c>
      <c r="G18" s="16">
        <f t="shared" si="0"/>
        <v>0</v>
      </c>
    </row>
    <row r="19" spans="1:7" ht="31" x14ac:dyDescent="0.35">
      <c r="A19" s="12" t="s">
        <v>995</v>
      </c>
      <c r="B19" s="17" t="s">
        <v>35</v>
      </c>
      <c r="C19" s="14">
        <v>10</v>
      </c>
      <c r="D19" s="14" t="s">
        <v>15</v>
      </c>
      <c r="E19" s="14" t="s">
        <v>16</v>
      </c>
      <c r="F19" s="15">
        <f>'Option Year 2'!F19+'Option Year 2'!F19*3%</f>
        <v>0</v>
      </c>
      <c r="G19" s="16">
        <f t="shared" si="0"/>
        <v>0</v>
      </c>
    </row>
    <row r="20" spans="1:7" ht="31" x14ac:dyDescent="0.35">
      <c r="A20" s="12" t="s">
        <v>996</v>
      </c>
      <c r="B20" s="17" t="s">
        <v>37</v>
      </c>
      <c r="C20" s="14">
        <v>5</v>
      </c>
      <c r="D20" s="14" t="s">
        <v>15</v>
      </c>
      <c r="E20" s="14" t="s">
        <v>16</v>
      </c>
      <c r="F20" s="15">
        <f>'Option Year 2'!F20+'Option Year 2'!F20*3%</f>
        <v>0</v>
      </c>
      <c r="G20" s="16">
        <f t="shared" si="0"/>
        <v>0</v>
      </c>
    </row>
    <row r="21" spans="1:7" ht="31" x14ac:dyDescent="0.35">
      <c r="A21" s="12" t="s">
        <v>997</v>
      </c>
      <c r="B21" s="17" t="s">
        <v>39</v>
      </c>
      <c r="C21" s="14">
        <v>30</v>
      </c>
      <c r="D21" s="14" t="s">
        <v>40</v>
      </c>
      <c r="E21" s="14" t="s">
        <v>16</v>
      </c>
      <c r="F21" s="15">
        <f>'Option Year 2'!F21+'Option Year 2'!F21*3%</f>
        <v>0</v>
      </c>
      <c r="G21" s="16">
        <f t="shared" si="0"/>
        <v>0</v>
      </c>
    </row>
    <row r="22" spans="1:7" ht="31" x14ac:dyDescent="0.35">
      <c r="A22" s="12" t="s">
        <v>998</v>
      </c>
      <c r="B22" s="17" t="s">
        <v>42</v>
      </c>
      <c r="C22" s="14">
        <v>30</v>
      </c>
      <c r="D22" s="14" t="s">
        <v>40</v>
      </c>
      <c r="E22" s="14" t="s">
        <v>16</v>
      </c>
      <c r="F22" s="15">
        <f>'Option Year 2'!F22+'Option Year 2'!F22*3%</f>
        <v>0</v>
      </c>
      <c r="G22" s="16">
        <f t="shared" si="0"/>
        <v>0</v>
      </c>
    </row>
    <row r="23" spans="1:7" ht="31" x14ac:dyDescent="0.35">
      <c r="A23" s="12" t="s">
        <v>999</v>
      </c>
      <c r="B23" s="17" t="s">
        <v>44</v>
      </c>
      <c r="C23" s="14">
        <v>100</v>
      </c>
      <c r="D23" s="14" t="s">
        <v>20</v>
      </c>
      <c r="E23" s="14" t="s">
        <v>16</v>
      </c>
      <c r="F23" s="15">
        <f>'Option Year 2'!F23+'Option Year 2'!F23*3%</f>
        <v>0</v>
      </c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>
        <f>'Option Year 2'!F24+'Option Year 2'!F24*3%</f>
        <v>0</v>
      </c>
      <c r="G24" s="16"/>
    </row>
    <row r="25" spans="1:7" ht="46.5" x14ac:dyDescent="0.35">
      <c r="A25" s="12"/>
      <c r="B25" s="18" t="s">
        <v>46</v>
      </c>
      <c r="C25" s="14"/>
      <c r="D25" s="14"/>
      <c r="E25" s="14"/>
      <c r="F25" s="15">
        <f>'Option Year 2'!F25+'Option Year 2'!F25*3%</f>
        <v>0</v>
      </c>
      <c r="G25" s="16"/>
    </row>
    <row r="26" spans="1:7" x14ac:dyDescent="0.35">
      <c r="A26" s="12" t="s">
        <v>1000</v>
      </c>
      <c r="B26" s="17" t="s">
        <v>48</v>
      </c>
      <c r="C26" s="14">
        <v>10</v>
      </c>
      <c r="D26" s="14" t="s">
        <v>15</v>
      </c>
      <c r="E26" s="14" t="s">
        <v>16</v>
      </c>
      <c r="F26" s="15">
        <f>'Option Year 2'!F26+'Option Year 2'!F26*3%</f>
        <v>0</v>
      </c>
      <c r="G26" s="16">
        <f t="shared" si="0"/>
        <v>0</v>
      </c>
    </row>
    <row r="27" spans="1:7" x14ac:dyDescent="0.35">
      <c r="A27" s="12" t="s">
        <v>1001</v>
      </c>
      <c r="B27" s="17" t="s">
        <v>50</v>
      </c>
      <c r="C27" s="14">
        <v>6</v>
      </c>
      <c r="D27" s="14" t="s">
        <v>15</v>
      </c>
      <c r="E27" s="14" t="s">
        <v>16</v>
      </c>
      <c r="F27" s="15">
        <f>'Option Year 2'!F27+'Option Year 2'!F27*3%</f>
        <v>0</v>
      </c>
      <c r="G27" s="16">
        <f t="shared" si="0"/>
        <v>0</v>
      </c>
    </row>
    <row r="28" spans="1:7" x14ac:dyDescent="0.35">
      <c r="A28" s="12" t="s">
        <v>1002</v>
      </c>
      <c r="B28" s="17" t="s">
        <v>52</v>
      </c>
      <c r="C28" s="14">
        <v>6</v>
      </c>
      <c r="D28" s="14" t="s">
        <v>15</v>
      </c>
      <c r="E28" s="14" t="s">
        <v>16</v>
      </c>
      <c r="F28" s="15">
        <f>'Option Year 2'!F28+'Option Year 2'!F28*3%</f>
        <v>0</v>
      </c>
      <c r="G28" s="16">
        <f t="shared" si="0"/>
        <v>0</v>
      </c>
    </row>
    <row r="29" spans="1:7" ht="46.5" x14ac:dyDescent="0.35">
      <c r="A29" s="12" t="s">
        <v>1003</v>
      </c>
      <c r="B29" s="17" t="s">
        <v>54</v>
      </c>
      <c r="C29" s="20">
        <v>6</v>
      </c>
      <c r="D29" s="20" t="s">
        <v>15</v>
      </c>
      <c r="E29" s="20" t="s">
        <v>16</v>
      </c>
      <c r="F29" s="21">
        <f>'Option Year 2'!F29+'Option Year 2'!F29*3%</f>
        <v>0</v>
      </c>
      <c r="G29" s="19">
        <f>F29*C29</f>
        <v>0</v>
      </c>
    </row>
    <row r="30" spans="1:7" x14ac:dyDescent="0.35">
      <c r="A30" s="12" t="s">
        <v>1004</v>
      </c>
      <c r="B30" s="17" t="s">
        <v>56</v>
      </c>
      <c r="C30" s="14">
        <v>6</v>
      </c>
      <c r="D30" s="14" t="s">
        <v>15</v>
      </c>
      <c r="E30" s="14" t="s">
        <v>16</v>
      </c>
      <c r="F30" s="15">
        <f>'Option Year 2'!F30+'Option Year 2'!F30*3%</f>
        <v>0</v>
      </c>
      <c r="G30" s="16">
        <f t="shared" si="0"/>
        <v>0</v>
      </c>
    </row>
    <row r="31" spans="1:7" ht="31" x14ac:dyDescent="0.35">
      <c r="A31" s="12" t="s">
        <v>1005</v>
      </c>
      <c r="B31" s="17" t="s">
        <v>58</v>
      </c>
      <c r="C31" s="14">
        <v>2</v>
      </c>
      <c r="D31" s="14" t="s">
        <v>15</v>
      </c>
      <c r="E31" s="14" t="s">
        <v>16</v>
      </c>
      <c r="F31" s="15">
        <f>'Option Year 2'!F31+'Option Year 2'!F31*3%</f>
        <v>0</v>
      </c>
      <c r="G31" s="16">
        <f t="shared" si="0"/>
        <v>0</v>
      </c>
    </row>
    <row r="32" spans="1:7" ht="31" x14ac:dyDescent="0.35">
      <c r="A32" s="12" t="s">
        <v>1006</v>
      </c>
      <c r="B32" s="17" t="s">
        <v>60</v>
      </c>
      <c r="C32" s="14">
        <v>3</v>
      </c>
      <c r="D32" s="14" t="s">
        <v>15</v>
      </c>
      <c r="E32" s="14" t="s">
        <v>16</v>
      </c>
      <c r="F32" s="15">
        <f>'Option Year 2'!F32+'Option Year 2'!F32*3%</f>
        <v>0</v>
      </c>
      <c r="G32" s="16">
        <f t="shared" si="0"/>
        <v>0</v>
      </c>
    </row>
    <row r="33" spans="1:7" ht="31" x14ac:dyDescent="0.35">
      <c r="A33" s="12" t="s">
        <v>1007</v>
      </c>
      <c r="B33" s="17" t="s">
        <v>62</v>
      </c>
      <c r="C33" s="14">
        <v>3</v>
      </c>
      <c r="D33" s="14" t="s">
        <v>15</v>
      </c>
      <c r="E33" s="14" t="s">
        <v>16</v>
      </c>
      <c r="F33" s="15">
        <f>'Option Year 2'!F33+'Option Year 2'!F33*3%</f>
        <v>0</v>
      </c>
      <c r="G33" s="16">
        <f t="shared" si="0"/>
        <v>0</v>
      </c>
    </row>
    <row r="34" spans="1:7" ht="46.5" x14ac:dyDescent="0.35">
      <c r="A34" s="12"/>
      <c r="B34" s="13" t="s">
        <v>63</v>
      </c>
      <c r="C34" s="14"/>
      <c r="D34" s="14"/>
      <c r="E34" s="14"/>
      <c r="F34" s="15">
        <f>'Option Year 2'!F34+'Option Year 2'!F34*3%</f>
        <v>0</v>
      </c>
      <c r="G34" s="16"/>
    </row>
    <row r="35" spans="1:7" x14ac:dyDescent="0.35">
      <c r="A35" s="12" t="s">
        <v>1008</v>
      </c>
      <c r="B35" s="17" t="s">
        <v>65</v>
      </c>
      <c r="C35" s="14">
        <v>20</v>
      </c>
      <c r="D35" s="14" t="s">
        <v>15</v>
      </c>
      <c r="E35" s="14" t="s">
        <v>16</v>
      </c>
      <c r="F35" s="15">
        <f>'Option Year 2'!F35+'Option Year 2'!F35*3%</f>
        <v>0</v>
      </c>
      <c r="G35" s="16">
        <f t="shared" ref="G35:G59" si="1">F35*C35</f>
        <v>0</v>
      </c>
    </row>
    <row r="36" spans="1:7" x14ac:dyDescent="0.35">
      <c r="A36" s="12" t="s">
        <v>1009</v>
      </c>
      <c r="B36" s="17" t="s">
        <v>67</v>
      </c>
      <c r="C36" s="14">
        <v>20</v>
      </c>
      <c r="D36" s="14" t="s">
        <v>15</v>
      </c>
      <c r="E36" s="14" t="s">
        <v>16</v>
      </c>
      <c r="F36" s="15">
        <f>'Option Year 2'!F36+'Option Year 2'!F36*3%</f>
        <v>0</v>
      </c>
      <c r="G36" s="16">
        <f t="shared" si="1"/>
        <v>0</v>
      </c>
    </row>
    <row r="37" spans="1:7" x14ac:dyDescent="0.35">
      <c r="A37" s="12" t="s">
        <v>1010</v>
      </c>
      <c r="B37" s="17"/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>
        <f>'Option Year 2'!F38+'Option Year 2'!F38*3%</f>
        <v>0</v>
      </c>
      <c r="G38" s="16"/>
    </row>
    <row r="39" spans="1:7" x14ac:dyDescent="0.35">
      <c r="A39" s="12" t="s">
        <v>1011</v>
      </c>
      <c r="B39" s="17" t="s">
        <v>71</v>
      </c>
      <c r="C39" s="14">
        <v>12</v>
      </c>
      <c r="D39" s="14" t="s">
        <v>25</v>
      </c>
      <c r="E39" s="14" t="s">
        <v>16</v>
      </c>
      <c r="F39" s="15">
        <f>'Option Year 2'!F39+'Option Year 2'!F39*3%</f>
        <v>0</v>
      </c>
      <c r="G39" s="16">
        <f t="shared" si="1"/>
        <v>0</v>
      </c>
    </row>
    <row r="40" spans="1:7" x14ac:dyDescent="0.35">
      <c r="A40" s="12" t="s">
        <v>1012</v>
      </c>
      <c r="B40" s="17" t="s">
        <v>73</v>
      </c>
      <c r="C40" s="14">
        <v>12</v>
      </c>
      <c r="D40" s="14" t="s">
        <v>25</v>
      </c>
      <c r="E40" s="14" t="s">
        <v>16</v>
      </c>
      <c r="F40" s="15">
        <f>'Option Year 2'!F40+'Option Year 2'!F40*3%</f>
        <v>0</v>
      </c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>
        <f>'Option Year 2'!F41+'Option Year 2'!F41*3%</f>
        <v>0</v>
      </c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>
        <f>'Option Year 2'!F42+'Option Year 2'!F42*3%</f>
        <v>0</v>
      </c>
      <c r="G42" s="16"/>
    </row>
    <row r="43" spans="1:7" x14ac:dyDescent="0.35">
      <c r="A43" s="12" t="s">
        <v>1013</v>
      </c>
      <c r="B43" s="17" t="s">
        <v>77</v>
      </c>
      <c r="C43" s="14">
        <v>6</v>
      </c>
      <c r="D43" s="14" t="s">
        <v>15</v>
      </c>
      <c r="E43" s="14" t="s">
        <v>16</v>
      </c>
      <c r="F43" s="15">
        <f>'Option Year 2'!F43+'Option Year 2'!F43*3%</f>
        <v>0</v>
      </c>
      <c r="G43" s="16">
        <f t="shared" si="1"/>
        <v>0</v>
      </c>
    </row>
    <row r="44" spans="1:7" ht="31" x14ac:dyDescent="0.35">
      <c r="A44" s="12"/>
      <c r="B44" s="13" t="s">
        <v>78</v>
      </c>
      <c r="C44" s="14"/>
      <c r="D44" s="14"/>
      <c r="E44" s="14"/>
      <c r="F44" s="15">
        <f>'Option Year 2'!F44+'Option Year 2'!F44*3%</f>
        <v>0</v>
      </c>
      <c r="G44" s="16"/>
    </row>
    <row r="45" spans="1:7" x14ac:dyDescent="0.35">
      <c r="A45" s="12" t="s">
        <v>1014</v>
      </c>
      <c r="B45" s="17" t="s">
        <v>80</v>
      </c>
      <c r="C45" s="14">
        <v>6</v>
      </c>
      <c r="D45" s="14" t="s">
        <v>15</v>
      </c>
      <c r="E45" s="14" t="s">
        <v>16</v>
      </c>
      <c r="F45" s="15">
        <f>'Option Year 2'!F45+'Option Year 2'!F45*3%</f>
        <v>0</v>
      </c>
      <c r="G45" s="16">
        <f t="shared" si="1"/>
        <v>0</v>
      </c>
    </row>
    <row r="46" spans="1:7" ht="46.5" x14ac:dyDescent="0.35">
      <c r="A46" s="12"/>
      <c r="B46" s="13" t="s">
        <v>81</v>
      </c>
      <c r="C46" s="14"/>
      <c r="D46" s="14"/>
      <c r="E46" s="14"/>
      <c r="F46" s="15">
        <f>'Option Year 2'!F46+'Option Year 2'!F46*3%</f>
        <v>0</v>
      </c>
      <c r="G46" s="16"/>
    </row>
    <row r="47" spans="1:7" x14ac:dyDescent="0.35">
      <c r="A47" s="12" t="s">
        <v>1015</v>
      </c>
      <c r="B47" s="17" t="s">
        <v>83</v>
      </c>
      <c r="C47" s="14">
        <v>6</v>
      </c>
      <c r="D47" s="14" t="s">
        <v>15</v>
      </c>
      <c r="E47" s="14" t="s">
        <v>16</v>
      </c>
      <c r="F47" s="15">
        <f>'Option Year 2'!F47+'Option Year 2'!F47*3%</f>
        <v>0</v>
      </c>
      <c r="G47" s="16">
        <f t="shared" si="1"/>
        <v>0</v>
      </c>
    </row>
    <row r="48" spans="1:7" x14ac:dyDescent="0.35">
      <c r="A48" s="12" t="s">
        <v>1016</v>
      </c>
      <c r="B48" s="17" t="s">
        <v>85</v>
      </c>
      <c r="C48" s="14">
        <v>6</v>
      </c>
      <c r="D48" s="14" t="s">
        <v>15</v>
      </c>
      <c r="E48" s="14" t="s">
        <v>16</v>
      </c>
      <c r="F48" s="15">
        <f>'Option Year 2'!F48+'Option Year 2'!F48*3%</f>
        <v>0</v>
      </c>
      <c r="G48" s="16">
        <f t="shared" si="1"/>
        <v>0</v>
      </c>
    </row>
    <row r="49" spans="1:7" ht="31" x14ac:dyDescent="0.35">
      <c r="A49" s="12" t="s">
        <v>1017</v>
      </c>
      <c r="B49" s="17" t="s">
        <v>87</v>
      </c>
      <c r="C49" s="14">
        <v>50</v>
      </c>
      <c r="D49" s="14" t="s">
        <v>25</v>
      </c>
      <c r="E49" s="14" t="s">
        <v>16</v>
      </c>
      <c r="F49" s="15">
        <f>'Option Year 2'!F49+'Option Year 2'!F49*3%</f>
        <v>0</v>
      </c>
      <c r="G49" s="16">
        <f t="shared" si="1"/>
        <v>0</v>
      </c>
    </row>
    <row r="50" spans="1:7" ht="31" x14ac:dyDescent="0.35">
      <c r="A50" s="12" t="s">
        <v>1018</v>
      </c>
      <c r="B50" s="17" t="s">
        <v>89</v>
      </c>
      <c r="C50" s="14">
        <v>12</v>
      </c>
      <c r="D50" s="14" t="s">
        <v>25</v>
      </c>
      <c r="E50" s="14" t="s">
        <v>16</v>
      </c>
      <c r="F50" s="15">
        <f>'Option Year 2'!F50+'Option Year 2'!F50*3%</f>
        <v>0</v>
      </c>
      <c r="G50" s="16">
        <f t="shared" si="1"/>
        <v>0</v>
      </c>
    </row>
    <row r="51" spans="1:7" ht="46.5" x14ac:dyDescent="0.35">
      <c r="A51" s="12" t="s">
        <v>1019</v>
      </c>
      <c r="B51" s="17" t="s">
        <v>91</v>
      </c>
      <c r="C51" s="14">
        <v>12</v>
      </c>
      <c r="D51" s="14" t="s">
        <v>25</v>
      </c>
      <c r="E51" s="14" t="s">
        <v>16</v>
      </c>
      <c r="F51" s="15">
        <f>'Option Year 2'!F51+'Option Year 2'!F51*3%</f>
        <v>0</v>
      </c>
      <c r="G51" s="16">
        <f t="shared" si="1"/>
        <v>0</v>
      </c>
    </row>
    <row r="52" spans="1:7" x14ac:dyDescent="0.35">
      <c r="A52" s="12" t="s">
        <v>1020</v>
      </c>
      <c r="B52" s="17" t="s">
        <v>93</v>
      </c>
      <c r="C52" s="14">
        <v>10</v>
      </c>
      <c r="D52" s="14" t="s">
        <v>15</v>
      </c>
      <c r="E52" s="14" t="s">
        <v>16</v>
      </c>
      <c r="F52" s="15">
        <f>'Option Year 2'!F52+'Option Year 2'!F52*3%</f>
        <v>0</v>
      </c>
      <c r="G52" s="16">
        <f t="shared" si="1"/>
        <v>0</v>
      </c>
    </row>
    <row r="53" spans="1:7" x14ac:dyDescent="0.35">
      <c r="A53" s="12" t="s">
        <v>1021</v>
      </c>
      <c r="B53" s="17" t="s">
        <v>95</v>
      </c>
      <c r="C53" s="14">
        <v>100</v>
      </c>
      <c r="D53" s="14" t="s">
        <v>25</v>
      </c>
      <c r="E53" s="14" t="s">
        <v>16</v>
      </c>
      <c r="F53" s="15">
        <f>'Option Year 2'!F53+'Option Year 2'!F53*3%</f>
        <v>0</v>
      </c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>
        <f>'Option Year 2'!F54+'Option Year 2'!F54*3%</f>
        <v>0</v>
      </c>
      <c r="G54" s="16"/>
    </row>
    <row r="55" spans="1:7" x14ac:dyDescent="0.35">
      <c r="A55" s="12" t="s">
        <v>1022</v>
      </c>
      <c r="B55" s="17" t="s">
        <v>98</v>
      </c>
      <c r="C55" s="14">
        <v>50</v>
      </c>
      <c r="D55" s="14" t="s">
        <v>25</v>
      </c>
      <c r="E55" s="14" t="s">
        <v>16</v>
      </c>
      <c r="F55" s="15">
        <f>'Option Year 2'!F55+'Option Year 2'!F55*3%</f>
        <v>0</v>
      </c>
      <c r="G55" s="16">
        <f t="shared" si="1"/>
        <v>0</v>
      </c>
    </row>
    <row r="56" spans="1:7" ht="46.5" x14ac:dyDescent="0.35">
      <c r="A56" s="12"/>
      <c r="B56" s="13" t="s">
        <v>99</v>
      </c>
      <c r="C56" s="14"/>
      <c r="D56" s="14"/>
      <c r="E56" s="14"/>
      <c r="F56" s="15">
        <f>'Option Year 2'!F56+'Option Year 2'!F56*3%</f>
        <v>0</v>
      </c>
      <c r="G56" s="16"/>
    </row>
    <row r="57" spans="1:7" x14ac:dyDescent="0.35">
      <c r="A57" s="12" t="s">
        <v>1023</v>
      </c>
      <c r="B57" s="17" t="s">
        <v>101</v>
      </c>
      <c r="C57" s="14">
        <v>10</v>
      </c>
      <c r="D57" s="14" t="s">
        <v>15</v>
      </c>
      <c r="E57" s="14" t="s">
        <v>16</v>
      </c>
      <c r="F57" s="15">
        <f>'Option Year 2'!F57+'Option Year 2'!F57*3%</f>
        <v>0</v>
      </c>
      <c r="G57" s="16">
        <f t="shared" si="1"/>
        <v>0</v>
      </c>
    </row>
    <row r="58" spans="1:7" x14ac:dyDescent="0.35">
      <c r="A58" s="12" t="s">
        <v>1024</v>
      </c>
      <c r="B58" s="17" t="s">
        <v>103</v>
      </c>
      <c r="C58" s="14">
        <v>10</v>
      </c>
      <c r="D58" s="14" t="s">
        <v>15</v>
      </c>
      <c r="E58" s="14" t="s">
        <v>16</v>
      </c>
      <c r="F58" s="15">
        <f>'Option Year 2'!F58+'Option Year 2'!F58*3%</f>
        <v>0</v>
      </c>
      <c r="G58" s="16">
        <f t="shared" si="1"/>
        <v>0</v>
      </c>
    </row>
    <row r="59" spans="1:7" x14ac:dyDescent="0.35">
      <c r="A59" s="12" t="s">
        <v>1025</v>
      </c>
      <c r="B59" s="17" t="s">
        <v>105</v>
      </c>
      <c r="C59" s="14">
        <v>10</v>
      </c>
      <c r="D59" s="14" t="s">
        <v>15</v>
      </c>
      <c r="E59" s="14" t="s">
        <v>16</v>
      </c>
      <c r="F59" s="15">
        <f>'Option Year 2'!F59+'Option Year 2'!F59*3%</f>
        <v>0</v>
      </c>
      <c r="G59" s="16">
        <f t="shared" si="1"/>
        <v>0</v>
      </c>
    </row>
    <row r="60" spans="1:7" ht="31" x14ac:dyDescent="0.35">
      <c r="A60" s="12"/>
      <c r="B60" s="13" t="s">
        <v>106</v>
      </c>
      <c r="C60" s="14"/>
      <c r="D60" s="14"/>
      <c r="E60" s="14"/>
      <c r="F60" s="15">
        <f>'Option Year 2'!F60+'Option Year 2'!F60*3%</f>
        <v>0</v>
      </c>
      <c r="G60" s="16"/>
    </row>
    <row r="61" spans="1:7" x14ac:dyDescent="0.35">
      <c r="A61" s="12" t="s">
        <v>1026</v>
      </c>
      <c r="B61" s="17" t="s">
        <v>101</v>
      </c>
      <c r="C61" s="14">
        <v>10</v>
      </c>
      <c r="D61" s="14" t="s">
        <v>15</v>
      </c>
      <c r="E61" s="14" t="s">
        <v>16</v>
      </c>
      <c r="F61" s="15">
        <f>'Option Year 2'!F61+'Option Year 2'!F61*3%</f>
        <v>0</v>
      </c>
      <c r="G61" s="16">
        <f t="shared" ref="G61:G124" si="2">F61*C61</f>
        <v>0</v>
      </c>
    </row>
    <row r="62" spans="1:7" x14ac:dyDescent="0.35">
      <c r="A62" s="12" t="s">
        <v>1027</v>
      </c>
      <c r="B62" s="17" t="s">
        <v>103</v>
      </c>
      <c r="C62" s="14">
        <v>10</v>
      </c>
      <c r="D62" s="14" t="s">
        <v>15</v>
      </c>
      <c r="E62" s="14" t="s">
        <v>16</v>
      </c>
      <c r="F62" s="15">
        <f>'Option Year 2'!F62+'Option Year 2'!F62*3%</f>
        <v>0</v>
      </c>
      <c r="G62" s="16">
        <f t="shared" si="2"/>
        <v>0</v>
      </c>
    </row>
    <row r="63" spans="1:7" x14ac:dyDescent="0.35">
      <c r="A63" s="12" t="s">
        <v>1028</v>
      </c>
      <c r="B63" s="17" t="s">
        <v>105</v>
      </c>
      <c r="C63" s="14">
        <v>10</v>
      </c>
      <c r="D63" s="14" t="s">
        <v>15</v>
      </c>
      <c r="E63" s="14" t="s">
        <v>16</v>
      </c>
      <c r="F63" s="15">
        <f>'Option Year 2'!F63+'Option Year 2'!F63*3%</f>
        <v>0</v>
      </c>
      <c r="G63" s="16">
        <f t="shared" si="2"/>
        <v>0</v>
      </c>
    </row>
    <row r="64" spans="1:7" x14ac:dyDescent="0.35">
      <c r="A64" s="12" t="s">
        <v>1029</v>
      </c>
      <c r="B64" s="17" t="s">
        <v>111</v>
      </c>
      <c r="C64" s="14">
        <v>50</v>
      </c>
      <c r="D64" s="14" t="s">
        <v>25</v>
      </c>
      <c r="E64" s="14" t="s">
        <v>16</v>
      </c>
      <c r="F64" s="15">
        <f>'Option Year 2'!F64+'Option Year 2'!F64*3%</f>
        <v>0</v>
      </c>
      <c r="G64" s="16">
        <f t="shared" si="2"/>
        <v>0</v>
      </c>
    </row>
    <row r="65" spans="1:7" x14ac:dyDescent="0.35">
      <c r="A65" s="12" t="s">
        <v>1030</v>
      </c>
      <c r="B65" s="17" t="s">
        <v>113</v>
      </c>
      <c r="C65" s="14">
        <v>5</v>
      </c>
      <c r="D65" s="14" t="s">
        <v>114</v>
      </c>
      <c r="E65" s="14" t="s">
        <v>16</v>
      </c>
      <c r="F65" s="15">
        <f>'Option Year 2'!F65+'Option Year 2'!F65*3%</f>
        <v>0</v>
      </c>
      <c r="G65" s="16">
        <f t="shared" si="2"/>
        <v>0</v>
      </c>
    </row>
    <row r="66" spans="1:7" ht="18.75" customHeight="1" x14ac:dyDescent="0.35">
      <c r="A66" s="12" t="s">
        <v>1031</v>
      </c>
      <c r="B66" s="17" t="s">
        <v>116</v>
      </c>
      <c r="C66" s="14">
        <v>12</v>
      </c>
      <c r="D66" s="14" t="s">
        <v>40</v>
      </c>
      <c r="E66" s="14" t="s">
        <v>16</v>
      </c>
      <c r="F66" s="15">
        <f>'Option Year 2'!F66+'Option Year 2'!F66*3%</f>
        <v>0</v>
      </c>
      <c r="G66" s="16">
        <f t="shared" si="2"/>
        <v>0</v>
      </c>
    </row>
    <row r="67" spans="1:7" x14ac:dyDescent="0.35">
      <c r="A67" s="12" t="s">
        <v>1032</v>
      </c>
      <c r="B67" s="17" t="s">
        <v>118</v>
      </c>
      <c r="C67" s="14">
        <v>5</v>
      </c>
      <c r="D67" s="14" t="s">
        <v>114</v>
      </c>
      <c r="E67" s="14" t="s">
        <v>16</v>
      </c>
      <c r="F67" s="15">
        <f>'Option Year 2'!F67+'Option Year 2'!F67*3%</f>
        <v>0</v>
      </c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>
        <f>'Option Year 2'!F68+'Option Year 2'!F68*3%</f>
        <v>0</v>
      </c>
      <c r="G68" s="16"/>
    </row>
    <row r="69" spans="1:7" x14ac:dyDescent="0.35">
      <c r="A69" s="12" t="s">
        <v>1033</v>
      </c>
      <c r="B69" s="17" t="s">
        <v>121</v>
      </c>
      <c r="C69" s="14">
        <v>5</v>
      </c>
      <c r="D69" s="14" t="s">
        <v>15</v>
      </c>
      <c r="E69" s="14" t="s">
        <v>16</v>
      </c>
      <c r="F69" s="15">
        <f>'Option Year 2'!F69+'Option Year 2'!F69*3%</f>
        <v>0</v>
      </c>
      <c r="G69" s="16">
        <f t="shared" si="2"/>
        <v>0</v>
      </c>
    </row>
    <row r="70" spans="1:7" x14ac:dyDescent="0.35">
      <c r="A70" s="12" t="s">
        <v>1034</v>
      </c>
      <c r="B70" s="17" t="s">
        <v>123</v>
      </c>
      <c r="C70" s="14">
        <v>5</v>
      </c>
      <c r="D70" s="14" t="s">
        <v>15</v>
      </c>
      <c r="E70" s="14" t="s">
        <v>16</v>
      </c>
      <c r="F70" s="15">
        <f>'Option Year 2'!F70+'Option Year 2'!F70*3%</f>
        <v>0</v>
      </c>
      <c r="G70" s="16">
        <f t="shared" si="2"/>
        <v>0</v>
      </c>
    </row>
    <row r="71" spans="1:7" x14ac:dyDescent="0.35">
      <c r="A71" s="12" t="s">
        <v>1035</v>
      </c>
      <c r="B71" s="17" t="s">
        <v>125</v>
      </c>
      <c r="C71" s="14">
        <v>25</v>
      </c>
      <c r="D71" s="14" t="s">
        <v>25</v>
      </c>
      <c r="E71" s="14" t="s">
        <v>16</v>
      </c>
      <c r="F71" s="15">
        <f>'Option Year 2'!F71+'Option Year 2'!F71*3%</f>
        <v>0</v>
      </c>
      <c r="G71" s="16">
        <f t="shared" si="2"/>
        <v>0</v>
      </c>
    </row>
    <row r="72" spans="1:7" x14ac:dyDescent="0.35">
      <c r="A72" s="12" t="s">
        <v>1036</v>
      </c>
      <c r="B72" s="17" t="s">
        <v>127</v>
      </c>
      <c r="C72" s="14">
        <v>5</v>
      </c>
      <c r="D72" s="14" t="s">
        <v>114</v>
      </c>
      <c r="E72" s="14" t="s">
        <v>16</v>
      </c>
      <c r="F72" s="15">
        <f>'Option Year 2'!F72+'Option Year 2'!F72*3%</f>
        <v>0</v>
      </c>
      <c r="G72" s="16">
        <f t="shared" si="2"/>
        <v>0</v>
      </c>
    </row>
    <row r="73" spans="1:7" ht="31" x14ac:dyDescent="0.35">
      <c r="A73" s="12"/>
      <c r="B73" s="13" t="s">
        <v>128</v>
      </c>
      <c r="C73" s="14"/>
      <c r="D73" s="14"/>
      <c r="E73" s="14"/>
      <c r="F73" s="15">
        <f>'Option Year 2'!F73+'Option Year 2'!F73*3%</f>
        <v>0</v>
      </c>
      <c r="G73" s="16"/>
    </row>
    <row r="74" spans="1:7" x14ac:dyDescent="0.35">
      <c r="A74" s="12" t="s">
        <v>1037</v>
      </c>
      <c r="B74" s="17" t="s">
        <v>130</v>
      </c>
      <c r="C74" s="14">
        <v>25</v>
      </c>
      <c r="D74" s="14" t="s">
        <v>25</v>
      </c>
      <c r="E74" s="14" t="s">
        <v>16</v>
      </c>
      <c r="F74" s="15">
        <f>'Option Year 2'!F74+'Option Year 2'!F74*3%</f>
        <v>0</v>
      </c>
      <c r="G74" s="16">
        <f t="shared" si="2"/>
        <v>0</v>
      </c>
    </row>
    <row r="75" spans="1:7" x14ac:dyDescent="0.35">
      <c r="A75" s="12" t="s">
        <v>1038</v>
      </c>
      <c r="B75" s="17" t="s">
        <v>132</v>
      </c>
      <c r="C75" s="14">
        <v>25</v>
      </c>
      <c r="D75" s="14" t="s">
        <v>25</v>
      </c>
      <c r="E75" s="14" t="s">
        <v>16</v>
      </c>
      <c r="F75" s="15">
        <f>'Option Year 2'!F75+'Option Year 2'!F75*3%</f>
        <v>0</v>
      </c>
      <c r="G75" s="16">
        <f t="shared" si="2"/>
        <v>0</v>
      </c>
    </row>
    <row r="76" spans="1:7" x14ac:dyDescent="0.35">
      <c r="A76" s="12" t="s">
        <v>1039</v>
      </c>
      <c r="B76" s="17" t="s">
        <v>134</v>
      </c>
      <c r="C76" s="14">
        <v>25</v>
      </c>
      <c r="D76" s="14" t="s">
        <v>25</v>
      </c>
      <c r="E76" s="14" t="s">
        <v>16</v>
      </c>
      <c r="F76" s="15">
        <f>'Option Year 2'!F76+'Option Year 2'!F76*3%</f>
        <v>0</v>
      </c>
      <c r="G76" s="16">
        <f t="shared" si="2"/>
        <v>0</v>
      </c>
    </row>
    <row r="77" spans="1:7" x14ac:dyDescent="0.35">
      <c r="A77" s="12" t="s">
        <v>1040</v>
      </c>
      <c r="B77" s="17" t="s">
        <v>136</v>
      </c>
      <c r="C77" s="14">
        <v>25</v>
      </c>
      <c r="D77" s="14" t="s">
        <v>25</v>
      </c>
      <c r="E77" s="14" t="s">
        <v>16</v>
      </c>
      <c r="F77" s="15">
        <f>'Option Year 2'!F77+'Option Year 2'!F77*3%</f>
        <v>0</v>
      </c>
      <c r="G77" s="16">
        <f t="shared" si="2"/>
        <v>0</v>
      </c>
    </row>
    <row r="78" spans="1:7" ht="31" x14ac:dyDescent="0.35">
      <c r="A78" s="12"/>
      <c r="B78" s="13" t="s">
        <v>137</v>
      </c>
      <c r="C78" s="14"/>
      <c r="D78" s="14"/>
      <c r="E78" s="14"/>
      <c r="F78" s="15">
        <f>'Option Year 2'!F78+'Option Year 2'!F78*3%</f>
        <v>0</v>
      </c>
      <c r="G78" s="16"/>
    </row>
    <row r="79" spans="1:7" x14ac:dyDescent="0.35">
      <c r="A79" s="12" t="s">
        <v>1041</v>
      </c>
      <c r="B79" s="17" t="s">
        <v>130</v>
      </c>
      <c r="C79" s="14">
        <v>25</v>
      </c>
      <c r="D79" s="14" t="s">
        <v>25</v>
      </c>
      <c r="E79" s="14" t="s">
        <v>16</v>
      </c>
      <c r="F79" s="15">
        <f>'Option Year 2'!F79+'Option Year 2'!F79*3%</f>
        <v>0</v>
      </c>
      <c r="G79" s="16">
        <f t="shared" si="2"/>
        <v>0</v>
      </c>
    </row>
    <row r="80" spans="1:7" x14ac:dyDescent="0.35">
      <c r="A80" s="12" t="s">
        <v>1042</v>
      </c>
      <c r="B80" s="17" t="s">
        <v>132</v>
      </c>
      <c r="C80" s="14">
        <v>25</v>
      </c>
      <c r="D80" s="14" t="s">
        <v>25</v>
      </c>
      <c r="E80" s="14" t="s">
        <v>16</v>
      </c>
      <c r="F80" s="15">
        <f>'Option Year 2'!F80+'Option Year 2'!F80*3%</f>
        <v>0</v>
      </c>
      <c r="G80" s="16">
        <f t="shared" si="2"/>
        <v>0</v>
      </c>
    </row>
    <row r="81" spans="1:7" x14ac:dyDescent="0.35">
      <c r="A81" s="12" t="s">
        <v>1043</v>
      </c>
      <c r="B81" s="17" t="s">
        <v>134</v>
      </c>
      <c r="C81" s="14">
        <v>25</v>
      </c>
      <c r="D81" s="14" t="s">
        <v>25</v>
      </c>
      <c r="E81" s="14" t="s">
        <v>16</v>
      </c>
      <c r="F81" s="15">
        <f>'Option Year 2'!F81+'Option Year 2'!F81*3%</f>
        <v>0</v>
      </c>
      <c r="G81" s="16">
        <f t="shared" si="2"/>
        <v>0</v>
      </c>
    </row>
    <row r="82" spans="1:7" x14ac:dyDescent="0.35">
      <c r="A82" s="12" t="s">
        <v>1044</v>
      </c>
      <c r="B82" s="17" t="s">
        <v>136</v>
      </c>
      <c r="C82" s="14">
        <v>25</v>
      </c>
      <c r="D82" s="14" t="s">
        <v>25</v>
      </c>
      <c r="E82" s="14" t="s">
        <v>16</v>
      </c>
      <c r="F82" s="15">
        <f>'Option Year 2'!F82+'Option Year 2'!F82*3%</f>
        <v>0</v>
      </c>
      <c r="G82" s="16">
        <f t="shared" si="2"/>
        <v>0</v>
      </c>
    </row>
    <row r="83" spans="1:7" ht="31" x14ac:dyDescent="0.35">
      <c r="A83" s="12"/>
      <c r="B83" s="22" t="s">
        <v>142</v>
      </c>
      <c r="C83" s="14"/>
      <c r="D83" s="14"/>
      <c r="E83" s="14"/>
      <c r="F83" s="15">
        <f>'Option Year 2'!F83+'Option Year 2'!F83*3%</f>
        <v>0</v>
      </c>
      <c r="G83" s="16"/>
    </row>
    <row r="84" spans="1:7" x14ac:dyDescent="0.35">
      <c r="A84" s="12" t="s">
        <v>1045</v>
      </c>
      <c r="B84" s="17" t="s">
        <v>130</v>
      </c>
      <c r="C84" s="14">
        <v>6</v>
      </c>
      <c r="D84" s="14" t="s">
        <v>40</v>
      </c>
      <c r="E84" s="14" t="s">
        <v>16</v>
      </c>
      <c r="F84" s="15">
        <f>'Option Year 2'!F84+'Option Year 2'!F84*3%</f>
        <v>0</v>
      </c>
      <c r="G84" s="16">
        <f t="shared" si="2"/>
        <v>0</v>
      </c>
    </row>
    <row r="85" spans="1:7" x14ac:dyDescent="0.35">
      <c r="A85" s="12" t="s">
        <v>1046</v>
      </c>
      <c r="B85" s="17" t="s">
        <v>132</v>
      </c>
      <c r="C85" s="14">
        <v>6</v>
      </c>
      <c r="D85" s="14" t="s">
        <v>40</v>
      </c>
      <c r="E85" s="14" t="s">
        <v>16</v>
      </c>
      <c r="F85" s="15">
        <f>'Option Year 2'!F85+'Option Year 2'!F85*3%</f>
        <v>0</v>
      </c>
      <c r="G85" s="16">
        <f t="shared" si="2"/>
        <v>0</v>
      </c>
    </row>
    <row r="86" spans="1:7" x14ac:dyDescent="0.35">
      <c r="A86" s="12" t="s">
        <v>1047</v>
      </c>
      <c r="B86" s="17" t="s">
        <v>134</v>
      </c>
      <c r="C86" s="14">
        <v>6</v>
      </c>
      <c r="D86" s="14" t="s">
        <v>40</v>
      </c>
      <c r="E86" s="14" t="s">
        <v>16</v>
      </c>
      <c r="F86" s="15">
        <f>'Option Year 2'!F86+'Option Year 2'!F86*3%</f>
        <v>0</v>
      </c>
      <c r="G86" s="16">
        <f t="shared" si="2"/>
        <v>0</v>
      </c>
    </row>
    <row r="87" spans="1:7" x14ac:dyDescent="0.35">
      <c r="A87" s="12" t="s">
        <v>1048</v>
      </c>
      <c r="B87" s="17" t="s">
        <v>136</v>
      </c>
      <c r="C87" s="14">
        <v>6</v>
      </c>
      <c r="D87" s="14" t="s">
        <v>40</v>
      </c>
      <c r="E87" s="14" t="s">
        <v>16</v>
      </c>
      <c r="F87" s="15">
        <f>'Option Year 2'!F87+'Option Year 2'!F87*3%</f>
        <v>0</v>
      </c>
      <c r="G87" s="16">
        <f t="shared" si="2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>
        <f>'Option Year 2'!F88+'Option Year 2'!F88*3%</f>
        <v>0</v>
      </c>
      <c r="G88" s="16"/>
    </row>
    <row r="89" spans="1:7" x14ac:dyDescent="0.35">
      <c r="A89" s="12"/>
      <c r="B89" s="13" t="s">
        <v>148</v>
      </c>
      <c r="C89" s="14"/>
      <c r="D89" s="14"/>
      <c r="E89" s="14"/>
      <c r="F89" s="15">
        <f>'Option Year 2'!F89+'Option Year 2'!F89*3%</f>
        <v>0</v>
      </c>
      <c r="G89" s="16"/>
    </row>
    <row r="90" spans="1:7" x14ac:dyDescent="0.35">
      <c r="A90" s="12" t="s">
        <v>1049</v>
      </c>
      <c r="B90" s="17" t="s">
        <v>150</v>
      </c>
      <c r="C90" s="14">
        <v>100</v>
      </c>
      <c r="D90" s="14" t="s">
        <v>40</v>
      </c>
      <c r="E90" s="14" t="s">
        <v>16</v>
      </c>
      <c r="F90" s="15">
        <f>'Option Year 2'!F90+'Option Year 2'!F90*3%</f>
        <v>0</v>
      </c>
      <c r="G90" s="16">
        <f t="shared" si="2"/>
        <v>0</v>
      </c>
    </row>
    <row r="91" spans="1:7" x14ac:dyDescent="0.35">
      <c r="A91" s="12" t="s">
        <v>1050</v>
      </c>
      <c r="B91" s="17" t="s">
        <v>152</v>
      </c>
      <c r="C91" s="14">
        <v>100</v>
      </c>
      <c r="D91" s="14" t="s">
        <v>40</v>
      </c>
      <c r="E91" s="14" t="s">
        <v>16</v>
      </c>
      <c r="F91" s="15">
        <f>'Option Year 2'!F91+'Option Year 2'!F91*3%</f>
        <v>0</v>
      </c>
      <c r="G91" s="16">
        <f t="shared" si="2"/>
        <v>0</v>
      </c>
    </row>
    <row r="92" spans="1:7" x14ac:dyDescent="0.35">
      <c r="A92" s="12" t="s">
        <v>1051</v>
      </c>
      <c r="B92" s="17" t="s">
        <v>154</v>
      </c>
      <c r="C92" s="14">
        <v>100</v>
      </c>
      <c r="D92" s="14" t="s">
        <v>40</v>
      </c>
      <c r="E92" s="14" t="s">
        <v>16</v>
      </c>
      <c r="F92" s="15">
        <f>'Option Year 2'!F92+'Option Year 2'!F92*3%</f>
        <v>0</v>
      </c>
      <c r="G92" s="16">
        <f t="shared" si="2"/>
        <v>0</v>
      </c>
    </row>
    <row r="93" spans="1:7" x14ac:dyDescent="0.35">
      <c r="A93" s="12" t="s">
        <v>1052</v>
      </c>
      <c r="B93" s="17" t="s">
        <v>156</v>
      </c>
      <c r="C93" s="14">
        <v>100</v>
      </c>
      <c r="D93" s="14" t="s">
        <v>40</v>
      </c>
      <c r="E93" s="14" t="s">
        <v>16</v>
      </c>
      <c r="F93" s="15">
        <f>'Option Year 2'!F93+'Option Year 2'!F93*3%</f>
        <v>0</v>
      </c>
      <c r="G93" s="16">
        <f t="shared" si="2"/>
        <v>0</v>
      </c>
    </row>
    <row r="94" spans="1:7" x14ac:dyDescent="0.35">
      <c r="A94" s="12" t="s">
        <v>1053</v>
      </c>
      <c r="B94" s="17" t="s">
        <v>158</v>
      </c>
      <c r="C94" s="14">
        <v>100</v>
      </c>
      <c r="D94" s="14" t="s">
        <v>40</v>
      </c>
      <c r="E94" s="14" t="s">
        <v>16</v>
      </c>
      <c r="F94" s="15">
        <f>'Option Year 2'!F94+'Option Year 2'!F94*3%</f>
        <v>0</v>
      </c>
      <c r="G94" s="16">
        <f t="shared" si="2"/>
        <v>0</v>
      </c>
    </row>
    <row r="95" spans="1:7" x14ac:dyDescent="0.35">
      <c r="A95" s="12" t="s">
        <v>1054</v>
      </c>
      <c r="B95" s="17" t="s">
        <v>160</v>
      </c>
      <c r="C95" s="14">
        <v>100</v>
      </c>
      <c r="D95" s="14" t="s">
        <v>40</v>
      </c>
      <c r="E95" s="14" t="s">
        <v>16</v>
      </c>
      <c r="F95" s="15">
        <f>'Option Year 2'!F95+'Option Year 2'!F95*3%</f>
        <v>0</v>
      </c>
      <c r="G95" s="16">
        <f t="shared" si="2"/>
        <v>0</v>
      </c>
    </row>
    <row r="96" spans="1:7" x14ac:dyDescent="0.35">
      <c r="A96" s="12" t="s">
        <v>1055</v>
      </c>
      <c r="B96" s="17" t="s">
        <v>162</v>
      </c>
      <c r="C96" s="14">
        <v>100</v>
      </c>
      <c r="D96" s="14" t="s">
        <v>40</v>
      </c>
      <c r="E96" s="14" t="s">
        <v>16</v>
      </c>
      <c r="F96" s="15">
        <f>'Option Year 2'!F96+'Option Year 2'!F96*3%</f>
        <v>0</v>
      </c>
      <c r="G96" s="16">
        <f t="shared" si="2"/>
        <v>0</v>
      </c>
    </row>
    <row r="97" spans="1:7" x14ac:dyDescent="0.35">
      <c r="A97" s="12" t="s">
        <v>1056</v>
      </c>
      <c r="B97" s="17" t="s">
        <v>164</v>
      </c>
      <c r="C97" s="14">
        <v>100</v>
      </c>
      <c r="D97" s="14" t="s">
        <v>40</v>
      </c>
      <c r="E97" s="14" t="s">
        <v>16</v>
      </c>
      <c r="F97" s="15">
        <f>'Option Year 2'!F97+'Option Year 2'!F97*3%</f>
        <v>0</v>
      </c>
      <c r="G97" s="16">
        <f t="shared" si="2"/>
        <v>0</v>
      </c>
    </row>
    <row r="98" spans="1:7" x14ac:dyDescent="0.35">
      <c r="A98" s="12" t="s">
        <v>1057</v>
      </c>
      <c r="B98" s="17" t="s">
        <v>166</v>
      </c>
      <c r="C98" s="14">
        <v>100</v>
      </c>
      <c r="D98" s="14" t="s">
        <v>40</v>
      </c>
      <c r="E98" s="14" t="s">
        <v>16</v>
      </c>
      <c r="F98" s="15">
        <f>'Option Year 2'!F98+'Option Year 2'!F98*3%</f>
        <v>0</v>
      </c>
      <c r="G98" s="16">
        <f t="shared" si="2"/>
        <v>0</v>
      </c>
    </row>
    <row r="99" spans="1:7" x14ac:dyDescent="0.35">
      <c r="A99" s="12" t="s">
        <v>1058</v>
      </c>
      <c r="B99" s="17" t="s">
        <v>168</v>
      </c>
      <c r="C99" s="14">
        <v>100</v>
      </c>
      <c r="D99" s="14" t="s">
        <v>40</v>
      </c>
      <c r="E99" s="14" t="s">
        <v>16</v>
      </c>
      <c r="F99" s="15">
        <f>'Option Year 2'!F99+'Option Year 2'!F99*3%</f>
        <v>0</v>
      </c>
      <c r="G99" s="16">
        <f t="shared" si="2"/>
        <v>0</v>
      </c>
    </row>
    <row r="100" spans="1:7" x14ac:dyDescent="0.35">
      <c r="A100" s="12" t="s">
        <v>1059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>
        <f>'Option Year 2'!F100+'Option Year 2'!F100*3%</f>
        <v>0</v>
      </c>
      <c r="G100" s="16">
        <f t="shared" si="2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>
        <f>'Option Year 2'!F101+'Option Year 2'!F101*3%</f>
        <v>0</v>
      </c>
      <c r="G101" s="16"/>
    </row>
    <row r="102" spans="1:7" x14ac:dyDescent="0.35">
      <c r="A102" s="12" t="s">
        <v>1060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>
        <f>'Option Year 2'!F102+'Option Year 2'!F102*3%</f>
        <v>0</v>
      </c>
      <c r="G102" s="16">
        <f t="shared" si="2"/>
        <v>0</v>
      </c>
    </row>
    <row r="103" spans="1:7" x14ac:dyDescent="0.35">
      <c r="A103" s="12" t="s">
        <v>1061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>
        <f>'Option Year 2'!F103+'Option Year 2'!F103*3%</f>
        <v>0</v>
      </c>
      <c r="G103" s="16">
        <f t="shared" si="2"/>
        <v>0</v>
      </c>
    </row>
    <row r="104" spans="1:7" x14ac:dyDescent="0.35">
      <c r="A104" s="12" t="s">
        <v>1062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>
        <f>'Option Year 2'!F104+'Option Year 2'!F104*3%</f>
        <v>0</v>
      </c>
      <c r="G104" s="16">
        <f t="shared" si="2"/>
        <v>0</v>
      </c>
    </row>
    <row r="105" spans="1:7" x14ac:dyDescent="0.35">
      <c r="A105" s="12" t="s">
        <v>1063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>
        <f>'Option Year 2'!F105+'Option Year 2'!F105*3%</f>
        <v>0</v>
      </c>
      <c r="G105" s="16">
        <f t="shared" si="2"/>
        <v>0</v>
      </c>
    </row>
    <row r="106" spans="1:7" x14ac:dyDescent="0.35">
      <c r="A106" s="12" t="s">
        <v>1064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>
        <f>'Option Year 2'!F106+'Option Year 2'!F106*3%</f>
        <v>0</v>
      </c>
      <c r="G106" s="16">
        <f t="shared" si="2"/>
        <v>0</v>
      </c>
    </row>
    <row r="107" spans="1:7" x14ac:dyDescent="0.35">
      <c r="A107" s="12" t="s">
        <v>1065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>
        <f>'Option Year 2'!F107+'Option Year 2'!F107*3%</f>
        <v>0</v>
      </c>
      <c r="G107" s="16">
        <f t="shared" si="2"/>
        <v>0</v>
      </c>
    </row>
    <row r="108" spans="1:7" x14ac:dyDescent="0.35">
      <c r="A108" s="12" t="s">
        <v>1066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>
        <f>'Option Year 2'!F108+'Option Year 2'!F108*3%</f>
        <v>0</v>
      </c>
      <c r="G108" s="16">
        <f t="shared" si="2"/>
        <v>0</v>
      </c>
    </row>
    <row r="109" spans="1:7" x14ac:dyDescent="0.35">
      <c r="A109" s="12" t="s">
        <v>1067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>
        <f>'Option Year 2'!F109+'Option Year 2'!F109*3%</f>
        <v>0</v>
      </c>
      <c r="G109" s="16">
        <f t="shared" si="2"/>
        <v>0</v>
      </c>
    </row>
    <row r="110" spans="1:7" x14ac:dyDescent="0.35">
      <c r="A110" s="12" t="s">
        <v>1068</v>
      </c>
      <c r="B110" s="17" t="s">
        <v>189</v>
      </c>
      <c r="C110" s="14">
        <v>5</v>
      </c>
      <c r="D110" s="14" t="s">
        <v>114</v>
      </c>
      <c r="E110" s="14" t="s">
        <v>16</v>
      </c>
      <c r="F110" s="15">
        <f>'Option Year 2'!F110+'Option Year 2'!F110*3%</f>
        <v>0</v>
      </c>
      <c r="G110" s="16">
        <f t="shared" si="2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>
        <f>'Option Year 2'!F111+'Option Year 2'!F111*3%</f>
        <v>0</v>
      </c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>
        <f>'Option Year 2'!F112+'Option Year 2'!F112*3%</f>
        <v>0</v>
      </c>
      <c r="G112" s="16"/>
    </row>
    <row r="113" spans="1:7" ht="31" x14ac:dyDescent="0.35">
      <c r="A113" s="12" t="s">
        <v>1069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>
        <f>'Option Year 2'!F113+'Option Year 2'!F113*3%</f>
        <v>0</v>
      </c>
      <c r="G113" s="16">
        <f t="shared" si="2"/>
        <v>0</v>
      </c>
    </row>
    <row r="114" spans="1:7" ht="31" x14ac:dyDescent="0.35">
      <c r="A114" s="12" t="s">
        <v>1070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>
        <f>'Option Year 2'!F114+'Option Year 2'!F114*3%</f>
        <v>0</v>
      </c>
      <c r="G114" s="16">
        <f t="shared" si="2"/>
        <v>0</v>
      </c>
    </row>
    <row r="115" spans="1:7" ht="46.5" x14ac:dyDescent="0.35">
      <c r="A115" s="12" t="s">
        <v>1071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>
        <f>'Option Year 2'!F115+'Option Year 2'!F115*3%</f>
        <v>0</v>
      </c>
      <c r="G115" s="16">
        <f t="shared" si="2"/>
        <v>0</v>
      </c>
    </row>
    <row r="116" spans="1:7" x14ac:dyDescent="0.35">
      <c r="A116" s="12" t="s">
        <v>1072</v>
      </c>
      <c r="B116" s="17" t="s">
        <v>199</v>
      </c>
      <c r="C116" s="14">
        <v>3</v>
      </c>
      <c r="D116" s="14" t="s">
        <v>114</v>
      </c>
      <c r="E116" s="14" t="s">
        <v>16</v>
      </c>
      <c r="F116" s="15">
        <f>'Option Year 2'!F116+'Option Year 2'!F116*3%</f>
        <v>0</v>
      </c>
      <c r="G116" s="16">
        <f t="shared" si="2"/>
        <v>0</v>
      </c>
    </row>
    <row r="117" spans="1:7" x14ac:dyDescent="0.35">
      <c r="A117" s="12" t="s">
        <v>1073</v>
      </c>
      <c r="B117" s="17" t="s">
        <v>201</v>
      </c>
      <c r="C117" s="14">
        <v>3</v>
      </c>
      <c r="D117" s="14" t="s">
        <v>114</v>
      </c>
      <c r="E117" s="14" t="s">
        <v>16</v>
      </c>
      <c r="F117" s="15">
        <f>'Option Year 2'!F117+'Option Year 2'!F117*3%</f>
        <v>0</v>
      </c>
      <c r="G117" s="16">
        <f t="shared" si="2"/>
        <v>0</v>
      </c>
    </row>
    <row r="118" spans="1:7" ht="31" x14ac:dyDescent="0.35">
      <c r="A118" s="12"/>
      <c r="B118" s="13" t="s">
        <v>202</v>
      </c>
      <c r="C118" s="14"/>
      <c r="D118" s="14"/>
      <c r="E118" s="14"/>
      <c r="F118" s="15">
        <f>'Option Year 2'!F118+'Option Year 2'!F118*3%</f>
        <v>0</v>
      </c>
      <c r="G118" s="16"/>
    </row>
    <row r="119" spans="1:7" x14ac:dyDescent="0.35">
      <c r="A119" s="12" t="s">
        <v>1074</v>
      </c>
      <c r="B119" s="17" t="s">
        <v>130</v>
      </c>
      <c r="C119" s="14">
        <v>25</v>
      </c>
      <c r="D119" s="14" t="s">
        <v>25</v>
      </c>
      <c r="E119" s="14" t="s">
        <v>16</v>
      </c>
      <c r="F119" s="15">
        <f>'Option Year 2'!F119+'Option Year 2'!F119*3%</f>
        <v>0</v>
      </c>
      <c r="G119" s="16">
        <f t="shared" si="2"/>
        <v>0</v>
      </c>
    </row>
    <row r="120" spans="1:7" x14ac:dyDescent="0.35">
      <c r="A120" s="12" t="s">
        <v>1075</v>
      </c>
      <c r="B120" s="17" t="s">
        <v>132</v>
      </c>
      <c r="C120" s="14">
        <v>25</v>
      </c>
      <c r="D120" s="14" t="s">
        <v>25</v>
      </c>
      <c r="E120" s="14" t="s">
        <v>16</v>
      </c>
      <c r="F120" s="15">
        <f>'Option Year 2'!F120+'Option Year 2'!F120*3%</f>
        <v>0</v>
      </c>
      <c r="G120" s="16">
        <f t="shared" si="2"/>
        <v>0</v>
      </c>
    </row>
    <row r="121" spans="1:7" x14ac:dyDescent="0.35">
      <c r="A121" s="12" t="s">
        <v>1076</v>
      </c>
      <c r="B121" s="17" t="s">
        <v>134</v>
      </c>
      <c r="C121" s="14">
        <v>25</v>
      </c>
      <c r="D121" s="14" t="s">
        <v>25</v>
      </c>
      <c r="E121" s="14" t="s">
        <v>16</v>
      </c>
      <c r="F121" s="15">
        <f>'Option Year 2'!F121+'Option Year 2'!F121*3%</f>
        <v>0</v>
      </c>
      <c r="G121" s="16">
        <f t="shared" si="2"/>
        <v>0</v>
      </c>
    </row>
    <row r="122" spans="1:7" x14ac:dyDescent="0.35">
      <c r="A122" s="12" t="s">
        <v>1077</v>
      </c>
      <c r="B122" s="23" t="s">
        <v>136</v>
      </c>
      <c r="C122" s="14">
        <v>25</v>
      </c>
      <c r="D122" s="14" t="s">
        <v>25</v>
      </c>
      <c r="E122" s="14" t="s">
        <v>16</v>
      </c>
      <c r="F122" s="15">
        <f>'Option Year 2'!F122+'Option Year 2'!F122*3%</f>
        <v>0</v>
      </c>
      <c r="G122" s="16">
        <f t="shared" si="2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>
        <f>'Option Year 2'!F123+'Option Year 2'!F123*3%</f>
        <v>0</v>
      </c>
      <c r="G123" s="16"/>
    </row>
    <row r="124" spans="1:7" x14ac:dyDescent="0.35">
      <c r="A124" s="12" t="s">
        <v>1078</v>
      </c>
      <c r="B124" s="17" t="s">
        <v>130</v>
      </c>
      <c r="C124" s="14">
        <v>25</v>
      </c>
      <c r="D124" s="14" t="s">
        <v>25</v>
      </c>
      <c r="E124" s="14" t="s">
        <v>16</v>
      </c>
      <c r="F124" s="15">
        <f>'Option Year 2'!F124+'Option Year 2'!F124*3%</f>
        <v>0</v>
      </c>
      <c r="G124" s="16">
        <f t="shared" si="2"/>
        <v>0</v>
      </c>
    </row>
    <row r="125" spans="1:7" x14ac:dyDescent="0.35">
      <c r="A125" s="12" t="s">
        <v>1079</v>
      </c>
      <c r="B125" s="17" t="s">
        <v>132</v>
      </c>
      <c r="C125" s="14">
        <v>25</v>
      </c>
      <c r="D125" s="14" t="s">
        <v>25</v>
      </c>
      <c r="E125" s="14" t="s">
        <v>16</v>
      </c>
      <c r="F125" s="15">
        <f>'Option Year 2'!F125+'Option Year 2'!F125*3%</f>
        <v>0</v>
      </c>
      <c r="G125" s="16">
        <f t="shared" ref="G125:G166" si="3">F125*C125</f>
        <v>0</v>
      </c>
    </row>
    <row r="126" spans="1:7" x14ac:dyDescent="0.35">
      <c r="A126" s="12" t="s">
        <v>1080</v>
      </c>
      <c r="B126" s="17" t="s">
        <v>134</v>
      </c>
      <c r="C126" s="14">
        <v>25</v>
      </c>
      <c r="D126" s="14" t="s">
        <v>25</v>
      </c>
      <c r="E126" s="14" t="s">
        <v>16</v>
      </c>
      <c r="F126" s="15">
        <f>'Option Year 2'!F126+'Option Year 2'!F126*3%</f>
        <v>0</v>
      </c>
      <c r="G126" s="16">
        <f t="shared" si="3"/>
        <v>0</v>
      </c>
    </row>
    <row r="127" spans="1:7" x14ac:dyDescent="0.35">
      <c r="A127" s="12" t="s">
        <v>1081</v>
      </c>
      <c r="B127" s="17" t="s">
        <v>136</v>
      </c>
      <c r="C127" s="14">
        <v>25</v>
      </c>
      <c r="D127" s="14" t="s">
        <v>25</v>
      </c>
      <c r="E127" s="14" t="s">
        <v>16</v>
      </c>
      <c r="F127" s="15">
        <f>'Option Year 2'!F127+'Option Year 2'!F127*3%</f>
        <v>0</v>
      </c>
      <c r="G127" s="16">
        <f t="shared" si="3"/>
        <v>0</v>
      </c>
    </row>
    <row r="128" spans="1:7" x14ac:dyDescent="0.35">
      <c r="A128" s="12" t="s">
        <v>1082</v>
      </c>
      <c r="B128" s="17" t="s">
        <v>213</v>
      </c>
      <c r="C128" s="14">
        <v>25</v>
      </c>
      <c r="D128" s="14" t="s">
        <v>25</v>
      </c>
      <c r="E128" s="14" t="s">
        <v>16</v>
      </c>
      <c r="F128" s="15">
        <f>'Option Year 2'!F128+'Option Year 2'!F128*3%</f>
        <v>0</v>
      </c>
      <c r="G128" s="16">
        <f t="shared" si="3"/>
        <v>0</v>
      </c>
    </row>
    <row r="129" spans="1:7" ht="16.5" customHeight="1" x14ac:dyDescent="0.35">
      <c r="A129" s="12"/>
      <c r="B129" s="13" t="s">
        <v>214</v>
      </c>
      <c r="C129" s="14"/>
      <c r="D129" s="14"/>
      <c r="E129" s="14"/>
      <c r="F129" s="15">
        <f>'Option Year 2'!F129+'Option Year 2'!F129*3%</f>
        <v>0</v>
      </c>
      <c r="G129" s="16"/>
    </row>
    <row r="130" spans="1:7" x14ac:dyDescent="0.35">
      <c r="A130" s="12" t="s">
        <v>1083</v>
      </c>
      <c r="B130" s="17" t="s">
        <v>130</v>
      </c>
      <c r="C130" s="14">
        <v>2</v>
      </c>
      <c r="D130" s="14" t="s">
        <v>25</v>
      </c>
      <c r="E130" s="14" t="s">
        <v>16</v>
      </c>
      <c r="F130" s="15">
        <f>'Option Year 2'!F130+'Option Year 2'!F130*3%</f>
        <v>0</v>
      </c>
      <c r="G130" s="16">
        <f t="shared" si="3"/>
        <v>0</v>
      </c>
    </row>
    <row r="131" spans="1:7" x14ac:dyDescent="0.35">
      <c r="A131" s="12" t="s">
        <v>1084</v>
      </c>
      <c r="B131" s="17" t="s">
        <v>132</v>
      </c>
      <c r="C131" s="14">
        <v>2</v>
      </c>
      <c r="D131" s="14" t="s">
        <v>25</v>
      </c>
      <c r="E131" s="14" t="s">
        <v>16</v>
      </c>
      <c r="F131" s="15">
        <f>'Option Year 2'!F131+'Option Year 2'!F131*3%</f>
        <v>0</v>
      </c>
      <c r="G131" s="16">
        <f t="shared" si="3"/>
        <v>0</v>
      </c>
    </row>
    <row r="132" spans="1:7" x14ac:dyDescent="0.35">
      <c r="A132" s="12" t="s">
        <v>1085</v>
      </c>
      <c r="B132" s="17" t="s">
        <v>218</v>
      </c>
      <c r="C132" s="14">
        <v>2</v>
      </c>
      <c r="D132" s="14" t="s">
        <v>25</v>
      </c>
      <c r="E132" s="14" t="s">
        <v>16</v>
      </c>
      <c r="F132" s="15">
        <f>'Option Year 2'!F132+'Option Year 2'!F132*3%</f>
        <v>0</v>
      </c>
      <c r="G132" s="16">
        <f t="shared" si="3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>
        <f>'Option Year 2'!F133+'Option Year 2'!F133*3%</f>
        <v>0</v>
      </c>
      <c r="G133" s="16"/>
    </row>
    <row r="134" spans="1:7" x14ac:dyDescent="0.35">
      <c r="A134" s="12" t="s">
        <v>1086</v>
      </c>
      <c r="B134" s="17" t="s">
        <v>220</v>
      </c>
      <c r="C134" s="14">
        <v>1</v>
      </c>
      <c r="D134" s="14" t="s">
        <v>114</v>
      </c>
      <c r="E134" s="14" t="s">
        <v>16</v>
      </c>
      <c r="F134" s="15">
        <f>'Option Year 2'!F134+'Option Year 2'!F134*3%</f>
        <v>0</v>
      </c>
      <c r="G134" s="16">
        <f t="shared" si="3"/>
        <v>0</v>
      </c>
    </row>
    <row r="135" spans="1:7" x14ac:dyDescent="0.35">
      <c r="A135" s="12" t="s">
        <v>1087</v>
      </c>
      <c r="B135" s="17" t="s">
        <v>221</v>
      </c>
      <c r="C135" s="14">
        <v>2</v>
      </c>
      <c r="D135" s="14" t="s">
        <v>114</v>
      </c>
      <c r="E135" s="14" t="s">
        <v>16</v>
      </c>
      <c r="F135" s="15">
        <f>'Option Year 2'!F135+'Option Year 2'!F135*3%</f>
        <v>0</v>
      </c>
      <c r="G135" s="16">
        <f t="shared" si="3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>
        <f>'Option Year 2'!F136+'Option Year 2'!F136*3%</f>
        <v>0</v>
      </c>
      <c r="G136" s="16"/>
    </row>
    <row r="137" spans="1:7" x14ac:dyDescent="0.35">
      <c r="A137" s="12" t="s">
        <v>1088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>
        <f>'Option Year 2'!F137+'Option Year 2'!F137*3%</f>
        <v>0</v>
      </c>
      <c r="G137" s="16">
        <f t="shared" si="3"/>
        <v>0</v>
      </c>
    </row>
    <row r="138" spans="1:7" x14ac:dyDescent="0.35">
      <c r="A138" s="12" t="s">
        <v>1089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>
        <f>'Option Year 2'!F138+'Option Year 2'!F138*3%</f>
        <v>0</v>
      </c>
      <c r="G138" s="16">
        <f t="shared" si="3"/>
        <v>0</v>
      </c>
    </row>
    <row r="139" spans="1:7" x14ac:dyDescent="0.35">
      <c r="A139" s="12" t="s">
        <v>1090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>
        <f>'Option Year 2'!F139+'Option Year 2'!F139*3%</f>
        <v>0</v>
      </c>
      <c r="G139" s="16">
        <f t="shared" si="3"/>
        <v>0</v>
      </c>
    </row>
    <row r="140" spans="1:7" x14ac:dyDescent="0.35">
      <c r="A140" s="12" t="s">
        <v>1091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>
        <f>'Option Year 2'!F140+'Option Year 2'!F140*3%</f>
        <v>0</v>
      </c>
      <c r="G140" s="16">
        <f t="shared" si="3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>
        <f>'Option Year 2'!F141+'Option Year 2'!F141*3%</f>
        <v>0</v>
      </c>
      <c r="G141" s="16"/>
    </row>
    <row r="142" spans="1:7" x14ac:dyDescent="0.35">
      <c r="A142" s="12" t="s">
        <v>1092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>
        <f>'Option Year 2'!F142+'Option Year 2'!F142*3%</f>
        <v>0</v>
      </c>
      <c r="G142" s="16">
        <f t="shared" si="3"/>
        <v>0</v>
      </c>
    </row>
    <row r="143" spans="1:7" x14ac:dyDescent="0.35">
      <c r="A143" s="12" t="s">
        <v>1093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>
        <f>'Option Year 2'!F143+'Option Year 2'!F143*3%</f>
        <v>0</v>
      </c>
      <c r="G143" s="16">
        <f t="shared" si="3"/>
        <v>0</v>
      </c>
    </row>
    <row r="144" spans="1:7" ht="31" x14ac:dyDescent="0.35">
      <c r="A144" s="12"/>
      <c r="B144" s="13" t="s">
        <v>232</v>
      </c>
      <c r="C144" s="14"/>
      <c r="D144" s="14"/>
      <c r="E144" s="14"/>
      <c r="F144" s="15">
        <f>'Option Year 2'!F144+'Option Year 2'!F144*3%</f>
        <v>0</v>
      </c>
      <c r="G144" s="16"/>
    </row>
    <row r="145" spans="1:7" x14ac:dyDescent="0.35">
      <c r="A145" s="12" t="s">
        <v>1094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>
        <f>'Option Year 2'!F145+'Option Year 2'!F145*3%</f>
        <v>0</v>
      </c>
      <c r="G145" s="16">
        <f t="shared" si="3"/>
        <v>0</v>
      </c>
    </row>
    <row r="146" spans="1:7" x14ac:dyDescent="0.35">
      <c r="A146" s="12" t="s">
        <v>1095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>
        <f>'Option Year 2'!F146+'Option Year 2'!F146*3%</f>
        <v>0</v>
      </c>
      <c r="G146" s="16">
        <f t="shared" si="3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>
        <f>'Option Year 2'!F147+'Option Year 2'!F147*3%</f>
        <v>0</v>
      </c>
      <c r="G147" s="16"/>
    </row>
    <row r="148" spans="1:7" x14ac:dyDescent="0.35">
      <c r="A148" s="12" t="s">
        <v>1096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>
        <f>'Option Year 2'!F148+'Option Year 2'!F148*3%</f>
        <v>0</v>
      </c>
      <c r="G148" s="16">
        <f t="shared" si="3"/>
        <v>0</v>
      </c>
    </row>
    <row r="149" spans="1:7" x14ac:dyDescent="0.35">
      <c r="A149" s="12" t="s">
        <v>1097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>
        <f>'Option Year 2'!F149+'Option Year 2'!F149*3%</f>
        <v>0</v>
      </c>
      <c r="G149" s="16">
        <f t="shared" si="3"/>
        <v>0</v>
      </c>
    </row>
    <row r="150" spans="1:7" ht="46.5" x14ac:dyDescent="0.35">
      <c r="A150" s="12"/>
      <c r="B150" s="13" t="s">
        <v>238</v>
      </c>
      <c r="C150" s="14"/>
      <c r="D150" s="14"/>
      <c r="E150" s="14"/>
      <c r="F150" s="15">
        <f>'Option Year 2'!F150+'Option Year 2'!F150*3%</f>
        <v>0</v>
      </c>
      <c r="G150" s="16"/>
    </row>
    <row r="151" spans="1:7" x14ac:dyDescent="0.35">
      <c r="A151" s="12" t="s">
        <v>1098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>
        <f>'Option Year 2'!F151+'Option Year 2'!F151*3%</f>
        <v>0</v>
      </c>
      <c r="G151" s="16">
        <f t="shared" si="3"/>
        <v>0</v>
      </c>
    </row>
    <row r="152" spans="1:7" x14ac:dyDescent="0.35">
      <c r="A152" s="12" t="s">
        <v>1099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>
        <f>'Option Year 2'!F152+'Option Year 2'!F152*3%</f>
        <v>0</v>
      </c>
      <c r="G152" s="16">
        <f t="shared" si="3"/>
        <v>0</v>
      </c>
    </row>
    <row r="153" spans="1:7" x14ac:dyDescent="0.35">
      <c r="A153" s="12" t="s">
        <v>1100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>
        <f>'Option Year 2'!F153+'Option Year 2'!F153*3%</f>
        <v>0</v>
      </c>
      <c r="G153" s="16">
        <f t="shared" si="3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>
        <f>'Option Year 2'!F154+'Option Year 2'!F154*3%</f>
        <v>0</v>
      </c>
      <c r="G154" s="16"/>
    </row>
    <row r="155" spans="1:7" ht="31" x14ac:dyDescent="0.35">
      <c r="A155" s="12" t="s">
        <v>1101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>
        <f>'Option Year 2'!F155+'Option Year 2'!F155*3%</f>
        <v>0</v>
      </c>
      <c r="G155" s="16">
        <f t="shared" si="3"/>
        <v>0</v>
      </c>
    </row>
    <row r="156" spans="1:7" ht="31" x14ac:dyDescent="0.35">
      <c r="A156" s="12" t="s">
        <v>1102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>
        <f>'Option Year 2'!F156+'Option Year 2'!F156*3%</f>
        <v>0</v>
      </c>
      <c r="G156" s="16">
        <f t="shared" si="3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>
        <f>'Option Year 2'!F157+'Option Year 2'!F157*3%</f>
        <v>0</v>
      </c>
      <c r="G157" s="16"/>
    </row>
    <row r="158" spans="1:7" x14ac:dyDescent="0.35">
      <c r="A158" s="12" t="s">
        <v>1103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>
        <f>'Option Year 2'!F158+'Option Year 2'!F158*3%</f>
        <v>0</v>
      </c>
      <c r="G158" s="16">
        <f t="shared" si="3"/>
        <v>0</v>
      </c>
    </row>
    <row r="159" spans="1:7" ht="31" x14ac:dyDescent="0.35">
      <c r="A159" s="12" t="s">
        <v>1104</v>
      </c>
      <c r="B159" s="17" t="s">
        <v>251</v>
      </c>
      <c r="C159" s="14">
        <v>50</v>
      </c>
      <c r="D159" s="14" t="s">
        <v>40</v>
      </c>
      <c r="E159" s="14" t="s">
        <v>16</v>
      </c>
      <c r="F159" s="15">
        <f>'Option Year 2'!F159+'Option Year 2'!F159*3%</f>
        <v>0</v>
      </c>
      <c r="G159" s="16">
        <f t="shared" si="3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>
        <f>'Option Year 2'!F160+'Option Year 2'!F160*3%</f>
        <v>0</v>
      </c>
      <c r="G160" s="16"/>
    </row>
    <row r="161" spans="1:7" x14ac:dyDescent="0.35">
      <c r="A161" s="12" t="s">
        <v>1105</v>
      </c>
      <c r="B161" s="17" t="s">
        <v>254</v>
      </c>
      <c r="C161" s="14">
        <v>50</v>
      </c>
      <c r="D161" s="14" t="s">
        <v>40</v>
      </c>
      <c r="E161" s="14" t="s">
        <v>16</v>
      </c>
      <c r="F161" s="15">
        <f>'Option Year 2'!F161+'Option Year 2'!F161*3%</f>
        <v>0</v>
      </c>
      <c r="G161" s="16">
        <f t="shared" si="3"/>
        <v>0</v>
      </c>
    </row>
    <row r="162" spans="1:7" x14ac:dyDescent="0.35">
      <c r="A162" s="12" t="s">
        <v>1106</v>
      </c>
      <c r="B162" s="17" t="s">
        <v>256</v>
      </c>
      <c r="C162" s="14">
        <v>50</v>
      </c>
      <c r="D162" s="14" t="s">
        <v>40</v>
      </c>
      <c r="E162" s="14" t="s">
        <v>16</v>
      </c>
      <c r="F162" s="15">
        <f>'Option Year 2'!F162+'Option Year 2'!F162*3%</f>
        <v>0</v>
      </c>
      <c r="G162" s="16">
        <f t="shared" si="3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>
        <f>'Option Year 2'!F163+'Option Year 2'!F163*3%</f>
        <v>0</v>
      </c>
      <c r="G163" s="16"/>
    </row>
    <row r="164" spans="1:7" ht="31" x14ac:dyDescent="0.35">
      <c r="A164" s="12" t="s">
        <v>1107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>
        <f>'Option Year 2'!F164+'Option Year 2'!F164*3%</f>
        <v>0</v>
      </c>
      <c r="G164" s="16">
        <f t="shared" si="3"/>
        <v>0</v>
      </c>
    </row>
    <row r="165" spans="1:7" x14ac:dyDescent="0.35">
      <c r="A165" s="12" t="s">
        <v>1108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>
        <f>'Option Year 2'!F165+'Option Year 2'!F165*3%</f>
        <v>0</v>
      </c>
      <c r="G165" s="16">
        <f t="shared" si="3"/>
        <v>0</v>
      </c>
    </row>
    <row r="166" spans="1:7" ht="31" x14ac:dyDescent="0.35">
      <c r="A166" s="12" t="s">
        <v>1109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>
        <f>'Option Year 2'!F166+'Option Year 2'!F166*3%</f>
        <v>0</v>
      </c>
      <c r="G166" s="16">
        <f t="shared" si="3"/>
        <v>0</v>
      </c>
    </row>
    <row r="167" spans="1:7" x14ac:dyDescent="0.35">
      <c r="A167" s="12" t="s">
        <v>1110</v>
      </c>
      <c r="B167" s="13" t="s">
        <v>265</v>
      </c>
      <c r="C167" s="14">
        <v>0</v>
      </c>
      <c r="D167" s="14"/>
      <c r="E167" s="14" t="s">
        <v>16</v>
      </c>
      <c r="F167" s="15">
        <f>'Option Year 2'!F167+'Option Year 2'!F167*3%</f>
        <v>0</v>
      </c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>
        <f>'Option Year 2'!F168+'Option Year 2'!F168*3%</f>
        <v>0</v>
      </c>
      <c r="G168" s="16"/>
    </row>
    <row r="169" spans="1:7" ht="39" customHeight="1" x14ac:dyDescent="0.35">
      <c r="A169" s="12" t="s">
        <v>1111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>
        <f>'Option Year 2'!F169+'Option Year 2'!F169*3%</f>
        <v>0</v>
      </c>
      <c r="G169" s="16">
        <f t="shared" ref="G169:G183" si="4">F169*C169</f>
        <v>0</v>
      </c>
    </row>
    <row r="170" spans="1:7" ht="46.5" x14ac:dyDescent="0.35">
      <c r="A170" s="12" t="s">
        <v>1112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>
        <f>'Option Year 2'!F170+'Option Year 2'!F170*3%</f>
        <v>0</v>
      </c>
      <c r="G170" s="16">
        <f t="shared" si="4"/>
        <v>0</v>
      </c>
    </row>
    <row r="171" spans="1:7" ht="31" x14ac:dyDescent="0.35">
      <c r="A171" s="12" t="s">
        <v>1113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>
        <f>'Option Year 2'!F171+'Option Year 2'!F171*3%</f>
        <v>0</v>
      </c>
      <c r="G171" s="16">
        <f t="shared" si="4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>
        <f>'Option Year 2'!F172+'Option Year 2'!F172*3%</f>
        <v>0</v>
      </c>
      <c r="G172" s="16"/>
    </row>
    <row r="173" spans="1:7" ht="31" x14ac:dyDescent="0.35">
      <c r="A173" s="12" t="s">
        <v>1114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>
        <f>'Option Year 2'!F173+'Option Year 2'!F173*3%</f>
        <v>0</v>
      </c>
      <c r="G173" s="16">
        <f>F173*C173</f>
        <v>0</v>
      </c>
    </row>
    <row r="174" spans="1:7" ht="31" x14ac:dyDescent="0.35">
      <c r="A174" s="12" t="s">
        <v>1115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>
        <f>'Option Year 2'!F174+'Option Year 2'!F174*3%</f>
        <v>0</v>
      </c>
      <c r="G174" s="16">
        <f>F174*C174</f>
        <v>0</v>
      </c>
    </row>
    <row r="175" spans="1:7" x14ac:dyDescent="0.35">
      <c r="A175" s="12" t="s">
        <v>1116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>
        <f>'Option Year 2'!F175+'Option Year 2'!F175*3%</f>
        <v>0</v>
      </c>
      <c r="G175" s="16">
        <f>F175*C175</f>
        <v>0</v>
      </c>
    </row>
    <row r="176" spans="1:7" ht="46.5" x14ac:dyDescent="0.35">
      <c r="A176" s="12" t="s">
        <v>1117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>
        <f>'Option Year 2'!F176+'Option Year 2'!F176*3%</f>
        <v>0</v>
      </c>
      <c r="G176" s="16">
        <f>F176*C176</f>
        <v>0</v>
      </c>
    </row>
    <row r="177" spans="1:7" ht="31" x14ac:dyDescent="0.35">
      <c r="A177" s="12"/>
      <c r="B177" s="13" t="s">
        <v>282</v>
      </c>
      <c r="C177" s="14"/>
      <c r="D177" s="14"/>
      <c r="E177" s="14"/>
      <c r="F177" s="15">
        <f>'Option Year 2'!F177+'Option Year 2'!F177*3%</f>
        <v>0</v>
      </c>
      <c r="G177" s="16"/>
    </row>
    <row r="178" spans="1:7" ht="62" x14ac:dyDescent="0.35">
      <c r="A178" s="12" t="s">
        <v>1118</v>
      </c>
      <c r="B178" s="17" t="s">
        <v>284</v>
      </c>
      <c r="C178" s="14"/>
      <c r="D178" s="14" t="s">
        <v>285</v>
      </c>
      <c r="E178" s="14" t="s">
        <v>16</v>
      </c>
      <c r="F178" s="15">
        <f>'Option Year 2'!F178+'Option Year 2'!F178*3%</f>
        <v>0</v>
      </c>
      <c r="G178" s="16">
        <f t="shared" si="4"/>
        <v>0</v>
      </c>
    </row>
    <row r="179" spans="1:7" ht="46.5" x14ac:dyDescent="0.35">
      <c r="A179" s="12" t="s">
        <v>1119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>
        <f>'Option Year 2'!F179+'Option Year 2'!F179*3%</f>
        <v>0</v>
      </c>
      <c r="G179" s="16">
        <f t="shared" si="4"/>
        <v>0</v>
      </c>
    </row>
    <row r="180" spans="1:7" x14ac:dyDescent="0.35">
      <c r="A180" s="12"/>
      <c r="B180" s="13" t="s">
        <v>289</v>
      </c>
      <c r="C180" s="14"/>
      <c r="D180" s="14"/>
      <c r="E180" s="14"/>
      <c r="F180" s="15">
        <f>'Option Year 2'!F180+'Option Year 2'!F180*3%</f>
        <v>0</v>
      </c>
      <c r="G180" s="16"/>
    </row>
    <row r="181" spans="1:7" ht="108.5" x14ac:dyDescent="0.35">
      <c r="A181" s="12" t="s">
        <v>1120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>
        <f>'Option Year 2'!F181+'Option Year 2'!F181*3%</f>
        <v>0</v>
      </c>
      <c r="G181" s="16">
        <f t="shared" si="4"/>
        <v>0</v>
      </c>
    </row>
    <row r="182" spans="1:7" ht="31" x14ac:dyDescent="0.35">
      <c r="A182" s="12"/>
      <c r="B182" s="13" t="s">
        <v>292</v>
      </c>
      <c r="C182" s="14"/>
      <c r="D182" s="14"/>
      <c r="E182" s="14"/>
      <c r="F182" s="15">
        <f>'Option Year 2'!F182+'Option Year 2'!F182*3%</f>
        <v>0</v>
      </c>
      <c r="G182" s="16"/>
    </row>
    <row r="183" spans="1:7" x14ac:dyDescent="0.35">
      <c r="A183" s="12" t="s">
        <v>1121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>
        <f>'Option Year 2'!F183+'Option Year 2'!F183*3%</f>
        <v>0</v>
      </c>
      <c r="G183" s="16">
        <f t="shared" si="4"/>
        <v>0</v>
      </c>
    </row>
    <row r="184" spans="1:7" ht="31" x14ac:dyDescent="0.35">
      <c r="A184" s="12"/>
      <c r="B184" s="13" t="s">
        <v>295</v>
      </c>
      <c r="C184" s="14"/>
      <c r="D184" s="14"/>
      <c r="E184" s="14"/>
      <c r="F184" s="15">
        <f>'Option Year 2'!F184+'Option Year 2'!F184*3%</f>
        <v>0</v>
      </c>
      <c r="G184" s="16"/>
    </row>
    <row r="185" spans="1:7" ht="62" x14ac:dyDescent="0.35">
      <c r="A185" s="12" t="s">
        <v>1122</v>
      </c>
      <c r="B185" s="31" t="s">
        <v>297</v>
      </c>
      <c r="C185" s="14">
        <v>1</v>
      </c>
      <c r="D185" s="14" t="s">
        <v>298</v>
      </c>
      <c r="E185" s="14" t="s">
        <v>16</v>
      </c>
      <c r="F185" s="15">
        <f>'Option Year 2'!F185+'Option Year 2'!F185*3%</f>
        <v>0</v>
      </c>
      <c r="G185" s="16">
        <f>F185</f>
        <v>0</v>
      </c>
    </row>
    <row r="186" spans="1:7" ht="62.5" thickBot="1" x14ac:dyDescent="0.4">
      <c r="A186" s="12" t="s">
        <v>1123</v>
      </c>
      <c r="B186" s="17" t="s">
        <v>300</v>
      </c>
      <c r="C186" s="14">
        <v>1</v>
      </c>
      <c r="D186" s="14" t="s">
        <v>298</v>
      </c>
      <c r="E186" s="14" t="s">
        <v>16</v>
      </c>
      <c r="F186" s="15">
        <f>'Option Year 2'!F186+'Option Year 2'!F186*3%</f>
        <v>0</v>
      </c>
      <c r="G186" s="32">
        <f>F186</f>
        <v>0</v>
      </c>
    </row>
    <row r="187" spans="1:7" ht="31" x14ac:dyDescent="0.35">
      <c r="A187" s="12"/>
      <c r="B187" s="13" t="s">
        <v>1124</v>
      </c>
      <c r="C187" s="14"/>
      <c r="D187" s="14"/>
      <c r="E187" s="14"/>
      <c r="F187" s="33"/>
      <c r="G187" s="34">
        <f>SUM(G9:G186)</f>
        <v>0</v>
      </c>
    </row>
    <row r="188" spans="1:7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7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7" ht="46.5" x14ac:dyDescent="0.35">
      <c r="A191" s="12" t="s">
        <v>1125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'Option Year 2'!F191+'Option Year 2'!F191*3%</f>
        <v>0</v>
      </c>
      <c r="G191" s="16">
        <f t="shared" ref="G191" si="5">F191*C191</f>
        <v>0</v>
      </c>
    </row>
    <row r="192" spans="1:7" ht="31" x14ac:dyDescent="0.35">
      <c r="A192" s="12"/>
      <c r="B192" s="18" t="s">
        <v>17</v>
      </c>
      <c r="C192" s="14"/>
      <c r="D192" s="14"/>
      <c r="E192" s="14"/>
      <c r="F192" s="15"/>
      <c r="G192" s="19"/>
    </row>
    <row r="193" spans="1:7" x14ac:dyDescent="0.35">
      <c r="A193" s="12" t="s">
        <v>1126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'Option Year 2'!F193+'Option Year 2'!F193*3%</f>
        <v>0</v>
      </c>
      <c r="G193" s="16">
        <f t="shared" ref="G193:G196" si="6">F193*C193</f>
        <v>0</v>
      </c>
    </row>
    <row r="194" spans="1:7" x14ac:dyDescent="0.35">
      <c r="A194" s="12" t="s">
        <v>1127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'Option Year 2'!F194+'Option Year 2'!F194*3%</f>
        <v>0</v>
      </c>
      <c r="G194" s="16">
        <f t="shared" si="6"/>
        <v>0</v>
      </c>
    </row>
    <row r="195" spans="1:7" x14ac:dyDescent="0.35">
      <c r="A195" s="12" t="s">
        <v>1128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'Option Year 2'!F195+'Option Year 2'!F195*3%</f>
        <v>0</v>
      </c>
      <c r="G195" s="16">
        <f t="shared" si="6"/>
        <v>0</v>
      </c>
    </row>
    <row r="196" spans="1:7" x14ac:dyDescent="0.35">
      <c r="A196" s="12" t="s">
        <v>1129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'Option Year 2'!F196+'Option Year 2'!F196*3%</f>
        <v>0</v>
      </c>
      <c r="G196" s="16">
        <f t="shared" si="6"/>
        <v>0</v>
      </c>
    </row>
    <row r="197" spans="1:7" x14ac:dyDescent="0.35">
      <c r="A197" s="12"/>
      <c r="B197" s="13" t="s">
        <v>28</v>
      </c>
      <c r="C197" s="14"/>
      <c r="D197" s="14"/>
      <c r="E197" s="14"/>
      <c r="F197" s="15">
        <f>'Option Year 2'!F197+'Option Year 2'!F197*3%</f>
        <v>0</v>
      </c>
      <c r="G197" s="16"/>
    </row>
    <row r="198" spans="1:7" ht="46.5" x14ac:dyDescent="0.35">
      <c r="A198" s="12"/>
      <c r="B198" s="13" t="s">
        <v>1545</v>
      </c>
      <c r="C198" s="14"/>
      <c r="D198" s="14"/>
      <c r="E198" s="14"/>
      <c r="F198" s="15">
        <f>'Option Year 2'!F198+'Option Year 2'!F198*3%</f>
        <v>0</v>
      </c>
      <c r="G198" s="16"/>
    </row>
    <row r="199" spans="1:7" ht="31" x14ac:dyDescent="0.35">
      <c r="A199" s="12" t="s">
        <v>1130</v>
      </c>
      <c r="B199" s="17" t="s">
        <v>31</v>
      </c>
      <c r="C199" s="14">
        <v>10</v>
      </c>
      <c r="D199" s="14" t="s">
        <v>20</v>
      </c>
      <c r="E199" s="14" t="s">
        <v>16</v>
      </c>
      <c r="F199" s="15">
        <f>'Option Year 2'!F199+'Option Year 2'!F199*3%</f>
        <v>0</v>
      </c>
      <c r="G199" s="16">
        <f t="shared" ref="G199:G205" si="7">F199*C199</f>
        <v>0</v>
      </c>
    </row>
    <row r="200" spans="1:7" x14ac:dyDescent="0.35">
      <c r="A200" s="12" t="s">
        <v>1131</v>
      </c>
      <c r="B200" s="17" t="s">
        <v>33</v>
      </c>
      <c r="C200" s="14">
        <v>10</v>
      </c>
      <c r="D200" s="14" t="s">
        <v>20</v>
      </c>
      <c r="E200" s="14" t="s">
        <v>16</v>
      </c>
      <c r="F200" s="15">
        <f>'Option Year 2'!F200+'Option Year 2'!F200*3%</f>
        <v>0</v>
      </c>
      <c r="G200" s="16">
        <f t="shared" si="7"/>
        <v>0</v>
      </c>
    </row>
    <row r="201" spans="1:7" ht="31" x14ac:dyDescent="0.35">
      <c r="A201" s="12" t="s">
        <v>1132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'Option Year 2'!F201+'Option Year 2'!F201*3%</f>
        <v>0</v>
      </c>
      <c r="G201" s="16">
        <f t="shared" si="7"/>
        <v>0</v>
      </c>
    </row>
    <row r="202" spans="1:7" ht="31" x14ac:dyDescent="0.35">
      <c r="A202" s="12" t="s">
        <v>1133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'Option Year 2'!F202+'Option Year 2'!F202*3%</f>
        <v>0</v>
      </c>
      <c r="G202" s="16">
        <f t="shared" si="7"/>
        <v>0</v>
      </c>
    </row>
    <row r="203" spans="1:7" ht="31" x14ac:dyDescent="0.35">
      <c r="A203" s="12" t="s">
        <v>1134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'Option Year 2'!F203+'Option Year 2'!F203*3%</f>
        <v>0</v>
      </c>
      <c r="G203" s="16">
        <f t="shared" si="7"/>
        <v>0</v>
      </c>
    </row>
    <row r="204" spans="1:7" ht="31" x14ac:dyDescent="0.35">
      <c r="A204" s="12" t="s">
        <v>1135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'Option Year 2'!F204+'Option Year 2'!F204*3%</f>
        <v>0</v>
      </c>
      <c r="G204" s="16">
        <f t="shared" si="7"/>
        <v>0</v>
      </c>
    </row>
    <row r="205" spans="1:7" ht="31" x14ac:dyDescent="0.35">
      <c r="A205" s="12" t="s">
        <v>1136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'Option Year 2'!F205+'Option Year 2'!F205*3%</f>
        <v>0</v>
      </c>
      <c r="G205" s="16">
        <f t="shared" si="7"/>
        <v>0</v>
      </c>
    </row>
    <row r="206" spans="1:7" x14ac:dyDescent="0.35">
      <c r="A206" s="12"/>
      <c r="B206" s="18" t="s">
        <v>45</v>
      </c>
      <c r="C206" s="14"/>
      <c r="D206" s="14"/>
      <c r="E206" s="14"/>
      <c r="F206" s="15">
        <f>'Option Year 2'!F206+'Option Year 2'!F206*3%</f>
        <v>0</v>
      </c>
      <c r="G206" s="16"/>
    </row>
    <row r="207" spans="1:7" ht="46.5" x14ac:dyDescent="0.35">
      <c r="A207" s="12"/>
      <c r="B207" s="18" t="s">
        <v>46</v>
      </c>
      <c r="C207" s="14"/>
      <c r="D207" s="14"/>
      <c r="E207" s="14"/>
      <c r="F207" s="15">
        <f>'Option Year 2'!F207+'Option Year 2'!F207*3%</f>
        <v>0</v>
      </c>
      <c r="G207" s="16"/>
    </row>
    <row r="208" spans="1:7" x14ac:dyDescent="0.35">
      <c r="A208" s="12" t="s">
        <v>1137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'Option Year 2'!F208+'Option Year 2'!F208*3%</f>
        <v>0</v>
      </c>
      <c r="G208" s="16">
        <f t="shared" ref="G208:G210" si="8">F208*C208</f>
        <v>0</v>
      </c>
    </row>
    <row r="209" spans="1:7" x14ac:dyDescent="0.35">
      <c r="A209" s="12" t="s">
        <v>1138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'Option Year 2'!F209+'Option Year 2'!F209*3%</f>
        <v>0</v>
      </c>
      <c r="G209" s="16">
        <f t="shared" si="8"/>
        <v>0</v>
      </c>
    </row>
    <row r="210" spans="1:7" x14ac:dyDescent="0.35">
      <c r="A210" s="12" t="s">
        <v>1139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'Option Year 2'!F210+'Option Year 2'!F210*3%</f>
        <v>0</v>
      </c>
      <c r="G210" s="16">
        <f t="shared" si="8"/>
        <v>0</v>
      </c>
    </row>
    <row r="211" spans="1:7" ht="46.5" x14ac:dyDescent="0.35">
      <c r="A211" s="12" t="s">
        <v>1140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'Option Year 2'!F211+'Option Year 2'!F211*3%</f>
        <v>0</v>
      </c>
      <c r="G211" s="19">
        <f>F211*C211</f>
        <v>0</v>
      </c>
    </row>
    <row r="212" spans="1:7" x14ac:dyDescent="0.35">
      <c r="A212" s="12" t="s">
        <v>1141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'Option Year 2'!F212+'Option Year 2'!F212*3%</f>
        <v>0</v>
      </c>
      <c r="G212" s="16">
        <f t="shared" ref="G212:G215" si="9">F212*C212</f>
        <v>0</v>
      </c>
    </row>
    <row r="213" spans="1:7" ht="31" x14ac:dyDescent="0.35">
      <c r="A213" s="12" t="s">
        <v>1142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'Option Year 2'!F213+'Option Year 2'!F213*3%</f>
        <v>0</v>
      </c>
      <c r="G213" s="16">
        <f t="shared" si="9"/>
        <v>0</v>
      </c>
    </row>
    <row r="214" spans="1:7" ht="31" x14ac:dyDescent="0.35">
      <c r="A214" s="12" t="s">
        <v>1143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'Option Year 2'!F214+'Option Year 2'!F214*3%</f>
        <v>0</v>
      </c>
      <c r="G214" s="16">
        <f t="shared" si="9"/>
        <v>0</v>
      </c>
    </row>
    <row r="215" spans="1:7" ht="31" x14ac:dyDescent="0.35">
      <c r="A215" s="12" t="s">
        <v>1144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'Option Year 2'!F215+'Option Year 2'!F215*3%</f>
        <v>0</v>
      </c>
      <c r="G215" s="16">
        <f t="shared" si="9"/>
        <v>0</v>
      </c>
    </row>
    <row r="216" spans="1:7" ht="46.5" x14ac:dyDescent="0.35">
      <c r="A216" s="12"/>
      <c r="B216" s="13" t="s">
        <v>63</v>
      </c>
      <c r="C216" s="14"/>
      <c r="D216" s="14"/>
      <c r="E216" s="14"/>
      <c r="F216" s="15">
        <f>'Option Year 2'!F216+'Option Year 2'!F216*3%</f>
        <v>0</v>
      </c>
      <c r="G216" s="16"/>
    </row>
    <row r="217" spans="1:7" x14ac:dyDescent="0.35">
      <c r="A217" s="12" t="s">
        <v>1145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'Option Year 2'!F217+'Option Year 2'!F217*3%</f>
        <v>0</v>
      </c>
      <c r="G217" s="16">
        <f t="shared" ref="G217:G218" si="10">F217*C217</f>
        <v>0</v>
      </c>
    </row>
    <row r="218" spans="1:7" x14ac:dyDescent="0.35">
      <c r="A218" s="12" t="s">
        <v>1146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'Option Year 2'!F218+'Option Year 2'!F218*3%</f>
        <v>0</v>
      </c>
      <c r="G218" s="16">
        <f t="shared" si="10"/>
        <v>0</v>
      </c>
    </row>
    <row r="219" spans="1:7" x14ac:dyDescent="0.35">
      <c r="A219" s="12" t="s">
        <v>1147</v>
      </c>
      <c r="B219" s="17" t="s">
        <v>1543</v>
      </c>
      <c r="C219" s="14"/>
      <c r="D219" s="14"/>
      <c r="E219" s="14"/>
      <c r="F219" s="15"/>
      <c r="G219" s="16"/>
    </row>
    <row r="220" spans="1:7" x14ac:dyDescent="0.35">
      <c r="A220" s="12"/>
      <c r="B220" s="13" t="s">
        <v>69</v>
      </c>
      <c r="C220" s="14"/>
      <c r="D220" s="14"/>
      <c r="E220" s="14"/>
      <c r="F220" s="15">
        <f>'Option Year 2'!F220+'Option Year 2'!F220*3%</f>
        <v>0</v>
      </c>
      <c r="G220" s="16"/>
    </row>
    <row r="221" spans="1:7" x14ac:dyDescent="0.35">
      <c r="A221" s="12" t="s">
        <v>1148</v>
      </c>
      <c r="B221" s="17" t="s">
        <v>71</v>
      </c>
      <c r="C221" s="14">
        <v>12</v>
      </c>
      <c r="D221" s="14" t="s">
        <v>25</v>
      </c>
      <c r="E221" s="14" t="s">
        <v>16</v>
      </c>
      <c r="F221" s="15">
        <f>'Option Year 2'!F221+'Option Year 2'!F221*3%</f>
        <v>0</v>
      </c>
      <c r="G221" s="16">
        <f t="shared" ref="G221:G222" si="11">F221*C221</f>
        <v>0</v>
      </c>
    </row>
    <row r="222" spans="1:7" x14ac:dyDescent="0.35">
      <c r="A222" s="12" t="s">
        <v>1149</v>
      </c>
      <c r="B222" s="17" t="s">
        <v>73</v>
      </c>
      <c r="C222" s="14">
        <v>12</v>
      </c>
      <c r="D222" s="14" t="s">
        <v>25</v>
      </c>
      <c r="E222" s="14" t="s">
        <v>16</v>
      </c>
      <c r="F222" s="15">
        <f>'Option Year 2'!F222+'Option Year 2'!F222*3%</f>
        <v>0</v>
      </c>
      <c r="G222" s="16">
        <f t="shared" si="11"/>
        <v>0</v>
      </c>
    </row>
    <row r="223" spans="1:7" x14ac:dyDescent="0.35">
      <c r="A223" s="12"/>
      <c r="B223" s="13" t="s">
        <v>74</v>
      </c>
      <c r="C223" s="14"/>
      <c r="D223" s="14"/>
      <c r="E223" s="14"/>
      <c r="F223" s="15">
        <f>'Option Year 2'!F223+'Option Year 2'!F223*3%</f>
        <v>0</v>
      </c>
      <c r="G223" s="16"/>
    </row>
    <row r="224" spans="1:7" ht="31" x14ac:dyDescent="0.35">
      <c r="A224" s="12"/>
      <c r="B224" s="13" t="s">
        <v>75</v>
      </c>
      <c r="C224" s="14"/>
      <c r="D224" s="14"/>
      <c r="E224" s="14"/>
      <c r="F224" s="15">
        <f>'Option Year 2'!F224+'Option Year 2'!F224*3%</f>
        <v>0</v>
      </c>
      <c r="G224" s="16"/>
    </row>
    <row r="225" spans="1:7" x14ac:dyDescent="0.35">
      <c r="A225" s="12" t="s">
        <v>1150</v>
      </c>
      <c r="B225" s="17" t="s">
        <v>77</v>
      </c>
      <c r="C225" s="14">
        <v>6</v>
      </c>
      <c r="D225" s="14" t="s">
        <v>15</v>
      </c>
      <c r="E225" s="14" t="s">
        <v>16</v>
      </c>
      <c r="F225" s="15">
        <f>'Option Year 2'!F225+'Option Year 2'!F225*3%</f>
        <v>0</v>
      </c>
      <c r="G225" s="16">
        <f t="shared" ref="G225" si="12">F225*C225</f>
        <v>0</v>
      </c>
    </row>
    <row r="226" spans="1:7" ht="31" x14ac:dyDescent="0.35">
      <c r="A226" s="12"/>
      <c r="B226" s="13" t="s">
        <v>78</v>
      </c>
      <c r="C226" s="14"/>
      <c r="D226" s="14"/>
      <c r="E226" s="14"/>
      <c r="F226" s="15">
        <f>'Option Year 2'!F226+'Option Year 2'!F226*3%</f>
        <v>0</v>
      </c>
      <c r="G226" s="16"/>
    </row>
    <row r="227" spans="1:7" x14ac:dyDescent="0.35">
      <c r="A227" s="12" t="s">
        <v>1151</v>
      </c>
      <c r="B227" s="17" t="s">
        <v>80</v>
      </c>
      <c r="C227" s="14">
        <v>6</v>
      </c>
      <c r="D227" s="14" t="s">
        <v>15</v>
      </c>
      <c r="E227" s="14" t="s">
        <v>16</v>
      </c>
      <c r="F227" s="15">
        <f>'Option Year 2'!F227+'Option Year 2'!F227*3%</f>
        <v>0</v>
      </c>
      <c r="G227" s="16">
        <f t="shared" ref="G227" si="13">F227*C227</f>
        <v>0</v>
      </c>
    </row>
    <row r="228" spans="1:7" ht="46.5" x14ac:dyDescent="0.35">
      <c r="A228" s="12"/>
      <c r="B228" s="13" t="s">
        <v>81</v>
      </c>
      <c r="C228" s="14"/>
      <c r="D228" s="14"/>
      <c r="E228" s="14"/>
      <c r="F228" s="15">
        <f>'Option Year 2'!F228+'Option Year 2'!F228*3%</f>
        <v>0</v>
      </c>
      <c r="G228" s="16"/>
    </row>
    <row r="229" spans="1:7" x14ac:dyDescent="0.35">
      <c r="A229" s="12" t="s">
        <v>1152</v>
      </c>
      <c r="B229" s="17" t="s">
        <v>83</v>
      </c>
      <c r="C229" s="14">
        <v>6</v>
      </c>
      <c r="D229" s="14" t="s">
        <v>15</v>
      </c>
      <c r="E229" s="14" t="s">
        <v>16</v>
      </c>
      <c r="F229" s="15">
        <f>'Option Year 2'!F229+'Option Year 2'!F229*3%</f>
        <v>0</v>
      </c>
      <c r="G229" s="16">
        <f t="shared" ref="G229:G235" si="14">F229*C229</f>
        <v>0</v>
      </c>
    </row>
    <row r="230" spans="1:7" x14ac:dyDescent="0.35">
      <c r="A230" s="12" t="s">
        <v>1153</v>
      </c>
      <c r="B230" s="17" t="s">
        <v>85</v>
      </c>
      <c r="C230" s="14">
        <v>6</v>
      </c>
      <c r="D230" s="14" t="s">
        <v>15</v>
      </c>
      <c r="E230" s="14" t="s">
        <v>16</v>
      </c>
      <c r="F230" s="15">
        <f>'Option Year 2'!F230+'Option Year 2'!F230*3%</f>
        <v>0</v>
      </c>
      <c r="G230" s="16">
        <f t="shared" si="14"/>
        <v>0</v>
      </c>
    </row>
    <row r="231" spans="1:7" ht="31" x14ac:dyDescent="0.35">
      <c r="A231" s="12" t="s">
        <v>1154</v>
      </c>
      <c r="B231" s="17" t="s">
        <v>87</v>
      </c>
      <c r="C231" s="14">
        <v>50</v>
      </c>
      <c r="D231" s="14" t="s">
        <v>25</v>
      </c>
      <c r="E231" s="14" t="s">
        <v>16</v>
      </c>
      <c r="F231" s="15">
        <f>'Option Year 2'!F231+'Option Year 2'!F231*3%</f>
        <v>0</v>
      </c>
      <c r="G231" s="16">
        <f t="shared" si="14"/>
        <v>0</v>
      </c>
    </row>
    <row r="232" spans="1:7" ht="31" x14ac:dyDescent="0.35">
      <c r="A232" s="12" t="s">
        <v>1155</v>
      </c>
      <c r="B232" s="17" t="s">
        <v>89</v>
      </c>
      <c r="C232" s="14">
        <v>12</v>
      </c>
      <c r="D232" s="14" t="s">
        <v>25</v>
      </c>
      <c r="E232" s="14" t="s">
        <v>16</v>
      </c>
      <c r="F232" s="15">
        <f>'Option Year 2'!F232+'Option Year 2'!F232*3%</f>
        <v>0</v>
      </c>
      <c r="G232" s="16">
        <f t="shared" si="14"/>
        <v>0</v>
      </c>
    </row>
    <row r="233" spans="1:7" ht="46.5" x14ac:dyDescent="0.35">
      <c r="A233" s="12" t="s">
        <v>1156</v>
      </c>
      <c r="B233" s="17" t="s">
        <v>91</v>
      </c>
      <c r="C233" s="14">
        <v>12</v>
      </c>
      <c r="D233" s="14" t="s">
        <v>25</v>
      </c>
      <c r="E233" s="14" t="s">
        <v>16</v>
      </c>
      <c r="F233" s="15">
        <f>'Option Year 2'!F233+'Option Year 2'!F233*3%</f>
        <v>0</v>
      </c>
      <c r="G233" s="16">
        <f t="shared" si="14"/>
        <v>0</v>
      </c>
    </row>
    <row r="234" spans="1:7" x14ac:dyDescent="0.35">
      <c r="A234" s="12" t="s">
        <v>1157</v>
      </c>
      <c r="B234" s="17" t="s">
        <v>93</v>
      </c>
      <c r="C234" s="14">
        <v>10</v>
      </c>
      <c r="D234" s="14" t="s">
        <v>15</v>
      </c>
      <c r="E234" s="14" t="s">
        <v>16</v>
      </c>
      <c r="F234" s="15">
        <f>'Option Year 2'!F234+'Option Year 2'!F234*3%</f>
        <v>0</v>
      </c>
      <c r="G234" s="16">
        <f t="shared" si="14"/>
        <v>0</v>
      </c>
    </row>
    <row r="235" spans="1:7" x14ac:dyDescent="0.35">
      <c r="A235" s="12" t="s">
        <v>1158</v>
      </c>
      <c r="B235" s="17" t="s">
        <v>95</v>
      </c>
      <c r="C235" s="14">
        <v>100</v>
      </c>
      <c r="D235" s="14" t="s">
        <v>25</v>
      </c>
      <c r="E235" s="14" t="s">
        <v>16</v>
      </c>
      <c r="F235" s="15">
        <f>'Option Year 2'!F235+'Option Year 2'!F235*3%</f>
        <v>0</v>
      </c>
      <c r="G235" s="16">
        <f t="shared" si="14"/>
        <v>0</v>
      </c>
    </row>
    <row r="236" spans="1:7" x14ac:dyDescent="0.35">
      <c r="A236" s="12"/>
      <c r="B236" s="13" t="s">
        <v>96</v>
      </c>
      <c r="C236" s="14"/>
      <c r="D236" s="14"/>
      <c r="E236" s="14"/>
      <c r="F236" s="15">
        <f>'Option Year 2'!F236+'Option Year 2'!F236*3%</f>
        <v>0</v>
      </c>
      <c r="G236" s="16"/>
    </row>
    <row r="237" spans="1:7" x14ac:dyDescent="0.35">
      <c r="A237" s="12" t="s">
        <v>1159</v>
      </c>
      <c r="B237" s="17" t="s">
        <v>98</v>
      </c>
      <c r="C237" s="14">
        <v>50</v>
      </c>
      <c r="D237" s="14" t="s">
        <v>25</v>
      </c>
      <c r="E237" s="14" t="s">
        <v>16</v>
      </c>
      <c r="F237" s="15">
        <f>'Option Year 2'!F237+'Option Year 2'!F237*3%</f>
        <v>0</v>
      </c>
      <c r="G237" s="16">
        <f t="shared" ref="G237" si="15">F237*C237</f>
        <v>0</v>
      </c>
    </row>
    <row r="238" spans="1:7" ht="46.5" x14ac:dyDescent="0.35">
      <c r="A238" s="12"/>
      <c r="B238" s="13" t="s">
        <v>99</v>
      </c>
      <c r="C238" s="14"/>
      <c r="D238" s="14"/>
      <c r="E238" s="14"/>
      <c r="F238" s="15">
        <f>'Option Year 2'!F238+'Option Year 2'!F238*3%</f>
        <v>0</v>
      </c>
      <c r="G238" s="16"/>
    </row>
    <row r="239" spans="1:7" x14ac:dyDescent="0.35">
      <c r="A239" s="12" t="s">
        <v>1160</v>
      </c>
      <c r="B239" s="17" t="s">
        <v>101</v>
      </c>
      <c r="C239" s="14">
        <v>10</v>
      </c>
      <c r="D239" s="14" t="s">
        <v>15</v>
      </c>
      <c r="E239" s="14" t="s">
        <v>16</v>
      </c>
      <c r="F239" s="15">
        <f>'Option Year 2'!F239+'Option Year 2'!F239*3%</f>
        <v>0</v>
      </c>
      <c r="G239" s="16">
        <f t="shared" ref="G239:G241" si="16">F239*C239</f>
        <v>0</v>
      </c>
    </row>
    <row r="240" spans="1:7" x14ac:dyDescent="0.35">
      <c r="A240" s="12" t="s">
        <v>1161</v>
      </c>
      <c r="B240" s="17" t="s">
        <v>103</v>
      </c>
      <c r="C240" s="14">
        <v>10</v>
      </c>
      <c r="D240" s="14" t="s">
        <v>15</v>
      </c>
      <c r="E240" s="14" t="s">
        <v>16</v>
      </c>
      <c r="F240" s="15">
        <f>'Option Year 2'!F240+'Option Year 2'!F240*3%</f>
        <v>0</v>
      </c>
      <c r="G240" s="16">
        <f t="shared" si="16"/>
        <v>0</v>
      </c>
    </row>
    <row r="241" spans="1:7" x14ac:dyDescent="0.35">
      <c r="A241" s="12" t="s">
        <v>1162</v>
      </c>
      <c r="B241" s="17" t="s">
        <v>105</v>
      </c>
      <c r="C241" s="14">
        <v>10</v>
      </c>
      <c r="D241" s="14" t="s">
        <v>15</v>
      </c>
      <c r="E241" s="14" t="s">
        <v>16</v>
      </c>
      <c r="F241" s="15">
        <f>'Option Year 2'!F241+'Option Year 2'!F241*3%</f>
        <v>0</v>
      </c>
      <c r="G241" s="16">
        <f t="shared" si="16"/>
        <v>0</v>
      </c>
    </row>
    <row r="242" spans="1:7" ht="31" x14ac:dyDescent="0.35">
      <c r="A242" s="12"/>
      <c r="B242" s="13" t="s">
        <v>106</v>
      </c>
      <c r="C242" s="14"/>
      <c r="D242" s="14"/>
      <c r="E242" s="14"/>
      <c r="F242" s="15">
        <f>'Option Year 2'!F242+'Option Year 2'!F242*3%</f>
        <v>0</v>
      </c>
      <c r="G242" s="16"/>
    </row>
    <row r="243" spans="1:7" x14ac:dyDescent="0.35">
      <c r="A243" s="12" t="s">
        <v>1163</v>
      </c>
      <c r="B243" s="17" t="s">
        <v>101</v>
      </c>
      <c r="C243" s="14">
        <v>10</v>
      </c>
      <c r="D243" s="14" t="s">
        <v>15</v>
      </c>
      <c r="E243" s="14" t="s">
        <v>16</v>
      </c>
      <c r="F243" s="15">
        <f>'Option Year 2'!F243+'Option Year 2'!F243*3%</f>
        <v>0</v>
      </c>
      <c r="G243" s="16">
        <f t="shared" ref="G243:G249" si="17">F243*C243</f>
        <v>0</v>
      </c>
    </row>
    <row r="244" spans="1:7" x14ac:dyDescent="0.35">
      <c r="A244" s="12" t="s">
        <v>1164</v>
      </c>
      <c r="B244" s="17" t="s">
        <v>103</v>
      </c>
      <c r="C244" s="14">
        <v>10</v>
      </c>
      <c r="D244" s="14" t="s">
        <v>15</v>
      </c>
      <c r="E244" s="14" t="s">
        <v>16</v>
      </c>
      <c r="F244" s="15">
        <f>'Option Year 2'!F244+'Option Year 2'!F244*3%</f>
        <v>0</v>
      </c>
      <c r="G244" s="16">
        <f t="shared" si="17"/>
        <v>0</v>
      </c>
    </row>
    <row r="245" spans="1:7" x14ac:dyDescent="0.35">
      <c r="A245" s="12" t="s">
        <v>1165</v>
      </c>
      <c r="B245" s="17" t="s">
        <v>105</v>
      </c>
      <c r="C245" s="14">
        <v>10</v>
      </c>
      <c r="D245" s="14" t="s">
        <v>15</v>
      </c>
      <c r="E245" s="14" t="s">
        <v>16</v>
      </c>
      <c r="F245" s="15">
        <f>'Option Year 2'!F245+'Option Year 2'!F245*3%</f>
        <v>0</v>
      </c>
      <c r="G245" s="16">
        <f t="shared" si="17"/>
        <v>0</v>
      </c>
    </row>
    <row r="246" spans="1:7" x14ac:dyDescent="0.35">
      <c r="A246" s="12" t="s">
        <v>1166</v>
      </c>
      <c r="B246" s="17" t="s">
        <v>111</v>
      </c>
      <c r="C246" s="14">
        <v>50</v>
      </c>
      <c r="D246" s="14" t="s">
        <v>25</v>
      </c>
      <c r="E246" s="14" t="s">
        <v>16</v>
      </c>
      <c r="F246" s="15">
        <f>'Option Year 2'!F246+'Option Year 2'!F246*3%</f>
        <v>0</v>
      </c>
      <c r="G246" s="16">
        <f t="shared" si="17"/>
        <v>0</v>
      </c>
    </row>
    <row r="247" spans="1:7" x14ac:dyDescent="0.35">
      <c r="A247" s="12" t="s">
        <v>1167</v>
      </c>
      <c r="B247" s="17" t="s">
        <v>113</v>
      </c>
      <c r="C247" s="14">
        <v>5</v>
      </c>
      <c r="D247" s="14" t="s">
        <v>114</v>
      </c>
      <c r="E247" s="14" t="s">
        <v>16</v>
      </c>
      <c r="F247" s="15">
        <f>'Option Year 2'!F247+'Option Year 2'!F247*3%</f>
        <v>0</v>
      </c>
      <c r="G247" s="16">
        <f t="shared" si="17"/>
        <v>0</v>
      </c>
    </row>
    <row r="248" spans="1:7" x14ac:dyDescent="0.35">
      <c r="A248" s="12" t="s">
        <v>1168</v>
      </c>
      <c r="B248" s="17" t="s">
        <v>116</v>
      </c>
      <c r="C248" s="14">
        <v>12</v>
      </c>
      <c r="D248" s="14" t="s">
        <v>40</v>
      </c>
      <c r="E248" s="14" t="s">
        <v>16</v>
      </c>
      <c r="F248" s="15">
        <f>'Option Year 2'!F248+'Option Year 2'!F248*3%</f>
        <v>0</v>
      </c>
      <c r="G248" s="16">
        <f t="shared" si="17"/>
        <v>0</v>
      </c>
    </row>
    <row r="249" spans="1:7" x14ac:dyDescent="0.35">
      <c r="A249" s="12" t="s">
        <v>1169</v>
      </c>
      <c r="B249" s="17" t="s">
        <v>118</v>
      </c>
      <c r="C249" s="14">
        <v>5</v>
      </c>
      <c r="D249" s="14" t="s">
        <v>114</v>
      </c>
      <c r="E249" s="14" t="s">
        <v>16</v>
      </c>
      <c r="F249" s="15">
        <f>'Option Year 2'!F249+'Option Year 2'!F249*3%</f>
        <v>0</v>
      </c>
      <c r="G249" s="16">
        <f t="shared" si="17"/>
        <v>0</v>
      </c>
    </row>
    <row r="250" spans="1:7" ht="31" x14ac:dyDescent="0.35">
      <c r="A250" s="12"/>
      <c r="B250" s="13" t="s">
        <v>119</v>
      </c>
      <c r="C250" s="14"/>
      <c r="D250" s="14"/>
      <c r="E250" s="14"/>
      <c r="F250" s="15">
        <f>'Option Year 2'!F250+'Option Year 2'!F250*3%</f>
        <v>0</v>
      </c>
      <c r="G250" s="16"/>
    </row>
    <row r="251" spans="1:7" x14ac:dyDescent="0.35">
      <c r="A251" s="12" t="s">
        <v>1170</v>
      </c>
      <c r="B251" s="17" t="s">
        <v>121</v>
      </c>
      <c r="C251" s="14">
        <v>5</v>
      </c>
      <c r="D251" s="14" t="s">
        <v>15</v>
      </c>
      <c r="E251" s="14" t="s">
        <v>16</v>
      </c>
      <c r="F251" s="15">
        <f>'Option Year 2'!F251+'Option Year 2'!F251*3%</f>
        <v>0</v>
      </c>
      <c r="G251" s="16">
        <f t="shared" ref="G251:G254" si="18">F251*C251</f>
        <v>0</v>
      </c>
    </row>
    <row r="252" spans="1:7" x14ac:dyDescent="0.35">
      <c r="A252" s="12" t="s">
        <v>1171</v>
      </c>
      <c r="B252" s="17" t="s">
        <v>123</v>
      </c>
      <c r="C252" s="14">
        <v>5</v>
      </c>
      <c r="D252" s="14" t="s">
        <v>15</v>
      </c>
      <c r="E252" s="14" t="s">
        <v>16</v>
      </c>
      <c r="F252" s="15">
        <f>'Option Year 2'!F252+'Option Year 2'!F252*3%</f>
        <v>0</v>
      </c>
      <c r="G252" s="16">
        <f t="shared" si="18"/>
        <v>0</v>
      </c>
    </row>
    <row r="253" spans="1:7" x14ac:dyDescent="0.35">
      <c r="A253" s="12" t="s">
        <v>1172</v>
      </c>
      <c r="B253" s="17" t="s">
        <v>125</v>
      </c>
      <c r="C253" s="14">
        <v>25</v>
      </c>
      <c r="D253" s="14" t="s">
        <v>25</v>
      </c>
      <c r="E253" s="14" t="s">
        <v>16</v>
      </c>
      <c r="F253" s="15">
        <f>'Option Year 2'!F253+'Option Year 2'!F253*3%</f>
        <v>0</v>
      </c>
      <c r="G253" s="16">
        <f t="shared" si="18"/>
        <v>0</v>
      </c>
    </row>
    <row r="254" spans="1:7" x14ac:dyDescent="0.35">
      <c r="A254" s="12" t="s">
        <v>1173</v>
      </c>
      <c r="B254" s="17" t="s">
        <v>127</v>
      </c>
      <c r="C254" s="14">
        <v>5</v>
      </c>
      <c r="D254" s="14" t="s">
        <v>114</v>
      </c>
      <c r="E254" s="14" t="s">
        <v>16</v>
      </c>
      <c r="F254" s="15">
        <f>'Option Year 2'!F254+'Option Year 2'!F254*3%</f>
        <v>0</v>
      </c>
      <c r="G254" s="16">
        <f t="shared" si="18"/>
        <v>0</v>
      </c>
    </row>
    <row r="255" spans="1:7" ht="31" x14ac:dyDescent="0.35">
      <c r="A255" s="12"/>
      <c r="B255" s="13" t="s">
        <v>128</v>
      </c>
      <c r="C255" s="14"/>
      <c r="D255" s="14"/>
      <c r="E255" s="14"/>
      <c r="F255" s="15">
        <f>'Option Year 2'!F255+'Option Year 2'!F255*3%</f>
        <v>0</v>
      </c>
      <c r="G255" s="16"/>
    </row>
    <row r="256" spans="1:7" x14ac:dyDescent="0.35">
      <c r="A256" s="12" t="s">
        <v>1174</v>
      </c>
      <c r="B256" s="17" t="s">
        <v>130</v>
      </c>
      <c r="C256" s="14">
        <v>25</v>
      </c>
      <c r="D256" s="14" t="s">
        <v>25</v>
      </c>
      <c r="E256" s="14" t="s">
        <v>16</v>
      </c>
      <c r="F256" s="15">
        <f>'Option Year 2'!F256+'Option Year 2'!F256*3%</f>
        <v>0</v>
      </c>
      <c r="G256" s="16">
        <f t="shared" ref="G256:G259" si="19">F256*C256</f>
        <v>0</v>
      </c>
    </row>
    <row r="257" spans="1:7" x14ac:dyDescent="0.35">
      <c r="A257" s="12" t="s">
        <v>1175</v>
      </c>
      <c r="B257" s="17" t="s">
        <v>132</v>
      </c>
      <c r="C257" s="14">
        <v>25</v>
      </c>
      <c r="D257" s="14" t="s">
        <v>25</v>
      </c>
      <c r="E257" s="14" t="s">
        <v>16</v>
      </c>
      <c r="F257" s="15">
        <f>'Option Year 2'!F257+'Option Year 2'!F257*3%</f>
        <v>0</v>
      </c>
      <c r="G257" s="16">
        <f t="shared" si="19"/>
        <v>0</v>
      </c>
    </row>
    <row r="258" spans="1:7" x14ac:dyDescent="0.35">
      <c r="A258" s="12" t="s">
        <v>1176</v>
      </c>
      <c r="B258" s="17" t="s">
        <v>134</v>
      </c>
      <c r="C258" s="14">
        <v>25</v>
      </c>
      <c r="D258" s="14" t="s">
        <v>25</v>
      </c>
      <c r="E258" s="14" t="s">
        <v>16</v>
      </c>
      <c r="F258" s="15">
        <f>'Option Year 2'!F258+'Option Year 2'!F258*3%</f>
        <v>0</v>
      </c>
      <c r="G258" s="16">
        <f t="shared" si="19"/>
        <v>0</v>
      </c>
    </row>
    <row r="259" spans="1:7" x14ac:dyDescent="0.35">
      <c r="A259" s="12" t="s">
        <v>1177</v>
      </c>
      <c r="B259" s="17" t="s">
        <v>136</v>
      </c>
      <c r="C259" s="14">
        <v>25</v>
      </c>
      <c r="D259" s="14" t="s">
        <v>25</v>
      </c>
      <c r="E259" s="14" t="s">
        <v>16</v>
      </c>
      <c r="F259" s="15">
        <f>'Option Year 2'!F259+'Option Year 2'!F259*3%</f>
        <v>0</v>
      </c>
      <c r="G259" s="16">
        <f t="shared" si="19"/>
        <v>0</v>
      </c>
    </row>
    <row r="260" spans="1:7" ht="31" x14ac:dyDescent="0.35">
      <c r="A260" s="12"/>
      <c r="B260" s="13" t="s">
        <v>137</v>
      </c>
      <c r="C260" s="14"/>
      <c r="D260" s="14"/>
      <c r="E260" s="14"/>
      <c r="F260" s="15">
        <f>'Option Year 2'!F260+'Option Year 2'!F260*3%</f>
        <v>0</v>
      </c>
      <c r="G260" s="16"/>
    </row>
    <row r="261" spans="1:7" x14ac:dyDescent="0.35">
      <c r="A261" s="12" t="s">
        <v>1178</v>
      </c>
      <c r="B261" s="17" t="s">
        <v>130</v>
      </c>
      <c r="C261" s="14">
        <v>25</v>
      </c>
      <c r="D261" s="14" t="s">
        <v>25</v>
      </c>
      <c r="E261" s="14" t="s">
        <v>16</v>
      </c>
      <c r="F261" s="15">
        <f>'Option Year 2'!F261+'Option Year 2'!F261*3%</f>
        <v>0</v>
      </c>
      <c r="G261" s="16">
        <f t="shared" ref="G261:G264" si="20">F261*C261</f>
        <v>0</v>
      </c>
    </row>
    <row r="262" spans="1:7" x14ac:dyDescent="0.35">
      <c r="A262" s="12" t="s">
        <v>1179</v>
      </c>
      <c r="B262" s="17" t="s">
        <v>132</v>
      </c>
      <c r="C262" s="14">
        <v>25</v>
      </c>
      <c r="D262" s="14" t="s">
        <v>25</v>
      </c>
      <c r="E262" s="14" t="s">
        <v>16</v>
      </c>
      <c r="F262" s="15">
        <f>'Option Year 2'!F262+'Option Year 2'!F262*3%</f>
        <v>0</v>
      </c>
      <c r="G262" s="16">
        <f t="shared" si="20"/>
        <v>0</v>
      </c>
    </row>
    <row r="263" spans="1:7" x14ac:dyDescent="0.35">
      <c r="A263" s="12" t="s">
        <v>1180</v>
      </c>
      <c r="B263" s="17" t="s">
        <v>134</v>
      </c>
      <c r="C263" s="14">
        <v>25</v>
      </c>
      <c r="D263" s="14" t="s">
        <v>25</v>
      </c>
      <c r="E263" s="14" t="s">
        <v>16</v>
      </c>
      <c r="F263" s="15">
        <f>'Option Year 2'!F263+'Option Year 2'!F263*3%</f>
        <v>0</v>
      </c>
      <c r="G263" s="16">
        <f t="shared" si="20"/>
        <v>0</v>
      </c>
    </row>
    <row r="264" spans="1:7" x14ac:dyDescent="0.35">
      <c r="A264" s="12" t="s">
        <v>1181</v>
      </c>
      <c r="B264" s="17" t="s">
        <v>136</v>
      </c>
      <c r="C264" s="14">
        <v>25</v>
      </c>
      <c r="D264" s="14" t="s">
        <v>25</v>
      </c>
      <c r="E264" s="14" t="s">
        <v>16</v>
      </c>
      <c r="F264" s="15">
        <f>'Option Year 2'!F264+'Option Year 2'!F264*3%</f>
        <v>0</v>
      </c>
      <c r="G264" s="16">
        <f t="shared" si="20"/>
        <v>0</v>
      </c>
    </row>
    <row r="265" spans="1:7" ht="31" x14ac:dyDescent="0.35">
      <c r="A265" s="12"/>
      <c r="B265" s="22" t="s">
        <v>142</v>
      </c>
      <c r="C265" s="14"/>
      <c r="D265" s="14"/>
      <c r="E265" s="14"/>
      <c r="F265" s="15">
        <f>'Option Year 2'!F265+'Option Year 2'!F265*3%</f>
        <v>0</v>
      </c>
      <c r="G265" s="16"/>
    </row>
    <row r="266" spans="1:7" x14ac:dyDescent="0.35">
      <c r="A266" s="12" t="s">
        <v>1182</v>
      </c>
      <c r="B266" s="17" t="s">
        <v>130</v>
      </c>
      <c r="C266" s="14">
        <v>6</v>
      </c>
      <c r="D266" s="14" t="s">
        <v>40</v>
      </c>
      <c r="E266" s="14" t="s">
        <v>16</v>
      </c>
      <c r="F266" s="15">
        <f>'Option Year 2'!F266+'Option Year 2'!F266*3%</f>
        <v>0</v>
      </c>
      <c r="G266" s="16">
        <f t="shared" ref="G266:G269" si="21">F266*C266</f>
        <v>0</v>
      </c>
    </row>
    <row r="267" spans="1:7" x14ac:dyDescent="0.35">
      <c r="A267" s="12" t="s">
        <v>1183</v>
      </c>
      <c r="B267" s="17" t="s">
        <v>132</v>
      </c>
      <c r="C267" s="14">
        <v>6</v>
      </c>
      <c r="D267" s="14" t="s">
        <v>40</v>
      </c>
      <c r="E267" s="14" t="s">
        <v>16</v>
      </c>
      <c r="F267" s="15">
        <f>'Option Year 2'!F267+'Option Year 2'!F267*3%</f>
        <v>0</v>
      </c>
      <c r="G267" s="16">
        <f t="shared" si="21"/>
        <v>0</v>
      </c>
    </row>
    <row r="268" spans="1:7" x14ac:dyDescent="0.35">
      <c r="A268" s="12" t="s">
        <v>1184</v>
      </c>
      <c r="B268" s="17" t="s">
        <v>134</v>
      </c>
      <c r="C268" s="14">
        <v>6</v>
      </c>
      <c r="D268" s="14" t="s">
        <v>40</v>
      </c>
      <c r="E268" s="14" t="s">
        <v>16</v>
      </c>
      <c r="F268" s="15">
        <f>'Option Year 2'!F268+'Option Year 2'!F268*3%</f>
        <v>0</v>
      </c>
      <c r="G268" s="16">
        <f t="shared" si="21"/>
        <v>0</v>
      </c>
    </row>
    <row r="269" spans="1:7" x14ac:dyDescent="0.35">
      <c r="A269" s="12" t="s">
        <v>1185</v>
      </c>
      <c r="B269" s="17" t="s">
        <v>136</v>
      </c>
      <c r="C269" s="14">
        <v>6</v>
      </c>
      <c r="D269" s="14" t="s">
        <v>40</v>
      </c>
      <c r="E269" s="14" t="s">
        <v>16</v>
      </c>
      <c r="F269" s="15">
        <f>'Option Year 2'!F269+'Option Year 2'!F269*3%</f>
        <v>0</v>
      </c>
      <c r="G269" s="16">
        <f t="shared" si="21"/>
        <v>0</v>
      </c>
    </row>
    <row r="270" spans="1:7" x14ac:dyDescent="0.35">
      <c r="A270" s="12"/>
      <c r="B270" s="13" t="s">
        <v>147</v>
      </c>
      <c r="C270" s="14"/>
      <c r="D270" s="14"/>
      <c r="E270" s="14"/>
      <c r="F270" s="15">
        <f>'Option Year 2'!F270+'Option Year 2'!F270*3%</f>
        <v>0</v>
      </c>
      <c r="G270" s="16"/>
    </row>
    <row r="271" spans="1:7" x14ac:dyDescent="0.35">
      <c r="A271" s="12"/>
      <c r="B271" s="13" t="s">
        <v>148</v>
      </c>
      <c r="C271" s="14"/>
      <c r="D271" s="14"/>
      <c r="E271" s="14"/>
      <c r="F271" s="15">
        <f>'Option Year 2'!F271+'Option Year 2'!F271*3%</f>
        <v>0</v>
      </c>
      <c r="G271" s="16"/>
    </row>
    <row r="272" spans="1:7" x14ac:dyDescent="0.35">
      <c r="A272" s="12" t="s">
        <v>1186</v>
      </c>
      <c r="B272" s="17" t="s">
        <v>150</v>
      </c>
      <c r="C272" s="14">
        <v>100</v>
      </c>
      <c r="D272" s="14" t="s">
        <v>40</v>
      </c>
      <c r="E272" s="14" t="s">
        <v>16</v>
      </c>
      <c r="F272" s="15">
        <f>'Option Year 2'!F272+'Option Year 2'!F272*3%</f>
        <v>0</v>
      </c>
      <c r="G272" s="16">
        <f t="shared" ref="G272:G282" si="22">F272*C272</f>
        <v>0</v>
      </c>
    </row>
    <row r="273" spans="1:7" x14ac:dyDescent="0.35">
      <c r="A273" s="12" t="s">
        <v>1187</v>
      </c>
      <c r="B273" s="17" t="s">
        <v>152</v>
      </c>
      <c r="C273" s="14">
        <v>100</v>
      </c>
      <c r="D273" s="14" t="s">
        <v>40</v>
      </c>
      <c r="E273" s="14" t="s">
        <v>16</v>
      </c>
      <c r="F273" s="15">
        <f>'Option Year 2'!F273+'Option Year 2'!F273*3%</f>
        <v>0</v>
      </c>
      <c r="G273" s="16">
        <f t="shared" si="22"/>
        <v>0</v>
      </c>
    </row>
    <row r="274" spans="1:7" x14ac:dyDescent="0.35">
      <c r="A274" s="12" t="s">
        <v>1188</v>
      </c>
      <c r="B274" s="17" t="s">
        <v>154</v>
      </c>
      <c r="C274" s="14">
        <v>100</v>
      </c>
      <c r="D274" s="14" t="s">
        <v>40</v>
      </c>
      <c r="E274" s="14" t="s">
        <v>16</v>
      </c>
      <c r="F274" s="15">
        <f>'Option Year 2'!F274+'Option Year 2'!F274*3%</f>
        <v>0</v>
      </c>
      <c r="G274" s="16">
        <f t="shared" si="22"/>
        <v>0</v>
      </c>
    </row>
    <row r="275" spans="1:7" x14ac:dyDescent="0.35">
      <c r="A275" s="12" t="s">
        <v>1189</v>
      </c>
      <c r="B275" s="17" t="s">
        <v>156</v>
      </c>
      <c r="C275" s="14">
        <v>100</v>
      </c>
      <c r="D275" s="14" t="s">
        <v>40</v>
      </c>
      <c r="E275" s="14" t="s">
        <v>16</v>
      </c>
      <c r="F275" s="15">
        <f>'Option Year 2'!F275+'Option Year 2'!F275*3%</f>
        <v>0</v>
      </c>
      <c r="G275" s="16">
        <f t="shared" si="22"/>
        <v>0</v>
      </c>
    </row>
    <row r="276" spans="1:7" x14ac:dyDescent="0.35">
      <c r="A276" s="12" t="s">
        <v>1190</v>
      </c>
      <c r="B276" s="17" t="s">
        <v>158</v>
      </c>
      <c r="C276" s="14">
        <v>100</v>
      </c>
      <c r="D276" s="14" t="s">
        <v>40</v>
      </c>
      <c r="E276" s="14" t="s">
        <v>16</v>
      </c>
      <c r="F276" s="15">
        <f>'Option Year 2'!F276+'Option Year 2'!F276*3%</f>
        <v>0</v>
      </c>
      <c r="G276" s="16">
        <f t="shared" si="22"/>
        <v>0</v>
      </c>
    </row>
    <row r="277" spans="1:7" x14ac:dyDescent="0.35">
      <c r="A277" s="12" t="s">
        <v>1191</v>
      </c>
      <c r="B277" s="17" t="s">
        <v>160</v>
      </c>
      <c r="C277" s="14">
        <v>100</v>
      </c>
      <c r="D277" s="14" t="s">
        <v>40</v>
      </c>
      <c r="E277" s="14" t="s">
        <v>16</v>
      </c>
      <c r="F277" s="15">
        <f>'Option Year 2'!F277+'Option Year 2'!F277*3%</f>
        <v>0</v>
      </c>
      <c r="G277" s="16">
        <f t="shared" si="22"/>
        <v>0</v>
      </c>
    </row>
    <row r="278" spans="1:7" x14ac:dyDescent="0.35">
      <c r="A278" s="12" t="s">
        <v>1192</v>
      </c>
      <c r="B278" s="17" t="s">
        <v>162</v>
      </c>
      <c r="C278" s="14">
        <v>100</v>
      </c>
      <c r="D278" s="14" t="s">
        <v>40</v>
      </c>
      <c r="E278" s="14" t="s">
        <v>16</v>
      </c>
      <c r="F278" s="15">
        <f>'Option Year 2'!F278+'Option Year 2'!F278*3%</f>
        <v>0</v>
      </c>
      <c r="G278" s="16">
        <f t="shared" si="22"/>
        <v>0</v>
      </c>
    </row>
    <row r="279" spans="1:7" x14ac:dyDescent="0.35">
      <c r="A279" s="12" t="s">
        <v>1193</v>
      </c>
      <c r="B279" s="17" t="s">
        <v>164</v>
      </c>
      <c r="C279" s="14">
        <v>100</v>
      </c>
      <c r="D279" s="14" t="s">
        <v>40</v>
      </c>
      <c r="E279" s="14" t="s">
        <v>16</v>
      </c>
      <c r="F279" s="15">
        <f>'Option Year 2'!F279+'Option Year 2'!F279*3%</f>
        <v>0</v>
      </c>
      <c r="G279" s="16">
        <f t="shared" si="22"/>
        <v>0</v>
      </c>
    </row>
    <row r="280" spans="1:7" x14ac:dyDescent="0.35">
      <c r="A280" s="12" t="s">
        <v>1194</v>
      </c>
      <c r="B280" s="17" t="s">
        <v>166</v>
      </c>
      <c r="C280" s="14">
        <v>100</v>
      </c>
      <c r="D280" s="14" t="s">
        <v>40</v>
      </c>
      <c r="E280" s="14" t="s">
        <v>16</v>
      </c>
      <c r="F280" s="15">
        <f>'Option Year 2'!F280+'Option Year 2'!F280*3%</f>
        <v>0</v>
      </c>
      <c r="G280" s="16">
        <f t="shared" si="22"/>
        <v>0</v>
      </c>
    </row>
    <row r="281" spans="1:7" x14ac:dyDescent="0.35">
      <c r="A281" s="12" t="s">
        <v>1195</v>
      </c>
      <c r="B281" s="17" t="s">
        <v>168</v>
      </c>
      <c r="C281" s="14">
        <v>100</v>
      </c>
      <c r="D281" s="14" t="s">
        <v>40</v>
      </c>
      <c r="E281" s="14" t="s">
        <v>16</v>
      </c>
      <c r="F281" s="15">
        <f>'Option Year 2'!F281+'Option Year 2'!F281*3%</f>
        <v>0</v>
      </c>
      <c r="G281" s="16">
        <f t="shared" si="22"/>
        <v>0</v>
      </c>
    </row>
    <row r="282" spans="1:7" x14ac:dyDescent="0.35">
      <c r="A282" s="12" t="s">
        <v>1196</v>
      </c>
      <c r="B282" s="17" t="s">
        <v>170</v>
      </c>
      <c r="C282" s="14">
        <v>100</v>
      </c>
      <c r="D282" s="14" t="s">
        <v>40</v>
      </c>
      <c r="E282" s="14" t="s">
        <v>16</v>
      </c>
      <c r="F282" s="15">
        <f>'Option Year 2'!F282+'Option Year 2'!F282*3%</f>
        <v>0</v>
      </c>
      <c r="G282" s="16">
        <f t="shared" si="22"/>
        <v>0</v>
      </c>
    </row>
    <row r="283" spans="1:7" x14ac:dyDescent="0.35">
      <c r="A283" s="12"/>
      <c r="B283" s="13" t="s">
        <v>171</v>
      </c>
      <c r="C283" s="14"/>
      <c r="D283" s="14"/>
      <c r="E283" s="14"/>
      <c r="F283" s="15">
        <f>'Option Year 2'!F283+'Option Year 2'!F283*3%</f>
        <v>0</v>
      </c>
      <c r="G283" s="16"/>
    </row>
    <row r="284" spans="1:7" x14ac:dyDescent="0.35">
      <c r="A284" s="12" t="s">
        <v>1197</v>
      </c>
      <c r="B284" s="17" t="s">
        <v>173</v>
      </c>
      <c r="C284" s="14">
        <v>100</v>
      </c>
      <c r="D284" s="14" t="s">
        <v>40</v>
      </c>
      <c r="E284" s="14" t="s">
        <v>16</v>
      </c>
      <c r="F284" s="15">
        <f>'Option Year 2'!F284+'Option Year 2'!F284*3%</f>
        <v>0</v>
      </c>
      <c r="G284" s="16">
        <f t="shared" ref="G284:G292" si="23">F284*C284</f>
        <v>0</v>
      </c>
    </row>
    <row r="285" spans="1:7" x14ac:dyDescent="0.35">
      <c r="A285" s="12" t="s">
        <v>1198</v>
      </c>
      <c r="B285" s="17" t="s">
        <v>175</v>
      </c>
      <c r="C285" s="14">
        <v>100</v>
      </c>
      <c r="D285" s="14" t="s">
        <v>40</v>
      </c>
      <c r="E285" s="14" t="s">
        <v>16</v>
      </c>
      <c r="F285" s="15">
        <f>'Option Year 2'!F285+'Option Year 2'!F285*3%</f>
        <v>0</v>
      </c>
      <c r="G285" s="16">
        <f t="shared" si="23"/>
        <v>0</v>
      </c>
    </row>
    <row r="286" spans="1:7" x14ac:dyDescent="0.35">
      <c r="A286" s="12" t="s">
        <v>1199</v>
      </c>
      <c r="B286" s="17" t="s">
        <v>177</v>
      </c>
      <c r="C286" s="14">
        <v>100</v>
      </c>
      <c r="D286" s="14" t="s">
        <v>40</v>
      </c>
      <c r="E286" s="14" t="s">
        <v>16</v>
      </c>
      <c r="F286" s="15">
        <f>'Option Year 2'!F286+'Option Year 2'!F286*3%</f>
        <v>0</v>
      </c>
      <c r="G286" s="16">
        <f t="shared" si="23"/>
        <v>0</v>
      </c>
    </row>
    <row r="287" spans="1:7" x14ac:dyDescent="0.35">
      <c r="A287" s="12" t="s">
        <v>1200</v>
      </c>
      <c r="B287" s="17" t="s">
        <v>179</v>
      </c>
      <c r="C287" s="14">
        <v>100</v>
      </c>
      <c r="D287" s="14" t="s">
        <v>40</v>
      </c>
      <c r="E287" s="14" t="s">
        <v>16</v>
      </c>
      <c r="F287" s="15">
        <f>'Option Year 2'!F287+'Option Year 2'!F287*3%</f>
        <v>0</v>
      </c>
      <c r="G287" s="16">
        <f t="shared" si="23"/>
        <v>0</v>
      </c>
    </row>
    <row r="288" spans="1:7" x14ac:dyDescent="0.35">
      <c r="A288" s="12" t="s">
        <v>1201</v>
      </c>
      <c r="B288" s="17" t="s">
        <v>181</v>
      </c>
      <c r="C288" s="14">
        <v>100</v>
      </c>
      <c r="D288" s="14" t="s">
        <v>40</v>
      </c>
      <c r="E288" s="14" t="s">
        <v>16</v>
      </c>
      <c r="F288" s="15">
        <f>'Option Year 2'!F288+'Option Year 2'!F288*3%</f>
        <v>0</v>
      </c>
      <c r="G288" s="16">
        <f t="shared" si="23"/>
        <v>0</v>
      </c>
    </row>
    <row r="289" spans="1:7" x14ac:dyDescent="0.35">
      <c r="A289" s="12" t="s">
        <v>1202</v>
      </c>
      <c r="B289" s="17" t="s">
        <v>183</v>
      </c>
      <c r="C289" s="14">
        <v>100</v>
      </c>
      <c r="D289" s="14" t="s">
        <v>40</v>
      </c>
      <c r="E289" s="14" t="s">
        <v>16</v>
      </c>
      <c r="F289" s="15">
        <f>'Option Year 2'!F289+'Option Year 2'!F289*3%</f>
        <v>0</v>
      </c>
      <c r="G289" s="16">
        <f t="shared" si="23"/>
        <v>0</v>
      </c>
    </row>
    <row r="290" spans="1:7" x14ac:dyDescent="0.35">
      <c r="A290" s="12" t="s">
        <v>1203</v>
      </c>
      <c r="B290" s="17" t="s">
        <v>185</v>
      </c>
      <c r="C290" s="14">
        <v>100</v>
      </c>
      <c r="D290" s="14" t="s">
        <v>40</v>
      </c>
      <c r="E290" s="14" t="s">
        <v>16</v>
      </c>
      <c r="F290" s="15">
        <f>'Option Year 2'!F290+'Option Year 2'!F290*3%</f>
        <v>0</v>
      </c>
      <c r="G290" s="16">
        <f t="shared" si="23"/>
        <v>0</v>
      </c>
    </row>
    <row r="291" spans="1:7" x14ac:dyDescent="0.35">
      <c r="A291" s="12" t="s">
        <v>1204</v>
      </c>
      <c r="B291" s="17" t="s">
        <v>187</v>
      </c>
      <c r="C291" s="14">
        <v>100</v>
      </c>
      <c r="D291" s="14" t="s">
        <v>40</v>
      </c>
      <c r="E291" s="14" t="s">
        <v>16</v>
      </c>
      <c r="F291" s="15">
        <f>'Option Year 2'!F291+'Option Year 2'!F291*3%</f>
        <v>0</v>
      </c>
      <c r="G291" s="16">
        <f t="shared" si="23"/>
        <v>0</v>
      </c>
    </row>
    <row r="292" spans="1:7" x14ac:dyDescent="0.35">
      <c r="A292" s="12" t="s">
        <v>1205</v>
      </c>
      <c r="B292" s="17" t="s">
        <v>189</v>
      </c>
      <c r="C292" s="14">
        <v>5</v>
      </c>
      <c r="D292" s="14" t="s">
        <v>114</v>
      </c>
      <c r="E292" s="14" t="s">
        <v>16</v>
      </c>
      <c r="F292" s="15">
        <f>'Option Year 2'!F292+'Option Year 2'!F292*3%</f>
        <v>0</v>
      </c>
      <c r="G292" s="16">
        <f t="shared" si="23"/>
        <v>0</v>
      </c>
    </row>
    <row r="293" spans="1:7" x14ac:dyDescent="0.35">
      <c r="A293" s="12"/>
      <c r="B293" s="17" t="s">
        <v>190</v>
      </c>
      <c r="C293" s="14"/>
      <c r="D293" s="14"/>
      <c r="E293" s="14"/>
      <c r="F293" s="15">
        <f>'Option Year 2'!F293+'Option Year 2'!F293*3%</f>
        <v>0</v>
      </c>
      <c r="G293" s="16"/>
    </row>
    <row r="294" spans="1:7" x14ac:dyDescent="0.35">
      <c r="A294" s="12"/>
      <c r="B294" s="13" t="s">
        <v>191</v>
      </c>
      <c r="C294" s="14"/>
      <c r="D294" s="14"/>
      <c r="E294" s="14"/>
      <c r="F294" s="15">
        <f>'Option Year 2'!F294+'Option Year 2'!F294*3%</f>
        <v>0</v>
      </c>
      <c r="G294" s="16"/>
    </row>
    <row r="295" spans="1:7" ht="31" x14ac:dyDescent="0.35">
      <c r="A295" s="12" t="s">
        <v>1206</v>
      </c>
      <c r="B295" s="17" t="s">
        <v>193</v>
      </c>
      <c r="C295" s="14">
        <v>100</v>
      </c>
      <c r="D295" s="14" t="s">
        <v>40</v>
      </c>
      <c r="E295" s="14" t="s">
        <v>16</v>
      </c>
      <c r="F295" s="15">
        <f>'Option Year 2'!F295+'Option Year 2'!F295*3%</f>
        <v>0</v>
      </c>
      <c r="G295" s="16">
        <f t="shared" ref="G295:G299" si="24">F295*C295</f>
        <v>0</v>
      </c>
    </row>
    <row r="296" spans="1:7" ht="31" x14ac:dyDescent="0.35">
      <c r="A296" s="12" t="s">
        <v>1207</v>
      </c>
      <c r="B296" s="17" t="s">
        <v>195</v>
      </c>
      <c r="C296" s="14">
        <v>100</v>
      </c>
      <c r="D296" s="14" t="s">
        <v>40</v>
      </c>
      <c r="E296" s="14" t="s">
        <v>16</v>
      </c>
      <c r="F296" s="15">
        <f>'Option Year 2'!F296+'Option Year 2'!F296*3%</f>
        <v>0</v>
      </c>
      <c r="G296" s="16">
        <f t="shared" si="24"/>
        <v>0</v>
      </c>
    </row>
    <row r="297" spans="1:7" ht="46.5" x14ac:dyDescent="0.35">
      <c r="A297" s="12" t="s">
        <v>1208</v>
      </c>
      <c r="B297" s="17" t="s">
        <v>197</v>
      </c>
      <c r="C297" s="14">
        <v>200</v>
      </c>
      <c r="D297" s="14" t="s">
        <v>40</v>
      </c>
      <c r="E297" s="14" t="s">
        <v>16</v>
      </c>
      <c r="F297" s="15">
        <f>'Option Year 2'!F297+'Option Year 2'!F297*3%</f>
        <v>0</v>
      </c>
      <c r="G297" s="16">
        <f t="shared" si="24"/>
        <v>0</v>
      </c>
    </row>
    <row r="298" spans="1:7" x14ac:dyDescent="0.35">
      <c r="A298" s="12" t="s">
        <v>1209</v>
      </c>
      <c r="B298" s="17" t="s">
        <v>199</v>
      </c>
      <c r="C298" s="14">
        <v>3</v>
      </c>
      <c r="D298" s="14" t="s">
        <v>114</v>
      </c>
      <c r="E298" s="14" t="s">
        <v>16</v>
      </c>
      <c r="F298" s="15">
        <f>'Option Year 2'!F298+'Option Year 2'!F298*3%</f>
        <v>0</v>
      </c>
      <c r="G298" s="16">
        <f t="shared" si="24"/>
        <v>0</v>
      </c>
    </row>
    <row r="299" spans="1:7" x14ac:dyDescent="0.35">
      <c r="A299" s="12" t="s">
        <v>1210</v>
      </c>
      <c r="B299" s="17" t="s">
        <v>201</v>
      </c>
      <c r="C299" s="14">
        <v>3</v>
      </c>
      <c r="D299" s="14" t="s">
        <v>114</v>
      </c>
      <c r="E299" s="14" t="s">
        <v>16</v>
      </c>
      <c r="F299" s="15">
        <f>'Option Year 2'!F299+'Option Year 2'!F299*3%</f>
        <v>0</v>
      </c>
      <c r="G299" s="16">
        <f t="shared" si="24"/>
        <v>0</v>
      </c>
    </row>
    <row r="300" spans="1:7" ht="31" x14ac:dyDescent="0.35">
      <c r="A300" s="12"/>
      <c r="B300" s="13" t="s">
        <v>202</v>
      </c>
      <c r="C300" s="14"/>
      <c r="D300" s="14"/>
      <c r="E300" s="14"/>
      <c r="F300" s="15">
        <f>'Option Year 2'!F300+'Option Year 2'!F300*3%</f>
        <v>0</v>
      </c>
      <c r="G300" s="16"/>
    </row>
    <row r="301" spans="1:7" x14ac:dyDescent="0.35">
      <c r="A301" s="12" t="s">
        <v>1211</v>
      </c>
      <c r="B301" s="17" t="s">
        <v>130</v>
      </c>
      <c r="C301" s="14">
        <v>25</v>
      </c>
      <c r="D301" s="14" t="s">
        <v>25</v>
      </c>
      <c r="E301" s="14" t="s">
        <v>16</v>
      </c>
      <c r="F301" s="15">
        <f>'Option Year 2'!F301+'Option Year 2'!F301*3%</f>
        <v>0</v>
      </c>
      <c r="G301" s="16">
        <f t="shared" ref="G301:G304" si="25">F301*C301</f>
        <v>0</v>
      </c>
    </row>
    <row r="302" spans="1:7" x14ac:dyDescent="0.35">
      <c r="A302" s="12" t="s">
        <v>1212</v>
      </c>
      <c r="B302" s="17" t="s">
        <v>132</v>
      </c>
      <c r="C302" s="14">
        <v>25</v>
      </c>
      <c r="D302" s="14" t="s">
        <v>25</v>
      </c>
      <c r="E302" s="14" t="s">
        <v>16</v>
      </c>
      <c r="F302" s="15">
        <f>'Option Year 2'!F302+'Option Year 2'!F302*3%</f>
        <v>0</v>
      </c>
      <c r="G302" s="16">
        <f t="shared" si="25"/>
        <v>0</v>
      </c>
    </row>
    <row r="303" spans="1:7" x14ac:dyDescent="0.35">
      <c r="A303" s="12" t="s">
        <v>1213</v>
      </c>
      <c r="B303" s="17" t="s">
        <v>134</v>
      </c>
      <c r="C303" s="14">
        <v>25</v>
      </c>
      <c r="D303" s="14" t="s">
        <v>25</v>
      </c>
      <c r="E303" s="14" t="s">
        <v>16</v>
      </c>
      <c r="F303" s="15">
        <f>'Option Year 2'!F303+'Option Year 2'!F303*3%</f>
        <v>0</v>
      </c>
      <c r="G303" s="16">
        <f t="shared" si="25"/>
        <v>0</v>
      </c>
    </row>
    <row r="304" spans="1:7" x14ac:dyDescent="0.35">
      <c r="A304" s="12" t="s">
        <v>1214</v>
      </c>
      <c r="B304" s="23" t="s">
        <v>136</v>
      </c>
      <c r="C304" s="14">
        <v>25</v>
      </c>
      <c r="D304" s="14" t="s">
        <v>25</v>
      </c>
      <c r="E304" s="14" t="s">
        <v>16</v>
      </c>
      <c r="F304" s="15">
        <f>'Option Year 2'!F304+'Option Year 2'!F304*3%</f>
        <v>0</v>
      </c>
      <c r="G304" s="16">
        <f t="shared" si="25"/>
        <v>0</v>
      </c>
    </row>
    <row r="305" spans="1:7" x14ac:dyDescent="0.35">
      <c r="A305" s="12"/>
      <c r="B305" s="24" t="s">
        <v>207</v>
      </c>
      <c r="C305" s="14"/>
      <c r="D305" s="14"/>
      <c r="E305" s="14"/>
      <c r="F305" s="15">
        <f>'Option Year 2'!F305+'Option Year 2'!F305*3%</f>
        <v>0</v>
      </c>
      <c r="G305" s="16"/>
    </row>
    <row r="306" spans="1:7" x14ac:dyDescent="0.35">
      <c r="A306" s="12" t="s">
        <v>1215</v>
      </c>
      <c r="B306" s="17" t="s">
        <v>130</v>
      </c>
      <c r="C306" s="14">
        <v>25</v>
      </c>
      <c r="D306" s="14" t="s">
        <v>25</v>
      </c>
      <c r="E306" s="14" t="s">
        <v>16</v>
      </c>
      <c r="F306" s="15">
        <f>'Option Year 2'!F306+'Option Year 2'!F306*3%</f>
        <v>0</v>
      </c>
      <c r="G306" s="16">
        <f t="shared" ref="G306:G310" si="26">F306*C306</f>
        <v>0</v>
      </c>
    </row>
    <row r="307" spans="1:7" x14ac:dyDescent="0.35">
      <c r="A307" s="12" t="s">
        <v>1216</v>
      </c>
      <c r="B307" s="17" t="s">
        <v>132</v>
      </c>
      <c r="C307" s="14">
        <v>25</v>
      </c>
      <c r="D307" s="14" t="s">
        <v>25</v>
      </c>
      <c r="E307" s="14" t="s">
        <v>16</v>
      </c>
      <c r="F307" s="15">
        <f>'Option Year 2'!F307+'Option Year 2'!F307*3%</f>
        <v>0</v>
      </c>
      <c r="G307" s="16">
        <f t="shared" si="26"/>
        <v>0</v>
      </c>
    </row>
    <row r="308" spans="1:7" x14ac:dyDescent="0.35">
      <c r="A308" s="12" t="s">
        <v>1217</v>
      </c>
      <c r="B308" s="17" t="s">
        <v>134</v>
      </c>
      <c r="C308" s="14">
        <v>25</v>
      </c>
      <c r="D308" s="14" t="s">
        <v>25</v>
      </c>
      <c r="E308" s="14" t="s">
        <v>16</v>
      </c>
      <c r="F308" s="15">
        <f>'Option Year 2'!F308+'Option Year 2'!F308*3%</f>
        <v>0</v>
      </c>
      <c r="G308" s="16">
        <f t="shared" si="26"/>
        <v>0</v>
      </c>
    </row>
    <row r="309" spans="1:7" x14ac:dyDescent="0.35">
      <c r="A309" s="12" t="s">
        <v>1218</v>
      </c>
      <c r="B309" s="17" t="s">
        <v>136</v>
      </c>
      <c r="C309" s="14">
        <v>25</v>
      </c>
      <c r="D309" s="14" t="s">
        <v>25</v>
      </c>
      <c r="E309" s="14" t="s">
        <v>16</v>
      </c>
      <c r="F309" s="15">
        <f>'Option Year 2'!F309+'Option Year 2'!F309*3%</f>
        <v>0</v>
      </c>
      <c r="G309" s="16">
        <f t="shared" si="26"/>
        <v>0</v>
      </c>
    </row>
    <row r="310" spans="1:7" x14ac:dyDescent="0.35">
      <c r="A310" s="12" t="s">
        <v>1219</v>
      </c>
      <c r="B310" s="17" t="s">
        <v>213</v>
      </c>
      <c r="C310" s="14">
        <v>25</v>
      </c>
      <c r="D310" s="14" t="s">
        <v>25</v>
      </c>
      <c r="E310" s="14" t="s">
        <v>16</v>
      </c>
      <c r="F310" s="15">
        <f>'Option Year 2'!F310+'Option Year 2'!F310*3%</f>
        <v>0</v>
      </c>
      <c r="G310" s="16">
        <f t="shared" si="26"/>
        <v>0</v>
      </c>
    </row>
    <row r="311" spans="1:7" ht="31" x14ac:dyDescent="0.35">
      <c r="A311" s="12"/>
      <c r="B311" s="13" t="s">
        <v>214</v>
      </c>
      <c r="C311" s="14"/>
      <c r="D311" s="14"/>
      <c r="E311" s="14"/>
      <c r="F311" s="15">
        <f>'Option Year 2'!F311+'Option Year 2'!F311*3%</f>
        <v>0</v>
      </c>
      <c r="G311" s="16"/>
    </row>
    <row r="312" spans="1:7" x14ac:dyDescent="0.35">
      <c r="A312" s="12" t="s">
        <v>1220</v>
      </c>
      <c r="B312" s="17" t="s">
        <v>130</v>
      </c>
      <c r="C312" s="14">
        <v>2</v>
      </c>
      <c r="D312" s="14" t="s">
        <v>25</v>
      </c>
      <c r="E312" s="14" t="s">
        <v>16</v>
      </c>
      <c r="F312" s="15">
        <f>'Option Year 2'!F312+'Option Year 2'!F312*3%</f>
        <v>0</v>
      </c>
      <c r="G312" s="16">
        <f t="shared" ref="G312:G314" si="27">F312*C312</f>
        <v>0</v>
      </c>
    </row>
    <row r="313" spans="1:7" x14ac:dyDescent="0.35">
      <c r="A313" s="12" t="s">
        <v>1221</v>
      </c>
      <c r="B313" s="17" t="s">
        <v>132</v>
      </c>
      <c r="C313" s="14">
        <v>2</v>
      </c>
      <c r="D313" s="14" t="s">
        <v>25</v>
      </c>
      <c r="E313" s="14" t="s">
        <v>16</v>
      </c>
      <c r="F313" s="15">
        <f>'Option Year 2'!F313+'Option Year 2'!F313*3%</f>
        <v>0</v>
      </c>
      <c r="G313" s="16">
        <f t="shared" si="27"/>
        <v>0</v>
      </c>
    </row>
    <row r="314" spans="1:7" x14ac:dyDescent="0.35">
      <c r="A314" s="12" t="s">
        <v>1222</v>
      </c>
      <c r="B314" s="17" t="s">
        <v>218</v>
      </c>
      <c r="C314" s="14">
        <v>2</v>
      </c>
      <c r="D314" s="14" t="s">
        <v>25</v>
      </c>
      <c r="E314" s="14" t="s">
        <v>16</v>
      </c>
      <c r="F314" s="15">
        <f>'Option Year 2'!F314+'Option Year 2'!F314*3%</f>
        <v>0</v>
      </c>
      <c r="G314" s="16">
        <f t="shared" si="27"/>
        <v>0</v>
      </c>
    </row>
    <row r="315" spans="1:7" x14ac:dyDescent="0.35">
      <c r="A315" s="12"/>
      <c r="B315" s="13" t="s">
        <v>219</v>
      </c>
      <c r="C315" s="14"/>
      <c r="D315" s="14"/>
      <c r="E315" s="14"/>
      <c r="F315" s="15">
        <f>'Option Year 2'!F315+'Option Year 2'!F315*3%</f>
        <v>0</v>
      </c>
      <c r="G315" s="16"/>
    </row>
    <row r="316" spans="1:7" x14ac:dyDescent="0.35">
      <c r="A316" s="12" t="s">
        <v>1223</v>
      </c>
      <c r="B316" s="17" t="s">
        <v>220</v>
      </c>
      <c r="C316" s="14">
        <v>1</v>
      </c>
      <c r="D316" s="14" t="s">
        <v>114</v>
      </c>
      <c r="E316" s="14" t="s">
        <v>16</v>
      </c>
      <c r="F316" s="15">
        <f>'Option Year 2'!F316+'Option Year 2'!F316*3%</f>
        <v>0</v>
      </c>
      <c r="G316" s="16">
        <f t="shared" ref="G316:G317" si="28">F316*C316</f>
        <v>0</v>
      </c>
    </row>
    <row r="317" spans="1:7" x14ac:dyDescent="0.35">
      <c r="A317" s="12" t="s">
        <v>1224</v>
      </c>
      <c r="B317" s="17" t="s">
        <v>221</v>
      </c>
      <c r="C317" s="14">
        <v>2</v>
      </c>
      <c r="D317" s="14" t="s">
        <v>114</v>
      </c>
      <c r="E317" s="14" t="s">
        <v>16</v>
      </c>
      <c r="F317" s="15">
        <f>'Option Year 2'!F317+'Option Year 2'!F317*3%</f>
        <v>0</v>
      </c>
      <c r="G317" s="16">
        <f t="shared" si="28"/>
        <v>0</v>
      </c>
    </row>
    <row r="318" spans="1:7" x14ac:dyDescent="0.35">
      <c r="A318" s="12"/>
      <c r="B318" s="25" t="s">
        <v>222</v>
      </c>
      <c r="C318" s="14"/>
      <c r="D318" s="14"/>
      <c r="E318" s="14"/>
      <c r="F318" s="15">
        <f>'Option Year 2'!F318+'Option Year 2'!F318*3%</f>
        <v>0</v>
      </c>
      <c r="G318" s="16"/>
    </row>
    <row r="319" spans="1:7" x14ac:dyDescent="0.35">
      <c r="A319" s="12" t="s">
        <v>1225</v>
      </c>
      <c r="B319" s="17" t="s">
        <v>224</v>
      </c>
      <c r="C319" s="14">
        <v>10</v>
      </c>
      <c r="D319" s="14" t="s">
        <v>114</v>
      </c>
      <c r="E319" s="14" t="s">
        <v>16</v>
      </c>
      <c r="F319" s="15">
        <f>'Option Year 2'!F319+'Option Year 2'!F319*3%</f>
        <v>0</v>
      </c>
      <c r="G319" s="16">
        <f t="shared" ref="G319:G322" si="29">F319*C319</f>
        <v>0</v>
      </c>
    </row>
    <row r="320" spans="1:7" x14ac:dyDescent="0.35">
      <c r="A320" s="12" t="s">
        <v>1226</v>
      </c>
      <c r="B320" s="17" t="s">
        <v>226</v>
      </c>
      <c r="C320" s="14">
        <v>10</v>
      </c>
      <c r="D320" s="14" t="s">
        <v>114</v>
      </c>
      <c r="E320" s="14" t="s">
        <v>16</v>
      </c>
      <c r="F320" s="15">
        <f>'Option Year 2'!F320+'Option Year 2'!F320*3%</f>
        <v>0</v>
      </c>
      <c r="G320" s="16">
        <f t="shared" si="29"/>
        <v>0</v>
      </c>
    </row>
    <row r="321" spans="1:7" x14ac:dyDescent="0.35">
      <c r="A321" s="12" t="s">
        <v>1227</v>
      </c>
      <c r="B321" s="17" t="s">
        <v>224</v>
      </c>
      <c r="C321" s="14">
        <v>10</v>
      </c>
      <c r="D321" s="14" t="s">
        <v>114</v>
      </c>
      <c r="E321" s="14" t="s">
        <v>16</v>
      </c>
      <c r="F321" s="15">
        <f>'Option Year 2'!F321+'Option Year 2'!F321*3%</f>
        <v>0</v>
      </c>
      <c r="G321" s="16">
        <f t="shared" si="29"/>
        <v>0</v>
      </c>
    </row>
    <row r="322" spans="1:7" x14ac:dyDescent="0.35">
      <c r="A322" s="12" t="s">
        <v>1228</v>
      </c>
      <c r="B322" s="17" t="s">
        <v>226</v>
      </c>
      <c r="C322" s="14">
        <v>10</v>
      </c>
      <c r="D322" s="14" t="s">
        <v>114</v>
      </c>
      <c r="E322" s="14" t="s">
        <v>16</v>
      </c>
      <c r="F322" s="15">
        <f>'Option Year 2'!F322+'Option Year 2'!F322*3%</f>
        <v>0</v>
      </c>
      <c r="G322" s="16">
        <f t="shared" si="29"/>
        <v>0</v>
      </c>
    </row>
    <row r="323" spans="1:7" ht="31" x14ac:dyDescent="0.35">
      <c r="A323" s="12"/>
      <c r="B323" s="26" t="s">
        <v>229</v>
      </c>
      <c r="C323" s="14"/>
      <c r="D323" s="14"/>
      <c r="E323" s="14"/>
      <c r="F323" s="15">
        <f>'Option Year 2'!F323+'Option Year 2'!F323*3%</f>
        <v>0</v>
      </c>
      <c r="G323" s="16"/>
    </row>
    <row r="324" spans="1:7" x14ac:dyDescent="0.35">
      <c r="A324" s="12" t="s">
        <v>1229</v>
      </c>
      <c r="B324" s="17" t="s">
        <v>130</v>
      </c>
      <c r="C324" s="14">
        <v>10</v>
      </c>
      <c r="D324" s="14" t="s">
        <v>114</v>
      </c>
      <c r="E324" s="14" t="s">
        <v>16</v>
      </c>
      <c r="F324" s="15">
        <f>'Option Year 2'!F324+'Option Year 2'!F324*3%</f>
        <v>0</v>
      </c>
      <c r="G324" s="16">
        <f t="shared" ref="G324:G325" si="30">F324*C324</f>
        <v>0</v>
      </c>
    </row>
    <row r="325" spans="1:7" x14ac:dyDescent="0.35">
      <c r="A325" s="12" t="s">
        <v>1230</v>
      </c>
      <c r="B325" s="17" t="s">
        <v>136</v>
      </c>
      <c r="C325" s="14">
        <v>10</v>
      </c>
      <c r="D325" s="14" t="s">
        <v>114</v>
      </c>
      <c r="E325" s="14" t="s">
        <v>16</v>
      </c>
      <c r="F325" s="15">
        <f>'Option Year 2'!F325+'Option Year 2'!F325*3%</f>
        <v>0</v>
      </c>
      <c r="G325" s="16">
        <f t="shared" si="30"/>
        <v>0</v>
      </c>
    </row>
    <row r="326" spans="1:7" ht="31" x14ac:dyDescent="0.35">
      <c r="A326" s="12"/>
      <c r="B326" s="13" t="s">
        <v>232</v>
      </c>
      <c r="C326" s="14"/>
      <c r="D326" s="14"/>
      <c r="E326" s="14"/>
      <c r="F326" s="15">
        <f>'Option Year 2'!F326+'Option Year 2'!F326*3%</f>
        <v>0</v>
      </c>
      <c r="G326" s="16"/>
    </row>
    <row r="327" spans="1:7" x14ac:dyDescent="0.35">
      <c r="A327" s="12" t="s">
        <v>1231</v>
      </c>
      <c r="B327" s="17" t="s">
        <v>130</v>
      </c>
      <c r="C327" s="14">
        <v>10</v>
      </c>
      <c r="D327" s="14" t="s">
        <v>114</v>
      </c>
      <c r="E327" s="14" t="s">
        <v>16</v>
      </c>
      <c r="F327" s="15">
        <f>'Option Year 2'!F327+'Option Year 2'!F327*3%</f>
        <v>0</v>
      </c>
      <c r="G327" s="16">
        <f t="shared" ref="G327:G328" si="31">F327*C327</f>
        <v>0</v>
      </c>
    </row>
    <row r="328" spans="1:7" x14ac:dyDescent="0.35">
      <c r="A328" s="12" t="s">
        <v>1232</v>
      </c>
      <c r="B328" s="17" t="s">
        <v>136</v>
      </c>
      <c r="C328" s="14">
        <v>10</v>
      </c>
      <c r="D328" s="14" t="s">
        <v>114</v>
      </c>
      <c r="E328" s="14" t="s">
        <v>16</v>
      </c>
      <c r="F328" s="15">
        <f>'Option Year 2'!F328+'Option Year 2'!F328*3%</f>
        <v>0</v>
      </c>
      <c r="G328" s="16">
        <f t="shared" si="31"/>
        <v>0</v>
      </c>
    </row>
    <row r="329" spans="1:7" x14ac:dyDescent="0.35">
      <c r="A329" s="12"/>
      <c r="B329" s="13" t="s">
        <v>235</v>
      </c>
      <c r="C329" s="14"/>
      <c r="D329" s="14"/>
      <c r="E329" s="14"/>
      <c r="F329" s="15">
        <f>'Option Year 2'!F329+'Option Year 2'!F329*3%</f>
        <v>0</v>
      </c>
      <c r="G329" s="16"/>
    </row>
    <row r="330" spans="1:7" x14ac:dyDescent="0.35">
      <c r="A330" s="12" t="s">
        <v>1233</v>
      </c>
      <c r="B330" s="17" t="s">
        <v>130</v>
      </c>
      <c r="C330" s="14">
        <v>10</v>
      </c>
      <c r="D330" s="14" t="s">
        <v>114</v>
      </c>
      <c r="E330" s="14" t="s">
        <v>16</v>
      </c>
      <c r="F330" s="15">
        <f>'Option Year 2'!F330+'Option Year 2'!F330*3%</f>
        <v>0</v>
      </c>
      <c r="G330" s="16">
        <f t="shared" ref="G330:G331" si="32">F330*C330</f>
        <v>0</v>
      </c>
    </row>
    <row r="331" spans="1:7" x14ac:dyDescent="0.35">
      <c r="A331" s="12" t="s">
        <v>1234</v>
      </c>
      <c r="B331" s="17" t="s">
        <v>136</v>
      </c>
      <c r="C331" s="14">
        <v>10</v>
      </c>
      <c r="D331" s="14" t="s">
        <v>114</v>
      </c>
      <c r="E331" s="14" t="s">
        <v>16</v>
      </c>
      <c r="F331" s="15">
        <f>'Option Year 2'!F331+'Option Year 2'!F331*3%</f>
        <v>0</v>
      </c>
      <c r="G331" s="16">
        <f t="shared" si="32"/>
        <v>0</v>
      </c>
    </row>
    <row r="332" spans="1:7" ht="46.5" x14ac:dyDescent="0.35">
      <c r="A332" s="12"/>
      <c r="B332" s="13" t="s">
        <v>238</v>
      </c>
      <c r="C332" s="14"/>
      <c r="D332" s="14"/>
      <c r="E332" s="14"/>
      <c r="F332" s="15">
        <f>'Option Year 2'!F332+'Option Year 2'!F332*3%</f>
        <v>0</v>
      </c>
      <c r="G332" s="16"/>
    </row>
    <row r="333" spans="1:7" x14ac:dyDescent="0.35">
      <c r="A333" s="12" t="s">
        <v>1235</v>
      </c>
      <c r="B333" s="17" t="s">
        <v>130</v>
      </c>
      <c r="C333" s="14">
        <v>100</v>
      </c>
      <c r="D333" s="14" t="s">
        <v>25</v>
      </c>
      <c r="E333" s="14" t="s">
        <v>16</v>
      </c>
      <c r="F333" s="15">
        <f>'Option Year 2'!F333+'Option Year 2'!F333*3%</f>
        <v>0</v>
      </c>
      <c r="G333" s="16">
        <f t="shared" ref="G333:G335" si="33">F333*C333</f>
        <v>0</v>
      </c>
    </row>
    <row r="334" spans="1:7" x14ac:dyDescent="0.35">
      <c r="A334" s="12" t="s">
        <v>1236</v>
      </c>
      <c r="B334" s="17" t="s">
        <v>132</v>
      </c>
      <c r="C334" s="14">
        <v>100</v>
      </c>
      <c r="D334" s="14" t="s">
        <v>25</v>
      </c>
      <c r="E334" s="14" t="s">
        <v>16</v>
      </c>
      <c r="F334" s="15">
        <f>'Option Year 2'!F334+'Option Year 2'!F334*3%</f>
        <v>0</v>
      </c>
      <c r="G334" s="16">
        <f t="shared" si="33"/>
        <v>0</v>
      </c>
    </row>
    <row r="335" spans="1:7" x14ac:dyDescent="0.35">
      <c r="A335" s="12" t="s">
        <v>1237</v>
      </c>
      <c r="B335" s="17" t="s">
        <v>136</v>
      </c>
      <c r="C335" s="14">
        <v>100</v>
      </c>
      <c r="D335" s="14" t="s">
        <v>25</v>
      </c>
      <c r="E335" s="14" t="s">
        <v>16</v>
      </c>
      <c r="F335" s="15">
        <f>'Option Year 2'!F335+'Option Year 2'!F335*3%</f>
        <v>0</v>
      </c>
      <c r="G335" s="16">
        <f t="shared" si="33"/>
        <v>0</v>
      </c>
    </row>
    <row r="336" spans="1:7" x14ac:dyDescent="0.35">
      <c r="A336" s="12"/>
      <c r="B336" s="13" t="s">
        <v>242</v>
      </c>
      <c r="C336" s="14"/>
      <c r="D336" s="14"/>
      <c r="E336" s="14"/>
      <c r="F336" s="15">
        <f>'Option Year 2'!F336+'Option Year 2'!F336*3%</f>
        <v>0</v>
      </c>
      <c r="G336" s="16"/>
    </row>
    <row r="337" spans="1:7" ht="31" x14ac:dyDescent="0.35">
      <c r="A337" s="12" t="s">
        <v>1238</v>
      </c>
      <c r="B337" s="17" t="s">
        <v>244</v>
      </c>
      <c r="C337" s="14">
        <v>10</v>
      </c>
      <c r="D337" s="14" t="s">
        <v>114</v>
      </c>
      <c r="E337" s="14" t="s">
        <v>16</v>
      </c>
      <c r="F337" s="15">
        <f>'Option Year 2'!F337+'Option Year 2'!F337*3%</f>
        <v>0</v>
      </c>
      <c r="G337" s="16">
        <f t="shared" ref="G337:G338" si="34">F337*C337</f>
        <v>0</v>
      </c>
    </row>
    <row r="338" spans="1:7" ht="31" x14ac:dyDescent="0.35">
      <c r="A338" s="12" t="s">
        <v>1239</v>
      </c>
      <c r="B338" s="17" t="s">
        <v>246</v>
      </c>
      <c r="C338" s="14">
        <v>10</v>
      </c>
      <c r="D338" s="14" t="s">
        <v>114</v>
      </c>
      <c r="E338" s="14" t="s">
        <v>16</v>
      </c>
      <c r="F338" s="15">
        <f>'Option Year 2'!F338+'Option Year 2'!F338*3%</f>
        <v>0</v>
      </c>
      <c r="G338" s="16">
        <f t="shared" si="34"/>
        <v>0</v>
      </c>
    </row>
    <row r="339" spans="1:7" x14ac:dyDescent="0.35">
      <c r="A339" s="12"/>
      <c r="B339" s="13" t="s">
        <v>247</v>
      </c>
      <c r="C339" s="14"/>
      <c r="D339" s="14"/>
      <c r="E339" s="14"/>
      <c r="F339" s="15">
        <f>'Option Year 2'!F339+'Option Year 2'!F339*3%</f>
        <v>0</v>
      </c>
      <c r="G339" s="16"/>
    </row>
    <row r="340" spans="1:7" x14ac:dyDescent="0.35">
      <c r="A340" s="12" t="s">
        <v>1240</v>
      </c>
      <c r="B340" s="17" t="s">
        <v>249</v>
      </c>
      <c r="C340" s="14">
        <v>110</v>
      </c>
      <c r="D340" s="14" t="s">
        <v>40</v>
      </c>
      <c r="E340" s="14" t="s">
        <v>16</v>
      </c>
      <c r="F340" s="15">
        <f>'Option Year 2'!F340+'Option Year 2'!F340*3%</f>
        <v>0</v>
      </c>
      <c r="G340" s="16">
        <f t="shared" ref="G340:G341" si="35">F340*C340</f>
        <v>0</v>
      </c>
    </row>
    <row r="341" spans="1:7" ht="31" x14ac:dyDescent="0.35">
      <c r="A341" s="12" t="s">
        <v>1241</v>
      </c>
      <c r="B341" s="17" t="s">
        <v>251</v>
      </c>
      <c r="C341" s="14">
        <v>50</v>
      </c>
      <c r="D341" s="14" t="s">
        <v>40</v>
      </c>
      <c r="E341" s="14" t="s">
        <v>16</v>
      </c>
      <c r="F341" s="15">
        <f>'Option Year 2'!F341+'Option Year 2'!F341*3%</f>
        <v>0</v>
      </c>
      <c r="G341" s="16">
        <f t="shared" si="35"/>
        <v>0</v>
      </c>
    </row>
    <row r="342" spans="1:7" x14ac:dyDescent="0.35">
      <c r="A342" s="12"/>
      <c r="B342" s="13" t="s">
        <v>252</v>
      </c>
      <c r="C342" s="14"/>
      <c r="D342" s="14"/>
      <c r="E342" s="14"/>
      <c r="F342" s="15">
        <f>'Option Year 2'!F342+'Option Year 2'!F342*3%</f>
        <v>0</v>
      </c>
      <c r="G342" s="16"/>
    </row>
    <row r="343" spans="1:7" x14ac:dyDescent="0.35">
      <c r="A343" s="12" t="s">
        <v>1242</v>
      </c>
      <c r="B343" s="17" t="s">
        <v>254</v>
      </c>
      <c r="C343" s="14">
        <v>50</v>
      </c>
      <c r="D343" s="14" t="s">
        <v>40</v>
      </c>
      <c r="E343" s="14" t="s">
        <v>16</v>
      </c>
      <c r="F343" s="15">
        <f>'Option Year 2'!F343+'Option Year 2'!F343*3%</f>
        <v>0</v>
      </c>
      <c r="G343" s="16">
        <f t="shared" ref="G343:G344" si="36">F343*C343</f>
        <v>0</v>
      </c>
    </row>
    <row r="344" spans="1:7" x14ac:dyDescent="0.35">
      <c r="A344" s="12" t="s">
        <v>1243</v>
      </c>
      <c r="B344" s="17" t="s">
        <v>256</v>
      </c>
      <c r="C344" s="14">
        <v>50</v>
      </c>
      <c r="D344" s="14" t="s">
        <v>40</v>
      </c>
      <c r="E344" s="14" t="s">
        <v>16</v>
      </c>
      <c r="F344" s="15">
        <f>'Option Year 2'!F344+'Option Year 2'!F344*3%</f>
        <v>0</v>
      </c>
      <c r="G344" s="16">
        <f t="shared" si="36"/>
        <v>0</v>
      </c>
    </row>
    <row r="345" spans="1:7" x14ac:dyDescent="0.35">
      <c r="A345" s="12"/>
      <c r="B345" s="13" t="s">
        <v>257</v>
      </c>
      <c r="C345" s="14"/>
      <c r="D345" s="14"/>
      <c r="E345" s="14"/>
      <c r="F345" s="15">
        <f>'Option Year 2'!F345+'Option Year 2'!F345*3%</f>
        <v>0</v>
      </c>
      <c r="G345" s="16"/>
    </row>
    <row r="346" spans="1:7" ht="31" x14ac:dyDescent="0.35">
      <c r="A346" s="12" t="s">
        <v>1244</v>
      </c>
      <c r="B346" s="17" t="s">
        <v>259</v>
      </c>
      <c r="C346" s="14">
        <v>100</v>
      </c>
      <c r="D346" s="14" t="s">
        <v>20</v>
      </c>
      <c r="E346" s="14" t="s">
        <v>16</v>
      </c>
      <c r="F346" s="15">
        <f>'Option Year 2'!F346+'Option Year 2'!F346*3%</f>
        <v>0</v>
      </c>
      <c r="G346" s="16">
        <f t="shared" ref="G346:G348" si="37">F346*C346</f>
        <v>0</v>
      </c>
    </row>
    <row r="347" spans="1:7" x14ac:dyDescent="0.35">
      <c r="A347" s="12" t="s">
        <v>1245</v>
      </c>
      <c r="B347" s="17" t="s">
        <v>261</v>
      </c>
      <c r="C347" s="14">
        <v>100</v>
      </c>
      <c r="D347" s="14" t="s">
        <v>25</v>
      </c>
      <c r="E347" s="14" t="s">
        <v>16</v>
      </c>
      <c r="F347" s="15">
        <f>'Option Year 2'!F347+'Option Year 2'!F347*3%</f>
        <v>0</v>
      </c>
      <c r="G347" s="16">
        <f t="shared" si="37"/>
        <v>0</v>
      </c>
    </row>
    <row r="348" spans="1:7" ht="31" x14ac:dyDescent="0.35">
      <c r="A348" s="12" t="s">
        <v>1246</v>
      </c>
      <c r="B348" s="17" t="s">
        <v>263</v>
      </c>
      <c r="C348" s="14">
        <v>100</v>
      </c>
      <c r="D348" s="14" t="s">
        <v>25</v>
      </c>
      <c r="E348" s="14" t="s">
        <v>16</v>
      </c>
      <c r="F348" s="15">
        <f>'Option Year 2'!F348+'Option Year 2'!F348*3%</f>
        <v>0</v>
      </c>
      <c r="G348" s="16">
        <f t="shared" si="37"/>
        <v>0</v>
      </c>
    </row>
    <row r="349" spans="1:7" x14ac:dyDescent="0.35">
      <c r="A349" s="12" t="s">
        <v>1247</v>
      </c>
      <c r="B349" s="13" t="s">
        <v>265</v>
      </c>
      <c r="C349" s="14">
        <v>0</v>
      </c>
      <c r="D349" s="14"/>
      <c r="E349" s="14" t="s">
        <v>16</v>
      </c>
      <c r="F349" s="15">
        <f>'Option Year 2'!F349+'Option Year 2'!F349*3%</f>
        <v>0</v>
      </c>
      <c r="G349" s="16">
        <v>0</v>
      </c>
    </row>
    <row r="350" spans="1:7" x14ac:dyDescent="0.35">
      <c r="A350" s="12"/>
      <c r="B350" s="13" t="s">
        <v>266</v>
      </c>
      <c r="C350" s="14"/>
      <c r="D350" s="14"/>
      <c r="E350" s="14"/>
      <c r="F350" s="15">
        <f>'Option Year 2'!F350+'Option Year 2'!F350*3%</f>
        <v>0</v>
      </c>
      <c r="G350" s="16"/>
    </row>
    <row r="351" spans="1:7" ht="46.5" x14ac:dyDescent="0.35">
      <c r="A351" s="12" t="s">
        <v>1248</v>
      </c>
      <c r="B351" s="27" t="s">
        <v>268</v>
      </c>
      <c r="C351" s="14">
        <v>200</v>
      </c>
      <c r="D351" s="14" t="s">
        <v>25</v>
      </c>
      <c r="E351" s="14" t="s">
        <v>16</v>
      </c>
      <c r="F351" s="15">
        <f>'Option Year 2'!F351+'Option Year 2'!F351*3%</f>
        <v>0</v>
      </c>
      <c r="G351" s="16">
        <f t="shared" ref="G351:G353" si="38">F351*C351</f>
        <v>0</v>
      </c>
    </row>
    <row r="352" spans="1:7" ht="46.5" x14ac:dyDescent="0.35">
      <c r="A352" s="12" t="s">
        <v>1249</v>
      </c>
      <c r="B352" s="27" t="s">
        <v>270</v>
      </c>
      <c r="C352" s="14">
        <v>200</v>
      </c>
      <c r="D352" s="14" t="s">
        <v>25</v>
      </c>
      <c r="E352" s="14" t="s">
        <v>16</v>
      </c>
      <c r="F352" s="15">
        <f>'Option Year 2'!F352+'Option Year 2'!F352*3%</f>
        <v>0</v>
      </c>
      <c r="G352" s="16">
        <f t="shared" si="38"/>
        <v>0</v>
      </c>
    </row>
    <row r="353" spans="1:7" ht="31" x14ac:dyDescent="0.35">
      <c r="A353" s="12" t="s">
        <v>1250</v>
      </c>
      <c r="B353" s="27" t="s">
        <v>272</v>
      </c>
      <c r="C353" s="14">
        <v>200</v>
      </c>
      <c r="D353" s="14" t="s">
        <v>25</v>
      </c>
      <c r="E353" s="14" t="s">
        <v>16</v>
      </c>
      <c r="F353" s="15">
        <f>'Option Year 2'!F353+'Option Year 2'!F353*3%</f>
        <v>0</v>
      </c>
      <c r="G353" s="16">
        <f t="shared" si="38"/>
        <v>0</v>
      </c>
    </row>
    <row r="354" spans="1:7" x14ac:dyDescent="0.35">
      <c r="A354" s="12"/>
      <c r="B354" s="28" t="s">
        <v>273</v>
      </c>
      <c r="C354" s="14"/>
      <c r="D354" s="14"/>
      <c r="E354" s="14"/>
      <c r="F354" s="15">
        <f>'Option Year 2'!F354+'Option Year 2'!F354*3%</f>
        <v>0</v>
      </c>
      <c r="G354" s="16"/>
    </row>
    <row r="355" spans="1:7" ht="31" x14ac:dyDescent="0.35">
      <c r="A355" s="12" t="s">
        <v>1251</v>
      </c>
      <c r="B355" s="17" t="s">
        <v>275</v>
      </c>
      <c r="C355" s="14">
        <v>500</v>
      </c>
      <c r="D355" s="14" t="s">
        <v>40</v>
      </c>
      <c r="E355" s="14" t="s">
        <v>16</v>
      </c>
      <c r="F355" s="15">
        <f>'Option Year 2'!F355+'Option Year 2'!F355*3%</f>
        <v>0</v>
      </c>
      <c r="G355" s="16">
        <f>F355*C355</f>
        <v>0</v>
      </c>
    </row>
    <row r="356" spans="1:7" ht="31" x14ac:dyDescent="0.35">
      <c r="A356" s="12" t="s">
        <v>1252</v>
      </c>
      <c r="B356" s="17" t="s">
        <v>277</v>
      </c>
      <c r="C356" s="14">
        <v>250</v>
      </c>
      <c r="D356" s="14" t="s">
        <v>40</v>
      </c>
      <c r="E356" s="14" t="s">
        <v>16</v>
      </c>
      <c r="F356" s="15">
        <f>'Option Year 2'!F356+'Option Year 2'!F356*3%</f>
        <v>0</v>
      </c>
      <c r="G356" s="16">
        <f>F356*C356</f>
        <v>0</v>
      </c>
    </row>
    <row r="357" spans="1:7" x14ac:dyDescent="0.35">
      <c r="A357" s="12" t="s">
        <v>1253</v>
      </c>
      <c r="B357" s="17" t="s">
        <v>279</v>
      </c>
      <c r="C357" s="14">
        <v>10</v>
      </c>
      <c r="D357" s="14" t="s">
        <v>114</v>
      </c>
      <c r="E357" s="14" t="s">
        <v>16</v>
      </c>
      <c r="F357" s="15">
        <f>'Option Year 2'!F357+'Option Year 2'!F357*3%</f>
        <v>0</v>
      </c>
      <c r="G357" s="16">
        <f>F357*C357</f>
        <v>0</v>
      </c>
    </row>
    <row r="358" spans="1:7" ht="46.5" x14ac:dyDescent="0.35">
      <c r="A358" s="12" t="s">
        <v>1254</v>
      </c>
      <c r="B358" s="29" t="s">
        <v>281</v>
      </c>
      <c r="C358" s="14">
        <v>5000</v>
      </c>
      <c r="D358" s="14" t="s">
        <v>25</v>
      </c>
      <c r="E358" s="14" t="s">
        <v>16</v>
      </c>
      <c r="F358" s="15">
        <f>'Option Year 2'!F358+'Option Year 2'!F358*3%</f>
        <v>0</v>
      </c>
      <c r="G358" s="16">
        <f>F358*C358</f>
        <v>0</v>
      </c>
    </row>
    <row r="359" spans="1:7" ht="31" x14ac:dyDescent="0.35">
      <c r="A359" s="12"/>
      <c r="B359" s="13" t="s">
        <v>282</v>
      </c>
      <c r="C359" s="14"/>
      <c r="D359" s="14"/>
      <c r="E359" s="14"/>
      <c r="F359" s="15">
        <f>'Option Year 2'!F359+'Option Year 2'!F359*3%</f>
        <v>0</v>
      </c>
      <c r="G359" s="16"/>
    </row>
    <row r="360" spans="1:7" ht="62" x14ac:dyDescent="0.35">
      <c r="A360" s="12" t="s">
        <v>1255</v>
      </c>
      <c r="B360" s="17" t="s">
        <v>284</v>
      </c>
      <c r="C360" s="14"/>
      <c r="D360" s="14" t="s">
        <v>285</v>
      </c>
      <c r="E360" s="14" t="s">
        <v>16</v>
      </c>
      <c r="F360" s="15">
        <f>'Option Year 2'!F360+'Option Year 2'!F360*3%</f>
        <v>0</v>
      </c>
      <c r="G360" s="16">
        <f t="shared" ref="G360:G361" si="39">F360*C360</f>
        <v>0</v>
      </c>
    </row>
    <row r="361" spans="1:7" ht="46.5" x14ac:dyDescent="0.35">
      <c r="A361" s="12" t="s">
        <v>1256</v>
      </c>
      <c r="B361" s="17" t="s">
        <v>287</v>
      </c>
      <c r="C361" s="14">
        <v>2000</v>
      </c>
      <c r="D361" s="14" t="s">
        <v>288</v>
      </c>
      <c r="E361" s="14" t="s">
        <v>16</v>
      </c>
      <c r="F361" s="15">
        <f>'Option Year 2'!F361+'Option Year 2'!F361*3%</f>
        <v>0</v>
      </c>
      <c r="G361" s="16">
        <f t="shared" si="39"/>
        <v>0</v>
      </c>
    </row>
    <row r="362" spans="1:7" x14ac:dyDescent="0.35">
      <c r="A362" s="12"/>
      <c r="B362" s="13" t="s">
        <v>289</v>
      </c>
      <c r="C362" s="14"/>
      <c r="D362" s="14"/>
      <c r="E362" s="14"/>
      <c r="F362" s="15">
        <f>'Option Year 2'!F362+'Option Year 2'!F362*3%</f>
        <v>0</v>
      </c>
      <c r="G362" s="16"/>
    </row>
    <row r="363" spans="1:7" ht="108.5" x14ac:dyDescent="0.35">
      <c r="A363" s="12" t="s">
        <v>1257</v>
      </c>
      <c r="B363" s="17" t="s">
        <v>1539</v>
      </c>
      <c r="C363" s="14">
        <v>20</v>
      </c>
      <c r="D363" s="14" t="s">
        <v>114</v>
      </c>
      <c r="E363" s="14" t="s">
        <v>16</v>
      </c>
      <c r="F363" s="15">
        <f>'Option Year 2'!F363+'Option Year 2'!F363*3%</f>
        <v>0</v>
      </c>
      <c r="G363" s="16">
        <f t="shared" ref="G363" si="40">F363*C363</f>
        <v>0</v>
      </c>
    </row>
    <row r="364" spans="1:7" ht="31" x14ac:dyDescent="0.35">
      <c r="A364" s="12"/>
      <c r="B364" s="13" t="s">
        <v>292</v>
      </c>
      <c r="C364" s="14"/>
      <c r="D364" s="14"/>
      <c r="E364" s="14"/>
      <c r="F364" s="15">
        <f>'Option Year 2'!F364+'Option Year 2'!F364*3%</f>
        <v>0</v>
      </c>
      <c r="G364" s="16"/>
    </row>
    <row r="365" spans="1:7" x14ac:dyDescent="0.35">
      <c r="A365" s="12" t="s">
        <v>1258</v>
      </c>
      <c r="B365" s="17" t="s">
        <v>294</v>
      </c>
      <c r="C365" s="30">
        <v>500000</v>
      </c>
      <c r="D365" s="14" t="s">
        <v>114</v>
      </c>
      <c r="E365" s="14" t="s">
        <v>16</v>
      </c>
      <c r="F365" s="15">
        <f>'Option Year 2'!F365+'Option Year 2'!F365*3%</f>
        <v>0</v>
      </c>
      <c r="G365" s="16">
        <f t="shared" ref="G365" si="41">F365*C365</f>
        <v>0</v>
      </c>
    </row>
    <row r="366" spans="1:7" ht="31" x14ac:dyDescent="0.35">
      <c r="A366" s="12"/>
      <c r="B366" s="13" t="s">
        <v>1259</v>
      </c>
      <c r="C366" s="14"/>
      <c r="D366" s="14"/>
      <c r="E366" s="14"/>
      <c r="F366" s="33"/>
      <c r="G366" s="34">
        <f>SUM(G191:G365)</f>
        <v>0</v>
      </c>
    </row>
    <row r="367" spans="1:7" x14ac:dyDescent="0.35">
      <c r="A367" s="45"/>
      <c r="B367" s="13"/>
      <c r="C367" s="14"/>
      <c r="D367" s="14"/>
      <c r="E367" s="14"/>
      <c r="F367" s="33"/>
      <c r="G367" s="44"/>
    </row>
    <row r="368" spans="1:7" ht="46.5" x14ac:dyDescent="0.35">
      <c r="A368" s="35"/>
      <c r="B368" s="13" t="s">
        <v>1260</v>
      </c>
      <c r="C368" s="14"/>
      <c r="D368" s="14"/>
      <c r="E368" s="14"/>
      <c r="F368" s="33"/>
      <c r="G368" s="44">
        <f>G366+G187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EF8E-C658-47DA-AA29-CAB6ADF840B5}">
  <sheetPr>
    <tabColor theme="0"/>
  </sheetPr>
  <dimension ref="A1:G369"/>
  <sheetViews>
    <sheetView topLeftCell="A198" zoomScaleNormal="100" workbookViewId="0">
      <selection activeCell="F367" sqref="F367:F368"/>
    </sheetView>
  </sheetViews>
  <sheetFormatPr defaultColWidth="28.54296875" defaultRowHeight="15.5" x14ac:dyDescent="0.35"/>
  <cols>
    <col min="1" max="1" width="14.54296875" style="46" customWidth="1"/>
    <col min="2" max="2" width="53.26953125" style="29" customWidth="1"/>
    <col min="3" max="3" width="14.81640625" style="47" customWidth="1"/>
    <col min="4" max="4" width="10.453125" style="47" customWidth="1"/>
    <col min="5" max="5" width="14.7265625" style="47" customWidth="1"/>
    <col min="6" max="6" width="15.7265625" style="41" bestFit="1" customWidth="1"/>
    <col min="7" max="7" width="20.26953125" style="41" customWidth="1"/>
    <col min="8" max="16384" width="28.54296875" style="5"/>
  </cols>
  <sheetData>
    <row r="1" spans="1:7" s="4" customFormat="1" ht="15" customHeight="1" x14ac:dyDescent="0.35">
      <c r="A1" s="51" t="s">
        <v>0</v>
      </c>
      <c r="B1" s="52"/>
      <c r="C1" s="52"/>
      <c r="D1" s="52"/>
      <c r="E1" s="52"/>
      <c r="F1" s="52"/>
      <c r="G1" s="53"/>
    </row>
    <row r="2" spans="1:7" x14ac:dyDescent="0.35">
      <c r="A2" s="54" t="s">
        <v>1</v>
      </c>
      <c r="B2" s="55"/>
      <c r="C2" s="55"/>
      <c r="D2" s="55"/>
      <c r="E2" s="55"/>
      <c r="F2" s="55"/>
      <c r="G2" s="56"/>
    </row>
    <row r="3" spans="1:7" x14ac:dyDescent="0.35">
      <c r="A3" s="54" t="s">
        <v>2</v>
      </c>
      <c r="B3" s="55"/>
      <c r="C3" s="55"/>
      <c r="D3" s="55"/>
      <c r="E3" s="55"/>
      <c r="F3" s="55"/>
      <c r="G3" s="56"/>
    </row>
    <row r="4" spans="1:7" x14ac:dyDescent="0.35">
      <c r="A4" s="54" t="s">
        <v>1261</v>
      </c>
      <c r="B4" s="55"/>
      <c r="C4" s="55"/>
      <c r="D4" s="55"/>
      <c r="E4" s="55"/>
      <c r="F4" s="55"/>
      <c r="G4" s="56"/>
    </row>
    <row r="5" spans="1:7" ht="16" thickBot="1" x14ac:dyDescent="0.4">
      <c r="A5" s="57" t="s">
        <v>4</v>
      </c>
      <c r="B5" s="58"/>
      <c r="C5" s="58"/>
      <c r="D5" s="58"/>
      <c r="E5" s="58"/>
      <c r="F5" s="58"/>
      <c r="G5" s="59"/>
    </row>
    <row r="6" spans="1:7" ht="16" thickBot="1" x14ac:dyDescent="0.4">
      <c r="A6" s="6"/>
      <c r="B6" s="48" t="s">
        <v>5</v>
      </c>
      <c r="C6" s="48"/>
      <c r="D6" s="48"/>
      <c r="E6" s="48"/>
      <c r="F6" s="48"/>
      <c r="G6" s="49"/>
    </row>
    <row r="7" spans="1:7" ht="16" thickBot="1" x14ac:dyDescent="0.4">
      <c r="A7" s="7" t="s">
        <v>6</v>
      </c>
      <c r="B7" s="8" t="s">
        <v>7</v>
      </c>
      <c r="C7" s="9" t="s">
        <v>8</v>
      </c>
      <c r="D7" s="9" t="s">
        <v>9</v>
      </c>
      <c r="E7" s="9"/>
      <c r="F7" s="10" t="s">
        <v>10</v>
      </c>
      <c r="G7" s="11" t="s">
        <v>11</v>
      </c>
    </row>
    <row r="8" spans="1:7" x14ac:dyDescent="0.35">
      <c r="A8" s="12"/>
      <c r="B8" s="13" t="s">
        <v>12</v>
      </c>
      <c r="C8" s="14"/>
      <c r="D8" s="14"/>
      <c r="E8" s="14"/>
      <c r="F8" s="15"/>
      <c r="G8" s="16"/>
    </row>
    <row r="9" spans="1:7" ht="46.5" x14ac:dyDescent="0.35">
      <c r="A9" s="12" t="s">
        <v>1262</v>
      </c>
      <c r="B9" s="17" t="s">
        <v>14</v>
      </c>
      <c r="C9" s="14">
        <v>3</v>
      </c>
      <c r="D9" s="14" t="s">
        <v>15</v>
      </c>
      <c r="E9" s="14" t="s">
        <v>16</v>
      </c>
      <c r="F9" s="15"/>
      <c r="G9" s="16">
        <f t="shared" ref="G9:G33" si="0">F9*C9</f>
        <v>0</v>
      </c>
    </row>
    <row r="10" spans="1:7" ht="31" x14ac:dyDescent="0.35">
      <c r="A10" s="12"/>
      <c r="B10" s="18" t="s">
        <v>17</v>
      </c>
      <c r="C10" s="14"/>
      <c r="D10" s="14"/>
      <c r="E10" s="14"/>
      <c r="F10" s="15"/>
      <c r="G10" s="19"/>
    </row>
    <row r="11" spans="1:7" x14ac:dyDescent="0.35">
      <c r="A11" s="12" t="s">
        <v>1263</v>
      </c>
      <c r="B11" s="17" t="s">
        <v>19</v>
      </c>
      <c r="C11" s="14">
        <v>40</v>
      </c>
      <c r="D11" s="14" t="s">
        <v>20</v>
      </c>
      <c r="E11" s="14" t="s">
        <v>16</v>
      </c>
      <c r="F11" s="15"/>
      <c r="G11" s="16">
        <f t="shared" si="0"/>
        <v>0</v>
      </c>
    </row>
    <row r="12" spans="1:7" x14ac:dyDescent="0.35">
      <c r="A12" s="12" t="s">
        <v>1264</v>
      </c>
      <c r="B12" s="17" t="s">
        <v>22</v>
      </c>
      <c r="C12" s="14">
        <v>40</v>
      </c>
      <c r="D12" s="14" t="s">
        <v>20</v>
      </c>
      <c r="E12" s="14" t="s">
        <v>16</v>
      </c>
      <c r="F12" s="15"/>
      <c r="G12" s="16">
        <f t="shared" si="0"/>
        <v>0</v>
      </c>
    </row>
    <row r="13" spans="1:7" x14ac:dyDescent="0.35">
      <c r="A13" s="12" t="s">
        <v>1265</v>
      </c>
      <c r="B13" s="17" t="s">
        <v>24</v>
      </c>
      <c r="C13" s="14">
        <v>40</v>
      </c>
      <c r="D13" s="14" t="s">
        <v>25</v>
      </c>
      <c r="E13" s="14" t="s">
        <v>16</v>
      </c>
      <c r="F13" s="15"/>
      <c r="G13" s="16">
        <f t="shared" si="0"/>
        <v>0</v>
      </c>
    </row>
    <row r="14" spans="1:7" x14ac:dyDescent="0.35">
      <c r="A14" s="12" t="s">
        <v>1266</v>
      </c>
      <c r="B14" s="17" t="s">
        <v>27</v>
      </c>
      <c r="C14" s="14">
        <v>25</v>
      </c>
      <c r="D14" s="14" t="s">
        <v>25</v>
      </c>
      <c r="E14" s="14" t="s">
        <v>16</v>
      </c>
      <c r="F14" s="15"/>
      <c r="G14" s="16">
        <f t="shared" si="0"/>
        <v>0</v>
      </c>
    </row>
    <row r="15" spans="1:7" x14ac:dyDescent="0.35">
      <c r="A15" s="12"/>
      <c r="B15" s="13" t="s">
        <v>28</v>
      </c>
      <c r="C15" s="14"/>
      <c r="D15" s="14"/>
      <c r="E15" s="14"/>
      <c r="F15" s="15"/>
      <c r="G15" s="16"/>
    </row>
    <row r="16" spans="1:7" ht="46.5" x14ac:dyDescent="0.35">
      <c r="A16" s="12"/>
      <c r="B16" s="13" t="s">
        <v>1545</v>
      </c>
      <c r="C16" s="14"/>
      <c r="D16" s="14"/>
      <c r="E16" s="14"/>
      <c r="F16" s="15"/>
      <c r="G16" s="16"/>
    </row>
    <row r="17" spans="1:7" ht="31" x14ac:dyDescent="0.35">
      <c r="A17" s="12" t="s">
        <v>1267</v>
      </c>
      <c r="B17" s="17" t="s">
        <v>31</v>
      </c>
      <c r="C17" s="14">
        <v>10</v>
      </c>
      <c r="D17" s="14" t="s">
        <v>20</v>
      </c>
      <c r="E17" s="14" t="s">
        <v>16</v>
      </c>
      <c r="F17" s="15"/>
      <c r="G17" s="16">
        <f t="shared" si="0"/>
        <v>0</v>
      </c>
    </row>
    <row r="18" spans="1:7" x14ac:dyDescent="0.35">
      <c r="A18" s="12" t="s">
        <v>1268</v>
      </c>
      <c r="B18" s="17" t="s">
        <v>33</v>
      </c>
      <c r="C18" s="14">
        <v>10</v>
      </c>
      <c r="D18" s="14" t="s">
        <v>20</v>
      </c>
      <c r="E18" s="14" t="s">
        <v>16</v>
      </c>
      <c r="F18" s="15"/>
      <c r="G18" s="16">
        <f t="shared" si="0"/>
        <v>0</v>
      </c>
    </row>
    <row r="19" spans="1:7" ht="31" x14ac:dyDescent="0.35">
      <c r="A19" s="12" t="s">
        <v>1269</v>
      </c>
      <c r="B19" s="17" t="s">
        <v>35</v>
      </c>
      <c r="C19" s="14">
        <v>10</v>
      </c>
      <c r="D19" s="14" t="s">
        <v>15</v>
      </c>
      <c r="E19" s="14" t="s">
        <v>16</v>
      </c>
      <c r="F19" s="15"/>
      <c r="G19" s="16">
        <f t="shared" si="0"/>
        <v>0</v>
      </c>
    </row>
    <row r="20" spans="1:7" ht="31" x14ac:dyDescent="0.35">
      <c r="A20" s="12" t="s">
        <v>1270</v>
      </c>
      <c r="B20" s="17" t="s">
        <v>37</v>
      </c>
      <c r="C20" s="14">
        <v>5</v>
      </c>
      <c r="D20" s="14" t="s">
        <v>15</v>
      </c>
      <c r="E20" s="14" t="s">
        <v>16</v>
      </c>
      <c r="F20" s="15"/>
      <c r="G20" s="16">
        <f t="shared" si="0"/>
        <v>0</v>
      </c>
    </row>
    <row r="21" spans="1:7" ht="31" x14ac:dyDescent="0.35">
      <c r="A21" s="12" t="s">
        <v>1271</v>
      </c>
      <c r="B21" s="17" t="s">
        <v>39</v>
      </c>
      <c r="C21" s="14">
        <v>30</v>
      </c>
      <c r="D21" s="14" t="s">
        <v>40</v>
      </c>
      <c r="E21" s="14" t="s">
        <v>16</v>
      </c>
      <c r="F21" s="15"/>
      <c r="G21" s="16">
        <f t="shared" si="0"/>
        <v>0</v>
      </c>
    </row>
    <row r="22" spans="1:7" ht="31" x14ac:dyDescent="0.35">
      <c r="A22" s="12" t="s">
        <v>1272</v>
      </c>
      <c r="B22" s="17" t="s">
        <v>42</v>
      </c>
      <c r="C22" s="14">
        <v>30</v>
      </c>
      <c r="D22" s="14" t="s">
        <v>40</v>
      </c>
      <c r="E22" s="14" t="s">
        <v>16</v>
      </c>
      <c r="F22" s="15"/>
      <c r="G22" s="16">
        <f t="shared" si="0"/>
        <v>0</v>
      </c>
    </row>
    <row r="23" spans="1:7" ht="31" x14ac:dyDescent="0.35">
      <c r="A23" s="12" t="s">
        <v>1273</v>
      </c>
      <c r="B23" s="17" t="s">
        <v>44</v>
      </c>
      <c r="C23" s="14">
        <v>100</v>
      </c>
      <c r="D23" s="14" t="s">
        <v>20</v>
      </c>
      <c r="E23" s="14" t="s">
        <v>16</v>
      </c>
      <c r="F23" s="15"/>
      <c r="G23" s="16">
        <f t="shared" si="0"/>
        <v>0</v>
      </c>
    </row>
    <row r="24" spans="1:7" x14ac:dyDescent="0.35">
      <c r="A24" s="12"/>
      <c r="B24" s="18" t="s">
        <v>45</v>
      </c>
      <c r="C24" s="14"/>
      <c r="D24" s="14"/>
      <c r="E24" s="14"/>
      <c r="F24" s="15"/>
      <c r="G24" s="16"/>
    </row>
    <row r="25" spans="1:7" ht="46.5" x14ac:dyDescent="0.35">
      <c r="A25" s="12"/>
      <c r="B25" s="18" t="s">
        <v>46</v>
      </c>
      <c r="C25" s="14"/>
      <c r="D25" s="14"/>
      <c r="E25" s="14"/>
      <c r="F25" s="15"/>
      <c r="G25" s="16"/>
    </row>
    <row r="26" spans="1:7" x14ac:dyDescent="0.35">
      <c r="A26" s="12" t="s">
        <v>1274</v>
      </c>
      <c r="B26" s="17" t="s">
        <v>48</v>
      </c>
      <c r="C26" s="14">
        <v>10</v>
      </c>
      <c r="D26" s="14" t="s">
        <v>15</v>
      </c>
      <c r="E26" s="14" t="s">
        <v>16</v>
      </c>
      <c r="F26" s="15"/>
      <c r="G26" s="16">
        <f t="shared" si="0"/>
        <v>0</v>
      </c>
    </row>
    <row r="27" spans="1:7" x14ac:dyDescent="0.35">
      <c r="A27" s="12" t="s">
        <v>1275</v>
      </c>
      <c r="B27" s="17" t="s">
        <v>50</v>
      </c>
      <c r="C27" s="14">
        <v>6</v>
      </c>
      <c r="D27" s="14" t="s">
        <v>15</v>
      </c>
      <c r="E27" s="14" t="s">
        <v>16</v>
      </c>
      <c r="F27" s="15"/>
      <c r="G27" s="16">
        <f t="shared" si="0"/>
        <v>0</v>
      </c>
    </row>
    <row r="28" spans="1:7" x14ac:dyDescent="0.35">
      <c r="A28" s="12" t="s">
        <v>1276</v>
      </c>
      <c r="B28" s="17" t="s">
        <v>52</v>
      </c>
      <c r="C28" s="14">
        <v>6</v>
      </c>
      <c r="D28" s="14" t="s">
        <v>15</v>
      </c>
      <c r="E28" s="14" t="s">
        <v>16</v>
      </c>
      <c r="F28" s="15"/>
      <c r="G28" s="16">
        <f t="shared" si="0"/>
        <v>0</v>
      </c>
    </row>
    <row r="29" spans="1:7" ht="46.5" x14ac:dyDescent="0.35">
      <c r="A29" s="12" t="s">
        <v>1277</v>
      </c>
      <c r="B29" s="17" t="s">
        <v>54</v>
      </c>
      <c r="C29" s="20">
        <v>6</v>
      </c>
      <c r="D29" s="20" t="s">
        <v>15</v>
      </c>
      <c r="E29" s="20" t="s">
        <v>16</v>
      </c>
      <c r="F29" s="21"/>
      <c r="G29" s="19">
        <f>F29*C29</f>
        <v>0</v>
      </c>
    </row>
    <row r="30" spans="1:7" x14ac:dyDescent="0.35">
      <c r="A30" s="12" t="s">
        <v>1278</v>
      </c>
      <c r="B30" s="17" t="s">
        <v>56</v>
      </c>
      <c r="C30" s="14">
        <v>6</v>
      </c>
      <c r="D30" s="14" t="s">
        <v>15</v>
      </c>
      <c r="E30" s="14" t="s">
        <v>16</v>
      </c>
      <c r="F30" s="15"/>
      <c r="G30" s="16">
        <f t="shared" si="0"/>
        <v>0</v>
      </c>
    </row>
    <row r="31" spans="1:7" ht="31" x14ac:dyDescent="0.35">
      <c r="A31" s="12" t="s">
        <v>1279</v>
      </c>
      <c r="B31" s="17" t="s">
        <v>58</v>
      </c>
      <c r="C31" s="14">
        <v>2</v>
      </c>
      <c r="D31" s="14" t="s">
        <v>15</v>
      </c>
      <c r="E31" s="14" t="s">
        <v>16</v>
      </c>
      <c r="F31" s="15"/>
      <c r="G31" s="16">
        <f t="shared" si="0"/>
        <v>0</v>
      </c>
    </row>
    <row r="32" spans="1:7" ht="31" x14ac:dyDescent="0.35">
      <c r="A32" s="12" t="s">
        <v>1280</v>
      </c>
      <c r="B32" s="17" t="s">
        <v>60</v>
      </c>
      <c r="C32" s="14">
        <v>3</v>
      </c>
      <c r="D32" s="14" t="s">
        <v>15</v>
      </c>
      <c r="E32" s="14" t="s">
        <v>16</v>
      </c>
      <c r="F32" s="15"/>
      <c r="G32" s="16">
        <f t="shared" si="0"/>
        <v>0</v>
      </c>
    </row>
    <row r="33" spans="1:7" ht="31" x14ac:dyDescent="0.35">
      <c r="A33" s="12" t="s">
        <v>1281</v>
      </c>
      <c r="B33" s="17" t="s">
        <v>62</v>
      </c>
      <c r="C33" s="14">
        <v>3</v>
      </c>
      <c r="D33" s="14" t="s">
        <v>15</v>
      </c>
      <c r="E33" s="14" t="s">
        <v>16</v>
      </c>
      <c r="F33" s="15"/>
      <c r="G33" s="16">
        <f t="shared" si="0"/>
        <v>0</v>
      </c>
    </row>
    <row r="34" spans="1:7" ht="46.5" x14ac:dyDescent="0.35">
      <c r="A34" s="12"/>
      <c r="B34" s="13" t="s">
        <v>63</v>
      </c>
      <c r="C34" s="14"/>
      <c r="D34" s="14"/>
      <c r="E34" s="14"/>
      <c r="F34" s="15"/>
      <c r="G34" s="16"/>
    </row>
    <row r="35" spans="1:7" x14ac:dyDescent="0.35">
      <c r="A35" s="12" t="s">
        <v>1282</v>
      </c>
      <c r="B35" s="17" t="s">
        <v>65</v>
      </c>
      <c r="C35" s="14">
        <v>20</v>
      </c>
      <c r="D35" s="14" t="s">
        <v>15</v>
      </c>
      <c r="E35" s="14" t="s">
        <v>16</v>
      </c>
      <c r="F35" s="15"/>
      <c r="G35" s="16">
        <f t="shared" ref="G35:G59" si="1">F35*C35</f>
        <v>0</v>
      </c>
    </row>
    <row r="36" spans="1:7" x14ac:dyDescent="0.35">
      <c r="A36" s="12" t="s">
        <v>1283</v>
      </c>
      <c r="B36" s="17" t="s">
        <v>67</v>
      </c>
      <c r="C36" s="14">
        <v>20</v>
      </c>
      <c r="D36" s="14" t="s">
        <v>15</v>
      </c>
      <c r="E36" s="14" t="s">
        <v>16</v>
      </c>
      <c r="F36" s="15"/>
      <c r="G36" s="16">
        <f t="shared" si="1"/>
        <v>0</v>
      </c>
    </row>
    <row r="37" spans="1:7" x14ac:dyDescent="0.35">
      <c r="A37" s="12" t="s">
        <v>1284</v>
      </c>
      <c r="B37" s="17" t="s">
        <v>1544</v>
      </c>
      <c r="C37" s="14"/>
      <c r="D37" s="14"/>
      <c r="E37" s="14"/>
      <c r="F37" s="15"/>
      <c r="G37" s="16"/>
    </row>
    <row r="38" spans="1:7" x14ac:dyDescent="0.35">
      <c r="A38" s="12"/>
      <c r="B38" s="13" t="s">
        <v>69</v>
      </c>
      <c r="C38" s="14"/>
      <c r="D38" s="14"/>
      <c r="E38" s="14"/>
      <c r="F38" s="15"/>
      <c r="G38" s="16"/>
    </row>
    <row r="39" spans="1:7" x14ac:dyDescent="0.35">
      <c r="A39" s="12" t="s">
        <v>1285</v>
      </c>
      <c r="B39" s="17" t="s">
        <v>71</v>
      </c>
      <c r="C39" s="14">
        <v>12</v>
      </c>
      <c r="D39" s="14" t="s">
        <v>25</v>
      </c>
      <c r="E39" s="14" t="s">
        <v>16</v>
      </c>
      <c r="F39" s="15"/>
      <c r="G39" s="16">
        <f t="shared" si="1"/>
        <v>0</v>
      </c>
    </row>
    <row r="40" spans="1:7" x14ac:dyDescent="0.35">
      <c r="A40" s="12" t="s">
        <v>1286</v>
      </c>
      <c r="B40" s="17" t="s">
        <v>73</v>
      </c>
      <c r="C40" s="14">
        <v>12</v>
      </c>
      <c r="D40" s="14" t="s">
        <v>25</v>
      </c>
      <c r="E40" s="14" t="s">
        <v>16</v>
      </c>
      <c r="F40" s="15"/>
      <c r="G40" s="16">
        <f t="shared" si="1"/>
        <v>0</v>
      </c>
    </row>
    <row r="41" spans="1:7" x14ac:dyDescent="0.35">
      <c r="A41" s="12"/>
      <c r="B41" s="13" t="s">
        <v>74</v>
      </c>
      <c r="C41" s="14"/>
      <c r="D41" s="14"/>
      <c r="E41" s="14"/>
      <c r="F41" s="15"/>
      <c r="G41" s="16"/>
    </row>
    <row r="42" spans="1:7" ht="31" x14ac:dyDescent="0.35">
      <c r="A42" s="12"/>
      <c r="B42" s="13" t="s">
        <v>75</v>
      </c>
      <c r="C42" s="14"/>
      <c r="D42" s="14"/>
      <c r="E42" s="14"/>
      <c r="F42" s="15"/>
      <c r="G42" s="16"/>
    </row>
    <row r="43" spans="1:7" x14ac:dyDescent="0.35">
      <c r="A43" s="12" t="s">
        <v>1287</v>
      </c>
      <c r="B43" s="17" t="s">
        <v>77</v>
      </c>
      <c r="C43" s="14">
        <v>6</v>
      </c>
      <c r="D43" s="14" t="s">
        <v>15</v>
      </c>
      <c r="E43" s="14" t="s">
        <v>16</v>
      </c>
      <c r="F43" s="15"/>
      <c r="G43" s="16">
        <f t="shared" si="1"/>
        <v>0</v>
      </c>
    </row>
    <row r="44" spans="1:7" ht="31" x14ac:dyDescent="0.35">
      <c r="A44" s="12"/>
      <c r="B44" s="13" t="s">
        <v>78</v>
      </c>
      <c r="C44" s="14"/>
      <c r="D44" s="14"/>
      <c r="E44" s="14"/>
      <c r="F44" s="15"/>
      <c r="G44" s="16"/>
    </row>
    <row r="45" spans="1:7" x14ac:dyDescent="0.35">
      <c r="A45" s="12" t="s">
        <v>1288</v>
      </c>
      <c r="B45" s="17" t="s">
        <v>80</v>
      </c>
      <c r="C45" s="14">
        <v>6</v>
      </c>
      <c r="D45" s="14" t="s">
        <v>15</v>
      </c>
      <c r="E45" s="14" t="s">
        <v>16</v>
      </c>
      <c r="F45" s="15"/>
      <c r="G45" s="16">
        <f t="shared" si="1"/>
        <v>0</v>
      </c>
    </row>
    <row r="46" spans="1:7" ht="46.5" x14ac:dyDescent="0.35">
      <c r="A46" s="12"/>
      <c r="B46" s="13" t="s">
        <v>81</v>
      </c>
      <c r="C46" s="14"/>
      <c r="D46" s="14"/>
      <c r="E46" s="14"/>
      <c r="F46" s="15"/>
      <c r="G46" s="16"/>
    </row>
    <row r="47" spans="1:7" x14ac:dyDescent="0.35">
      <c r="A47" s="12" t="s">
        <v>1289</v>
      </c>
      <c r="B47" s="17" t="s">
        <v>83</v>
      </c>
      <c r="C47" s="14">
        <v>6</v>
      </c>
      <c r="D47" s="14" t="s">
        <v>15</v>
      </c>
      <c r="E47" s="14" t="s">
        <v>16</v>
      </c>
      <c r="F47" s="15"/>
      <c r="G47" s="16">
        <f t="shared" si="1"/>
        <v>0</v>
      </c>
    </row>
    <row r="48" spans="1:7" x14ac:dyDescent="0.35">
      <c r="A48" s="12" t="s">
        <v>1290</v>
      </c>
      <c r="B48" s="17" t="s">
        <v>85</v>
      </c>
      <c r="C48" s="14">
        <v>6</v>
      </c>
      <c r="D48" s="14" t="s">
        <v>15</v>
      </c>
      <c r="E48" s="14" t="s">
        <v>16</v>
      </c>
      <c r="F48" s="15"/>
      <c r="G48" s="16">
        <f t="shared" si="1"/>
        <v>0</v>
      </c>
    </row>
    <row r="49" spans="1:7" ht="31" x14ac:dyDescent="0.35">
      <c r="A49" s="12" t="s">
        <v>1291</v>
      </c>
      <c r="B49" s="17" t="s">
        <v>87</v>
      </c>
      <c r="C49" s="14">
        <v>50</v>
      </c>
      <c r="D49" s="14" t="s">
        <v>25</v>
      </c>
      <c r="E49" s="14" t="s">
        <v>16</v>
      </c>
      <c r="F49" s="15"/>
      <c r="G49" s="16">
        <f t="shared" si="1"/>
        <v>0</v>
      </c>
    </row>
    <row r="50" spans="1:7" ht="31" x14ac:dyDescent="0.35">
      <c r="A50" s="12" t="s">
        <v>1292</v>
      </c>
      <c r="B50" s="17" t="s">
        <v>89</v>
      </c>
      <c r="C50" s="14">
        <v>12</v>
      </c>
      <c r="D50" s="14" t="s">
        <v>25</v>
      </c>
      <c r="E50" s="14" t="s">
        <v>16</v>
      </c>
      <c r="F50" s="15"/>
      <c r="G50" s="16">
        <f t="shared" si="1"/>
        <v>0</v>
      </c>
    </row>
    <row r="51" spans="1:7" ht="46.5" x14ac:dyDescent="0.35">
      <c r="A51" s="12" t="s">
        <v>1293</v>
      </c>
      <c r="B51" s="17" t="s">
        <v>91</v>
      </c>
      <c r="C51" s="14">
        <v>12</v>
      </c>
      <c r="D51" s="14" t="s">
        <v>25</v>
      </c>
      <c r="E51" s="14" t="s">
        <v>16</v>
      </c>
      <c r="F51" s="15"/>
      <c r="G51" s="16">
        <f t="shared" si="1"/>
        <v>0</v>
      </c>
    </row>
    <row r="52" spans="1:7" x14ac:dyDescent="0.35">
      <c r="A52" s="12" t="s">
        <v>1294</v>
      </c>
      <c r="B52" s="17" t="s">
        <v>93</v>
      </c>
      <c r="C52" s="14">
        <v>10</v>
      </c>
      <c r="D52" s="14" t="s">
        <v>15</v>
      </c>
      <c r="E52" s="14" t="s">
        <v>16</v>
      </c>
      <c r="F52" s="15"/>
      <c r="G52" s="16">
        <f t="shared" si="1"/>
        <v>0</v>
      </c>
    </row>
    <row r="53" spans="1:7" x14ac:dyDescent="0.35">
      <c r="A53" s="12" t="s">
        <v>1295</v>
      </c>
      <c r="B53" s="17" t="s">
        <v>95</v>
      </c>
      <c r="C53" s="14">
        <v>100</v>
      </c>
      <c r="D53" s="14" t="s">
        <v>25</v>
      </c>
      <c r="E53" s="14" t="s">
        <v>16</v>
      </c>
      <c r="F53" s="15"/>
      <c r="G53" s="16">
        <f t="shared" si="1"/>
        <v>0</v>
      </c>
    </row>
    <row r="54" spans="1:7" x14ac:dyDescent="0.35">
      <c r="A54" s="12"/>
      <c r="B54" s="13" t="s">
        <v>96</v>
      </c>
      <c r="C54" s="14"/>
      <c r="D54" s="14"/>
      <c r="E54" s="14"/>
      <c r="F54" s="15"/>
      <c r="G54" s="16"/>
    </row>
    <row r="55" spans="1:7" x14ac:dyDescent="0.35">
      <c r="A55" s="12" t="s">
        <v>1296</v>
      </c>
      <c r="B55" s="17" t="s">
        <v>98</v>
      </c>
      <c r="C55" s="14">
        <v>50</v>
      </c>
      <c r="D55" s="14" t="s">
        <v>25</v>
      </c>
      <c r="E55" s="14" t="s">
        <v>16</v>
      </c>
      <c r="F55" s="15"/>
      <c r="G55" s="16">
        <f t="shared" si="1"/>
        <v>0</v>
      </c>
    </row>
    <row r="56" spans="1:7" ht="46.5" x14ac:dyDescent="0.35">
      <c r="A56" s="12"/>
      <c r="B56" s="13" t="s">
        <v>99</v>
      </c>
      <c r="C56" s="14"/>
      <c r="D56" s="14"/>
      <c r="E56" s="14"/>
      <c r="F56" s="15"/>
      <c r="G56" s="16"/>
    </row>
    <row r="57" spans="1:7" x14ac:dyDescent="0.35">
      <c r="A57" s="12" t="s">
        <v>1297</v>
      </c>
      <c r="B57" s="17" t="s">
        <v>101</v>
      </c>
      <c r="C57" s="14">
        <v>10</v>
      </c>
      <c r="D57" s="14" t="s">
        <v>15</v>
      </c>
      <c r="E57" s="14" t="s">
        <v>16</v>
      </c>
      <c r="F57" s="15"/>
      <c r="G57" s="16">
        <f t="shared" si="1"/>
        <v>0</v>
      </c>
    </row>
    <row r="58" spans="1:7" x14ac:dyDescent="0.35">
      <c r="A58" s="12" t="s">
        <v>1298</v>
      </c>
      <c r="B58" s="17" t="s">
        <v>103</v>
      </c>
      <c r="C58" s="14">
        <v>10</v>
      </c>
      <c r="D58" s="14" t="s">
        <v>15</v>
      </c>
      <c r="E58" s="14" t="s">
        <v>16</v>
      </c>
      <c r="F58" s="15"/>
      <c r="G58" s="16">
        <f t="shared" si="1"/>
        <v>0</v>
      </c>
    </row>
    <row r="59" spans="1:7" x14ac:dyDescent="0.35">
      <c r="A59" s="12" t="s">
        <v>1299</v>
      </c>
      <c r="B59" s="17" t="s">
        <v>105</v>
      </c>
      <c r="C59" s="14">
        <v>10</v>
      </c>
      <c r="D59" s="14" t="s">
        <v>15</v>
      </c>
      <c r="E59" s="14" t="s">
        <v>16</v>
      </c>
      <c r="F59" s="15"/>
      <c r="G59" s="16">
        <f t="shared" si="1"/>
        <v>0</v>
      </c>
    </row>
    <row r="60" spans="1:7" ht="31" x14ac:dyDescent="0.35">
      <c r="A60" s="12"/>
      <c r="B60" s="13" t="s">
        <v>106</v>
      </c>
      <c r="C60" s="14"/>
      <c r="D60" s="14"/>
      <c r="E60" s="14"/>
      <c r="F60" s="15"/>
      <c r="G60" s="16"/>
    </row>
    <row r="61" spans="1:7" x14ac:dyDescent="0.35">
      <c r="A61" s="12" t="s">
        <v>1300</v>
      </c>
      <c r="B61" s="17" t="s">
        <v>101</v>
      </c>
      <c r="C61" s="14">
        <v>10</v>
      </c>
      <c r="D61" s="14" t="s">
        <v>15</v>
      </c>
      <c r="E61" s="14" t="s">
        <v>16</v>
      </c>
      <c r="F61" s="15"/>
      <c r="G61" s="16">
        <f t="shared" ref="G61:G124" si="2">F61*C61</f>
        <v>0</v>
      </c>
    </row>
    <row r="62" spans="1:7" x14ac:dyDescent="0.35">
      <c r="A62" s="12" t="s">
        <v>1301</v>
      </c>
      <c r="B62" s="17" t="s">
        <v>103</v>
      </c>
      <c r="C62" s="14">
        <v>10</v>
      </c>
      <c r="D62" s="14" t="s">
        <v>15</v>
      </c>
      <c r="E62" s="14" t="s">
        <v>16</v>
      </c>
      <c r="F62" s="15"/>
      <c r="G62" s="16">
        <f t="shared" si="2"/>
        <v>0</v>
      </c>
    </row>
    <row r="63" spans="1:7" x14ac:dyDescent="0.35">
      <c r="A63" s="12" t="s">
        <v>1302</v>
      </c>
      <c r="B63" s="17" t="s">
        <v>105</v>
      </c>
      <c r="C63" s="14">
        <v>10</v>
      </c>
      <c r="D63" s="14" t="s">
        <v>15</v>
      </c>
      <c r="E63" s="14" t="s">
        <v>16</v>
      </c>
      <c r="F63" s="15"/>
      <c r="G63" s="16">
        <f t="shared" si="2"/>
        <v>0</v>
      </c>
    </row>
    <row r="64" spans="1:7" x14ac:dyDescent="0.35">
      <c r="A64" s="12" t="s">
        <v>1303</v>
      </c>
      <c r="B64" s="17" t="s">
        <v>111</v>
      </c>
      <c r="C64" s="14">
        <v>50</v>
      </c>
      <c r="D64" s="14" t="s">
        <v>25</v>
      </c>
      <c r="E64" s="14" t="s">
        <v>16</v>
      </c>
      <c r="F64" s="15"/>
      <c r="G64" s="16">
        <f t="shared" si="2"/>
        <v>0</v>
      </c>
    </row>
    <row r="65" spans="1:7" x14ac:dyDescent="0.35">
      <c r="A65" s="12" t="s">
        <v>1304</v>
      </c>
      <c r="B65" s="17" t="s">
        <v>113</v>
      </c>
      <c r="C65" s="14">
        <v>5</v>
      </c>
      <c r="D65" s="14" t="s">
        <v>114</v>
      </c>
      <c r="E65" s="14" t="s">
        <v>16</v>
      </c>
      <c r="F65" s="15"/>
      <c r="G65" s="16">
        <f t="shared" si="2"/>
        <v>0</v>
      </c>
    </row>
    <row r="66" spans="1:7" ht="18.75" customHeight="1" x14ac:dyDescent="0.35">
      <c r="A66" s="12" t="s">
        <v>1305</v>
      </c>
      <c r="B66" s="17" t="s">
        <v>116</v>
      </c>
      <c r="C66" s="14">
        <v>12</v>
      </c>
      <c r="D66" s="14" t="s">
        <v>40</v>
      </c>
      <c r="E66" s="14" t="s">
        <v>16</v>
      </c>
      <c r="F66" s="15"/>
      <c r="G66" s="16">
        <f t="shared" si="2"/>
        <v>0</v>
      </c>
    </row>
    <row r="67" spans="1:7" x14ac:dyDescent="0.35">
      <c r="A67" s="12" t="s">
        <v>1306</v>
      </c>
      <c r="B67" s="17" t="s">
        <v>118</v>
      </c>
      <c r="C67" s="14">
        <v>5</v>
      </c>
      <c r="D67" s="14" t="s">
        <v>114</v>
      </c>
      <c r="E67" s="14" t="s">
        <v>16</v>
      </c>
      <c r="F67" s="15"/>
      <c r="G67" s="16">
        <f t="shared" si="2"/>
        <v>0</v>
      </c>
    </row>
    <row r="68" spans="1:7" ht="31" x14ac:dyDescent="0.35">
      <c r="A68" s="12"/>
      <c r="B68" s="13" t="s">
        <v>119</v>
      </c>
      <c r="C68" s="14"/>
      <c r="D68" s="14"/>
      <c r="E68" s="14"/>
      <c r="F68" s="15"/>
      <c r="G68" s="16"/>
    </row>
    <row r="69" spans="1:7" x14ac:dyDescent="0.35">
      <c r="A69" s="12" t="s">
        <v>1307</v>
      </c>
      <c r="B69" s="17" t="s">
        <v>121</v>
      </c>
      <c r="C69" s="14">
        <v>5</v>
      </c>
      <c r="D69" s="14" t="s">
        <v>15</v>
      </c>
      <c r="E69" s="14" t="s">
        <v>16</v>
      </c>
      <c r="F69" s="15"/>
      <c r="G69" s="16">
        <f t="shared" si="2"/>
        <v>0</v>
      </c>
    </row>
    <row r="70" spans="1:7" x14ac:dyDescent="0.35">
      <c r="A70" s="12" t="s">
        <v>1308</v>
      </c>
      <c r="B70" s="17" t="s">
        <v>123</v>
      </c>
      <c r="C70" s="14">
        <v>5</v>
      </c>
      <c r="D70" s="14" t="s">
        <v>15</v>
      </c>
      <c r="E70" s="14" t="s">
        <v>16</v>
      </c>
      <c r="F70" s="15"/>
      <c r="G70" s="16">
        <f t="shared" si="2"/>
        <v>0</v>
      </c>
    </row>
    <row r="71" spans="1:7" x14ac:dyDescent="0.35">
      <c r="A71" s="12" t="s">
        <v>1309</v>
      </c>
      <c r="B71" s="17" t="s">
        <v>125</v>
      </c>
      <c r="C71" s="14">
        <v>25</v>
      </c>
      <c r="D71" s="14" t="s">
        <v>25</v>
      </c>
      <c r="E71" s="14" t="s">
        <v>16</v>
      </c>
      <c r="F71" s="15"/>
      <c r="G71" s="16">
        <f t="shared" si="2"/>
        <v>0</v>
      </c>
    </row>
    <row r="72" spans="1:7" x14ac:dyDescent="0.35">
      <c r="A72" s="12" t="s">
        <v>1310</v>
      </c>
      <c r="B72" s="17" t="s">
        <v>127</v>
      </c>
      <c r="C72" s="14">
        <v>5</v>
      </c>
      <c r="D72" s="14" t="s">
        <v>114</v>
      </c>
      <c r="E72" s="14" t="s">
        <v>16</v>
      </c>
      <c r="F72" s="15"/>
      <c r="G72" s="16">
        <f t="shared" si="2"/>
        <v>0</v>
      </c>
    </row>
    <row r="73" spans="1:7" ht="31" x14ac:dyDescent="0.35">
      <c r="A73" s="12"/>
      <c r="B73" s="13" t="s">
        <v>128</v>
      </c>
      <c r="C73" s="14"/>
      <c r="D73" s="14"/>
      <c r="E73" s="14"/>
      <c r="F73" s="15"/>
      <c r="G73" s="16"/>
    </row>
    <row r="74" spans="1:7" x14ac:dyDescent="0.35">
      <c r="A74" s="12" t="s">
        <v>1311</v>
      </c>
      <c r="B74" s="17" t="s">
        <v>130</v>
      </c>
      <c r="C74" s="14">
        <v>25</v>
      </c>
      <c r="D74" s="14" t="s">
        <v>25</v>
      </c>
      <c r="E74" s="14" t="s">
        <v>16</v>
      </c>
      <c r="F74" s="15"/>
      <c r="G74" s="16">
        <f t="shared" si="2"/>
        <v>0</v>
      </c>
    </row>
    <row r="75" spans="1:7" x14ac:dyDescent="0.35">
      <c r="A75" s="12" t="s">
        <v>1312</v>
      </c>
      <c r="B75" s="17" t="s">
        <v>132</v>
      </c>
      <c r="C75" s="14">
        <v>25</v>
      </c>
      <c r="D75" s="14" t="s">
        <v>25</v>
      </c>
      <c r="E75" s="14" t="s">
        <v>16</v>
      </c>
      <c r="F75" s="15"/>
      <c r="G75" s="16">
        <f t="shared" si="2"/>
        <v>0</v>
      </c>
    </row>
    <row r="76" spans="1:7" x14ac:dyDescent="0.35">
      <c r="A76" s="12" t="s">
        <v>1313</v>
      </c>
      <c r="B76" s="17" t="s">
        <v>134</v>
      </c>
      <c r="C76" s="14">
        <v>25</v>
      </c>
      <c r="D76" s="14" t="s">
        <v>25</v>
      </c>
      <c r="E76" s="14" t="s">
        <v>16</v>
      </c>
      <c r="F76" s="15"/>
      <c r="G76" s="16">
        <f t="shared" si="2"/>
        <v>0</v>
      </c>
    </row>
    <row r="77" spans="1:7" x14ac:dyDescent="0.35">
      <c r="A77" s="12" t="s">
        <v>1314</v>
      </c>
      <c r="B77" s="17" t="s">
        <v>136</v>
      </c>
      <c r="C77" s="14">
        <v>25</v>
      </c>
      <c r="D77" s="14" t="s">
        <v>25</v>
      </c>
      <c r="E77" s="14" t="s">
        <v>16</v>
      </c>
      <c r="F77" s="15"/>
      <c r="G77" s="16">
        <f t="shared" si="2"/>
        <v>0</v>
      </c>
    </row>
    <row r="78" spans="1:7" ht="31" x14ac:dyDescent="0.35">
      <c r="A78" s="12"/>
      <c r="B78" s="13" t="s">
        <v>137</v>
      </c>
      <c r="C78" s="14"/>
      <c r="D78" s="14"/>
      <c r="E78" s="14"/>
      <c r="F78" s="15"/>
      <c r="G78" s="16"/>
    </row>
    <row r="79" spans="1:7" x14ac:dyDescent="0.35">
      <c r="A79" s="12" t="s">
        <v>1315</v>
      </c>
      <c r="B79" s="17" t="s">
        <v>130</v>
      </c>
      <c r="C79" s="14">
        <v>25</v>
      </c>
      <c r="D79" s="14" t="s">
        <v>25</v>
      </c>
      <c r="E79" s="14" t="s">
        <v>16</v>
      </c>
      <c r="F79" s="15"/>
      <c r="G79" s="16">
        <f t="shared" si="2"/>
        <v>0</v>
      </c>
    </row>
    <row r="80" spans="1:7" x14ac:dyDescent="0.35">
      <c r="A80" s="12" t="s">
        <v>1316</v>
      </c>
      <c r="B80" s="17" t="s">
        <v>132</v>
      </c>
      <c r="C80" s="14">
        <v>25</v>
      </c>
      <c r="D80" s="14" t="s">
        <v>25</v>
      </c>
      <c r="E80" s="14" t="s">
        <v>16</v>
      </c>
      <c r="F80" s="15"/>
      <c r="G80" s="16">
        <f t="shared" si="2"/>
        <v>0</v>
      </c>
    </row>
    <row r="81" spans="1:7" x14ac:dyDescent="0.35">
      <c r="A81" s="12" t="s">
        <v>1317</v>
      </c>
      <c r="B81" s="17" t="s">
        <v>134</v>
      </c>
      <c r="C81" s="14">
        <v>25</v>
      </c>
      <c r="D81" s="14" t="s">
        <v>25</v>
      </c>
      <c r="E81" s="14" t="s">
        <v>16</v>
      </c>
      <c r="F81" s="15"/>
      <c r="G81" s="16">
        <f t="shared" si="2"/>
        <v>0</v>
      </c>
    </row>
    <row r="82" spans="1:7" x14ac:dyDescent="0.35">
      <c r="A82" s="12" t="s">
        <v>1318</v>
      </c>
      <c r="B82" s="17" t="s">
        <v>136</v>
      </c>
      <c r="C82" s="14">
        <v>25</v>
      </c>
      <c r="D82" s="14" t="s">
        <v>25</v>
      </c>
      <c r="E82" s="14" t="s">
        <v>16</v>
      </c>
      <c r="F82" s="15"/>
      <c r="G82" s="16">
        <f t="shared" si="2"/>
        <v>0</v>
      </c>
    </row>
    <row r="83" spans="1:7" ht="31" x14ac:dyDescent="0.35">
      <c r="A83" s="12"/>
      <c r="B83" s="22" t="s">
        <v>142</v>
      </c>
      <c r="C83" s="14"/>
      <c r="D83" s="14"/>
      <c r="E83" s="14"/>
      <c r="F83" s="15"/>
      <c r="G83" s="16"/>
    </row>
    <row r="84" spans="1:7" x14ac:dyDescent="0.35">
      <c r="A84" s="12" t="s">
        <v>1319</v>
      </c>
      <c r="B84" s="17" t="s">
        <v>130</v>
      </c>
      <c r="C84" s="14">
        <v>6</v>
      </c>
      <c r="D84" s="14" t="s">
        <v>40</v>
      </c>
      <c r="E84" s="14" t="s">
        <v>16</v>
      </c>
      <c r="F84" s="15"/>
      <c r="G84" s="16">
        <f t="shared" si="2"/>
        <v>0</v>
      </c>
    </row>
    <row r="85" spans="1:7" x14ac:dyDescent="0.35">
      <c r="A85" s="12" t="s">
        <v>1320</v>
      </c>
      <c r="B85" s="17" t="s">
        <v>132</v>
      </c>
      <c r="C85" s="14">
        <v>6</v>
      </c>
      <c r="D85" s="14" t="s">
        <v>40</v>
      </c>
      <c r="E85" s="14" t="s">
        <v>16</v>
      </c>
      <c r="F85" s="15"/>
      <c r="G85" s="16">
        <f t="shared" si="2"/>
        <v>0</v>
      </c>
    </row>
    <row r="86" spans="1:7" x14ac:dyDescent="0.35">
      <c r="A86" s="12" t="s">
        <v>1321</v>
      </c>
      <c r="B86" s="17" t="s">
        <v>134</v>
      </c>
      <c r="C86" s="14">
        <v>6</v>
      </c>
      <c r="D86" s="14" t="s">
        <v>40</v>
      </c>
      <c r="E86" s="14" t="s">
        <v>16</v>
      </c>
      <c r="F86" s="15"/>
      <c r="G86" s="16">
        <f t="shared" si="2"/>
        <v>0</v>
      </c>
    </row>
    <row r="87" spans="1:7" x14ac:dyDescent="0.35">
      <c r="A87" s="12" t="s">
        <v>1322</v>
      </c>
      <c r="B87" s="17" t="s">
        <v>136</v>
      </c>
      <c r="C87" s="14">
        <v>6</v>
      </c>
      <c r="D87" s="14" t="s">
        <v>40</v>
      </c>
      <c r="E87" s="14" t="s">
        <v>16</v>
      </c>
      <c r="F87" s="15"/>
      <c r="G87" s="16">
        <f t="shared" si="2"/>
        <v>0</v>
      </c>
    </row>
    <row r="88" spans="1:7" x14ac:dyDescent="0.35">
      <c r="A88" s="12"/>
      <c r="B88" s="13" t="s">
        <v>147</v>
      </c>
      <c r="C88" s="14"/>
      <c r="D88" s="14"/>
      <c r="E88" s="14"/>
      <c r="F88" s="15"/>
      <c r="G88" s="16"/>
    </row>
    <row r="89" spans="1:7" x14ac:dyDescent="0.35">
      <c r="A89" s="12"/>
      <c r="B89" s="13" t="s">
        <v>148</v>
      </c>
      <c r="C89" s="14"/>
      <c r="D89" s="14"/>
      <c r="E89" s="14"/>
      <c r="F89" s="15"/>
      <c r="G89" s="16"/>
    </row>
    <row r="90" spans="1:7" x14ac:dyDescent="0.35">
      <c r="A90" s="12" t="s">
        <v>1323</v>
      </c>
      <c r="B90" s="17" t="s">
        <v>150</v>
      </c>
      <c r="C90" s="14">
        <v>100</v>
      </c>
      <c r="D90" s="14" t="s">
        <v>40</v>
      </c>
      <c r="E90" s="14" t="s">
        <v>16</v>
      </c>
      <c r="F90" s="15"/>
      <c r="G90" s="16">
        <f t="shared" si="2"/>
        <v>0</v>
      </c>
    </row>
    <row r="91" spans="1:7" x14ac:dyDescent="0.35">
      <c r="A91" s="12" t="s">
        <v>1324</v>
      </c>
      <c r="B91" s="17" t="s">
        <v>152</v>
      </c>
      <c r="C91" s="14">
        <v>100</v>
      </c>
      <c r="D91" s="14" t="s">
        <v>40</v>
      </c>
      <c r="E91" s="14" t="s">
        <v>16</v>
      </c>
      <c r="F91" s="15"/>
      <c r="G91" s="16">
        <f t="shared" si="2"/>
        <v>0</v>
      </c>
    </row>
    <row r="92" spans="1:7" x14ac:dyDescent="0.35">
      <c r="A92" s="12" t="s">
        <v>1325</v>
      </c>
      <c r="B92" s="17" t="s">
        <v>154</v>
      </c>
      <c r="C92" s="14">
        <v>100</v>
      </c>
      <c r="D92" s="14" t="s">
        <v>40</v>
      </c>
      <c r="E92" s="14" t="s">
        <v>16</v>
      </c>
      <c r="F92" s="15"/>
      <c r="G92" s="16">
        <f t="shared" si="2"/>
        <v>0</v>
      </c>
    </row>
    <row r="93" spans="1:7" x14ac:dyDescent="0.35">
      <c r="A93" s="12" t="s">
        <v>1326</v>
      </c>
      <c r="B93" s="17" t="s">
        <v>156</v>
      </c>
      <c r="C93" s="14">
        <v>100</v>
      </c>
      <c r="D93" s="14" t="s">
        <v>40</v>
      </c>
      <c r="E93" s="14" t="s">
        <v>16</v>
      </c>
      <c r="F93" s="15"/>
      <c r="G93" s="16">
        <f t="shared" si="2"/>
        <v>0</v>
      </c>
    </row>
    <row r="94" spans="1:7" x14ac:dyDescent="0.35">
      <c r="A94" s="12" t="s">
        <v>1327</v>
      </c>
      <c r="B94" s="17" t="s">
        <v>158</v>
      </c>
      <c r="C94" s="14">
        <v>100</v>
      </c>
      <c r="D94" s="14" t="s">
        <v>40</v>
      </c>
      <c r="E94" s="14" t="s">
        <v>16</v>
      </c>
      <c r="F94" s="15"/>
      <c r="G94" s="16">
        <f t="shared" si="2"/>
        <v>0</v>
      </c>
    </row>
    <row r="95" spans="1:7" x14ac:dyDescent="0.35">
      <c r="A95" s="12" t="s">
        <v>1328</v>
      </c>
      <c r="B95" s="17" t="s">
        <v>160</v>
      </c>
      <c r="C95" s="14">
        <v>100</v>
      </c>
      <c r="D95" s="14" t="s">
        <v>40</v>
      </c>
      <c r="E95" s="14" t="s">
        <v>16</v>
      </c>
      <c r="F95" s="15"/>
      <c r="G95" s="16">
        <f t="shared" si="2"/>
        <v>0</v>
      </c>
    </row>
    <row r="96" spans="1:7" x14ac:dyDescent="0.35">
      <c r="A96" s="12" t="s">
        <v>1329</v>
      </c>
      <c r="B96" s="17" t="s">
        <v>162</v>
      </c>
      <c r="C96" s="14">
        <v>100</v>
      </c>
      <c r="D96" s="14" t="s">
        <v>40</v>
      </c>
      <c r="E96" s="14" t="s">
        <v>16</v>
      </c>
      <c r="F96" s="15"/>
      <c r="G96" s="16">
        <f t="shared" si="2"/>
        <v>0</v>
      </c>
    </row>
    <row r="97" spans="1:7" x14ac:dyDescent="0.35">
      <c r="A97" s="12" t="s">
        <v>1330</v>
      </c>
      <c r="B97" s="17" t="s">
        <v>164</v>
      </c>
      <c r="C97" s="14">
        <v>100</v>
      </c>
      <c r="D97" s="14" t="s">
        <v>40</v>
      </c>
      <c r="E97" s="14" t="s">
        <v>16</v>
      </c>
      <c r="F97" s="15"/>
      <c r="G97" s="16">
        <f t="shared" si="2"/>
        <v>0</v>
      </c>
    </row>
    <row r="98" spans="1:7" x14ac:dyDescent="0.35">
      <c r="A98" s="12" t="s">
        <v>1331</v>
      </c>
      <c r="B98" s="17" t="s">
        <v>166</v>
      </c>
      <c r="C98" s="14">
        <v>100</v>
      </c>
      <c r="D98" s="14" t="s">
        <v>40</v>
      </c>
      <c r="E98" s="14" t="s">
        <v>16</v>
      </c>
      <c r="F98" s="15"/>
      <c r="G98" s="16">
        <f t="shared" si="2"/>
        <v>0</v>
      </c>
    </row>
    <row r="99" spans="1:7" x14ac:dyDescent="0.35">
      <c r="A99" s="12" t="s">
        <v>1332</v>
      </c>
      <c r="B99" s="17" t="s">
        <v>168</v>
      </c>
      <c r="C99" s="14">
        <v>100</v>
      </c>
      <c r="D99" s="14" t="s">
        <v>40</v>
      </c>
      <c r="E99" s="14" t="s">
        <v>16</v>
      </c>
      <c r="F99" s="15"/>
      <c r="G99" s="16">
        <f t="shared" si="2"/>
        <v>0</v>
      </c>
    </row>
    <row r="100" spans="1:7" x14ac:dyDescent="0.35">
      <c r="A100" s="12" t="s">
        <v>1333</v>
      </c>
      <c r="B100" s="17" t="s">
        <v>170</v>
      </c>
      <c r="C100" s="14">
        <v>100</v>
      </c>
      <c r="D100" s="14" t="s">
        <v>40</v>
      </c>
      <c r="E100" s="14" t="s">
        <v>16</v>
      </c>
      <c r="F100" s="15"/>
      <c r="G100" s="16">
        <f t="shared" si="2"/>
        <v>0</v>
      </c>
    </row>
    <row r="101" spans="1:7" x14ac:dyDescent="0.35">
      <c r="A101" s="12"/>
      <c r="B101" s="13" t="s">
        <v>171</v>
      </c>
      <c r="C101" s="14"/>
      <c r="D101" s="14"/>
      <c r="E101" s="14"/>
      <c r="F101" s="15"/>
      <c r="G101" s="16"/>
    </row>
    <row r="102" spans="1:7" x14ac:dyDescent="0.35">
      <c r="A102" s="12" t="s">
        <v>1334</v>
      </c>
      <c r="B102" s="17" t="s">
        <v>173</v>
      </c>
      <c r="C102" s="14">
        <v>100</v>
      </c>
      <c r="D102" s="14" t="s">
        <v>40</v>
      </c>
      <c r="E102" s="14" t="s">
        <v>16</v>
      </c>
      <c r="F102" s="15"/>
      <c r="G102" s="16">
        <f t="shared" si="2"/>
        <v>0</v>
      </c>
    </row>
    <row r="103" spans="1:7" x14ac:dyDescent="0.35">
      <c r="A103" s="12" t="s">
        <v>1335</v>
      </c>
      <c r="B103" s="17" t="s">
        <v>175</v>
      </c>
      <c r="C103" s="14">
        <v>100</v>
      </c>
      <c r="D103" s="14" t="s">
        <v>40</v>
      </c>
      <c r="E103" s="14" t="s">
        <v>16</v>
      </c>
      <c r="F103" s="15"/>
      <c r="G103" s="16">
        <f t="shared" si="2"/>
        <v>0</v>
      </c>
    </row>
    <row r="104" spans="1:7" x14ac:dyDescent="0.35">
      <c r="A104" s="12" t="s">
        <v>1336</v>
      </c>
      <c r="B104" s="17" t="s">
        <v>177</v>
      </c>
      <c r="C104" s="14">
        <v>100</v>
      </c>
      <c r="D104" s="14" t="s">
        <v>40</v>
      </c>
      <c r="E104" s="14" t="s">
        <v>16</v>
      </c>
      <c r="F104" s="15"/>
      <c r="G104" s="16">
        <f t="shared" si="2"/>
        <v>0</v>
      </c>
    </row>
    <row r="105" spans="1:7" x14ac:dyDescent="0.35">
      <c r="A105" s="12" t="s">
        <v>1337</v>
      </c>
      <c r="B105" s="17" t="s">
        <v>179</v>
      </c>
      <c r="C105" s="14">
        <v>100</v>
      </c>
      <c r="D105" s="14" t="s">
        <v>40</v>
      </c>
      <c r="E105" s="14" t="s">
        <v>16</v>
      </c>
      <c r="F105" s="15"/>
      <c r="G105" s="16">
        <f t="shared" si="2"/>
        <v>0</v>
      </c>
    </row>
    <row r="106" spans="1:7" x14ac:dyDescent="0.35">
      <c r="A106" s="12" t="s">
        <v>1338</v>
      </c>
      <c r="B106" s="17" t="s">
        <v>181</v>
      </c>
      <c r="C106" s="14">
        <v>100</v>
      </c>
      <c r="D106" s="14" t="s">
        <v>40</v>
      </c>
      <c r="E106" s="14" t="s">
        <v>16</v>
      </c>
      <c r="F106" s="15"/>
      <c r="G106" s="16">
        <f t="shared" si="2"/>
        <v>0</v>
      </c>
    </row>
    <row r="107" spans="1:7" x14ac:dyDescent="0.35">
      <c r="A107" s="12" t="s">
        <v>1339</v>
      </c>
      <c r="B107" s="17" t="s">
        <v>183</v>
      </c>
      <c r="C107" s="14">
        <v>100</v>
      </c>
      <c r="D107" s="14" t="s">
        <v>40</v>
      </c>
      <c r="E107" s="14" t="s">
        <v>16</v>
      </c>
      <c r="F107" s="15"/>
      <c r="G107" s="16">
        <f t="shared" si="2"/>
        <v>0</v>
      </c>
    </row>
    <row r="108" spans="1:7" x14ac:dyDescent="0.35">
      <c r="A108" s="12" t="s">
        <v>1340</v>
      </c>
      <c r="B108" s="17" t="s">
        <v>185</v>
      </c>
      <c r="C108" s="14">
        <v>100</v>
      </c>
      <c r="D108" s="14" t="s">
        <v>40</v>
      </c>
      <c r="E108" s="14" t="s">
        <v>16</v>
      </c>
      <c r="F108" s="15"/>
      <c r="G108" s="16">
        <f t="shared" si="2"/>
        <v>0</v>
      </c>
    </row>
    <row r="109" spans="1:7" x14ac:dyDescent="0.35">
      <c r="A109" s="12" t="s">
        <v>1341</v>
      </c>
      <c r="B109" s="17" t="s">
        <v>187</v>
      </c>
      <c r="C109" s="14">
        <v>100</v>
      </c>
      <c r="D109" s="14" t="s">
        <v>40</v>
      </c>
      <c r="E109" s="14" t="s">
        <v>16</v>
      </c>
      <c r="F109" s="15"/>
      <c r="G109" s="16">
        <f t="shared" si="2"/>
        <v>0</v>
      </c>
    </row>
    <row r="110" spans="1:7" x14ac:dyDescent="0.35">
      <c r="A110" s="12" t="s">
        <v>1342</v>
      </c>
      <c r="B110" s="17" t="s">
        <v>189</v>
      </c>
      <c r="C110" s="14">
        <v>5</v>
      </c>
      <c r="D110" s="14" t="s">
        <v>114</v>
      </c>
      <c r="E110" s="14" t="s">
        <v>16</v>
      </c>
      <c r="F110" s="15"/>
      <c r="G110" s="16">
        <f t="shared" si="2"/>
        <v>0</v>
      </c>
    </row>
    <row r="111" spans="1:7" x14ac:dyDescent="0.35">
      <c r="A111" s="12"/>
      <c r="B111" s="17" t="s">
        <v>190</v>
      </c>
      <c r="C111" s="14"/>
      <c r="D111" s="14"/>
      <c r="E111" s="14"/>
      <c r="F111" s="15"/>
      <c r="G111" s="16"/>
    </row>
    <row r="112" spans="1:7" x14ac:dyDescent="0.35">
      <c r="A112" s="12"/>
      <c r="B112" s="13" t="s">
        <v>191</v>
      </c>
      <c r="C112" s="14"/>
      <c r="D112" s="14"/>
      <c r="E112" s="14"/>
      <c r="F112" s="15"/>
      <c r="G112" s="16"/>
    </row>
    <row r="113" spans="1:7" ht="31" x14ac:dyDescent="0.35">
      <c r="A113" s="12" t="s">
        <v>1343</v>
      </c>
      <c r="B113" s="17" t="s">
        <v>193</v>
      </c>
      <c r="C113" s="14">
        <v>100</v>
      </c>
      <c r="D113" s="14" t="s">
        <v>40</v>
      </c>
      <c r="E113" s="14" t="s">
        <v>16</v>
      </c>
      <c r="F113" s="15"/>
      <c r="G113" s="16">
        <f t="shared" si="2"/>
        <v>0</v>
      </c>
    </row>
    <row r="114" spans="1:7" ht="31" x14ac:dyDescent="0.35">
      <c r="A114" s="12" t="s">
        <v>1344</v>
      </c>
      <c r="B114" s="17" t="s">
        <v>195</v>
      </c>
      <c r="C114" s="14">
        <v>100</v>
      </c>
      <c r="D114" s="14" t="s">
        <v>40</v>
      </c>
      <c r="E114" s="14" t="s">
        <v>16</v>
      </c>
      <c r="F114" s="15"/>
      <c r="G114" s="16">
        <f t="shared" si="2"/>
        <v>0</v>
      </c>
    </row>
    <row r="115" spans="1:7" ht="46.5" x14ac:dyDescent="0.35">
      <c r="A115" s="12" t="s">
        <v>1345</v>
      </c>
      <c r="B115" s="17" t="s">
        <v>197</v>
      </c>
      <c r="C115" s="14">
        <v>200</v>
      </c>
      <c r="D115" s="14" t="s">
        <v>40</v>
      </c>
      <c r="E115" s="14" t="s">
        <v>16</v>
      </c>
      <c r="F115" s="15"/>
      <c r="G115" s="16">
        <f t="shared" si="2"/>
        <v>0</v>
      </c>
    </row>
    <row r="116" spans="1:7" x14ac:dyDescent="0.35">
      <c r="A116" s="12" t="s">
        <v>1346</v>
      </c>
      <c r="B116" s="17" t="s">
        <v>199</v>
      </c>
      <c r="C116" s="14">
        <v>3</v>
      </c>
      <c r="D116" s="14" t="s">
        <v>114</v>
      </c>
      <c r="E116" s="14" t="s">
        <v>16</v>
      </c>
      <c r="F116" s="15"/>
      <c r="G116" s="16">
        <f t="shared" si="2"/>
        <v>0</v>
      </c>
    </row>
    <row r="117" spans="1:7" x14ac:dyDescent="0.35">
      <c r="A117" s="12" t="s">
        <v>1347</v>
      </c>
      <c r="B117" s="17" t="s">
        <v>201</v>
      </c>
      <c r="C117" s="14">
        <v>3</v>
      </c>
      <c r="D117" s="14" t="s">
        <v>114</v>
      </c>
      <c r="E117" s="14" t="s">
        <v>16</v>
      </c>
      <c r="F117" s="15"/>
      <c r="G117" s="16">
        <f t="shared" si="2"/>
        <v>0</v>
      </c>
    </row>
    <row r="118" spans="1:7" ht="31" x14ac:dyDescent="0.35">
      <c r="A118" s="12"/>
      <c r="B118" s="13" t="s">
        <v>202</v>
      </c>
      <c r="C118" s="14"/>
      <c r="D118" s="14"/>
      <c r="E118" s="14"/>
      <c r="F118" s="15"/>
      <c r="G118" s="16"/>
    </row>
    <row r="119" spans="1:7" x14ac:dyDescent="0.35">
      <c r="A119" s="12" t="s">
        <v>1348</v>
      </c>
      <c r="B119" s="17" t="s">
        <v>130</v>
      </c>
      <c r="C119" s="14">
        <v>25</v>
      </c>
      <c r="D119" s="14" t="s">
        <v>25</v>
      </c>
      <c r="E119" s="14" t="s">
        <v>16</v>
      </c>
      <c r="F119" s="15"/>
      <c r="G119" s="16">
        <f t="shared" si="2"/>
        <v>0</v>
      </c>
    </row>
    <row r="120" spans="1:7" x14ac:dyDescent="0.35">
      <c r="A120" s="12" t="s">
        <v>1349</v>
      </c>
      <c r="B120" s="17" t="s">
        <v>132</v>
      </c>
      <c r="C120" s="14">
        <v>25</v>
      </c>
      <c r="D120" s="14" t="s">
        <v>25</v>
      </c>
      <c r="E120" s="14" t="s">
        <v>16</v>
      </c>
      <c r="F120" s="15"/>
      <c r="G120" s="16">
        <f t="shared" si="2"/>
        <v>0</v>
      </c>
    </row>
    <row r="121" spans="1:7" x14ac:dyDescent="0.35">
      <c r="A121" s="12" t="s">
        <v>1350</v>
      </c>
      <c r="B121" s="17" t="s">
        <v>134</v>
      </c>
      <c r="C121" s="14">
        <v>25</v>
      </c>
      <c r="D121" s="14" t="s">
        <v>25</v>
      </c>
      <c r="E121" s="14" t="s">
        <v>16</v>
      </c>
      <c r="F121" s="15"/>
      <c r="G121" s="16">
        <f t="shared" si="2"/>
        <v>0</v>
      </c>
    </row>
    <row r="122" spans="1:7" x14ac:dyDescent="0.35">
      <c r="A122" s="12" t="s">
        <v>1351</v>
      </c>
      <c r="B122" s="23" t="s">
        <v>136</v>
      </c>
      <c r="C122" s="14">
        <v>25</v>
      </c>
      <c r="D122" s="14" t="s">
        <v>25</v>
      </c>
      <c r="E122" s="14" t="s">
        <v>16</v>
      </c>
      <c r="F122" s="15"/>
      <c r="G122" s="16">
        <f t="shared" si="2"/>
        <v>0</v>
      </c>
    </row>
    <row r="123" spans="1:7" ht="15" customHeight="1" x14ac:dyDescent="0.35">
      <c r="A123" s="12"/>
      <c r="B123" s="24" t="s">
        <v>207</v>
      </c>
      <c r="C123" s="14"/>
      <c r="D123" s="14"/>
      <c r="E123" s="14"/>
      <c r="F123" s="15"/>
      <c r="G123" s="16"/>
    </row>
    <row r="124" spans="1:7" x14ac:dyDescent="0.35">
      <c r="A124" s="12" t="s">
        <v>1352</v>
      </c>
      <c r="B124" s="17" t="s">
        <v>130</v>
      </c>
      <c r="C124" s="14">
        <v>25</v>
      </c>
      <c r="D124" s="14" t="s">
        <v>25</v>
      </c>
      <c r="E124" s="14" t="s">
        <v>16</v>
      </c>
      <c r="F124" s="15"/>
      <c r="G124" s="16">
        <f t="shared" si="2"/>
        <v>0</v>
      </c>
    </row>
    <row r="125" spans="1:7" x14ac:dyDescent="0.35">
      <c r="A125" s="12" t="s">
        <v>1353</v>
      </c>
      <c r="B125" s="17" t="s">
        <v>132</v>
      </c>
      <c r="C125" s="14">
        <v>25</v>
      </c>
      <c r="D125" s="14" t="s">
        <v>25</v>
      </c>
      <c r="E125" s="14" t="s">
        <v>16</v>
      </c>
      <c r="F125" s="15"/>
      <c r="G125" s="16">
        <f t="shared" ref="G125:G166" si="3">F125*C125</f>
        <v>0</v>
      </c>
    </row>
    <row r="126" spans="1:7" x14ac:dyDescent="0.35">
      <c r="A126" s="12" t="s">
        <v>1354</v>
      </c>
      <c r="B126" s="17" t="s">
        <v>134</v>
      </c>
      <c r="C126" s="14">
        <v>25</v>
      </c>
      <c r="D126" s="14" t="s">
        <v>25</v>
      </c>
      <c r="E126" s="14" t="s">
        <v>16</v>
      </c>
      <c r="F126" s="15"/>
      <c r="G126" s="16">
        <f t="shared" si="3"/>
        <v>0</v>
      </c>
    </row>
    <row r="127" spans="1:7" x14ac:dyDescent="0.35">
      <c r="A127" s="12" t="s">
        <v>1355</v>
      </c>
      <c r="B127" s="17" t="s">
        <v>136</v>
      </c>
      <c r="C127" s="14">
        <v>25</v>
      </c>
      <c r="D127" s="14" t="s">
        <v>25</v>
      </c>
      <c r="E127" s="14" t="s">
        <v>16</v>
      </c>
      <c r="F127" s="15"/>
      <c r="G127" s="16">
        <f t="shared" si="3"/>
        <v>0</v>
      </c>
    </row>
    <row r="128" spans="1:7" x14ac:dyDescent="0.35">
      <c r="A128" s="12" t="s">
        <v>1356</v>
      </c>
      <c r="B128" s="17" t="s">
        <v>213</v>
      </c>
      <c r="C128" s="14">
        <v>25</v>
      </c>
      <c r="D128" s="14" t="s">
        <v>25</v>
      </c>
      <c r="E128" s="14" t="s">
        <v>16</v>
      </c>
      <c r="F128" s="15"/>
      <c r="G128" s="16">
        <f t="shared" si="3"/>
        <v>0</v>
      </c>
    </row>
    <row r="129" spans="1:7" ht="16.5" customHeight="1" x14ac:dyDescent="0.35">
      <c r="A129" s="12"/>
      <c r="B129" s="13" t="s">
        <v>214</v>
      </c>
      <c r="C129" s="14"/>
      <c r="D129" s="14"/>
      <c r="E129" s="14"/>
      <c r="F129" s="15"/>
      <c r="G129" s="16"/>
    </row>
    <row r="130" spans="1:7" x14ac:dyDescent="0.35">
      <c r="A130" s="12" t="s">
        <v>1357</v>
      </c>
      <c r="B130" s="17" t="s">
        <v>130</v>
      </c>
      <c r="C130" s="14">
        <v>2</v>
      </c>
      <c r="D130" s="14" t="s">
        <v>25</v>
      </c>
      <c r="E130" s="14" t="s">
        <v>16</v>
      </c>
      <c r="F130" s="15"/>
      <c r="G130" s="16">
        <f t="shared" si="3"/>
        <v>0</v>
      </c>
    </row>
    <row r="131" spans="1:7" x14ac:dyDescent="0.35">
      <c r="A131" s="12" t="s">
        <v>1358</v>
      </c>
      <c r="B131" s="17" t="s">
        <v>132</v>
      </c>
      <c r="C131" s="14">
        <v>2</v>
      </c>
      <c r="D131" s="14" t="s">
        <v>25</v>
      </c>
      <c r="E131" s="14" t="s">
        <v>16</v>
      </c>
      <c r="F131" s="15"/>
      <c r="G131" s="16">
        <f t="shared" si="3"/>
        <v>0</v>
      </c>
    </row>
    <row r="132" spans="1:7" x14ac:dyDescent="0.35">
      <c r="A132" s="12" t="s">
        <v>1359</v>
      </c>
      <c r="B132" s="17" t="s">
        <v>218</v>
      </c>
      <c r="C132" s="14">
        <v>2</v>
      </c>
      <c r="D132" s="14" t="s">
        <v>25</v>
      </c>
      <c r="E132" s="14" t="s">
        <v>16</v>
      </c>
      <c r="F132" s="15"/>
      <c r="G132" s="16">
        <f t="shared" si="3"/>
        <v>0</v>
      </c>
    </row>
    <row r="133" spans="1:7" x14ac:dyDescent="0.35">
      <c r="A133" s="12"/>
      <c r="B133" s="13" t="s">
        <v>219</v>
      </c>
      <c r="C133" s="14"/>
      <c r="D133" s="14"/>
      <c r="E133" s="14"/>
      <c r="F133" s="15"/>
      <c r="G133" s="16"/>
    </row>
    <row r="134" spans="1:7" x14ac:dyDescent="0.35">
      <c r="A134" s="12" t="s">
        <v>1360</v>
      </c>
      <c r="B134" s="17" t="s">
        <v>220</v>
      </c>
      <c r="C134" s="14">
        <v>1</v>
      </c>
      <c r="D134" s="14" t="s">
        <v>114</v>
      </c>
      <c r="E134" s="14" t="s">
        <v>16</v>
      </c>
      <c r="F134" s="15"/>
      <c r="G134" s="16">
        <f t="shared" si="3"/>
        <v>0</v>
      </c>
    </row>
    <row r="135" spans="1:7" x14ac:dyDescent="0.35">
      <c r="A135" s="12" t="s">
        <v>1361</v>
      </c>
      <c r="B135" s="17" t="s">
        <v>221</v>
      </c>
      <c r="C135" s="14">
        <v>2</v>
      </c>
      <c r="D135" s="14" t="s">
        <v>114</v>
      </c>
      <c r="E135" s="14" t="s">
        <v>16</v>
      </c>
      <c r="F135" s="15"/>
      <c r="G135" s="16">
        <f t="shared" si="3"/>
        <v>0</v>
      </c>
    </row>
    <row r="136" spans="1:7" x14ac:dyDescent="0.35">
      <c r="A136" s="12"/>
      <c r="B136" s="25" t="s">
        <v>222</v>
      </c>
      <c r="C136" s="14"/>
      <c r="D136" s="14"/>
      <c r="E136" s="14"/>
      <c r="F136" s="15"/>
      <c r="G136" s="16"/>
    </row>
    <row r="137" spans="1:7" x14ac:dyDescent="0.35">
      <c r="A137" s="12" t="s">
        <v>1362</v>
      </c>
      <c r="B137" s="17" t="s">
        <v>224</v>
      </c>
      <c r="C137" s="14">
        <v>10</v>
      </c>
      <c r="D137" s="14" t="s">
        <v>114</v>
      </c>
      <c r="E137" s="14" t="s">
        <v>16</v>
      </c>
      <c r="F137" s="15"/>
      <c r="G137" s="16">
        <f t="shared" si="3"/>
        <v>0</v>
      </c>
    </row>
    <row r="138" spans="1:7" x14ac:dyDescent="0.35">
      <c r="A138" s="12" t="s">
        <v>1363</v>
      </c>
      <c r="B138" s="17" t="s">
        <v>226</v>
      </c>
      <c r="C138" s="14">
        <v>10</v>
      </c>
      <c r="D138" s="14" t="s">
        <v>114</v>
      </c>
      <c r="E138" s="14" t="s">
        <v>16</v>
      </c>
      <c r="F138" s="15"/>
      <c r="G138" s="16">
        <f t="shared" si="3"/>
        <v>0</v>
      </c>
    </row>
    <row r="139" spans="1:7" x14ac:dyDescent="0.35">
      <c r="A139" s="12" t="s">
        <v>1364</v>
      </c>
      <c r="B139" s="17" t="s">
        <v>224</v>
      </c>
      <c r="C139" s="14">
        <v>10</v>
      </c>
      <c r="D139" s="14" t="s">
        <v>114</v>
      </c>
      <c r="E139" s="14" t="s">
        <v>16</v>
      </c>
      <c r="F139" s="15"/>
      <c r="G139" s="16">
        <f t="shared" si="3"/>
        <v>0</v>
      </c>
    </row>
    <row r="140" spans="1:7" x14ac:dyDescent="0.35">
      <c r="A140" s="12" t="s">
        <v>1365</v>
      </c>
      <c r="B140" s="17" t="s">
        <v>226</v>
      </c>
      <c r="C140" s="14">
        <v>10</v>
      </c>
      <c r="D140" s="14" t="s">
        <v>114</v>
      </c>
      <c r="E140" s="14" t="s">
        <v>16</v>
      </c>
      <c r="F140" s="15"/>
      <c r="G140" s="16">
        <f t="shared" si="3"/>
        <v>0</v>
      </c>
    </row>
    <row r="141" spans="1:7" ht="32.25" customHeight="1" x14ac:dyDescent="0.35">
      <c r="A141" s="12"/>
      <c r="B141" s="26" t="s">
        <v>229</v>
      </c>
      <c r="C141" s="14"/>
      <c r="D141" s="14"/>
      <c r="E141" s="14"/>
      <c r="F141" s="15"/>
      <c r="G141" s="16"/>
    </row>
    <row r="142" spans="1:7" x14ac:dyDescent="0.35">
      <c r="A142" s="12" t="s">
        <v>1366</v>
      </c>
      <c r="B142" s="17" t="s">
        <v>130</v>
      </c>
      <c r="C142" s="14">
        <v>10</v>
      </c>
      <c r="D142" s="14" t="s">
        <v>114</v>
      </c>
      <c r="E142" s="14" t="s">
        <v>16</v>
      </c>
      <c r="F142" s="15"/>
      <c r="G142" s="16">
        <f t="shared" si="3"/>
        <v>0</v>
      </c>
    </row>
    <row r="143" spans="1:7" x14ac:dyDescent="0.35">
      <c r="A143" s="12" t="s">
        <v>1367</v>
      </c>
      <c r="B143" s="17" t="s">
        <v>136</v>
      </c>
      <c r="C143" s="14">
        <v>10</v>
      </c>
      <c r="D143" s="14" t="s">
        <v>114</v>
      </c>
      <c r="E143" s="14" t="s">
        <v>16</v>
      </c>
      <c r="F143" s="15"/>
      <c r="G143" s="16">
        <f t="shared" si="3"/>
        <v>0</v>
      </c>
    </row>
    <row r="144" spans="1:7" ht="31" x14ac:dyDescent="0.35">
      <c r="A144" s="12"/>
      <c r="B144" s="13" t="s">
        <v>232</v>
      </c>
      <c r="C144" s="14"/>
      <c r="D144" s="14"/>
      <c r="E144" s="14"/>
      <c r="F144" s="15"/>
      <c r="G144" s="16"/>
    </row>
    <row r="145" spans="1:7" x14ac:dyDescent="0.35">
      <c r="A145" s="12" t="s">
        <v>1368</v>
      </c>
      <c r="B145" s="17" t="s">
        <v>130</v>
      </c>
      <c r="C145" s="14">
        <v>10</v>
      </c>
      <c r="D145" s="14" t="s">
        <v>114</v>
      </c>
      <c r="E145" s="14" t="s">
        <v>16</v>
      </c>
      <c r="F145" s="15"/>
      <c r="G145" s="16">
        <f t="shared" si="3"/>
        <v>0</v>
      </c>
    </row>
    <row r="146" spans="1:7" x14ac:dyDescent="0.35">
      <c r="A146" s="12" t="s">
        <v>1369</v>
      </c>
      <c r="B146" s="17" t="s">
        <v>136</v>
      </c>
      <c r="C146" s="14">
        <v>10</v>
      </c>
      <c r="D146" s="14" t="s">
        <v>114</v>
      </c>
      <c r="E146" s="14" t="s">
        <v>16</v>
      </c>
      <c r="F146" s="15"/>
      <c r="G146" s="16">
        <f t="shared" si="3"/>
        <v>0</v>
      </c>
    </row>
    <row r="147" spans="1:7" x14ac:dyDescent="0.35">
      <c r="A147" s="12"/>
      <c r="B147" s="13" t="s">
        <v>235</v>
      </c>
      <c r="C147" s="14"/>
      <c r="D147" s="14"/>
      <c r="E147" s="14"/>
      <c r="F147" s="15"/>
      <c r="G147" s="16"/>
    </row>
    <row r="148" spans="1:7" x14ac:dyDescent="0.35">
      <c r="A148" s="12" t="s">
        <v>1370</v>
      </c>
      <c r="B148" s="17" t="s">
        <v>130</v>
      </c>
      <c r="C148" s="14">
        <v>10</v>
      </c>
      <c r="D148" s="14" t="s">
        <v>114</v>
      </c>
      <c r="E148" s="14" t="s">
        <v>16</v>
      </c>
      <c r="F148" s="15"/>
      <c r="G148" s="16">
        <f t="shared" si="3"/>
        <v>0</v>
      </c>
    </row>
    <row r="149" spans="1:7" x14ac:dyDescent="0.35">
      <c r="A149" s="12" t="s">
        <v>1371</v>
      </c>
      <c r="B149" s="17" t="s">
        <v>136</v>
      </c>
      <c r="C149" s="14">
        <v>10</v>
      </c>
      <c r="D149" s="14" t="s">
        <v>114</v>
      </c>
      <c r="E149" s="14" t="s">
        <v>16</v>
      </c>
      <c r="F149" s="15"/>
      <c r="G149" s="16">
        <f t="shared" si="3"/>
        <v>0</v>
      </c>
    </row>
    <row r="150" spans="1:7" ht="46.5" x14ac:dyDescent="0.35">
      <c r="A150" s="12"/>
      <c r="B150" s="13" t="s">
        <v>238</v>
      </c>
      <c r="C150" s="14"/>
      <c r="D150" s="14"/>
      <c r="E150" s="14"/>
      <c r="F150" s="15"/>
      <c r="G150" s="16"/>
    </row>
    <row r="151" spans="1:7" x14ac:dyDescent="0.35">
      <c r="A151" s="12" t="s">
        <v>1372</v>
      </c>
      <c r="B151" s="17" t="s">
        <v>130</v>
      </c>
      <c r="C151" s="14">
        <v>100</v>
      </c>
      <c r="D151" s="14" t="s">
        <v>25</v>
      </c>
      <c r="E151" s="14" t="s">
        <v>16</v>
      </c>
      <c r="F151" s="15"/>
      <c r="G151" s="16">
        <f t="shared" si="3"/>
        <v>0</v>
      </c>
    </row>
    <row r="152" spans="1:7" x14ac:dyDescent="0.35">
      <c r="A152" s="12" t="s">
        <v>1373</v>
      </c>
      <c r="B152" s="17" t="s">
        <v>132</v>
      </c>
      <c r="C152" s="14">
        <v>100</v>
      </c>
      <c r="D152" s="14" t="s">
        <v>25</v>
      </c>
      <c r="E152" s="14" t="s">
        <v>16</v>
      </c>
      <c r="F152" s="15"/>
      <c r="G152" s="16">
        <f t="shared" si="3"/>
        <v>0</v>
      </c>
    </row>
    <row r="153" spans="1:7" x14ac:dyDescent="0.35">
      <c r="A153" s="12" t="s">
        <v>1374</v>
      </c>
      <c r="B153" s="17" t="s">
        <v>136</v>
      </c>
      <c r="C153" s="14">
        <v>100</v>
      </c>
      <c r="D153" s="14" t="s">
        <v>25</v>
      </c>
      <c r="E153" s="14" t="s">
        <v>16</v>
      </c>
      <c r="F153" s="15"/>
      <c r="G153" s="16">
        <f t="shared" si="3"/>
        <v>0</v>
      </c>
    </row>
    <row r="154" spans="1:7" x14ac:dyDescent="0.35">
      <c r="A154" s="12"/>
      <c r="B154" s="13" t="s">
        <v>242</v>
      </c>
      <c r="C154" s="14"/>
      <c r="D154" s="14"/>
      <c r="E154" s="14"/>
      <c r="F154" s="15"/>
      <c r="G154" s="16"/>
    </row>
    <row r="155" spans="1:7" ht="31" x14ac:dyDescent="0.35">
      <c r="A155" s="12" t="s">
        <v>1375</v>
      </c>
      <c r="B155" s="17" t="s">
        <v>244</v>
      </c>
      <c r="C155" s="14">
        <v>10</v>
      </c>
      <c r="D155" s="14" t="s">
        <v>114</v>
      </c>
      <c r="E155" s="14" t="s">
        <v>16</v>
      </c>
      <c r="F155" s="15"/>
      <c r="G155" s="16">
        <f t="shared" si="3"/>
        <v>0</v>
      </c>
    </row>
    <row r="156" spans="1:7" ht="31" x14ac:dyDescent="0.35">
      <c r="A156" s="12" t="s">
        <v>1376</v>
      </c>
      <c r="B156" s="17" t="s">
        <v>246</v>
      </c>
      <c r="C156" s="14">
        <v>10</v>
      </c>
      <c r="D156" s="14" t="s">
        <v>114</v>
      </c>
      <c r="E156" s="14" t="s">
        <v>16</v>
      </c>
      <c r="F156" s="15"/>
      <c r="G156" s="16">
        <f t="shared" si="3"/>
        <v>0</v>
      </c>
    </row>
    <row r="157" spans="1:7" x14ac:dyDescent="0.35">
      <c r="A157" s="12"/>
      <c r="B157" s="13" t="s">
        <v>247</v>
      </c>
      <c r="C157" s="14"/>
      <c r="D157" s="14"/>
      <c r="E157" s="14"/>
      <c r="F157" s="15"/>
      <c r="G157" s="16"/>
    </row>
    <row r="158" spans="1:7" x14ac:dyDescent="0.35">
      <c r="A158" s="12" t="s">
        <v>1377</v>
      </c>
      <c r="B158" s="17" t="s">
        <v>249</v>
      </c>
      <c r="C158" s="14">
        <v>110</v>
      </c>
      <c r="D158" s="14" t="s">
        <v>40</v>
      </c>
      <c r="E158" s="14" t="s">
        <v>16</v>
      </c>
      <c r="F158" s="15"/>
      <c r="G158" s="16">
        <f t="shared" si="3"/>
        <v>0</v>
      </c>
    </row>
    <row r="159" spans="1:7" ht="31" x14ac:dyDescent="0.35">
      <c r="A159" s="12" t="s">
        <v>1378</v>
      </c>
      <c r="B159" s="17" t="s">
        <v>251</v>
      </c>
      <c r="C159" s="14">
        <v>50</v>
      </c>
      <c r="D159" s="14" t="s">
        <v>40</v>
      </c>
      <c r="E159" s="14" t="s">
        <v>16</v>
      </c>
      <c r="F159" s="15"/>
      <c r="G159" s="16">
        <f t="shared" si="3"/>
        <v>0</v>
      </c>
    </row>
    <row r="160" spans="1:7" x14ac:dyDescent="0.35">
      <c r="A160" s="12"/>
      <c r="B160" s="13" t="s">
        <v>252</v>
      </c>
      <c r="C160" s="14"/>
      <c r="D160" s="14"/>
      <c r="E160" s="14"/>
      <c r="F160" s="15"/>
      <c r="G160" s="16"/>
    </row>
    <row r="161" spans="1:7" x14ac:dyDescent="0.35">
      <c r="A161" s="12" t="s">
        <v>1379</v>
      </c>
      <c r="B161" s="17" t="s">
        <v>254</v>
      </c>
      <c r="C161" s="14">
        <v>50</v>
      </c>
      <c r="D161" s="14" t="s">
        <v>40</v>
      </c>
      <c r="E161" s="14" t="s">
        <v>16</v>
      </c>
      <c r="F161" s="15"/>
      <c r="G161" s="16">
        <f t="shared" si="3"/>
        <v>0</v>
      </c>
    </row>
    <row r="162" spans="1:7" x14ac:dyDescent="0.35">
      <c r="A162" s="12" t="s">
        <v>1380</v>
      </c>
      <c r="B162" s="17" t="s">
        <v>256</v>
      </c>
      <c r="C162" s="14">
        <v>50</v>
      </c>
      <c r="D162" s="14" t="s">
        <v>40</v>
      </c>
      <c r="E162" s="14" t="s">
        <v>16</v>
      </c>
      <c r="F162" s="15"/>
      <c r="G162" s="16">
        <f t="shared" si="3"/>
        <v>0</v>
      </c>
    </row>
    <row r="163" spans="1:7" x14ac:dyDescent="0.35">
      <c r="A163" s="12"/>
      <c r="B163" s="13" t="s">
        <v>257</v>
      </c>
      <c r="C163" s="14"/>
      <c r="D163" s="14"/>
      <c r="E163" s="14"/>
      <c r="F163" s="15"/>
      <c r="G163" s="16"/>
    </row>
    <row r="164" spans="1:7" ht="31" x14ac:dyDescent="0.35">
      <c r="A164" s="12" t="s">
        <v>1381</v>
      </c>
      <c r="B164" s="17" t="s">
        <v>259</v>
      </c>
      <c r="C164" s="14">
        <v>100</v>
      </c>
      <c r="D164" s="14" t="s">
        <v>20</v>
      </c>
      <c r="E164" s="14" t="s">
        <v>16</v>
      </c>
      <c r="F164" s="15"/>
      <c r="G164" s="16">
        <f t="shared" si="3"/>
        <v>0</v>
      </c>
    </row>
    <row r="165" spans="1:7" x14ac:dyDescent="0.35">
      <c r="A165" s="12" t="s">
        <v>1382</v>
      </c>
      <c r="B165" s="17" t="s">
        <v>261</v>
      </c>
      <c r="C165" s="14">
        <v>100</v>
      </c>
      <c r="D165" s="14" t="s">
        <v>25</v>
      </c>
      <c r="E165" s="14" t="s">
        <v>16</v>
      </c>
      <c r="F165" s="15"/>
      <c r="G165" s="16">
        <f t="shared" si="3"/>
        <v>0</v>
      </c>
    </row>
    <row r="166" spans="1:7" ht="31" x14ac:dyDescent="0.35">
      <c r="A166" s="12" t="s">
        <v>1383</v>
      </c>
      <c r="B166" s="17" t="s">
        <v>263</v>
      </c>
      <c r="C166" s="14">
        <v>100</v>
      </c>
      <c r="D166" s="14" t="s">
        <v>25</v>
      </c>
      <c r="E166" s="14" t="s">
        <v>16</v>
      </c>
      <c r="F166" s="15"/>
      <c r="G166" s="16">
        <f t="shared" si="3"/>
        <v>0</v>
      </c>
    </row>
    <row r="167" spans="1:7" x14ac:dyDescent="0.35">
      <c r="A167" s="12" t="s">
        <v>1384</v>
      </c>
      <c r="B167" s="13" t="s">
        <v>265</v>
      </c>
      <c r="C167" s="14">
        <v>0</v>
      </c>
      <c r="D167" s="14"/>
      <c r="E167" s="14" t="s">
        <v>16</v>
      </c>
      <c r="F167" s="15"/>
      <c r="G167" s="16">
        <v>0</v>
      </c>
    </row>
    <row r="168" spans="1:7" x14ac:dyDescent="0.35">
      <c r="A168" s="12"/>
      <c r="B168" s="13" t="s">
        <v>266</v>
      </c>
      <c r="C168" s="14"/>
      <c r="D168" s="14"/>
      <c r="E168" s="14"/>
      <c r="F168" s="15"/>
      <c r="G168" s="16"/>
    </row>
    <row r="169" spans="1:7" ht="39" customHeight="1" x14ac:dyDescent="0.35">
      <c r="A169" s="12" t="s">
        <v>1385</v>
      </c>
      <c r="B169" s="27" t="s">
        <v>268</v>
      </c>
      <c r="C169" s="14">
        <v>200</v>
      </c>
      <c r="D169" s="14" t="s">
        <v>25</v>
      </c>
      <c r="E169" s="14" t="s">
        <v>16</v>
      </c>
      <c r="F169" s="15"/>
      <c r="G169" s="16">
        <f t="shared" ref="G169:G183" si="4">F169*C169</f>
        <v>0</v>
      </c>
    </row>
    <row r="170" spans="1:7" ht="46.5" x14ac:dyDescent="0.35">
      <c r="A170" s="12" t="s">
        <v>1386</v>
      </c>
      <c r="B170" s="27" t="s">
        <v>270</v>
      </c>
      <c r="C170" s="14">
        <v>200</v>
      </c>
      <c r="D170" s="14" t="s">
        <v>25</v>
      </c>
      <c r="E170" s="14" t="s">
        <v>16</v>
      </c>
      <c r="F170" s="15"/>
      <c r="G170" s="16">
        <f t="shared" si="4"/>
        <v>0</v>
      </c>
    </row>
    <row r="171" spans="1:7" ht="31" x14ac:dyDescent="0.35">
      <c r="A171" s="12" t="s">
        <v>1387</v>
      </c>
      <c r="B171" s="27" t="s">
        <v>272</v>
      </c>
      <c r="C171" s="14">
        <v>200</v>
      </c>
      <c r="D171" s="14" t="s">
        <v>25</v>
      </c>
      <c r="E171" s="14" t="s">
        <v>16</v>
      </c>
      <c r="F171" s="15"/>
      <c r="G171" s="16">
        <f t="shared" si="4"/>
        <v>0</v>
      </c>
    </row>
    <row r="172" spans="1:7" x14ac:dyDescent="0.35">
      <c r="A172" s="12"/>
      <c r="B172" s="28" t="s">
        <v>273</v>
      </c>
      <c r="C172" s="14"/>
      <c r="D172" s="14"/>
      <c r="E172" s="14"/>
      <c r="F172" s="15"/>
      <c r="G172" s="16"/>
    </row>
    <row r="173" spans="1:7" ht="31" x14ac:dyDescent="0.35">
      <c r="A173" s="12" t="s">
        <v>1388</v>
      </c>
      <c r="B173" s="17" t="s">
        <v>275</v>
      </c>
      <c r="C173" s="14">
        <v>500</v>
      </c>
      <c r="D173" s="14" t="s">
        <v>40</v>
      </c>
      <c r="E173" s="14" t="s">
        <v>16</v>
      </c>
      <c r="F173" s="15"/>
      <c r="G173" s="16">
        <f>F173*C173</f>
        <v>0</v>
      </c>
    </row>
    <row r="174" spans="1:7" ht="31" x14ac:dyDescent="0.35">
      <c r="A174" s="12" t="s">
        <v>1389</v>
      </c>
      <c r="B174" s="17" t="s">
        <v>277</v>
      </c>
      <c r="C174" s="14">
        <v>250</v>
      </c>
      <c r="D174" s="14" t="s">
        <v>40</v>
      </c>
      <c r="E174" s="14" t="s">
        <v>16</v>
      </c>
      <c r="F174" s="15"/>
      <c r="G174" s="16">
        <f>F174*C174</f>
        <v>0</v>
      </c>
    </row>
    <row r="175" spans="1:7" x14ac:dyDescent="0.35">
      <c r="A175" s="12" t="s">
        <v>1390</v>
      </c>
      <c r="B175" s="17" t="s">
        <v>279</v>
      </c>
      <c r="C175" s="14">
        <v>10</v>
      </c>
      <c r="D175" s="14" t="s">
        <v>114</v>
      </c>
      <c r="E175" s="14" t="s">
        <v>16</v>
      </c>
      <c r="F175" s="15"/>
      <c r="G175" s="16">
        <f>F175*C175</f>
        <v>0</v>
      </c>
    </row>
    <row r="176" spans="1:7" ht="46.5" x14ac:dyDescent="0.35">
      <c r="A176" s="12" t="s">
        <v>1391</v>
      </c>
      <c r="B176" s="29" t="s">
        <v>281</v>
      </c>
      <c r="C176" s="14">
        <v>5000</v>
      </c>
      <c r="D176" s="14" t="s">
        <v>25</v>
      </c>
      <c r="E176" s="14" t="s">
        <v>16</v>
      </c>
      <c r="F176" s="15"/>
      <c r="G176" s="16">
        <f>F176*C176</f>
        <v>0</v>
      </c>
    </row>
    <row r="177" spans="1:7" ht="31" x14ac:dyDescent="0.35">
      <c r="A177" s="12"/>
      <c r="B177" s="13" t="s">
        <v>282</v>
      </c>
      <c r="C177" s="14"/>
      <c r="D177" s="14"/>
      <c r="E177" s="14"/>
      <c r="F177" s="15"/>
      <c r="G177" s="16"/>
    </row>
    <row r="178" spans="1:7" ht="62" x14ac:dyDescent="0.35">
      <c r="A178" s="12" t="s">
        <v>1392</v>
      </c>
      <c r="B178" s="17" t="s">
        <v>284</v>
      </c>
      <c r="C178" s="14"/>
      <c r="D178" s="14" t="s">
        <v>285</v>
      </c>
      <c r="E178" s="14" t="s">
        <v>16</v>
      </c>
      <c r="F178" s="15"/>
      <c r="G178" s="16">
        <f t="shared" si="4"/>
        <v>0</v>
      </c>
    </row>
    <row r="179" spans="1:7" ht="46.5" x14ac:dyDescent="0.35">
      <c r="A179" s="12" t="s">
        <v>1393</v>
      </c>
      <c r="B179" s="17" t="s">
        <v>287</v>
      </c>
      <c r="C179" s="14">
        <v>2000</v>
      </c>
      <c r="D179" s="14" t="s">
        <v>288</v>
      </c>
      <c r="E179" s="14" t="s">
        <v>16</v>
      </c>
      <c r="F179" s="15"/>
      <c r="G179" s="16">
        <f t="shared" si="4"/>
        <v>0</v>
      </c>
    </row>
    <row r="180" spans="1:7" x14ac:dyDescent="0.35">
      <c r="A180" s="12"/>
      <c r="B180" s="13" t="s">
        <v>289</v>
      </c>
      <c r="C180" s="14"/>
      <c r="D180" s="14"/>
      <c r="E180" s="14"/>
      <c r="F180" s="15"/>
      <c r="G180" s="16"/>
    </row>
    <row r="181" spans="1:7" ht="108.5" x14ac:dyDescent="0.35">
      <c r="A181" s="12" t="s">
        <v>1394</v>
      </c>
      <c r="B181" s="17" t="s">
        <v>572</v>
      </c>
      <c r="C181" s="14">
        <v>20</v>
      </c>
      <c r="D181" s="14" t="s">
        <v>114</v>
      </c>
      <c r="E181" s="14" t="s">
        <v>16</v>
      </c>
      <c r="F181" s="15"/>
      <c r="G181" s="16">
        <f t="shared" si="4"/>
        <v>0</v>
      </c>
    </row>
    <row r="182" spans="1:7" ht="31" x14ac:dyDescent="0.35">
      <c r="A182" s="12"/>
      <c r="B182" s="13" t="s">
        <v>292</v>
      </c>
      <c r="C182" s="14"/>
      <c r="D182" s="14"/>
      <c r="E182" s="14"/>
      <c r="F182" s="15"/>
      <c r="G182" s="16"/>
    </row>
    <row r="183" spans="1:7" x14ac:dyDescent="0.35">
      <c r="A183" s="12" t="s">
        <v>1395</v>
      </c>
      <c r="B183" s="17" t="s">
        <v>294</v>
      </c>
      <c r="C183" s="30">
        <v>500000</v>
      </c>
      <c r="D183" s="14" t="s">
        <v>114</v>
      </c>
      <c r="E183" s="14" t="s">
        <v>16</v>
      </c>
      <c r="F183" s="15"/>
      <c r="G183" s="16">
        <f t="shared" si="4"/>
        <v>0</v>
      </c>
    </row>
    <row r="184" spans="1:7" ht="31" x14ac:dyDescent="0.35">
      <c r="A184" s="12"/>
      <c r="B184" s="13" t="s">
        <v>295</v>
      </c>
      <c r="C184" s="14"/>
      <c r="D184" s="14"/>
      <c r="E184" s="14"/>
      <c r="F184" s="15"/>
      <c r="G184" s="16"/>
    </row>
    <row r="185" spans="1:7" ht="62" x14ac:dyDescent="0.35">
      <c r="A185" s="12" t="s">
        <v>1396</v>
      </c>
      <c r="B185" s="31" t="s">
        <v>297</v>
      </c>
      <c r="C185" s="14">
        <v>1</v>
      </c>
      <c r="D185" s="14" t="s">
        <v>298</v>
      </c>
      <c r="E185" s="14" t="s">
        <v>16</v>
      </c>
      <c r="F185" s="15"/>
      <c r="G185" s="16">
        <f>F185</f>
        <v>0</v>
      </c>
    </row>
    <row r="186" spans="1:7" ht="62.5" thickBot="1" x14ac:dyDescent="0.4">
      <c r="A186" s="12" t="s">
        <v>1397</v>
      </c>
      <c r="B186" s="17" t="s">
        <v>300</v>
      </c>
      <c r="C186" s="14">
        <v>1</v>
      </c>
      <c r="D186" s="14" t="s">
        <v>298</v>
      </c>
      <c r="E186" s="14" t="s">
        <v>16</v>
      </c>
      <c r="F186" s="15"/>
      <c r="G186" s="32">
        <f>F186</f>
        <v>0</v>
      </c>
    </row>
    <row r="187" spans="1:7" ht="31" x14ac:dyDescent="0.35">
      <c r="A187" s="12"/>
      <c r="B187" s="13" t="s">
        <v>1398</v>
      </c>
      <c r="C187" s="14"/>
      <c r="D187" s="14"/>
      <c r="E187" s="14"/>
      <c r="F187" s="33"/>
      <c r="G187" s="34">
        <f>SUM(G9:G186)</f>
        <v>0</v>
      </c>
    </row>
    <row r="188" spans="1:7" x14ac:dyDescent="0.35">
      <c r="A188" s="35"/>
      <c r="B188" s="50" t="s">
        <v>1538</v>
      </c>
      <c r="C188" s="50"/>
      <c r="D188" s="50"/>
      <c r="E188" s="50"/>
      <c r="F188" s="50"/>
      <c r="G188" s="50"/>
    </row>
    <row r="189" spans="1:7" ht="16" thickBot="1" x14ac:dyDescent="0.4">
      <c r="A189" s="36" t="s">
        <v>6</v>
      </c>
      <c r="B189" s="37" t="s">
        <v>7</v>
      </c>
      <c r="C189" s="38" t="s">
        <v>8</v>
      </c>
      <c r="D189" s="38" t="s">
        <v>9</v>
      </c>
      <c r="E189" s="38"/>
      <c r="F189" s="39" t="s">
        <v>10</v>
      </c>
      <c r="G189" s="40" t="s">
        <v>11</v>
      </c>
    </row>
    <row r="190" spans="1:7" x14ac:dyDescent="0.35">
      <c r="A190" s="12"/>
      <c r="B190" s="13" t="s">
        <v>12</v>
      </c>
      <c r="C190" s="14"/>
      <c r="D190" s="14"/>
      <c r="E190" s="14"/>
      <c r="F190" s="15"/>
      <c r="G190" s="16"/>
    </row>
    <row r="191" spans="1:7" ht="46.5" x14ac:dyDescent="0.35">
      <c r="A191" s="12" t="s">
        <v>1399</v>
      </c>
      <c r="B191" s="17" t="s">
        <v>14</v>
      </c>
      <c r="C191" s="14">
        <v>3</v>
      </c>
      <c r="D191" s="14" t="s">
        <v>15</v>
      </c>
      <c r="E191" s="14" t="s">
        <v>16</v>
      </c>
      <c r="F191" s="15">
        <f>'Option Year 3'!F191+'Option Year 3'!F191*3%</f>
        <v>0</v>
      </c>
      <c r="G191" s="16">
        <f t="shared" ref="G191" si="5">F191*C191</f>
        <v>0</v>
      </c>
    </row>
    <row r="192" spans="1:7" ht="31" x14ac:dyDescent="0.35">
      <c r="A192" s="12"/>
      <c r="B192" s="18" t="s">
        <v>17</v>
      </c>
      <c r="C192" s="14"/>
      <c r="D192" s="14"/>
      <c r="E192" s="14"/>
      <c r="F192" s="15">
        <f>'Option Year 3'!F192+'Option Year 3'!F192*3%</f>
        <v>0</v>
      </c>
      <c r="G192" s="19"/>
    </row>
    <row r="193" spans="1:7" x14ac:dyDescent="0.35">
      <c r="A193" s="12" t="s">
        <v>1400</v>
      </c>
      <c r="B193" s="17" t="s">
        <v>19</v>
      </c>
      <c r="C193" s="14">
        <v>40</v>
      </c>
      <c r="D193" s="14" t="s">
        <v>20</v>
      </c>
      <c r="E193" s="14" t="s">
        <v>16</v>
      </c>
      <c r="F193" s="15">
        <f>'Option Year 3'!F193+'Option Year 3'!F193*3%</f>
        <v>0</v>
      </c>
      <c r="G193" s="16">
        <f t="shared" ref="G193:G196" si="6">F193*C193</f>
        <v>0</v>
      </c>
    </row>
    <row r="194" spans="1:7" x14ac:dyDescent="0.35">
      <c r="A194" s="12" t="s">
        <v>1401</v>
      </c>
      <c r="B194" s="17" t="s">
        <v>22</v>
      </c>
      <c r="C194" s="14">
        <v>40</v>
      </c>
      <c r="D194" s="14" t="s">
        <v>20</v>
      </c>
      <c r="E194" s="14" t="s">
        <v>16</v>
      </c>
      <c r="F194" s="15">
        <f>'Option Year 3'!F194+'Option Year 3'!F194*3%</f>
        <v>0</v>
      </c>
      <c r="G194" s="16">
        <f t="shared" si="6"/>
        <v>0</v>
      </c>
    </row>
    <row r="195" spans="1:7" x14ac:dyDescent="0.35">
      <c r="A195" s="12" t="s">
        <v>1402</v>
      </c>
      <c r="B195" s="17" t="s">
        <v>24</v>
      </c>
      <c r="C195" s="14">
        <v>40</v>
      </c>
      <c r="D195" s="14" t="s">
        <v>25</v>
      </c>
      <c r="E195" s="14" t="s">
        <v>16</v>
      </c>
      <c r="F195" s="15">
        <f>'Option Year 3'!F195+'Option Year 3'!F195*3%</f>
        <v>0</v>
      </c>
      <c r="G195" s="16">
        <f t="shared" si="6"/>
        <v>0</v>
      </c>
    </row>
    <row r="196" spans="1:7" x14ac:dyDescent="0.35">
      <c r="A196" s="12" t="s">
        <v>1403</v>
      </c>
      <c r="B196" s="17" t="s">
        <v>27</v>
      </c>
      <c r="C196" s="14">
        <v>25</v>
      </c>
      <c r="D196" s="14" t="s">
        <v>25</v>
      </c>
      <c r="E196" s="14" t="s">
        <v>16</v>
      </c>
      <c r="F196" s="15">
        <f>'Option Year 3'!F196+'Option Year 3'!F196*3%</f>
        <v>0</v>
      </c>
      <c r="G196" s="16">
        <f t="shared" si="6"/>
        <v>0</v>
      </c>
    </row>
    <row r="197" spans="1:7" x14ac:dyDescent="0.35">
      <c r="A197" s="12"/>
      <c r="B197" s="13" t="s">
        <v>28</v>
      </c>
      <c r="C197" s="14"/>
      <c r="D197" s="14"/>
      <c r="E197" s="14"/>
      <c r="F197" s="15">
        <f>'Option Year 3'!F197+'Option Year 3'!F197*3%</f>
        <v>0</v>
      </c>
      <c r="G197" s="16"/>
    </row>
    <row r="198" spans="1:7" ht="46.5" x14ac:dyDescent="0.35">
      <c r="A198" s="12"/>
      <c r="B198" s="13" t="s">
        <v>1545</v>
      </c>
      <c r="C198" s="14"/>
      <c r="D198" s="14"/>
      <c r="E198" s="14"/>
      <c r="F198" s="15">
        <f>'Option Year 3'!F198+'Option Year 3'!F198*3%</f>
        <v>0</v>
      </c>
      <c r="G198" s="16"/>
    </row>
    <row r="199" spans="1:7" ht="31" x14ac:dyDescent="0.35">
      <c r="A199" s="12" t="s">
        <v>1404</v>
      </c>
      <c r="B199" s="17" t="s">
        <v>31</v>
      </c>
      <c r="C199" s="14">
        <v>10</v>
      </c>
      <c r="D199" s="14" t="s">
        <v>20</v>
      </c>
      <c r="E199" s="14" t="s">
        <v>16</v>
      </c>
      <c r="F199" s="15">
        <f>'Option Year 3'!F199+'Option Year 3'!F199*3%</f>
        <v>0</v>
      </c>
      <c r="G199" s="16">
        <f t="shared" ref="G199:G205" si="7">F199*C199</f>
        <v>0</v>
      </c>
    </row>
    <row r="200" spans="1:7" x14ac:dyDescent="0.35">
      <c r="A200" s="12" t="s">
        <v>1405</v>
      </c>
      <c r="B200" s="17" t="s">
        <v>33</v>
      </c>
      <c r="C200" s="14">
        <v>10</v>
      </c>
      <c r="D200" s="14" t="s">
        <v>20</v>
      </c>
      <c r="E200" s="14" t="s">
        <v>16</v>
      </c>
      <c r="F200" s="15">
        <f>'Option Year 3'!F200+'Option Year 3'!F200*3%</f>
        <v>0</v>
      </c>
      <c r="G200" s="16">
        <f t="shared" si="7"/>
        <v>0</v>
      </c>
    </row>
    <row r="201" spans="1:7" ht="31" x14ac:dyDescent="0.35">
      <c r="A201" s="12" t="s">
        <v>1406</v>
      </c>
      <c r="B201" s="17" t="s">
        <v>35</v>
      </c>
      <c r="C201" s="14">
        <v>10</v>
      </c>
      <c r="D201" s="14" t="s">
        <v>15</v>
      </c>
      <c r="E201" s="14" t="s">
        <v>16</v>
      </c>
      <c r="F201" s="15">
        <f>'Option Year 3'!F201+'Option Year 3'!F201*3%</f>
        <v>0</v>
      </c>
      <c r="G201" s="16">
        <f t="shared" si="7"/>
        <v>0</v>
      </c>
    </row>
    <row r="202" spans="1:7" ht="31" x14ac:dyDescent="0.35">
      <c r="A202" s="12" t="s">
        <v>1407</v>
      </c>
      <c r="B202" s="17" t="s">
        <v>37</v>
      </c>
      <c r="C202" s="14">
        <v>5</v>
      </c>
      <c r="D202" s="14" t="s">
        <v>15</v>
      </c>
      <c r="E202" s="14" t="s">
        <v>16</v>
      </c>
      <c r="F202" s="15">
        <f>'Option Year 3'!F202+'Option Year 3'!F202*3%</f>
        <v>0</v>
      </c>
      <c r="G202" s="16">
        <f t="shared" si="7"/>
        <v>0</v>
      </c>
    </row>
    <row r="203" spans="1:7" ht="31" x14ac:dyDescent="0.35">
      <c r="A203" s="12" t="s">
        <v>1408</v>
      </c>
      <c r="B203" s="17" t="s">
        <v>39</v>
      </c>
      <c r="C203" s="14">
        <v>30</v>
      </c>
      <c r="D203" s="14" t="s">
        <v>40</v>
      </c>
      <c r="E203" s="14" t="s">
        <v>16</v>
      </c>
      <c r="F203" s="15">
        <f>'Option Year 3'!F203+'Option Year 3'!F203*3%</f>
        <v>0</v>
      </c>
      <c r="G203" s="16">
        <f t="shared" si="7"/>
        <v>0</v>
      </c>
    </row>
    <row r="204" spans="1:7" ht="31" x14ac:dyDescent="0.35">
      <c r="A204" s="12" t="s">
        <v>1409</v>
      </c>
      <c r="B204" s="17" t="s">
        <v>42</v>
      </c>
      <c r="C204" s="14">
        <v>30</v>
      </c>
      <c r="D204" s="14" t="s">
        <v>40</v>
      </c>
      <c r="E204" s="14" t="s">
        <v>16</v>
      </c>
      <c r="F204" s="15">
        <f>'Option Year 3'!F204+'Option Year 3'!F204*3%</f>
        <v>0</v>
      </c>
      <c r="G204" s="16">
        <f t="shared" si="7"/>
        <v>0</v>
      </c>
    </row>
    <row r="205" spans="1:7" ht="31" x14ac:dyDescent="0.35">
      <c r="A205" s="12" t="s">
        <v>1410</v>
      </c>
      <c r="B205" s="17" t="s">
        <v>44</v>
      </c>
      <c r="C205" s="14">
        <v>100</v>
      </c>
      <c r="D205" s="14" t="s">
        <v>20</v>
      </c>
      <c r="E205" s="14" t="s">
        <v>16</v>
      </c>
      <c r="F205" s="15">
        <f>'Option Year 3'!F205+'Option Year 3'!F205*3%</f>
        <v>0</v>
      </c>
      <c r="G205" s="16">
        <f t="shared" si="7"/>
        <v>0</v>
      </c>
    </row>
    <row r="206" spans="1:7" x14ac:dyDescent="0.35">
      <c r="A206" s="12"/>
      <c r="B206" s="18" t="s">
        <v>45</v>
      </c>
      <c r="C206" s="14"/>
      <c r="D206" s="14"/>
      <c r="E206" s="14"/>
      <c r="F206" s="15">
        <f>'Option Year 3'!F206+'Option Year 3'!F206*3%</f>
        <v>0</v>
      </c>
      <c r="G206" s="16"/>
    </row>
    <row r="207" spans="1:7" ht="46.5" x14ac:dyDescent="0.35">
      <c r="A207" s="12"/>
      <c r="B207" s="18" t="s">
        <v>46</v>
      </c>
      <c r="C207" s="14"/>
      <c r="D207" s="14"/>
      <c r="E207" s="14"/>
      <c r="F207" s="15">
        <f>'Option Year 3'!F207+'Option Year 3'!F207*3%</f>
        <v>0</v>
      </c>
      <c r="G207" s="16"/>
    </row>
    <row r="208" spans="1:7" x14ac:dyDescent="0.35">
      <c r="A208" s="12" t="s">
        <v>1411</v>
      </c>
      <c r="B208" s="17" t="s">
        <v>48</v>
      </c>
      <c r="C208" s="14">
        <v>10</v>
      </c>
      <c r="D208" s="14" t="s">
        <v>15</v>
      </c>
      <c r="E208" s="14" t="s">
        <v>16</v>
      </c>
      <c r="F208" s="15">
        <f>'Option Year 3'!F208+'Option Year 3'!F208*3%</f>
        <v>0</v>
      </c>
      <c r="G208" s="16">
        <f t="shared" ref="G208:G210" si="8">F208*C208</f>
        <v>0</v>
      </c>
    </row>
    <row r="209" spans="1:7" x14ac:dyDescent="0.35">
      <c r="A209" s="12" t="s">
        <v>1412</v>
      </c>
      <c r="B209" s="17" t="s">
        <v>50</v>
      </c>
      <c r="C209" s="14">
        <v>6</v>
      </c>
      <c r="D209" s="14" t="s">
        <v>15</v>
      </c>
      <c r="E209" s="14" t="s">
        <v>16</v>
      </c>
      <c r="F209" s="15">
        <f>'Option Year 3'!F209+'Option Year 3'!F209*3%</f>
        <v>0</v>
      </c>
      <c r="G209" s="16">
        <f t="shared" si="8"/>
        <v>0</v>
      </c>
    </row>
    <row r="210" spans="1:7" x14ac:dyDescent="0.35">
      <c r="A210" s="12" t="s">
        <v>1413</v>
      </c>
      <c r="B210" s="17" t="s">
        <v>52</v>
      </c>
      <c r="C210" s="14">
        <v>6</v>
      </c>
      <c r="D210" s="14" t="s">
        <v>15</v>
      </c>
      <c r="E210" s="14" t="s">
        <v>16</v>
      </c>
      <c r="F210" s="15">
        <f>'Option Year 3'!F210+'Option Year 3'!F210*3%</f>
        <v>0</v>
      </c>
      <c r="G210" s="16">
        <f t="shared" si="8"/>
        <v>0</v>
      </c>
    </row>
    <row r="211" spans="1:7" ht="46.5" x14ac:dyDescent="0.35">
      <c r="A211" s="12" t="s">
        <v>1414</v>
      </c>
      <c r="B211" s="17" t="s">
        <v>54</v>
      </c>
      <c r="C211" s="20">
        <v>6</v>
      </c>
      <c r="D211" s="20" t="s">
        <v>15</v>
      </c>
      <c r="E211" s="20" t="s">
        <v>16</v>
      </c>
      <c r="F211" s="21">
        <f>'Option Year 3'!F211+'Option Year 3'!F211*3%</f>
        <v>0</v>
      </c>
      <c r="G211" s="19">
        <f>F211*C211</f>
        <v>0</v>
      </c>
    </row>
    <row r="212" spans="1:7" x14ac:dyDescent="0.35">
      <c r="A212" s="12" t="s">
        <v>1415</v>
      </c>
      <c r="B212" s="17" t="s">
        <v>56</v>
      </c>
      <c r="C212" s="14">
        <v>6</v>
      </c>
      <c r="D212" s="14" t="s">
        <v>15</v>
      </c>
      <c r="E212" s="14" t="s">
        <v>16</v>
      </c>
      <c r="F212" s="15">
        <f>'Option Year 3'!F212+'Option Year 3'!F212*3%</f>
        <v>0</v>
      </c>
      <c r="G212" s="16">
        <f t="shared" ref="G212:G215" si="9">F212*C212</f>
        <v>0</v>
      </c>
    </row>
    <row r="213" spans="1:7" ht="31" x14ac:dyDescent="0.35">
      <c r="A213" s="12" t="s">
        <v>1416</v>
      </c>
      <c r="B213" s="17" t="s">
        <v>58</v>
      </c>
      <c r="C213" s="14">
        <v>2</v>
      </c>
      <c r="D213" s="14" t="s">
        <v>15</v>
      </c>
      <c r="E213" s="14" t="s">
        <v>16</v>
      </c>
      <c r="F213" s="15">
        <f>'Option Year 3'!F213+'Option Year 3'!F213*3%</f>
        <v>0</v>
      </c>
      <c r="G213" s="16">
        <f t="shared" si="9"/>
        <v>0</v>
      </c>
    </row>
    <row r="214" spans="1:7" ht="31" x14ac:dyDescent="0.35">
      <c r="A214" s="12" t="s">
        <v>1417</v>
      </c>
      <c r="B214" s="17" t="s">
        <v>60</v>
      </c>
      <c r="C214" s="14">
        <v>3</v>
      </c>
      <c r="D214" s="14" t="s">
        <v>15</v>
      </c>
      <c r="E214" s="14" t="s">
        <v>16</v>
      </c>
      <c r="F214" s="15">
        <f>'Option Year 3'!F214+'Option Year 3'!F214*3%</f>
        <v>0</v>
      </c>
      <c r="G214" s="16">
        <f t="shared" si="9"/>
        <v>0</v>
      </c>
    </row>
    <row r="215" spans="1:7" ht="31" x14ac:dyDescent="0.35">
      <c r="A215" s="12" t="s">
        <v>1418</v>
      </c>
      <c r="B215" s="17" t="s">
        <v>62</v>
      </c>
      <c r="C215" s="14">
        <v>3</v>
      </c>
      <c r="D215" s="14" t="s">
        <v>15</v>
      </c>
      <c r="E215" s="14" t="s">
        <v>16</v>
      </c>
      <c r="F215" s="15">
        <f>'Option Year 3'!F215+'Option Year 3'!F215*3%</f>
        <v>0</v>
      </c>
      <c r="G215" s="16">
        <f t="shared" si="9"/>
        <v>0</v>
      </c>
    </row>
    <row r="216" spans="1:7" ht="46.5" x14ac:dyDescent="0.35">
      <c r="A216" s="12"/>
      <c r="B216" s="13" t="s">
        <v>63</v>
      </c>
      <c r="C216" s="14"/>
      <c r="D216" s="14"/>
      <c r="E216" s="14"/>
      <c r="F216" s="15">
        <f>'Option Year 3'!F216+'Option Year 3'!F216*3%</f>
        <v>0</v>
      </c>
      <c r="G216" s="16"/>
    </row>
    <row r="217" spans="1:7" x14ac:dyDescent="0.35">
      <c r="A217" s="12" t="s">
        <v>1419</v>
      </c>
      <c r="B217" s="17" t="s">
        <v>65</v>
      </c>
      <c r="C217" s="14">
        <v>20</v>
      </c>
      <c r="D217" s="14" t="s">
        <v>15</v>
      </c>
      <c r="E217" s="14" t="s">
        <v>16</v>
      </c>
      <c r="F217" s="15">
        <f>'Option Year 3'!F217+'Option Year 3'!F217*3%</f>
        <v>0</v>
      </c>
      <c r="G217" s="16">
        <f t="shared" ref="G217:G218" si="10">F217*C217</f>
        <v>0</v>
      </c>
    </row>
    <row r="218" spans="1:7" x14ac:dyDescent="0.35">
      <c r="A218" s="12" t="s">
        <v>1420</v>
      </c>
      <c r="B218" s="17" t="s">
        <v>67</v>
      </c>
      <c r="C218" s="14">
        <v>20</v>
      </c>
      <c r="D218" s="14" t="s">
        <v>15</v>
      </c>
      <c r="E218" s="14" t="s">
        <v>16</v>
      </c>
      <c r="F218" s="15">
        <f>'Option Year 3'!F218+'Option Year 3'!F218*3%</f>
        <v>0</v>
      </c>
      <c r="G218" s="16">
        <f t="shared" si="10"/>
        <v>0</v>
      </c>
    </row>
    <row r="219" spans="1:7" x14ac:dyDescent="0.35">
      <c r="A219" s="12" t="s">
        <v>1421</v>
      </c>
      <c r="B219" s="13" t="s">
        <v>1543</v>
      </c>
      <c r="C219" s="14"/>
      <c r="D219" s="14"/>
      <c r="E219" s="14"/>
      <c r="F219" s="15"/>
      <c r="G219" s="16"/>
    </row>
    <row r="220" spans="1:7" x14ac:dyDescent="0.35">
      <c r="A220" s="12"/>
      <c r="B220" s="17"/>
      <c r="C220" s="14"/>
      <c r="D220" s="14"/>
      <c r="E220" s="14"/>
      <c r="F220" s="15"/>
      <c r="G220" s="16"/>
    </row>
    <row r="221" spans="1:7" x14ac:dyDescent="0.35">
      <c r="A221" s="12"/>
      <c r="B221" s="13" t="s">
        <v>69</v>
      </c>
      <c r="C221" s="14"/>
      <c r="D221" s="14"/>
      <c r="E221" s="14"/>
      <c r="F221" s="15">
        <f>'Option Year 3'!F220+'Option Year 3'!F220*3%</f>
        <v>0</v>
      </c>
      <c r="G221" s="16"/>
    </row>
    <row r="222" spans="1:7" x14ac:dyDescent="0.35">
      <c r="A222" s="12" t="s">
        <v>1422</v>
      </c>
      <c r="B222" s="17" t="s">
        <v>71</v>
      </c>
      <c r="C222" s="14">
        <v>12</v>
      </c>
      <c r="D222" s="14" t="s">
        <v>25</v>
      </c>
      <c r="E222" s="14" t="s">
        <v>16</v>
      </c>
      <c r="F222" s="15">
        <f>'Option Year 3'!F221+'Option Year 3'!F221*3%</f>
        <v>0</v>
      </c>
      <c r="G222" s="16">
        <f t="shared" ref="G222:G223" si="11">F222*C222</f>
        <v>0</v>
      </c>
    </row>
    <row r="223" spans="1:7" x14ac:dyDescent="0.35">
      <c r="A223" s="12" t="s">
        <v>1423</v>
      </c>
      <c r="B223" s="17" t="s">
        <v>73</v>
      </c>
      <c r="C223" s="14">
        <v>12</v>
      </c>
      <c r="D223" s="14" t="s">
        <v>25</v>
      </c>
      <c r="E223" s="14" t="s">
        <v>16</v>
      </c>
      <c r="F223" s="15">
        <f>'Option Year 3'!F222+'Option Year 3'!F222*3%</f>
        <v>0</v>
      </c>
      <c r="G223" s="16">
        <f t="shared" si="11"/>
        <v>0</v>
      </c>
    </row>
    <row r="224" spans="1:7" x14ac:dyDescent="0.35">
      <c r="A224" s="12"/>
      <c r="B224" s="13" t="s">
        <v>74</v>
      </c>
      <c r="C224" s="14"/>
      <c r="D224" s="14"/>
      <c r="E224" s="14"/>
      <c r="F224" s="15">
        <f>'Option Year 3'!F223+'Option Year 3'!F223*3%</f>
        <v>0</v>
      </c>
      <c r="G224" s="16"/>
    </row>
    <row r="225" spans="1:7" ht="31" x14ac:dyDescent="0.35">
      <c r="A225" s="12"/>
      <c r="B225" s="13" t="s">
        <v>75</v>
      </c>
      <c r="C225" s="14"/>
      <c r="D225" s="14"/>
      <c r="E225" s="14"/>
      <c r="F225" s="15">
        <f>'Option Year 3'!F224+'Option Year 3'!F224*3%</f>
        <v>0</v>
      </c>
      <c r="G225" s="16"/>
    </row>
    <row r="226" spans="1:7" x14ac:dyDescent="0.35">
      <c r="A226" s="12" t="s">
        <v>1424</v>
      </c>
      <c r="B226" s="17" t="s">
        <v>77</v>
      </c>
      <c r="C226" s="14">
        <v>6</v>
      </c>
      <c r="D226" s="14" t="s">
        <v>15</v>
      </c>
      <c r="E226" s="14" t="s">
        <v>16</v>
      </c>
      <c r="F226" s="15">
        <f>'Option Year 3'!F225+'Option Year 3'!F225*3%</f>
        <v>0</v>
      </c>
      <c r="G226" s="16">
        <f t="shared" ref="G226" si="12">F226*C226</f>
        <v>0</v>
      </c>
    </row>
    <row r="227" spans="1:7" ht="31" x14ac:dyDescent="0.35">
      <c r="A227" s="12"/>
      <c r="B227" s="13" t="s">
        <v>78</v>
      </c>
      <c r="C227" s="14"/>
      <c r="D227" s="14"/>
      <c r="E227" s="14"/>
      <c r="F227" s="15">
        <f>'Option Year 3'!F226+'Option Year 3'!F226*3%</f>
        <v>0</v>
      </c>
      <c r="G227" s="16"/>
    </row>
    <row r="228" spans="1:7" x14ac:dyDescent="0.35">
      <c r="A228" s="12" t="s">
        <v>1425</v>
      </c>
      <c r="B228" s="17" t="s">
        <v>80</v>
      </c>
      <c r="C228" s="14">
        <v>6</v>
      </c>
      <c r="D228" s="14" t="s">
        <v>15</v>
      </c>
      <c r="E228" s="14" t="s">
        <v>16</v>
      </c>
      <c r="F228" s="15">
        <f>'Option Year 3'!F227+'Option Year 3'!F227*3%</f>
        <v>0</v>
      </c>
      <c r="G228" s="16">
        <f t="shared" ref="G228" si="13">F228*C228</f>
        <v>0</v>
      </c>
    </row>
    <row r="229" spans="1:7" ht="46.5" x14ac:dyDescent="0.35">
      <c r="A229" s="12"/>
      <c r="B229" s="13" t="s">
        <v>81</v>
      </c>
      <c r="C229" s="14"/>
      <c r="D229" s="14"/>
      <c r="E229" s="14"/>
      <c r="F229" s="15">
        <f>'Option Year 3'!F228+'Option Year 3'!F228*3%</f>
        <v>0</v>
      </c>
      <c r="G229" s="16"/>
    </row>
    <row r="230" spans="1:7" x14ac:dyDescent="0.35">
      <c r="A230" s="12" t="s">
        <v>1426</v>
      </c>
      <c r="B230" s="17" t="s">
        <v>83</v>
      </c>
      <c r="C230" s="14">
        <v>6</v>
      </c>
      <c r="D230" s="14" t="s">
        <v>15</v>
      </c>
      <c r="E230" s="14" t="s">
        <v>16</v>
      </c>
      <c r="F230" s="15">
        <f>'Option Year 3'!F229+'Option Year 3'!F229*3%</f>
        <v>0</v>
      </c>
      <c r="G230" s="16">
        <f t="shared" ref="G230:G236" si="14">F230*C230</f>
        <v>0</v>
      </c>
    </row>
    <row r="231" spans="1:7" x14ac:dyDescent="0.35">
      <c r="A231" s="12" t="s">
        <v>1427</v>
      </c>
      <c r="B231" s="17" t="s">
        <v>85</v>
      </c>
      <c r="C231" s="14">
        <v>6</v>
      </c>
      <c r="D231" s="14" t="s">
        <v>15</v>
      </c>
      <c r="E231" s="14" t="s">
        <v>16</v>
      </c>
      <c r="F231" s="15">
        <f>'Option Year 3'!F230+'Option Year 3'!F230*3%</f>
        <v>0</v>
      </c>
      <c r="G231" s="16">
        <f t="shared" si="14"/>
        <v>0</v>
      </c>
    </row>
    <row r="232" spans="1:7" ht="31" x14ac:dyDescent="0.35">
      <c r="A232" s="12" t="s">
        <v>1428</v>
      </c>
      <c r="B232" s="17" t="s">
        <v>87</v>
      </c>
      <c r="C232" s="14">
        <v>50</v>
      </c>
      <c r="D232" s="14" t="s">
        <v>25</v>
      </c>
      <c r="E232" s="14" t="s">
        <v>16</v>
      </c>
      <c r="F232" s="15">
        <f>'Option Year 3'!F231+'Option Year 3'!F231*3%</f>
        <v>0</v>
      </c>
      <c r="G232" s="16">
        <f t="shared" si="14"/>
        <v>0</v>
      </c>
    </row>
    <row r="233" spans="1:7" ht="31" x14ac:dyDescent="0.35">
      <c r="A233" s="12" t="s">
        <v>1429</v>
      </c>
      <c r="B233" s="17" t="s">
        <v>89</v>
      </c>
      <c r="C233" s="14">
        <v>12</v>
      </c>
      <c r="D233" s="14" t="s">
        <v>25</v>
      </c>
      <c r="E233" s="14" t="s">
        <v>16</v>
      </c>
      <c r="F233" s="15">
        <f>'Option Year 3'!F232+'Option Year 3'!F232*3%</f>
        <v>0</v>
      </c>
      <c r="G233" s="16">
        <f t="shared" si="14"/>
        <v>0</v>
      </c>
    </row>
    <row r="234" spans="1:7" ht="46.5" x14ac:dyDescent="0.35">
      <c r="A234" s="12" t="s">
        <v>1430</v>
      </c>
      <c r="B234" s="17" t="s">
        <v>91</v>
      </c>
      <c r="C234" s="14">
        <v>12</v>
      </c>
      <c r="D234" s="14" t="s">
        <v>25</v>
      </c>
      <c r="E234" s="14" t="s">
        <v>16</v>
      </c>
      <c r="F234" s="15">
        <f>'Option Year 3'!F233+'Option Year 3'!F233*3%</f>
        <v>0</v>
      </c>
      <c r="G234" s="16">
        <f t="shared" si="14"/>
        <v>0</v>
      </c>
    </row>
    <row r="235" spans="1:7" x14ac:dyDescent="0.35">
      <c r="A235" s="12" t="s">
        <v>1431</v>
      </c>
      <c r="B235" s="17" t="s">
        <v>93</v>
      </c>
      <c r="C235" s="14">
        <v>10</v>
      </c>
      <c r="D235" s="14" t="s">
        <v>15</v>
      </c>
      <c r="E235" s="14" t="s">
        <v>16</v>
      </c>
      <c r="F235" s="15">
        <f>'Option Year 3'!F234+'Option Year 3'!F234*3%</f>
        <v>0</v>
      </c>
      <c r="G235" s="16">
        <f t="shared" si="14"/>
        <v>0</v>
      </c>
    </row>
    <row r="236" spans="1:7" x14ac:dyDescent="0.35">
      <c r="A236" s="12" t="s">
        <v>1432</v>
      </c>
      <c r="B236" s="17" t="s">
        <v>95</v>
      </c>
      <c r="C236" s="14">
        <v>100</v>
      </c>
      <c r="D236" s="14" t="s">
        <v>25</v>
      </c>
      <c r="E236" s="14" t="s">
        <v>16</v>
      </c>
      <c r="F236" s="15">
        <f>'Option Year 3'!F235+'Option Year 3'!F235*3%</f>
        <v>0</v>
      </c>
      <c r="G236" s="16">
        <f t="shared" si="14"/>
        <v>0</v>
      </c>
    </row>
    <row r="237" spans="1:7" x14ac:dyDescent="0.35">
      <c r="A237" s="12"/>
      <c r="B237" s="13" t="s">
        <v>96</v>
      </c>
      <c r="C237" s="14"/>
      <c r="D237" s="14"/>
      <c r="E237" s="14"/>
      <c r="F237" s="15">
        <f>'Option Year 3'!F236+'Option Year 3'!F236*3%</f>
        <v>0</v>
      </c>
      <c r="G237" s="16"/>
    </row>
    <row r="238" spans="1:7" x14ac:dyDescent="0.35">
      <c r="A238" s="12" t="s">
        <v>1433</v>
      </c>
      <c r="B238" s="17" t="s">
        <v>98</v>
      </c>
      <c r="C238" s="14">
        <v>50</v>
      </c>
      <c r="D238" s="14" t="s">
        <v>25</v>
      </c>
      <c r="E238" s="14" t="s">
        <v>16</v>
      </c>
      <c r="F238" s="15">
        <f>'Option Year 3'!F237+'Option Year 3'!F237*3%</f>
        <v>0</v>
      </c>
      <c r="G238" s="16">
        <f t="shared" ref="G238" si="15">F238*C238</f>
        <v>0</v>
      </c>
    </row>
    <row r="239" spans="1:7" ht="46.5" x14ac:dyDescent="0.35">
      <c r="A239" s="12"/>
      <c r="B239" s="13" t="s">
        <v>99</v>
      </c>
      <c r="C239" s="14"/>
      <c r="D239" s="14"/>
      <c r="E239" s="14"/>
      <c r="F239" s="15">
        <f>'Option Year 3'!F238+'Option Year 3'!F238*3%</f>
        <v>0</v>
      </c>
      <c r="G239" s="16"/>
    </row>
    <row r="240" spans="1:7" x14ac:dyDescent="0.35">
      <c r="A240" s="12" t="s">
        <v>1434</v>
      </c>
      <c r="B240" s="17" t="s">
        <v>101</v>
      </c>
      <c r="C240" s="14">
        <v>10</v>
      </c>
      <c r="D240" s="14" t="s">
        <v>15</v>
      </c>
      <c r="E240" s="14" t="s">
        <v>16</v>
      </c>
      <c r="F240" s="15">
        <f>'Option Year 3'!F239+'Option Year 3'!F239*3%</f>
        <v>0</v>
      </c>
      <c r="G240" s="16">
        <f t="shared" ref="G240:G242" si="16">F240*C240</f>
        <v>0</v>
      </c>
    </row>
    <row r="241" spans="1:7" x14ac:dyDescent="0.35">
      <c r="A241" s="12" t="s">
        <v>1435</v>
      </c>
      <c r="B241" s="17" t="s">
        <v>103</v>
      </c>
      <c r="C241" s="14">
        <v>10</v>
      </c>
      <c r="D241" s="14" t="s">
        <v>15</v>
      </c>
      <c r="E241" s="14" t="s">
        <v>16</v>
      </c>
      <c r="F241" s="15">
        <f>'Option Year 3'!F240+'Option Year 3'!F240*3%</f>
        <v>0</v>
      </c>
      <c r="G241" s="16">
        <f t="shared" si="16"/>
        <v>0</v>
      </c>
    </row>
    <row r="242" spans="1:7" x14ac:dyDescent="0.35">
      <c r="A242" s="12" t="s">
        <v>1436</v>
      </c>
      <c r="B242" s="17" t="s">
        <v>105</v>
      </c>
      <c r="C242" s="14">
        <v>10</v>
      </c>
      <c r="D242" s="14" t="s">
        <v>15</v>
      </c>
      <c r="E242" s="14" t="s">
        <v>16</v>
      </c>
      <c r="F242" s="15">
        <f>'Option Year 3'!F241+'Option Year 3'!F241*3%</f>
        <v>0</v>
      </c>
      <c r="G242" s="16">
        <f t="shared" si="16"/>
        <v>0</v>
      </c>
    </row>
    <row r="243" spans="1:7" ht="31" x14ac:dyDescent="0.35">
      <c r="A243" s="12"/>
      <c r="B243" s="13" t="s">
        <v>106</v>
      </c>
      <c r="C243" s="14"/>
      <c r="D243" s="14"/>
      <c r="E243" s="14"/>
      <c r="F243" s="15">
        <f>'Option Year 3'!F242+'Option Year 3'!F242*3%</f>
        <v>0</v>
      </c>
      <c r="G243" s="16"/>
    </row>
    <row r="244" spans="1:7" x14ac:dyDescent="0.35">
      <c r="A244" s="12" t="s">
        <v>1437</v>
      </c>
      <c r="B244" s="17" t="s">
        <v>101</v>
      </c>
      <c r="C244" s="14">
        <v>10</v>
      </c>
      <c r="D244" s="14" t="s">
        <v>15</v>
      </c>
      <c r="E244" s="14" t="s">
        <v>16</v>
      </c>
      <c r="F244" s="15">
        <f>'Option Year 3'!F243+'Option Year 3'!F243*3%</f>
        <v>0</v>
      </c>
      <c r="G244" s="16">
        <f t="shared" ref="G244:G250" si="17">F244*C244</f>
        <v>0</v>
      </c>
    </row>
    <row r="245" spans="1:7" x14ac:dyDescent="0.35">
      <c r="A245" s="12" t="s">
        <v>1438</v>
      </c>
      <c r="B245" s="17" t="s">
        <v>103</v>
      </c>
      <c r="C245" s="14">
        <v>10</v>
      </c>
      <c r="D245" s="14" t="s">
        <v>15</v>
      </c>
      <c r="E245" s="14" t="s">
        <v>16</v>
      </c>
      <c r="F245" s="15">
        <f>'Option Year 3'!F244+'Option Year 3'!F244*3%</f>
        <v>0</v>
      </c>
      <c r="G245" s="16">
        <f t="shared" si="17"/>
        <v>0</v>
      </c>
    </row>
    <row r="246" spans="1:7" x14ac:dyDescent="0.35">
      <c r="A246" s="12" t="s">
        <v>1439</v>
      </c>
      <c r="B246" s="17" t="s">
        <v>105</v>
      </c>
      <c r="C246" s="14">
        <v>10</v>
      </c>
      <c r="D246" s="14" t="s">
        <v>15</v>
      </c>
      <c r="E246" s="14" t="s">
        <v>16</v>
      </c>
      <c r="F246" s="15">
        <f>'Option Year 3'!F245+'Option Year 3'!F245*3%</f>
        <v>0</v>
      </c>
      <c r="G246" s="16">
        <f t="shared" si="17"/>
        <v>0</v>
      </c>
    </row>
    <row r="247" spans="1:7" x14ac:dyDescent="0.35">
      <c r="A247" s="12" t="s">
        <v>1440</v>
      </c>
      <c r="B247" s="17" t="s">
        <v>111</v>
      </c>
      <c r="C247" s="14">
        <v>50</v>
      </c>
      <c r="D247" s="14" t="s">
        <v>25</v>
      </c>
      <c r="E247" s="14" t="s">
        <v>16</v>
      </c>
      <c r="F247" s="15">
        <f>'Option Year 3'!F246+'Option Year 3'!F246*3%</f>
        <v>0</v>
      </c>
      <c r="G247" s="16">
        <f t="shared" si="17"/>
        <v>0</v>
      </c>
    </row>
    <row r="248" spans="1:7" x14ac:dyDescent="0.35">
      <c r="A248" s="12" t="s">
        <v>1441</v>
      </c>
      <c r="B248" s="17" t="s">
        <v>113</v>
      </c>
      <c r="C248" s="14">
        <v>5</v>
      </c>
      <c r="D248" s="14" t="s">
        <v>114</v>
      </c>
      <c r="E248" s="14" t="s">
        <v>16</v>
      </c>
      <c r="F248" s="15">
        <f>'Option Year 3'!F247+'Option Year 3'!F247*3%</f>
        <v>0</v>
      </c>
      <c r="G248" s="16">
        <f t="shared" si="17"/>
        <v>0</v>
      </c>
    </row>
    <row r="249" spans="1:7" x14ac:dyDescent="0.35">
      <c r="A249" s="12" t="s">
        <v>1442</v>
      </c>
      <c r="B249" s="17" t="s">
        <v>116</v>
      </c>
      <c r="C249" s="14">
        <v>12</v>
      </c>
      <c r="D249" s="14" t="s">
        <v>40</v>
      </c>
      <c r="E249" s="14" t="s">
        <v>16</v>
      </c>
      <c r="F249" s="15">
        <f>'Option Year 3'!F248+'Option Year 3'!F248*3%</f>
        <v>0</v>
      </c>
      <c r="G249" s="16">
        <f t="shared" si="17"/>
        <v>0</v>
      </c>
    </row>
    <row r="250" spans="1:7" x14ac:dyDescent="0.35">
      <c r="A250" s="12" t="s">
        <v>1443</v>
      </c>
      <c r="B250" s="17" t="s">
        <v>118</v>
      </c>
      <c r="C250" s="14">
        <v>5</v>
      </c>
      <c r="D250" s="14" t="s">
        <v>114</v>
      </c>
      <c r="E250" s="14" t="s">
        <v>16</v>
      </c>
      <c r="F250" s="15">
        <f>'Option Year 3'!F249+'Option Year 3'!F249*3%</f>
        <v>0</v>
      </c>
      <c r="G250" s="16">
        <f t="shared" si="17"/>
        <v>0</v>
      </c>
    </row>
    <row r="251" spans="1:7" ht="31" x14ac:dyDescent="0.35">
      <c r="A251" s="12"/>
      <c r="B251" s="13" t="s">
        <v>119</v>
      </c>
      <c r="C251" s="14"/>
      <c r="D251" s="14"/>
      <c r="E251" s="14"/>
      <c r="F251" s="15">
        <f>'Option Year 3'!F250+'Option Year 3'!F250*3%</f>
        <v>0</v>
      </c>
      <c r="G251" s="16"/>
    </row>
    <row r="252" spans="1:7" x14ac:dyDescent="0.35">
      <c r="A252" s="12" t="s">
        <v>1444</v>
      </c>
      <c r="B252" s="17" t="s">
        <v>121</v>
      </c>
      <c r="C252" s="14">
        <v>5</v>
      </c>
      <c r="D252" s="14" t="s">
        <v>15</v>
      </c>
      <c r="E252" s="14" t="s">
        <v>16</v>
      </c>
      <c r="F252" s="15">
        <f>'Option Year 3'!F251+'Option Year 3'!F251*3%</f>
        <v>0</v>
      </c>
      <c r="G252" s="16">
        <f t="shared" ref="G252:G255" si="18">F252*C252</f>
        <v>0</v>
      </c>
    </row>
    <row r="253" spans="1:7" x14ac:dyDescent="0.35">
      <c r="A253" s="12" t="s">
        <v>1445</v>
      </c>
      <c r="B253" s="17" t="s">
        <v>123</v>
      </c>
      <c r="C253" s="14">
        <v>5</v>
      </c>
      <c r="D253" s="14" t="s">
        <v>15</v>
      </c>
      <c r="E253" s="14" t="s">
        <v>16</v>
      </c>
      <c r="F253" s="15">
        <f>'Option Year 3'!F252+'Option Year 3'!F252*3%</f>
        <v>0</v>
      </c>
      <c r="G253" s="16">
        <f t="shared" si="18"/>
        <v>0</v>
      </c>
    </row>
    <row r="254" spans="1:7" x14ac:dyDescent="0.35">
      <c r="A254" s="12" t="s">
        <v>1446</v>
      </c>
      <c r="B254" s="17" t="s">
        <v>125</v>
      </c>
      <c r="C254" s="14">
        <v>25</v>
      </c>
      <c r="D254" s="14" t="s">
        <v>25</v>
      </c>
      <c r="E254" s="14" t="s">
        <v>16</v>
      </c>
      <c r="F254" s="15">
        <f>'Option Year 3'!F253+'Option Year 3'!F253*3%</f>
        <v>0</v>
      </c>
      <c r="G254" s="16">
        <f t="shared" si="18"/>
        <v>0</v>
      </c>
    </row>
    <row r="255" spans="1:7" x14ac:dyDescent="0.35">
      <c r="A255" s="12" t="s">
        <v>1447</v>
      </c>
      <c r="B255" s="17" t="s">
        <v>127</v>
      </c>
      <c r="C255" s="14">
        <v>5</v>
      </c>
      <c r="D255" s="14" t="s">
        <v>114</v>
      </c>
      <c r="E255" s="14" t="s">
        <v>16</v>
      </c>
      <c r="F255" s="15">
        <f>'Option Year 3'!F254+'Option Year 3'!F254*3%</f>
        <v>0</v>
      </c>
      <c r="G255" s="16">
        <f t="shared" si="18"/>
        <v>0</v>
      </c>
    </row>
    <row r="256" spans="1:7" ht="31" x14ac:dyDescent="0.35">
      <c r="A256" s="12"/>
      <c r="B256" s="13" t="s">
        <v>128</v>
      </c>
      <c r="C256" s="14"/>
      <c r="D256" s="14"/>
      <c r="E256" s="14"/>
      <c r="F256" s="15">
        <f>'Option Year 3'!F255+'Option Year 3'!F255*3%</f>
        <v>0</v>
      </c>
      <c r="G256" s="16"/>
    </row>
    <row r="257" spans="1:7" x14ac:dyDescent="0.35">
      <c r="A257" s="12" t="s">
        <v>1448</v>
      </c>
      <c r="B257" s="17" t="s">
        <v>130</v>
      </c>
      <c r="C257" s="14">
        <v>25</v>
      </c>
      <c r="D257" s="14" t="s">
        <v>25</v>
      </c>
      <c r="E257" s="14" t="s">
        <v>16</v>
      </c>
      <c r="F257" s="15">
        <f>'Option Year 3'!F256+'Option Year 3'!F256*3%</f>
        <v>0</v>
      </c>
      <c r="G257" s="16">
        <f t="shared" ref="G257:G260" si="19">F257*C257</f>
        <v>0</v>
      </c>
    </row>
    <row r="258" spans="1:7" x14ac:dyDescent="0.35">
      <c r="A258" s="12" t="s">
        <v>1449</v>
      </c>
      <c r="B258" s="17" t="s">
        <v>132</v>
      </c>
      <c r="C258" s="14">
        <v>25</v>
      </c>
      <c r="D258" s="14" t="s">
        <v>25</v>
      </c>
      <c r="E258" s="14" t="s">
        <v>16</v>
      </c>
      <c r="F258" s="15">
        <f>'Option Year 3'!F257+'Option Year 3'!F257*3%</f>
        <v>0</v>
      </c>
      <c r="G258" s="16">
        <f t="shared" si="19"/>
        <v>0</v>
      </c>
    </row>
    <row r="259" spans="1:7" x14ac:dyDescent="0.35">
      <c r="A259" s="12" t="s">
        <v>1450</v>
      </c>
      <c r="B259" s="17" t="s">
        <v>134</v>
      </c>
      <c r="C259" s="14">
        <v>25</v>
      </c>
      <c r="D259" s="14" t="s">
        <v>25</v>
      </c>
      <c r="E259" s="14" t="s">
        <v>16</v>
      </c>
      <c r="F259" s="15">
        <f>'Option Year 3'!F258+'Option Year 3'!F258*3%</f>
        <v>0</v>
      </c>
      <c r="G259" s="16">
        <f t="shared" si="19"/>
        <v>0</v>
      </c>
    </row>
    <row r="260" spans="1:7" x14ac:dyDescent="0.35">
      <c r="A260" s="12" t="s">
        <v>1451</v>
      </c>
      <c r="B260" s="17" t="s">
        <v>136</v>
      </c>
      <c r="C260" s="14">
        <v>25</v>
      </c>
      <c r="D260" s="14" t="s">
        <v>25</v>
      </c>
      <c r="E260" s="14" t="s">
        <v>16</v>
      </c>
      <c r="F260" s="15">
        <f>'Option Year 3'!F259+'Option Year 3'!F259*3%</f>
        <v>0</v>
      </c>
      <c r="G260" s="16">
        <f t="shared" si="19"/>
        <v>0</v>
      </c>
    </row>
    <row r="261" spans="1:7" ht="31" x14ac:dyDescent="0.35">
      <c r="A261" s="12"/>
      <c r="B261" s="13" t="s">
        <v>137</v>
      </c>
      <c r="C261" s="14"/>
      <c r="D261" s="14"/>
      <c r="E261" s="14"/>
      <c r="F261" s="15">
        <f>'Option Year 3'!F260+'Option Year 3'!F260*3%</f>
        <v>0</v>
      </c>
      <c r="G261" s="16"/>
    </row>
    <row r="262" spans="1:7" x14ac:dyDescent="0.35">
      <c r="A262" s="12" t="s">
        <v>1452</v>
      </c>
      <c r="B262" s="17" t="s">
        <v>130</v>
      </c>
      <c r="C262" s="14">
        <v>25</v>
      </c>
      <c r="D262" s="14" t="s">
        <v>25</v>
      </c>
      <c r="E262" s="14" t="s">
        <v>16</v>
      </c>
      <c r="F262" s="15">
        <f>'Option Year 3'!F261+'Option Year 3'!F261*3%</f>
        <v>0</v>
      </c>
      <c r="G262" s="16">
        <f t="shared" ref="G262:G265" si="20">F262*C262</f>
        <v>0</v>
      </c>
    </row>
    <row r="263" spans="1:7" x14ac:dyDescent="0.35">
      <c r="A263" s="12" t="s">
        <v>1453</v>
      </c>
      <c r="B263" s="17" t="s">
        <v>132</v>
      </c>
      <c r="C263" s="14">
        <v>25</v>
      </c>
      <c r="D263" s="14" t="s">
        <v>25</v>
      </c>
      <c r="E263" s="14" t="s">
        <v>16</v>
      </c>
      <c r="F263" s="15">
        <f>'Option Year 3'!F262+'Option Year 3'!F262*3%</f>
        <v>0</v>
      </c>
      <c r="G263" s="16">
        <f t="shared" si="20"/>
        <v>0</v>
      </c>
    </row>
    <row r="264" spans="1:7" x14ac:dyDescent="0.35">
      <c r="A264" s="12" t="s">
        <v>1454</v>
      </c>
      <c r="B264" s="17" t="s">
        <v>134</v>
      </c>
      <c r="C264" s="14">
        <v>25</v>
      </c>
      <c r="D264" s="14" t="s">
        <v>25</v>
      </c>
      <c r="E264" s="14" t="s">
        <v>16</v>
      </c>
      <c r="F264" s="15">
        <f>'Option Year 3'!F263+'Option Year 3'!F263*3%</f>
        <v>0</v>
      </c>
      <c r="G264" s="16">
        <f t="shared" si="20"/>
        <v>0</v>
      </c>
    </row>
    <row r="265" spans="1:7" x14ac:dyDescent="0.35">
      <c r="A265" s="12" t="s">
        <v>1455</v>
      </c>
      <c r="B265" s="17" t="s">
        <v>136</v>
      </c>
      <c r="C265" s="14">
        <v>25</v>
      </c>
      <c r="D265" s="14" t="s">
        <v>25</v>
      </c>
      <c r="E265" s="14" t="s">
        <v>16</v>
      </c>
      <c r="F265" s="15">
        <f>'Option Year 3'!F264+'Option Year 3'!F264*3%</f>
        <v>0</v>
      </c>
      <c r="G265" s="16">
        <f t="shared" si="20"/>
        <v>0</v>
      </c>
    </row>
    <row r="266" spans="1:7" ht="31" x14ac:dyDescent="0.35">
      <c r="A266" s="12"/>
      <c r="B266" s="22" t="s">
        <v>142</v>
      </c>
      <c r="C266" s="14"/>
      <c r="D266" s="14"/>
      <c r="E266" s="14"/>
      <c r="F266" s="15">
        <f>'Option Year 3'!F265+'Option Year 3'!F265*3%</f>
        <v>0</v>
      </c>
      <c r="G266" s="16"/>
    </row>
    <row r="267" spans="1:7" x14ac:dyDescent="0.35">
      <c r="A267" s="12" t="s">
        <v>1456</v>
      </c>
      <c r="B267" s="17" t="s">
        <v>130</v>
      </c>
      <c r="C267" s="14">
        <v>6</v>
      </c>
      <c r="D267" s="14" t="s">
        <v>40</v>
      </c>
      <c r="E267" s="14" t="s">
        <v>16</v>
      </c>
      <c r="F267" s="15">
        <f>'Option Year 3'!F266+'Option Year 3'!F266*3%</f>
        <v>0</v>
      </c>
      <c r="G267" s="16">
        <f t="shared" ref="G267:G270" si="21">F267*C267</f>
        <v>0</v>
      </c>
    </row>
    <row r="268" spans="1:7" x14ac:dyDescent="0.35">
      <c r="A268" s="12" t="s">
        <v>1457</v>
      </c>
      <c r="B268" s="17" t="s">
        <v>132</v>
      </c>
      <c r="C268" s="14">
        <v>6</v>
      </c>
      <c r="D268" s="14" t="s">
        <v>40</v>
      </c>
      <c r="E268" s="14" t="s">
        <v>16</v>
      </c>
      <c r="F268" s="15">
        <f>'Option Year 3'!F267+'Option Year 3'!F267*3%</f>
        <v>0</v>
      </c>
      <c r="G268" s="16">
        <f t="shared" si="21"/>
        <v>0</v>
      </c>
    </row>
    <row r="269" spans="1:7" x14ac:dyDescent="0.35">
      <c r="A269" s="12" t="s">
        <v>1458</v>
      </c>
      <c r="B269" s="17" t="s">
        <v>134</v>
      </c>
      <c r="C269" s="14">
        <v>6</v>
      </c>
      <c r="D269" s="14" t="s">
        <v>40</v>
      </c>
      <c r="E269" s="14" t="s">
        <v>16</v>
      </c>
      <c r="F269" s="15">
        <f>'Option Year 3'!F268+'Option Year 3'!F268*3%</f>
        <v>0</v>
      </c>
      <c r="G269" s="16">
        <f t="shared" si="21"/>
        <v>0</v>
      </c>
    </row>
    <row r="270" spans="1:7" x14ac:dyDescent="0.35">
      <c r="A270" s="12" t="s">
        <v>1459</v>
      </c>
      <c r="B270" s="17" t="s">
        <v>136</v>
      </c>
      <c r="C270" s="14">
        <v>6</v>
      </c>
      <c r="D270" s="14" t="s">
        <v>40</v>
      </c>
      <c r="E270" s="14" t="s">
        <v>16</v>
      </c>
      <c r="F270" s="15">
        <f>'Option Year 3'!F269+'Option Year 3'!F269*3%</f>
        <v>0</v>
      </c>
      <c r="G270" s="16">
        <f t="shared" si="21"/>
        <v>0</v>
      </c>
    </row>
    <row r="271" spans="1:7" x14ac:dyDescent="0.35">
      <c r="A271" s="12"/>
      <c r="B271" s="13" t="s">
        <v>147</v>
      </c>
      <c r="C271" s="14"/>
      <c r="D271" s="14"/>
      <c r="E271" s="14"/>
      <c r="F271" s="15">
        <f>'Option Year 3'!F270+'Option Year 3'!F270*3%</f>
        <v>0</v>
      </c>
      <c r="G271" s="16"/>
    </row>
    <row r="272" spans="1:7" x14ac:dyDescent="0.35">
      <c r="A272" s="12"/>
      <c r="B272" s="13" t="s">
        <v>148</v>
      </c>
      <c r="C272" s="14"/>
      <c r="D272" s="14"/>
      <c r="E272" s="14"/>
      <c r="F272" s="15">
        <f>'Option Year 3'!F271+'Option Year 3'!F271*3%</f>
        <v>0</v>
      </c>
      <c r="G272" s="16"/>
    </row>
    <row r="273" spans="1:7" x14ac:dyDescent="0.35">
      <c r="A273" s="12" t="s">
        <v>1460</v>
      </c>
      <c r="B273" s="17" t="s">
        <v>150</v>
      </c>
      <c r="C273" s="14">
        <v>100</v>
      </c>
      <c r="D273" s="14" t="s">
        <v>40</v>
      </c>
      <c r="E273" s="14" t="s">
        <v>16</v>
      </c>
      <c r="F273" s="15">
        <f>'Option Year 3'!F272+'Option Year 3'!F272*3%</f>
        <v>0</v>
      </c>
      <c r="G273" s="16">
        <f t="shared" ref="G273:G283" si="22">F273*C273</f>
        <v>0</v>
      </c>
    </row>
    <row r="274" spans="1:7" x14ac:dyDescent="0.35">
      <c r="A274" s="12" t="s">
        <v>1461</v>
      </c>
      <c r="B274" s="17" t="s">
        <v>152</v>
      </c>
      <c r="C274" s="14">
        <v>100</v>
      </c>
      <c r="D274" s="14" t="s">
        <v>40</v>
      </c>
      <c r="E274" s="14" t="s">
        <v>16</v>
      </c>
      <c r="F274" s="15">
        <f>'Option Year 3'!F273+'Option Year 3'!F273*3%</f>
        <v>0</v>
      </c>
      <c r="G274" s="16">
        <f t="shared" si="22"/>
        <v>0</v>
      </c>
    </row>
    <row r="275" spans="1:7" x14ac:dyDescent="0.35">
      <c r="A275" s="12" t="s">
        <v>1462</v>
      </c>
      <c r="B275" s="17" t="s">
        <v>154</v>
      </c>
      <c r="C275" s="14">
        <v>100</v>
      </c>
      <c r="D275" s="14" t="s">
        <v>40</v>
      </c>
      <c r="E275" s="14" t="s">
        <v>16</v>
      </c>
      <c r="F275" s="15">
        <f>'Option Year 3'!F274+'Option Year 3'!F274*3%</f>
        <v>0</v>
      </c>
      <c r="G275" s="16">
        <f t="shared" si="22"/>
        <v>0</v>
      </c>
    </row>
    <row r="276" spans="1:7" x14ac:dyDescent="0.35">
      <c r="A276" s="12" t="s">
        <v>1463</v>
      </c>
      <c r="B276" s="17" t="s">
        <v>156</v>
      </c>
      <c r="C276" s="14">
        <v>100</v>
      </c>
      <c r="D276" s="14" t="s">
        <v>40</v>
      </c>
      <c r="E276" s="14" t="s">
        <v>16</v>
      </c>
      <c r="F276" s="15">
        <f>'Option Year 3'!F275+'Option Year 3'!F275*3%</f>
        <v>0</v>
      </c>
      <c r="G276" s="16">
        <f t="shared" si="22"/>
        <v>0</v>
      </c>
    </row>
    <row r="277" spans="1:7" x14ac:dyDescent="0.35">
      <c r="A277" s="12" t="s">
        <v>1464</v>
      </c>
      <c r="B277" s="17" t="s">
        <v>158</v>
      </c>
      <c r="C277" s="14">
        <v>100</v>
      </c>
      <c r="D277" s="14" t="s">
        <v>40</v>
      </c>
      <c r="E277" s="14" t="s">
        <v>16</v>
      </c>
      <c r="F277" s="15">
        <f>'Option Year 3'!F276+'Option Year 3'!F276*3%</f>
        <v>0</v>
      </c>
      <c r="G277" s="16">
        <f t="shared" si="22"/>
        <v>0</v>
      </c>
    </row>
    <row r="278" spans="1:7" x14ac:dyDescent="0.35">
      <c r="A278" s="12" t="s">
        <v>1465</v>
      </c>
      <c r="B278" s="17" t="s">
        <v>160</v>
      </c>
      <c r="C278" s="14">
        <v>100</v>
      </c>
      <c r="D278" s="14" t="s">
        <v>40</v>
      </c>
      <c r="E278" s="14" t="s">
        <v>16</v>
      </c>
      <c r="F278" s="15">
        <f>'Option Year 3'!F277+'Option Year 3'!F277*3%</f>
        <v>0</v>
      </c>
      <c r="G278" s="16">
        <f t="shared" si="22"/>
        <v>0</v>
      </c>
    </row>
    <row r="279" spans="1:7" x14ac:dyDescent="0.35">
      <c r="A279" s="12" t="s">
        <v>1466</v>
      </c>
      <c r="B279" s="17" t="s">
        <v>162</v>
      </c>
      <c r="C279" s="14">
        <v>100</v>
      </c>
      <c r="D279" s="14" t="s">
        <v>40</v>
      </c>
      <c r="E279" s="14" t="s">
        <v>16</v>
      </c>
      <c r="F279" s="15">
        <f>'Option Year 3'!F278+'Option Year 3'!F278*3%</f>
        <v>0</v>
      </c>
      <c r="G279" s="16">
        <f t="shared" si="22"/>
        <v>0</v>
      </c>
    </row>
    <row r="280" spans="1:7" x14ac:dyDescent="0.35">
      <c r="A280" s="12" t="s">
        <v>1467</v>
      </c>
      <c r="B280" s="17" t="s">
        <v>164</v>
      </c>
      <c r="C280" s="14">
        <v>100</v>
      </c>
      <c r="D280" s="14" t="s">
        <v>40</v>
      </c>
      <c r="E280" s="14" t="s">
        <v>16</v>
      </c>
      <c r="F280" s="15">
        <f>'Option Year 3'!F279+'Option Year 3'!F279*3%</f>
        <v>0</v>
      </c>
      <c r="G280" s="16">
        <f t="shared" si="22"/>
        <v>0</v>
      </c>
    </row>
    <row r="281" spans="1:7" x14ac:dyDescent="0.35">
      <c r="A281" s="12" t="s">
        <v>1468</v>
      </c>
      <c r="B281" s="17" t="s">
        <v>166</v>
      </c>
      <c r="C281" s="14">
        <v>100</v>
      </c>
      <c r="D281" s="14" t="s">
        <v>40</v>
      </c>
      <c r="E281" s="14" t="s">
        <v>16</v>
      </c>
      <c r="F281" s="15">
        <f>'Option Year 3'!F280+'Option Year 3'!F280*3%</f>
        <v>0</v>
      </c>
      <c r="G281" s="16">
        <f t="shared" si="22"/>
        <v>0</v>
      </c>
    </row>
    <row r="282" spans="1:7" x14ac:dyDescent="0.35">
      <c r="A282" s="12" t="s">
        <v>1469</v>
      </c>
      <c r="B282" s="17" t="s">
        <v>168</v>
      </c>
      <c r="C282" s="14">
        <v>100</v>
      </c>
      <c r="D282" s="14" t="s">
        <v>40</v>
      </c>
      <c r="E282" s="14" t="s">
        <v>16</v>
      </c>
      <c r="F282" s="15">
        <f>'Option Year 3'!F281+'Option Year 3'!F281*3%</f>
        <v>0</v>
      </c>
      <c r="G282" s="16">
        <f t="shared" si="22"/>
        <v>0</v>
      </c>
    </row>
    <row r="283" spans="1:7" x14ac:dyDescent="0.35">
      <c r="A283" s="12" t="s">
        <v>1470</v>
      </c>
      <c r="B283" s="17" t="s">
        <v>170</v>
      </c>
      <c r="C283" s="14">
        <v>100</v>
      </c>
      <c r="D283" s="14" t="s">
        <v>40</v>
      </c>
      <c r="E283" s="14" t="s">
        <v>16</v>
      </c>
      <c r="F283" s="15">
        <f>'Option Year 3'!F282+'Option Year 3'!F282*3%</f>
        <v>0</v>
      </c>
      <c r="G283" s="16">
        <f t="shared" si="22"/>
        <v>0</v>
      </c>
    </row>
    <row r="284" spans="1:7" x14ac:dyDescent="0.35">
      <c r="A284" s="12"/>
      <c r="B284" s="13" t="s">
        <v>171</v>
      </c>
      <c r="C284" s="14"/>
      <c r="D284" s="14"/>
      <c r="E284" s="14"/>
      <c r="F284" s="15">
        <f>'Option Year 3'!F283+'Option Year 3'!F283*3%</f>
        <v>0</v>
      </c>
      <c r="G284" s="16"/>
    </row>
    <row r="285" spans="1:7" x14ac:dyDescent="0.35">
      <c r="A285" s="12" t="s">
        <v>1471</v>
      </c>
      <c r="B285" s="17" t="s">
        <v>173</v>
      </c>
      <c r="C285" s="14">
        <v>100</v>
      </c>
      <c r="D285" s="14" t="s">
        <v>40</v>
      </c>
      <c r="E285" s="14" t="s">
        <v>16</v>
      </c>
      <c r="F285" s="15">
        <f>'Option Year 3'!F284+'Option Year 3'!F284*3%</f>
        <v>0</v>
      </c>
      <c r="G285" s="16">
        <f t="shared" ref="G285:G293" si="23">F285*C285</f>
        <v>0</v>
      </c>
    </row>
    <row r="286" spans="1:7" x14ac:dyDescent="0.35">
      <c r="A286" s="12" t="s">
        <v>1472</v>
      </c>
      <c r="B286" s="17" t="s">
        <v>175</v>
      </c>
      <c r="C286" s="14">
        <v>100</v>
      </c>
      <c r="D286" s="14" t="s">
        <v>40</v>
      </c>
      <c r="E286" s="14" t="s">
        <v>16</v>
      </c>
      <c r="F286" s="15">
        <f>'Option Year 3'!F285+'Option Year 3'!F285*3%</f>
        <v>0</v>
      </c>
      <c r="G286" s="16">
        <f t="shared" si="23"/>
        <v>0</v>
      </c>
    </row>
    <row r="287" spans="1:7" x14ac:dyDescent="0.35">
      <c r="A287" s="12" t="s">
        <v>1473</v>
      </c>
      <c r="B287" s="17" t="s">
        <v>177</v>
      </c>
      <c r="C287" s="14">
        <v>100</v>
      </c>
      <c r="D287" s="14" t="s">
        <v>40</v>
      </c>
      <c r="E287" s="14" t="s">
        <v>16</v>
      </c>
      <c r="F287" s="15">
        <f>'Option Year 3'!F286+'Option Year 3'!F286*3%</f>
        <v>0</v>
      </c>
      <c r="G287" s="16">
        <f t="shared" si="23"/>
        <v>0</v>
      </c>
    </row>
    <row r="288" spans="1:7" x14ac:dyDescent="0.35">
      <c r="A288" s="12" t="s">
        <v>1474</v>
      </c>
      <c r="B288" s="17" t="s">
        <v>179</v>
      </c>
      <c r="C288" s="14">
        <v>100</v>
      </c>
      <c r="D288" s="14" t="s">
        <v>40</v>
      </c>
      <c r="E288" s="14" t="s">
        <v>16</v>
      </c>
      <c r="F288" s="15">
        <f>'Option Year 3'!F287+'Option Year 3'!F287*3%</f>
        <v>0</v>
      </c>
      <c r="G288" s="16">
        <f t="shared" si="23"/>
        <v>0</v>
      </c>
    </row>
    <row r="289" spans="1:7" x14ac:dyDescent="0.35">
      <c r="A289" s="12" t="s">
        <v>1475</v>
      </c>
      <c r="B289" s="17" t="s">
        <v>181</v>
      </c>
      <c r="C289" s="14">
        <v>100</v>
      </c>
      <c r="D289" s="14" t="s">
        <v>40</v>
      </c>
      <c r="E289" s="14" t="s">
        <v>16</v>
      </c>
      <c r="F289" s="15">
        <f>'Option Year 3'!F288+'Option Year 3'!F288*3%</f>
        <v>0</v>
      </c>
      <c r="G289" s="16">
        <f t="shared" si="23"/>
        <v>0</v>
      </c>
    </row>
    <row r="290" spans="1:7" x14ac:dyDescent="0.35">
      <c r="A290" s="12" t="s">
        <v>1476</v>
      </c>
      <c r="B290" s="17" t="s">
        <v>183</v>
      </c>
      <c r="C290" s="14">
        <v>100</v>
      </c>
      <c r="D290" s="14" t="s">
        <v>40</v>
      </c>
      <c r="E290" s="14" t="s">
        <v>16</v>
      </c>
      <c r="F290" s="15">
        <f>'Option Year 3'!F289+'Option Year 3'!F289*3%</f>
        <v>0</v>
      </c>
      <c r="G290" s="16">
        <f t="shared" si="23"/>
        <v>0</v>
      </c>
    </row>
    <row r="291" spans="1:7" x14ac:dyDescent="0.35">
      <c r="A291" s="12" t="s">
        <v>1477</v>
      </c>
      <c r="B291" s="17" t="s">
        <v>185</v>
      </c>
      <c r="C291" s="14">
        <v>100</v>
      </c>
      <c r="D291" s="14" t="s">
        <v>40</v>
      </c>
      <c r="E291" s="14" t="s">
        <v>16</v>
      </c>
      <c r="F291" s="15">
        <f>'Option Year 3'!F290+'Option Year 3'!F290*3%</f>
        <v>0</v>
      </c>
      <c r="G291" s="16">
        <f t="shared" si="23"/>
        <v>0</v>
      </c>
    </row>
    <row r="292" spans="1:7" x14ac:dyDescent="0.35">
      <c r="A292" s="12" t="s">
        <v>1478</v>
      </c>
      <c r="B292" s="17" t="s">
        <v>187</v>
      </c>
      <c r="C292" s="14">
        <v>100</v>
      </c>
      <c r="D292" s="14" t="s">
        <v>40</v>
      </c>
      <c r="E292" s="14" t="s">
        <v>16</v>
      </c>
      <c r="F292" s="15">
        <f>'Option Year 3'!F291+'Option Year 3'!F291*3%</f>
        <v>0</v>
      </c>
      <c r="G292" s="16">
        <f t="shared" si="23"/>
        <v>0</v>
      </c>
    </row>
    <row r="293" spans="1:7" x14ac:dyDescent="0.35">
      <c r="A293" s="12" t="s">
        <v>1479</v>
      </c>
      <c r="B293" s="17" t="s">
        <v>189</v>
      </c>
      <c r="C293" s="14">
        <v>5</v>
      </c>
      <c r="D293" s="14" t="s">
        <v>114</v>
      </c>
      <c r="E293" s="14" t="s">
        <v>16</v>
      </c>
      <c r="F293" s="15">
        <f>'Option Year 3'!F292+'Option Year 3'!F292*3%</f>
        <v>0</v>
      </c>
      <c r="G293" s="16">
        <f t="shared" si="23"/>
        <v>0</v>
      </c>
    </row>
    <row r="294" spans="1:7" x14ac:dyDescent="0.35">
      <c r="A294" s="12"/>
      <c r="B294" s="17" t="s">
        <v>190</v>
      </c>
      <c r="C294" s="14"/>
      <c r="D294" s="14"/>
      <c r="E294" s="14"/>
      <c r="F294" s="15">
        <f>'Option Year 3'!F293+'Option Year 3'!F293*3%</f>
        <v>0</v>
      </c>
      <c r="G294" s="16"/>
    </row>
    <row r="295" spans="1:7" x14ac:dyDescent="0.35">
      <c r="A295" s="12"/>
      <c r="B295" s="13" t="s">
        <v>191</v>
      </c>
      <c r="C295" s="14"/>
      <c r="D295" s="14"/>
      <c r="E295" s="14"/>
      <c r="F295" s="15">
        <f>'Option Year 3'!F294+'Option Year 3'!F294*3%</f>
        <v>0</v>
      </c>
      <c r="G295" s="16"/>
    </row>
    <row r="296" spans="1:7" ht="31" x14ac:dyDescent="0.35">
      <c r="A296" s="12" t="s">
        <v>1480</v>
      </c>
      <c r="B296" s="17" t="s">
        <v>193</v>
      </c>
      <c r="C296" s="14">
        <v>100</v>
      </c>
      <c r="D296" s="14" t="s">
        <v>40</v>
      </c>
      <c r="E296" s="14" t="s">
        <v>16</v>
      </c>
      <c r="F296" s="15">
        <f>'Option Year 3'!F295+'Option Year 3'!F295*3%</f>
        <v>0</v>
      </c>
      <c r="G296" s="16">
        <f t="shared" ref="G296:G300" si="24">F296*C296</f>
        <v>0</v>
      </c>
    </row>
    <row r="297" spans="1:7" ht="31" x14ac:dyDescent="0.35">
      <c r="A297" s="12" t="s">
        <v>1481</v>
      </c>
      <c r="B297" s="17" t="s">
        <v>195</v>
      </c>
      <c r="C297" s="14">
        <v>100</v>
      </c>
      <c r="D297" s="14" t="s">
        <v>40</v>
      </c>
      <c r="E297" s="14" t="s">
        <v>16</v>
      </c>
      <c r="F297" s="15">
        <f>'Option Year 3'!F296+'Option Year 3'!F296*3%</f>
        <v>0</v>
      </c>
      <c r="G297" s="16">
        <f t="shared" si="24"/>
        <v>0</v>
      </c>
    </row>
    <row r="298" spans="1:7" ht="46.5" x14ac:dyDescent="0.35">
      <c r="A298" s="12" t="s">
        <v>1482</v>
      </c>
      <c r="B298" s="17" t="s">
        <v>197</v>
      </c>
      <c r="C298" s="14">
        <v>200</v>
      </c>
      <c r="D298" s="14" t="s">
        <v>40</v>
      </c>
      <c r="E298" s="14" t="s">
        <v>16</v>
      </c>
      <c r="F298" s="15">
        <f>'Option Year 3'!F297+'Option Year 3'!F297*3%</f>
        <v>0</v>
      </c>
      <c r="G298" s="16">
        <f t="shared" si="24"/>
        <v>0</v>
      </c>
    </row>
    <row r="299" spans="1:7" x14ac:dyDescent="0.35">
      <c r="A299" s="12" t="s">
        <v>1483</v>
      </c>
      <c r="B299" s="17" t="s">
        <v>199</v>
      </c>
      <c r="C299" s="14">
        <v>3</v>
      </c>
      <c r="D299" s="14" t="s">
        <v>114</v>
      </c>
      <c r="E299" s="14" t="s">
        <v>16</v>
      </c>
      <c r="F299" s="15">
        <f>'Option Year 3'!F298+'Option Year 3'!F298*3%</f>
        <v>0</v>
      </c>
      <c r="G299" s="16">
        <f t="shared" si="24"/>
        <v>0</v>
      </c>
    </row>
    <row r="300" spans="1:7" x14ac:dyDescent="0.35">
      <c r="A300" s="12" t="s">
        <v>1484</v>
      </c>
      <c r="B300" s="17" t="s">
        <v>201</v>
      </c>
      <c r="C300" s="14">
        <v>3</v>
      </c>
      <c r="D300" s="14" t="s">
        <v>114</v>
      </c>
      <c r="E300" s="14" t="s">
        <v>16</v>
      </c>
      <c r="F300" s="15">
        <f>'Option Year 3'!F299+'Option Year 3'!F299*3%</f>
        <v>0</v>
      </c>
      <c r="G300" s="16">
        <f t="shared" si="24"/>
        <v>0</v>
      </c>
    </row>
    <row r="301" spans="1:7" ht="31" x14ac:dyDescent="0.35">
      <c r="A301" s="12"/>
      <c r="B301" s="13" t="s">
        <v>202</v>
      </c>
      <c r="C301" s="14"/>
      <c r="D301" s="14"/>
      <c r="E301" s="14"/>
      <c r="F301" s="15">
        <f>'Option Year 3'!F300+'Option Year 3'!F300*3%</f>
        <v>0</v>
      </c>
      <c r="G301" s="16"/>
    </row>
    <row r="302" spans="1:7" x14ac:dyDescent="0.35">
      <c r="A302" s="12" t="s">
        <v>1485</v>
      </c>
      <c r="B302" s="17" t="s">
        <v>130</v>
      </c>
      <c r="C302" s="14">
        <v>25</v>
      </c>
      <c r="D302" s="14" t="s">
        <v>25</v>
      </c>
      <c r="E302" s="14" t="s">
        <v>16</v>
      </c>
      <c r="F302" s="15">
        <f>'Option Year 3'!F301+'Option Year 3'!F301*3%</f>
        <v>0</v>
      </c>
      <c r="G302" s="16">
        <f t="shared" ref="G302:G305" si="25">F302*C302</f>
        <v>0</v>
      </c>
    </row>
    <row r="303" spans="1:7" x14ac:dyDescent="0.35">
      <c r="A303" s="12" t="s">
        <v>1486</v>
      </c>
      <c r="B303" s="17" t="s">
        <v>132</v>
      </c>
      <c r="C303" s="14">
        <v>25</v>
      </c>
      <c r="D303" s="14" t="s">
        <v>25</v>
      </c>
      <c r="E303" s="14" t="s">
        <v>16</v>
      </c>
      <c r="F303" s="15">
        <f>'Option Year 3'!F302+'Option Year 3'!F302*3%</f>
        <v>0</v>
      </c>
      <c r="G303" s="16">
        <f t="shared" si="25"/>
        <v>0</v>
      </c>
    </row>
    <row r="304" spans="1:7" x14ac:dyDescent="0.35">
      <c r="A304" s="12" t="s">
        <v>1487</v>
      </c>
      <c r="B304" s="17" t="s">
        <v>134</v>
      </c>
      <c r="C304" s="14">
        <v>25</v>
      </c>
      <c r="D304" s="14" t="s">
        <v>25</v>
      </c>
      <c r="E304" s="14" t="s">
        <v>16</v>
      </c>
      <c r="F304" s="15">
        <f>'Option Year 3'!F303+'Option Year 3'!F303*3%</f>
        <v>0</v>
      </c>
      <c r="G304" s="16">
        <f t="shared" si="25"/>
        <v>0</v>
      </c>
    </row>
    <row r="305" spans="1:7" x14ac:dyDescent="0.35">
      <c r="A305" s="12" t="s">
        <v>1488</v>
      </c>
      <c r="B305" s="23" t="s">
        <v>136</v>
      </c>
      <c r="C305" s="14">
        <v>25</v>
      </c>
      <c r="D305" s="14" t="s">
        <v>25</v>
      </c>
      <c r="E305" s="14" t="s">
        <v>16</v>
      </c>
      <c r="F305" s="15">
        <f>'Option Year 3'!F304+'Option Year 3'!F304*3%</f>
        <v>0</v>
      </c>
      <c r="G305" s="16">
        <f t="shared" si="25"/>
        <v>0</v>
      </c>
    </row>
    <row r="306" spans="1:7" x14ac:dyDescent="0.35">
      <c r="A306" s="12"/>
      <c r="B306" s="24" t="s">
        <v>207</v>
      </c>
      <c r="C306" s="14"/>
      <c r="D306" s="14"/>
      <c r="E306" s="14"/>
      <c r="F306" s="15">
        <f>'Option Year 3'!F305+'Option Year 3'!F305*3%</f>
        <v>0</v>
      </c>
      <c r="G306" s="16"/>
    </row>
    <row r="307" spans="1:7" x14ac:dyDescent="0.35">
      <c r="A307" s="12" t="s">
        <v>1489</v>
      </c>
      <c r="B307" s="17" t="s">
        <v>130</v>
      </c>
      <c r="C307" s="14">
        <v>25</v>
      </c>
      <c r="D307" s="14" t="s">
        <v>25</v>
      </c>
      <c r="E307" s="14" t="s">
        <v>16</v>
      </c>
      <c r="F307" s="15">
        <f>'Option Year 3'!F306+'Option Year 3'!F306*3%</f>
        <v>0</v>
      </c>
      <c r="G307" s="16">
        <f t="shared" ref="G307:G311" si="26">F307*C307</f>
        <v>0</v>
      </c>
    </row>
    <row r="308" spans="1:7" x14ac:dyDescent="0.35">
      <c r="A308" s="12" t="s">
        <v>1490</v>
      </c>
      <c r="B308" s="17" t="s">
        <v>132</v>
      </c>
      <c r="C308" s="14">
        <v>25</v>
      </c>
      <c r="D308" s="14" t="s">
        <v>25</v>
      </c>
      <c r="E308" s="14" t="s">
        <v>16</v>
      </c>
      <c r="F308" s="15">
        <f>'Option Year 3'!F307+'Option Year 3'!F307*3%</f>
        <v>0</v>
      </c>
      <c r="G308" s="16">
        <f t="shared" si="26"/>
        <v>0</v>
      </c>
    </row>
    <row r="309" spans="1:7" x14ac:dyDescent="0.35">
      <c r="A309" s="12" t="s">
        <v>1491</v>
      </c>
      <c r="B309" s="17" t="s">
        <v>134</v>
      </c>
      <c r="C309" s="14">
        <v>25</v>
      </c>
      <c r="D309" s="14" t="s">
        <v>25</v>
      </c>
      <c r="E309" s="14" t="s">
        <v>16</v>
      </c>
      <c r="F309" s="15">
        <f>'Option Year 3'!F308+'Option Year 3'!F308*3%</f>
        <v>0</v>
      </c>
      <c r="G309" s="16">
        <f t="shared" si="26"/>
        <v>0</v>
      </c>
    </row>
    <row r="310" spans="1:7" x14ac:dyDescent="0.35">
      <c r="A310" s="12" t="s">
        <v>1492</v>
      </c>
      <c r="B310" s="17" t="s">
        <v>136</v>
      </c>
      <c r="C310" s="14">
        <v>25</v>
      </c>
      <c r="D310" s="14" t="s">
        <v>25</v>
      </c>
      <c r="E310" s="14" t="s">
        <v>16</v>
      </c>
      <c r="F310" s="15">
        <f>'Option Year 3'!F309+'Option Year 3'!F309*3%</f>
        <v>0</v>
      </c>
      <c r="G310" s="16">
        <f t="shared" si="26"/>
        <v>0</v>
      </c>
    </row>
    <row r="311" spans="1:7" x14ac:dyDescent="0.35">
      <c r="A311" s="12" t="s">
        <v>1493</v>
      </c>
      <c r="B311" s="17" t="s">
        <v>213</v>
      </c>
      <c r="C311" s="14">
        <v>25</v>
      </c>
      <c r="D311" s="14" t="s">
        <v>25</v>
      </c>
      <c r="E311" s="14" t="s">
        <v>16</v>
      </c>
      <c r="F311" s="15">
        <f>'Option Year 3'!F310+'Option Year 3'!F310*3%</f>
        <v>0</v>
      </c>
      <c r="G311" s="16">
        <f t="shared" si="26"/>
        <v>0</v>
      </c>
    </row>
    <row r="312" spans="1:7" ht="31" x14ac:dyDescent="0.35">
      <c r="A312" s="12"/>
      <c r="B312" s="13" t="s">
        <v>214</v>
      </c>
      <c r="C312" s="14"/>
      <c r="D312" s="14"/>
      <c r="E312" s="14"/>
      <c r="F312" s="15">
        <f>'Option Year 3'!F311+'Option Year 3'!F311*3%</f>
        <v>0</v>
      </c>
      <c r="G312" s="16"/>
    </row>
    <row r="313" spans="1:7" x14ac:dyDescent="0.35">
      <c r="A313" s="12" t="s">
        <v>1494</v>
      </c>
      <c r="B313" s="17" t="s">
        <v>130</v>
      </c>
      <c r="C313" s="14">
        <v>2</v>
      </c>
      <c r="D313" s="14" t="s">
        <v>25</v>
      </c>
      <c r="E313" s="14" t="s">
        <v>16</v>
      </c>
      <c r="F313" s="15">
        <f>'Option Year 3'!F312+'Option Year 3'!F312*3%</f>
        <v>0</v>
      </c>
      <c r="G313" s="16">
        <f t="shared" ref="G313:G315" si="27">F313*C313</f>
        <v>0</v>
      </c>
    </row>
    <row r="314" spans="1:7" x14ac:dyDescent="0.35">
      <c r="A314" s="12" t="s">
        <v>1495</v>
      </c>
      <c r="B314" s="17" t="s">
        <v>132</v>
      </c>
      <c r="C314" s="14">
        <v>2</v>
      </c>
      <c r="D314" s="14" t="s">
        <v>25</v>
      </c>
      <c r="E314" s="14" t="s">
        <v>16</v>
      </c>
      <c r="F314" s="15">
        <f>'Option Year 3'!F313+'Option Year 3'!F313*3%</f>
        <v>0</v>
      </c>
      <c r="G314" s="16">
        <f t="shared" si="27"/>
        <v>0</v>
      </c>
    </row>
    <row r="315" spans="1:7" x14ac:dyDescent="0.35">
      <c r="A315" s="12" t="s">
        <v>1496</v>
      </c>
      <c r="B315" s="17" t="s">
        <v>218</v>
      </c>
      <c r="C315" s="14">
        <v>2</v>
      </c>
      <c r="D315" s="14" t="s">
        <v>25</v>
      </c>
      <c r="E315" s="14" t="s">
        <v>16</v>
      </c>
      <c r="F315" s="15">
        <f>'Option Year 3'!F314+'Option Year 3'!F314*3%</f>
        <v>0</v>
      </c>
      <c r="G315" s="16">
        <f t="shared" si="27"/>
        <v>0</v>
      </c>
    </row>
    <row r="316" spans="1:7" x14ac:dyDescent="0.35">
      <c r="A316" s="12"/>
      <c r="B316" s="13" t="s">
        <v>219</v>
      </c>
      <c r="C316" s="14"/>
      <c r="D316" s="14"/>
      <c r="E316" s="14"/>
      <c r="F316" s="15">
        <f>'Option Year 3'!F315+'Option Year 3'!F315*3%</f>
        <v>0</v>
      </c>
      <c r="G316" s="16"/>
    </row>
    <row r="317" spans="1:7" x14ac:dyDescent="0.35">
      <c r="A317" s="12" t="s">
        <v>1497</v>
      </c>
      <c r="B317" s="17" t="s">
        <v>220</v>
      </c>
      <c r="C317" s="14">
        <v>1</v>
      </c>
      <c r="D317" s="14" t="s">
        <v>114</v>
      </c>
      <c r="E317" s="14" t="s">
        <v>16</v>
      </c>
      <c r="F317" s="15">
        <f>'Option Year 3'!F316+'Option Year 3'!F316*3%</f>
        <v>0</v>
      </c>
      <c r="G317" s="16">
        <f t="shared" ref="G317:G318" si="28">F317*C317</f>
        <v>0</v>
      </c>
    </row>
    <row r="318" spans="1:7" x14ac:dyDescent="0.35">
      <c r="A318" s="12" t="s">
        <v>1498</v>
      </c>
      <c r="B318" s="17" t="s">
        <v>221</v>
      </c>
      <c r="C318" s="14">
        <v>2</v>
      </c>
      <c r="D318" s="14" t="s">
        <v>114</v>
      </c>
      <c r="E318" s="14" t="s">
        <v>16</v>
      </c>
      <c r="F318" s="15">
        <f>'Option Year 3'!F317+'Option Year 3'!F317*3%</f>
        <v>0</v>
      </c>
      <c r="G318" s="16">
        <f t="shared" si="28"/>
        <v>0</v>
      </c>
    </row>
    <row r="319" spans="1:7" x14ac:dyDescent="0.35">
      <c r="A319" s="12"/>
      <c r="B319" s="25" t="s">
        <v>222</v>
      </c>
      <c r="C319" s="14"/>
      <c r="D319" s="14"/>
      <c r="E319" s="14"/>
      <c r="F319" s="15">
        <f>'Option Year 3'!F318+'Option Year 3'!F318*3%</f>
        <v>0</v>
      </c>
      <c r="G319" s="16"/>
    </row>
    <row r="320" spans="1:7" x14ac:dyDescent="0.35">
      <c r="A320" s="12" t="s">
        <v>1499</v>
      </c>
      <c r="B320" s="17" t="s">
        <v>224</v>
      </c>
      <c r="C320" s="14">
        <v>10</v>
      </c>
      <c r="D320" s="14" t="s">
        <v>114</v>
      </c>
      <c r="E320" s="14" t="s">
        <v>16</v>
      </c>
      <c r="F320" s="15">
        <f>'Option Year 3'!F319+'Option Year 3'!F319*3%</f>
        <v>0</v>
      </c>
      <c r="G320" s="16">
        <f t="shared" ref="G320:G323" si="29">F320*C320</f>
        <v>0</v>
      </c>
    </row>
    <row r="321" spans="1:7" x14ac:dyDescent="0.35">
      <c r="A321" s="12" t="s">
        <v>1500</v>
      </c>
      <c r="B321" s="17" t="s">
        <v>226</v>
      </c>
      <c r="C321" s="14">
        <v>10</v>
      </c>
      <c r="D321" s="14" t="s">
        <v>114</v>
      </c>
      <c r="E321" s="14" t="s">
        <v>16</v>
      </c>
      <c r="F321" s="15">
        <f>'Option Year 3'!F320+'Option Year 3'!F320*3%</f>
        <v>0</v>
      </c>
      <c r="G321" s="16">
        <f t="shared" si="29"/>
        <v>0</v>
      </c>
    </row>
    <row r="322" spans="1:7" x14ac:dyDescent="0.35">
      <c r="A322" s="12" t="s">
        <v>1501</v>
      </c>
      <c r="B322" s="17" t="s">
        <v>224</v>
      </c>
      <c r="C322" s="14">
        <v>10</v>
      </c>
      <c r="D322" s="14" t="s">
        <v>114</v>
      </c>
      <c r="E322" s="14" t="s">
        <v>16</v>
      </c>
      <c r="F322" s="15">
        <f>'Option Year 3'!F321+'Option Year 3'!F321*3%</f>
        <v>0</v>
      </c>
      <c r="G322" s="16">
        <f t="shared" si="29"/>
        <v>0</v>
      </c>
    </row>
    <row r="323" spans="1:7" x14ac:dyDescent="0.35">
      <c r="A323" s="12" t="s">
        <v>1502</v>
      </c>
      <c r="B323" s="17" t="s">
        <v>226</v>
      </c>
      <c r="C323" s="14">
        <v>10</v>
      </c>
      <c r="D323" s="14" t="s">
        <v>114</v>
      </c>
      <c r="E323" s="14" t="s">
        <v>16</v>
      </c>
      <c r="F323" s="15">
        <f>'Option Year 3'!F322+'Option Year 3'!F322*3%</f>
        <v>0</v>
      </c>
      <c r="G323" s="16">
        <f t="shared" si="29"/>
        <v>0</v>
      </c>
    </row>
    <row r="324" spans="1:7" ht="31" x14ac:dyDescent="0.35">
      <c r="A324" s="12"/>
      <c r="B324" s="26" t="s">
        <v>229</v>
      </c>
      <c r="C324" s="14"/>
      <c r="D324" s="14"/>
      <c r="E324" s="14"/>
      <c r="F324" s="15">
        <f>'Option Year 3'!F323+'Option Year 3'!F323*3%</f>
        <v>0</v>
      </c>
      <c r="G324" s="16"/>
    </row>
    <row r="325" spans="1:7" x14ac:dyDescent="0.35">
      <c r="A325" s="12" t="s">
        <v>1503</v>
      </c>
      <c r="B325" s="17" t="s">
        <v>130</v>
      </c>
      <c r="C325" s="14">
        <v>10</v>
      </c>
      <c r="D325" s="14" t="s">
        <v>114</v>
      </c>
      <c r="E325" s="14" t="s">
        <v>16</v>
      </c>
      <c r="F325" s="15">
        <f>'Option Year 3'!F324+'Option Year 3'!F324*3%</f>
        <v>0</v>
      </c>
      <c r="G325" s="16">
        <f t="shared" ref="G325:G326" si="30">F325*C325</f>
        <v>0</v>
      </c>
    </row>
    <row r="326" spans="1:7" x14ac:dyDescent="0.35">
      <c r="A326" s="12" t="s">
        <v>1504</v>
      </c>
      <c r="B326" s="17" t="s">
        <v>136</v>
      </c>
      <c r="C326" s="14">
        <v>10</v>
      </c>
      <c r="D326" s="14" t="s">
        <v>114</v>
      </c>
      <c r="E326" s="14" t="s">
        <v>16</v>
      </c>
      <c r="F326" s="15">
        <f>'Option Year 3'!F325+'Option Year 3'!F325*3%</f>
        <v>0</v>
      </c>
      <c r="G326" s="16">
        <f t="shared" si="30"/>
        <v>0</v>
      </c>
    </row>
    <row r="327" spans="1:7" ht="31" x14ac:dyDescent="0.35">
      <c r="A327" s="12"/>
      <c r="B327" s="13" t="s">
        <v>232</v>
      </c>
      <c r="C327" s="14"/>
      <c r="D327" s="14"/>
      <c r="E327" s="14"/>
      <c r="F327" s="15">
        <f>'Option Year 3'!F326+'Option Year 3'!F326*3%</f>
        <v>0</v>
      </c>
      <c r="G327" s="16"/>
    </row>
    <row r="328" spans="1:7" x14ac:dyDescent="0.35">
      <c r="A328" s="12" t="s">
        <v>1505</v>
      </c>
      <c r="B328" s="17" t="s">
        <v>130</v>
      </c>
      <c r="C328" s="14">
        <v>10</v>
      </c>
      <c r="D328" s="14" t="s">
        <v>114</v>
      </c>
      <c r="E328" s="14" t="s">
        <v>16</v>
      </c>
      <c r="F328" s="15">
        <f>'Option Year 3'!F327+'Option Year 3'!F327*3%</f>
        <v>0</v>
      </c>
      <c r="G328" s="16">
        <f t="shared" ref="G328:G329" si="31">F328*C328</f>
        <v>0</v>
      </c>
    </row>
    <row r="329" spans="1:7" x14ac:dyDescent="0.35">
      <c r="A329" s="12" t="s">
        <v>1506</v>
      </c>
      <c r="B329" s="17" t="s">
        <v>136</v>
      </c>
      <c r="C329" s="14">
        <v>10</v>
      </c>
      <c r="D329" s="14" t="s">
        <v>114</v>
      </c>
      <c r="E329" s="14" t="s">
        <v>16</v>
      </c>
      <c r="F329" s="15">
        <f>'Option Year 3'!F328+'Option Year 3'!F328*3%</f>
        <v>0</v>
      </c>
      <c r="G329" s="16">
        <f t="shared" si="31"/>
        <v>0</v>
      </c>
    </row>
    <row r="330" spans="1:7" x14ac:dyDescent="0.35">
      <c r="A330" s="12"/>
      <c r="B330" s="13" t="s">
        <v>235</v>
      </c>
      <c r="C330" s="14"/>
      <c r="D330" s="14"/>
      <c r="E330" s="14"/>
      <c r="F330" s="15">
        <f>'Option Year 3'!F329+'Option Year 3'!F329*3%</f>
        <v>0</v>
      </c>
      <c r="G330" s="16"/>
    </row>
    <row r="331" spans="1:7" x14ac:dyDescent="0.35">
      <c r="A331" s="12" t="s">
        <v>1507</v>
      </c>
      <c r="B331" s="17" t="s">
        <v>130</v>
      </c>
      <c r="C331" s="14">
        <v>10</v>
      </c>
      <c r="D331" s="14" t="s">
        <v>114</v>
      </c>
      <c r="E331" s="14" t="s">
        <v>16</v>
      </c>
      <c r="F331" s="15">
        <f>'Option Year 3'!F330+'Option Year 3'!F330*3%</f>
        <v>0</v>
      </c>
      <c r="G331" s="16">
        <f t="shared" ref="G331:G332" si="32">F331*C331</f>
        <v>0</v>
      </c>
    </row>
    <row r="332" spans="1:7" x14ac:dyDescent="0.35">
      <c r="A332" s="12" t="s">
        <v>1508</v>
      </c>
      <c r="B332" s="17" t="s">
        <v>136</v>
      </c>
      <c r="C332" s="14">
        <v>10</v>
      </c>
      <c r="D332" s="14" t="s">
        <v>114</v>
      </c>
      <c r="E332" s="14" t="s">
        <v>16</v>
      </c>
      <c r="F332" s="15">
        <f>'Option Year 3'!F331+'Option Year 3'!F331*3%</f>
        <v>0</v>
      </c>
      <c r="G332" s="16">
        <f t="shared" si="32"/>
        <v>0</v>
      </c>
    </row>
    <row r="333" spans="1:7" ht="46.5" x14ac:dyDescent="0.35">
      <c r="A333" s="12"/>
      <c r="B333" s="13" t="s">
        <v>238</v>
      </c>
      <c r="C333" s="14"/>
      <c r="D333" s="14"/>
      <c r="E333" s="14"/>
      <c r="F333" s="15">
        <f>'Option Year 3'!F332+'Option Year 3'!F332*3%</f>
        <v>0</v>
      </c>
      <c r="G333" s="16"/>
    </row>
    <row r="334" spans="1:7" x14ac:dyDescent="0.35">
      <c r="A334" s="12" t="s">
        <v>1509</v>
      </c>
      <c r="B334" s="17" t="s">
        <v>130</v>
      </c>
      <c r="C334" s="14">
        <v>100</v>
      </c>
      <c r="D334" s="14" t="s">
        <v>25</v>
      </c>
      <c r="E334" s="14" t="s">
        <v>16</v>
      </c>
      <c r="F334" s="15">
        <f>'Option Year 3'!F333+'Option Year 3'!F333*3%</f>
        <v>0</v>
      </c>
      <c r="G334" s="16">
        <f t="shared" ref="G334:G336" si="33">F334*C334</f>
        <v>0</v>
      </c>
    </row>
    <row r="335" spans="1:7" x14ac:dyDescent="0.35">
      <c r="A335" s="12" t="s">
        <v>1510</v>
      </c>
      <c r="B335" s="17" t="s">
        <v>132</v>
      </c>
      <c r="C335" s="14">
        <v>100</v>
      </c>
      <c r="D335" s="14" t="s">
        <v>25</v>
      </c>
      <c r="E335" s="14" t="s">
        <v>16</v>
      </c>
      <c r="F335" s="15">
        <f>'Option Year 3'!F334+'Option Year 3'!F334*3%</f>
        <v>0</v>
      </c>
      <c r="G335" s="16">
        <f t="shared" si="33"/>
        <v>0</v>
      </c>
    </row>
    <row r="336" spans="1:7" x14ac:dyDescent="0.35">
      <c r="A336" s="12" t="s">
        <v>1511</v>
      </c>
      <c r="B336" s="17" t="s">
        <v>136</v>
      </c>
      <c r="C336" s="14">
        <v>100</v>
      </c>
      <c r="D336" s="14" t="s">
        <v>25</v>
      </c>
      <c r="E336" s="14" t="s">
        <v>16</v>
      </c>
      <c r="F336" s="15">
        <f>'Option Year 3'!F335+'Option Year 3'!F335*3%</f>
        <v>0</v>
      </c>
      <c r="G336" s="16">
        <f t="shared" si="33"/>
        <v>0</v>
      </c>
    </row>
    <row r="337" spans="1:7" x14ac:dyDescent="0.35">
      <c r="A337" s="12"/>
      <c r="B337" s="13" t="s">
        <v>242</v>
      </c>
      <c r="C337" s="14"/>
      <c r="D337" s="14"/>
      <c r="E337" s="14"/>
      <c r="F337" s="15">
        <f>'Option Year 3'!F336+'Option Year 3'!F336*3%</f>
        <v>0</v>
      </c>
      <c r="G337" s="16"/>
    </row>
    <row r="338" spans="1:7" ht="31" x14ac:dyDescent="0.35">
      <c r="A338" s="12" t="s">
        <v>1512</v>
      </c>
      <c r="B338" s="17" t="s">
        <v>244</v>
      </c>
      <c r="C338" s="14">
        <v>10</v>
      </c>
      <c r="D338" s="14" t="s">
        <v>114</v>
      </c>
      <c r="E338" s="14" t="s">
        <v>16</v>
      </c>
      <c r="F338" s="15">
        <f>'Option Year 3'!F337+'Option Year 3'!F337*3%</f>
        <v>0</v>
      </c>
      <c r="G338" s="16">
        <f t="shared" ref="G338:G339" si="34">F338*C338</f>
        <v>0</v>
      </c>
    </row>
    <row r="339" spans="1:7" ht="31" x14ac:dyDescent="0.35">
      <c r="A339" s="12" t="s">
        <v>1513</v>
      </c>
      <c r="B339" s="17" t="s">
        <v>246</v>
      </c>
      <c r="C339" s="14">
        <v>10</v>
      </c>
      <c r="D339" s="14" t="s">
        <v>114</v>
      </c>
      <c r="E339" s="14" t="s">
        <v>16</v>
      </c>
      <c r="F339" s="15">
        <f>'Option Year 3'!F338+'Option Year 3'!F338*3%</f>
        <v>0</v>
      </c>
      <c r="G339" s="16">
        <f t="shared" si="34"/>
        <v>0</v>
      </c>
    </row>
    <row r="340" spans="1:7" x14ac:dyDescent="0.35">
      <c r="A340" s="12"/>
      <c r="B340" s="13" t="s">
        <v>247</v>
      </c>
      <c r="C340" s="14"/>
      <c r="D340" s="14"/>
      <c r="E340" s="14"/>
      <c r="F340" s="15">
        <f>'Option Year 3'!F339+'Option Year 3'!F339*3%</f>
        <v>0</v>
      </c>
      <c r="G340" s="16"/>
    </row>
    <row r="341" spans="1:7" x14ac:dyDescent="0.35">
      <c r="A341" s="12" t="s">
        <v>1514</v>
      </c>
      <c r="B341" s="17" t="s">
        <v>249</v>
      </c>
      <c r="C341" s="14">
        <v>110</v>
      </c>
      <c r="D341" s="14" t="s">
        <v>40</v>
      </c>
      <c r="E341" s="14" t="s">
        <v>16</v>
      </c>
      <c r="F341" s="15">
        <f>'Option Year 3'!F340+'Option Year 3'!F340*3%</f>
        <v>0</v>
      </c>
      <c r="G341" s="16">
        <f t="shared" ref="G341:G342" si="35">F341*C341</f>
        <v>0</v>
      </c>
    </row>
    <row r="342" spans="1:7" ht="31" x14ac:dyDescent="0.35">
      <c r="A342" s="12" t="s">
        <v>1515</v>
      </c>
      <c r="B342" s="17" t="s">
        <v>251</v>
      </c>
      <c r="C342" s="14">
        <v>50</v>
      </c>
      <c r="D342" s="14" t="s">
        <v>40</v>
      </c>
      <c r="E342" s="14" t="s">
        <v>16</v>
      </c>
      <c r="F342" s="15">
        <f>'Option Year 3'!F341+'Option Year 3'!F341*3%</f>
        <v>0</v>
      </c>
      <c r="G342" s="16">
        <f t="shared" si="35"/>
        <v>0</v>
      </c>
    </row>
    <row r="343" spans="1:7" x14ac:dyDescent="0.35">
      <c r="A343" s="12"/>
      <c r="B343" s="13" t="s">
        <v>252</v>
      </c>
      <c r="C343" s="14"/>
      <c r="D343" s="14"/>
      <c r="E343" s="14"/>
      <c r="F343" s="15">
        <f>'Option Year 3'!F342+'Option Year 3'!F342*3%</f>
        <v>0</v>
      </c>
      <c r="G343" s="16"/>
    </row>
    <row r="344" spans="1:7" x14ac:dyDescent="0.35">
      <c r="A344" s="12" t="s">
        <v>1516</v>
      </c>
      <c r="B344" s="17" t="s">
        <v>254</v>
      </c>
      <c r="C344" s="14">
        <v>50</v>
      </c>
      <c r="D344" s="14" t="s">
        <v>40</v>
      </c>
      <c r="E344" s="14" t="s">
        <v>16</v>
      </c>
      <c r="F344" s="15">
        <f>'Option Year 3'!F343+'Option Year 3'!F343*3%</f>
        <v>0</v>
      </c>
      <c r="G344" s="16">
        <f t="shared" ref="G344:G345" si="36">F344*C344</f>
        <v>0</v>
      </c>
    </row>
    <row r="345" spans="1:7" x14ac:dyDescent="0.35">
      <c r="A345" s="12" t="s">
        <v>1517</v>
      </c>
      <c r="B345" s="17" t="s">
        <v>256</v>
      </c>
      <c r="C345" s="14">
        <v>50</v>
      </c>
      <c r="D345" s="14" t="s">
        <v>40</v>
      </c>
      <c r="E345" s="14" t="s">
        <v>16</v>
      </c>
      <c r="F345" s="15">
        <f>'Option Year 3'!F344+'Option Year 3'!F344*3%</f>
        <v>0</v>
      </c>
      <c r="G345" s="16">
        <f t="shared" si="36"/>
        <v>0</v>
      </c>
    </row>
    <row r="346" spans="1:7" x14ac:dyDescent="0.35">
      <c r="A346" s="12"/>
      <c r="B346" s="13" t="s">
        <v>257</v>
      </c>
      <c r="C346" s="14"/>
      <c r="D346" s="14"/>
      <c r="E346" s="14"/>
      <c r="F346" s="15">
        <f>'Option Year 3'!F345+'Option Year 3'!F345*3%</f>
        <v>0</v>
      </c>
      <c r="G346" s="16"/>
    </row>
    <row r="347" spans="1:7" ht="31" x14ac:dyDescent="0.35">
      <c r="A347" s="12" t="s">
        <v>1518</v>
      </c>
      <c r="B347" s="17" t="s">
        <v>259</v>
      </c>
      <c r="C347" s="14">
        <v>100</v>
      </c>
      <c r="D347" s="14" t="s">
        <v>20</v>
      </c>
      <c r="E347" s="14" t="s">
        <v>16</v>
      </c>
      <c r="F347" s="15">
        <f>'Option Year 3'!F346+'Option Year 3'!F346*3%</f>
        <v>0</v>
      </c>
      <c r="G347" s="16">
        <f t="shared" ref="G347:G349" si="37">F347*C347</f>
        <v>0</v>
      </c>
    </row>
    <row r="348" spans="1:7" x14ac:dyDescent="0.35">
      <c r="A348" s="12" t="s">
        <v>1519</v>
      </c>
      <c r="B348" s="17" t="s">
        <v>261</v>
      </c>
      <c r="C348" s="14">
        <v>100</v>
      </c>
      <c r="D348" s="14" t="s">
        <v>25</v>
      </c>
      <c r="E348" s="14" t="s">
        <v>16</v>
      </c>
      <c r="F348" s="15">
        <f>'Option Year 3'!F347+'Option Year 3'!F347*3%</f>
        <v>0</v>
      </c>
      <c r="G348" s="16">
        <f t="shared" si="37"/>
        <v>0</v>
      </c>
    </row>
    <row r="349" spans="1:7" ht="31" x14ac:dyDescent="0.35">
      <c r="A349" s="12" t="s">
        <v>1520</v>
      </c>
      <c r="B349" s="17" t="s">
        <v>263</v>
      </c>
      <c r="C349" s="14">
        <v>100</v>
      </c>
      <c r="D349" s="14" t="s">
        <v>25</v>
      </c>
      <c r="E349" s="14" t="s">
        <v>16</v>
      </c>
      <c r="F349" s="15">
        <f>'Option Year 3'!F348+'Option Year 3'!F348*3%</f>
        <v>0</v>
      </c>
      <c r="G349" s="16">
        <f t="shared" si="37"/>
        <v>0</v>
      </c>
    </row>
    <row r="350" spans="1:7" x14ac:dyDescent="0.35">
      <c r="A350" s="12" t="s">
        <v>1521</v>
      </c>
      <c r="B350" s="13" t="s">
        <v>265</v>
      </c>
      <c r="C350" s="14">
        <v>0</v>
      </c>
      <c r="D350" s="14"/>
      <c r="E350" s="14" t="s">
        <v>16</v>
      </c>
      <c r="F350" s="15">
        <f>'Option Year 3'!F349+'Option Year 3'!F349*3%</f>
        <v>0</v>
      </c>
      <c r="G350" s="16">
        <v>0</v>
      </c>
    </row>
    <row r="351" spans="1:7" x14ac:dyDescent="0.35">
      <c r="A351" s="12"/>
      <c r="B351" s="13" t="s">
        <v>266</v>
      </c>
      <c r="C351" s="14"/>
      <c r="D351" s="14"/>
      <c r="E351" s="14"/>
      <c r="F351" s="15">
        <f>'Option Year 3'!F350+'Option Year 3'!F350*3%</f>
        <v>0</v>
      </c>
      <c r="G351" s="16"/>
    </row>
    <row r="352" spans="1:7" ht="46.5" x14ac:dyDescent="0.35">
      <c r="A352" s="12" t="s">
        <v>1522</v>
      </c>
      <c r="B352" s="27" t="s">
        <v>268</v>
      </c>
      <c r="C352" s="14">
        <v>200</v>
      </c>
      <c r="D352" s="14" t="s">
        <v>25</v>
      </c>
      <c r="E352" s="14" t="s">
        <v>16</v>
      </c>
      <c r="F352" s="15">
        <f>'Option Year 3'!F351+'Option Year 3'!F351*3%</f>
        <v>0</v>
      </c>
      <c r="G352" s="16">
        <f t="shared" ref="G352:G354" si="38">F352*C352</f>
        <v>0</v>
      </c>
    </row>
    <row r="353" spans="1:7" ht="46.5" x14ac:dyDescent="0.35">
      <c r="A353" s="12" t="s">
        <v>1523</v>
      </c>
      <c r="B353" s="27" t="s">
        <v>270</v>
      </c>
      <c r="C353" s="14">
        <v>200</v>
      </c>
      <c r="D353" s="14" t="s">
        <v>25</v>
      </c>
      <c r="E353" s="14" t="s">
        <v>16</v>
      </c>
      <c r="F353" s="15">
        <f>'Option Year 3'!F352+'Option Year 3'!F352*3%</f>
        <v>0</v>
      </c>
      <c r="G353" s="16">
        <f t="shared" si="38"/>
        <v>0</v>
      </c>
    </row>
    <row r="354" spans="1:7" ht="31" x14ac:dyDescent="0.35">
      <c r="A354" s="12" t="s">
        <v>1524</v>
      </c>
      <c r="B354" s="27" t="s">
        <v>272</v>
      </c>
      <c r="C354" s="14">
        <v>200</v>
      </c>
      <c r="D354" s="14" t="s">
        <v>25</v>
      </c>
      <c r="E354" s="14" t="s">
        <v>16</v>
      </c>
      <c r="F354" s="15">
        <f>'Option Year 3'!F353+'Option Year 3'!F353*3%</f>
        <v>0</v>
      </c>
      <c r="G354" s="16">
        <f t="shared" si="38"/>
        <v>0</v>
      </c>
    </row>
    <row r="355" spans="1:7" x14ac:dyDescent="0.35">
      <c r="A355" s="12"/>
      <c r="B355" s="28" t="s">
        <v>273</v>
      </c>
      <c r="C355" s="14"/>
      <c r="D355" s="14"/>
      <c r="E355" s="14"/>
      <c r="F355" s="15">
        <f>'Option Year 3'!F354+'Option Year 3'!F354*3%</f>
        <v>0</v>
      </c>
      <c r="G355" s="16"/>
    </row>
    <row r="356" spans="1:7" ht="31" x14ac:dyDescent="0.35">
      <c r="A356" s="12" t="s">
        <v>1525</v>
      </c>
      <c r="B356" s="17" t="s">
        <v>275</v>
      </c>
      <c r="C356" s="14">
        <v>500</v>
      </c>
      <c r="D356" s="14" t="s">
        <v>40</v>
      </c>
      <c r="E356" s="14" t="s">
        <v>16</v>
      </c>
      <c r="F356" s="15">
        <f>'Option Year 3'!F355+'Option Year 3'!F355*3%</f>
        <v>0</v>
      </c>
      <c r="G356" s="16">
        <f>F356*C356</f>
        <v>0</v>
      </c>
    </row>
    <row r="357" spans="1:7" ht="31" x14ac:dyDescent="0.35">
      <c r="A357" s="12" t="s">
        <v>1526</v>
      </c>
      <c r="B357" s="17" t="s">
        <v>277</v>
      </c>
      <c r="C357" s="14">
        <v>250</v>
      </c>
      <c r="D357" s="14" t="s">
        <v>40</v>
      </c>
      <c r="E357" s="14" t="s">
        <v>16</v>
      </c>
      <c r="F357" s="15">
        <f>'Option Year 3'!F356+'Option Year 3'!F356*3%</f>
        <v>0</v>
      </c>
      <c r="G357" s="16">
        <f>F357*C357</f>
        <v>0</v>
      </c>
    </row>
    <row r="358" spans="1:7" x14ac:dyDescent="0.35">
      <c r="A358" s="12" t="s">
        <v>1527</v>
      </c>
      <c r="B358" s="17" t="s">
        <v>279</v>
      </c>
      <c r="C358" s="14">
        <v>10</v>
      </c>
      <c r="D358" s="14" t="s">
        <v>114</v>
      </c>
      <c r="E358" s="14" t="s">
        <v>16</v>
      </c>
      <c r="F358" s="15">
        <f>'Option Year 3'!F357+'Option Year 3'!F357*3%</f>
        <v>0</v>
      </c>
      <c r="G358" s="16">
        <f>F358*C358</f>
        <v>0</v>
      </c>
    </row>
    <row r="359" spans="1:7" ht="46.5" x14ac:dyDescent="0.35">
      <c r="A359" s="12" t="s">
        <v>1528</v>
      </c>
      <c r="B359" s="29" t="s">
        <v>281</v>
      </c>
      <c r="C359" s="14">
        <v>5000</v>
      </c>
      <c r="D359" s="14" t="s">
        <v>25</v>
      </c>
      <c r="E359" s="14" t="s">
        <v>16</v>
      </c>
      <c r="F359" s="15">
        <f>'Option Year 3'!F358+'Option Year 3'!F358*3%</f>
        <v>0</v>
      </c>
      <c r="G359" s="16">
        <f>F359*C359</f>
        <v>0</v>
      </c>
    </row>
    <row r="360" spans="1:7" ht="31" x14ac:dyDescent="0.35">
      <c r="A360" s="12"/>
      <c r="B360" s="13" t="s">
        <v>282</v>
      </c>
      <c r="C360" s="14"/>
      <c r="D360" s="14"/>
      <c r="E360" s="14"/>
      <c r="F360" s="15">
        <f>'Option Year 3'!F359+'Option Year 3'!F359*3%</f>
        <v>0</v>
      </c>
      <c r="G360" s="16"/>
    </row>
    <row r="361" spans="1:7" ht="62" x14ac:dyDescent="0.35">
      <c r="A361" s="12" t="s">
        <v>1529</v>
      </c>
      <c r="B361" s="17" t="s">
        <v>284</v>
      </c>
      <c r="C361" s="14">
        <v>1</v>
      </c>
      <c r="D361" s="14" t="s">
        <v>285</v>
      </c>
      <c r="E361" s="14" t="s">
        <v>16</v>
      </c>
      <c r="F361" s="15">
        <f>'Option Year 3'!F360+'Option Year 3'!F360*3%</f>
        <v>0</v>
      </c>
      <c r="G361" s="16">
        <f t="shared" ref="G361:G362" si="39">F361*C361</f>
        <v>0</v>
      </c>
    </row>
    <row r="362" spans="1:7" ht="46.5" x14ac:dyDescent="0.35">
      <c r="A362" s="12" t="s">
        <v>1530</v>
      </c>
      <c r="B362" s="17" t="s">
        <v>287</v>
      </c>
      <c r="C362" s="14">
        <v>2000</v>
      </c>
      <c r="D362" s="14" t="s">
        <v>288</v>
      </c>
      <c r="E362" s="14" t="s">
        <v>16</v>
      </c>
      <c r="F362" s="15">
        <f>'Option Year 3'!F361+'Option Year 3'!F361*3%</f>
        <v>0</v>
      </c>
      <c r="G362" s="16">
        <f t="shared" si="39"/>
        <v>0</v>
      </c>
    </row>
    <row r="363" spans="1:7" x14ac:dyDescent="0.35">
      <c r="A363" s="12"/>
      <c r="B363" s="13" t="s">
        <v>289</v>
      </c>
      <c r="C363" s="14"/>
      <c r="D363" s="14"/>
      <c r="E363" s="14"/>
      <c r="F363" s="15">
        <f>'Option Year 3'!F362+'Option Year 3'!F362*3%</f>
        <v>0</v>
      </c>
      <c r="G363" s="16"/>
    </row>
    <row r="364" spans="1:7" ht="108.5" x14ac:dyDescent="0.35">
      <c r="A364" s="12" t="s">
        <v>1531</v>
      </c>
      <c r="B364" s="17" t="s">
        <v>1539</v>
      </c>
      <c r="C364" s="14">
        <v>20</v>
      </c>
      <c r="D364" s="14" t="s">
        <v>114</v>
      </c>
      <c r="E364" s="14" t="s">
        <v>16</v>
      </c>
      <c r="F364" s="15">
        <f>'Option Year 3'!F363+'Option Year 3'!F363*3%</f>
        <v>0</v>
      </c>
      <c r="G364" s="16">
        <f t="shared" ref="G364" si="40">F364*C364</f>
        <v>0</v>
      </c>
    </row>
    <row r="365" spans="1:7" ht="31" x14ac:dyDescent="0.35">
      <c r="A365" s="12"/>
      <c r="B365" s="13" t="s">
        <v>292</v>
      </c>
      <c r="C365" s="14"/>
      <c r="D365" s="14"/>
      <c r="E365" s="14"/>
      <c r="F365" s="15">
        <f>'Option Year 3'!F364+'Option Year 3'!F364*3%</f>
        <v>0</v>
      </c>
      <c r="G365" s="16"/>
    </row>
    <row r="366" spans="1:7" x14ac:dyDescent="0.35">
      <c r="A366" s="12" t="s">
        <v>1532</v>
      </c>
      <c r="B366" s="17" t="s">
        <v>294</v>
      </c>
      <c r="C366" s="30">
        <v>500000</v>
      </c>
      <c r="D366" s="14" t="s">
        <v>114</v>
      </c>
      <c r="E366" s="14" t="s">
        <v>16</v>
      </c>
      <c r="F366" s="15">
        <f>'Option Year 3'!F365+'Option Year 3'!F365*3%</f>
        <v>0</v>
      </c>
      <c r="G366" s="16">
        <f t="shared" ref="G366" si="41">F366*C366</f>
        <v>0</v>
      </c>
    </row>
    <row r="367" spans="1:7" ht="31" x14ac:dyDescent="0.35">
      <c r="A367" s="12"/>
      <c r="B367" s="13" t="s">
        <v>1533</v>
      </c>
      <c r="C367" s="14"/>
      <c r="D367" s="14"/>
      <c r="E367" s="14"/>
      <c r="F367" s="33"/>
      <c r="G367" s="34">
        <f>SUM(G191:G366)</f>
        <v>0</v>
      </c>
    </row>
    <row r="368" spans="1:7" x14ac:dyDescent="0.35">
      <c r="A368" s="45"/>
      <c r="B368" s="13"/>
      <c r="C368" s="14"/>
      <c r="D368" s="14"/>
      <c r="E368" s="14"/>
      <c r="F368" s="33"/>
      <c r="G368" s="44"/>
    </row>
    <row r="369" spans="1:7" ht="46.5" x14ac:dyDescent="0.35">
      <c r="A369" s="35"/>
      <c r="B369" s="13" t="s">
        <v>1534</v>
      </c>
      <c r="C369" s="14"/>
      <c r="D369" s="14"/>
      <c r="E369" s="14"/>
      <c r="F369" s="33"/>
      <c r="G369" s="44">
        <f>G367+G187</f>
        <v>0</v>
      </c>
    </row>
  </sheetData>
  <mergeCells count="7">
    <mergeCell ref="B188:G188"/>
    <mergeCell ref="A1:G1"/>
    <mergeCell ref="A2:G2"/>
    <mergeCell ref="A3:G3"/>
    <mergeCell ref="A4:G4"/>
    <mergeCell ref="A5:G5"/>
    <mergeCell ref="B6:G6"/>
  </mergeCells>
  <pageMargins left="0.7" right="0.7" top="0.75" bottom="0.75" header="0.3" footer="0.3"/>
  <pageSetup scale="59" orientation="portrait" r:id="rId1"/>
  <rowBreaks count="3" manualBreakCount="3">
    <brk id="46" max="16383" man="1"/>
    <brk id="111" max="16383" man="1"/>
    <brk id="16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C225-33D8-45F2-888A-3CA0E42B7CDD}">
  <dimension ref="B2:D8"/>
  <sheetViews>
    <sheetView workbookViewId="0">
      <selection activeCell="D4" sqref="D4"/>
    </sheetView>
  </sheetViews>
  <sheetFormatPr defaultRowHeight="14.5" x14ac:dyDescent="0.35"/>
  <cols>
    <col min="4" max="4" width="17.81640625" style="1" customWidth="1"/>
  </cols>
  <sheetData>
    <row r="2" spans="2:4" x14ac:dyDescent="0.35">
      <c r="B2" s="62" t="s">
        <v>1535</v>
      </c>
      <c r="C2" s="62"/>
      <c r="D2" s="62"/>
    </row>
    <row r="3" spans="2:4" x14ac:dyDescent="0.35">
      <c r="B3" s="60" t="s">
        <v>1536</v>
      </c>
      <c r="C3" s="60"/>
      <c r="D3" s="2">
        <f>'Base Option'!G368</f>
        <v>0</v>
      </c>
    </row>
    <row r="4" spans="2:4" x14ac:dyDescent="0.35">
      <c r="B4" s="60" t="s">
        <v>438</v>
      </c>
      <c r="C4" s="60"/>
      <c r="D4" s="2">
        <f>'Option Year 1'!G368</f>
        <v>0</v>
      </c>
    </row>
    <row r="5" spans="2:4" x14ac:dyDescent="0.35">
      <c r="B5" s="60" t="s">
        <v>713</v>
      </c>
      <c r="C5" s="60"/>
      <c r="D5" s="2">
        <f>'Option Year 2'!G368</f>
        <v>0</v>
      </c>
    </row>
    <row r="6" spans="2:4" x14ac:dyDescent="0.35">
      <c r="B6" s="60" t="s">
        <v>1537</v>
      </c>
      <c r="C6" s="60"/>
      <c r="D6" s="2">
        <f>'Option Year 3'!G368</f>
        <v>0</v>
      </c>
    </row>
    <row r="7" spans="2:4" x14ac:dyDescent="0.35">
      <c r="B7" s="60" t="s">
        <v>1261</v>
      </c>
      <c r="C7" s="60"/>
      <c r="D7" s="2">
        <f>'Option Year 4'!G369</f>
        <v>0</v>
      </c>
    </row>
    <row r="8" spans="2:4" x14ac:dyDescent="0.35">
      <c r="B8" s="61" t="s">
        <v>11</v>
      </c>
      <c r="C8" s="61"/>
      <c r="D8" s="3">
        <f>D3+D4+D5+D6+D7</f>
        <v>0</v>
      </c>
    </row>
  </sheetData>
  <mergeCells count="7">
    <mergeCell ref="B7:C7"/>
    <mergeCell ref="B8:C8"/>
    <mergeCell ref="B2:D2"/>
    <mergeCell ref="B3:C3"/>
    <mergeCell ref="B4:C4"/>
    <mergeCell ref="B5:C5"/>
    <mergeCell ref="B6:C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Option</vt:lpstr>
      <vt:lpstr>Option Year 1</vt:lpstr>
      <vt:lpstr>Option Year 2</vt:lpstr>
      <vt:lpstr>Option Year 3</vt:lpstr>
      <vt:lpstr>Option Year 4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Ryder, Brooke A CIV USN NAVFAC MIDLANT PHI (USA)</dc:creator>
  <cp:keywords/>
  <dc:description/>
  <cp:lastModifiedBy>Mcgovern, Matthew J CIV USN NAVFAC LANT NOR VA (USA)</cp:lastModifiedBy>
  <cp:revision/>
  <cp:lastPrinted>2026-03-03T20:00:45Z</cp:lastPrinted>
  <dcterms:created xsi:type="dcterms:W3CDTF">2025-03-20T18:38:17Z</dcterms:created>
  <dcterms:modified xsi:type="dcterms:W3CDTF">2026-03-11T15:35:15Z</dcterms:modified>
  <cp:category/>
  <cp:contentStatus/>
</cp:coreProperties>
</file>