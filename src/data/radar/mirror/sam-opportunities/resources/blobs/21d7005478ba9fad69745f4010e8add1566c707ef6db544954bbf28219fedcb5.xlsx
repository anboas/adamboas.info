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melita.Saggese.IT\OneDrive - US Navy-flankspeed\Desktop\ARTIC\"/>
    </mc:Choice>
  </mc:AlternateContent>
  <bookViews>
    <workbookView xWindow="0" yWindow="3780" windowWidth="28800" windowHeight="10470"/>
  </bookViews>
  <sheets>
    <sheet name="J-1 PRICE BREAKDOWN" sheetId="1" r:id="rId1"/>
    <sheet name="J-1 TRAVEL EXPENSES BREAKDOWN" sheetId="10" r:id="rId2"/>
  </sheets>
  <definedNames>
    <definedName name="_xlnm.Print_Area" localSheetId="1">'J-1 TRAVEL EXPENSES BREAKDOWN'!$A$1:$M$7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2" i="1" l="1"/>
  <c r="E3" i="1" l="1"/>
  <c r="F7" i="10"/>
  <c r="F4" i="10"/>
  <c r="F9" i="10"/>
  <c r="M13" i="1"/>
  <c r="K3" i="1"/>
  <c r="M3" i="1" l="1"/>
  <c r="M9" i="1" s="1"/>
  <c r="M14" i="1" l="1"/>
</calcChain>
</file>

<file path=xl/sharedStrings.xml><?xml version="1.0" encoding="utf-8"?>
<sst xmlns="http://schemas.openxmlformats.org/spreadsheetml/2006/main" count="61" uniqueCount="61">
  <si>
    <t>Work Item #</t>
  </si>
  <si>
    <t>Title</t>
  </si>
  <si>
    <t>Labor Hours</t>
  </si>
  <si>
    <t>Labor Rate</t>
  </si>
  <si>
    <t>Direct Labor Total Price</t>
  </si>
  <si>
    <t>CFM/Equipment &amp; Material Total Price</t>
  </si>
  <si>
    <t>Travel</t>
  </si>
  <si>
    <t>Other Direct Costs</t>
  </si>
  <si>
    <t>Sub Contractor Direct Man Hours</t>
  </si>
  <si>
    <t>Sub Contractor Labor Rate</t>
  </si>
  <si>
    <t>Sub Contractor Direct Labor Total Price</t>
  </si>
  <si>
    <t>SUB Contractor Equipment &amp; Material Total Price</t>
  </si>
  <si>
    <t>WORK ITEM TOTAL</t>
  </si>
  <si>
    <t>CLIN 0001 – Voyage Repair Category A Work Items</t>
  </si>
  <si>
    <t>Additional Government Requirements (AGR)</t>
  </si>
  <si>
    <t>Government Requirement</t>
  </si>
  <si>
    <t>Proposed Rate</t>
  </si>
  <si>
    <t>LABOR HOURS</t>
  </si>
  <si>
    <t>SUBCONTRACTOR / MATERIAL</t>
  </si>
  <si>
    <t xml:space="preserve">CLIN 0002 – (Option) Additional Government Requirements (AGR) </t>
  </si>
  <si>
    <t>PROPOSAL TOTAL EVALUATED PRICE</t>
  </si>
  <si>
    <t>Indirect Rates</t>
  </si>
  <si>
    <t>General &amp; Administrative (G&amp;A)</t>
  </si>
  <si>
    <t>Overhead</t>
  </si>
  <si>
    <t>Profit</t>
  </si>
  <si>
    <t>1. Only insert information in the highlighted cells: blue for prime, yellow for subcontractor</t>
  </si>
  <si>
    <t>2. For AGR rates, provide proposed labor rate for LABOR HOURS requirement and proposed burdened percentage for SUBCONTRACTOR / MATERIAL requirement.</t>
  </si>
  <si>
    <t>3. Provide indirect rates. Rates are for information purposes only and will not be evaluated separately from Total Evaluated Price.</t>
  </si>
  <si>
    <t>4. WORK ITEM TOTAL COLUMNS ARE FORMULAS. DO NOT ENTER INFORMATION OR ALTER THIS FORMULA.</t>
  </si>
  <si>
    <t>5. Proposal Total Price, gray shaded at bottom of sheet, is also a FORMULA - DO NOT ENTER INFORMATION or ALTER THIS FORMULA.</t>
  </si>
  <si>
    <t>6. ODC-Defined as anything not directly attributable to a final cost or production objective (i.e., labor, subcontracts, and/or material).  Examples include rental charges, special tooling, testing equipment, etc.</t>
  </si>
  <si>
    <t>7. Travel costs should sum to total provided in 'TRAVEL EXPENSE BREAKDOWN' tab.</t>
  </si>
  <si>
    <t>J-1 Travel Expenses Breakdown</t>
  </si>
  <si>
    <t>Prices in USD</t>
  </si>
  <si>
    <t>DESCRIPTION</t>
  </si>
  <si>
    <t>NO. OF PERSONNEL</t>
  </si>
  <si>
    <t>NO. OF DAYS</t>
  </si>
  <si>
    <t>TRAVEL HRS</t>
  </si>
  <si>
    <t>HOURLY RATE</t>
  </si>
  <si>
    <t>TOTAL TRAVEL LABOR PRICE</t>
  </si>
  <si>
    <t>TRAVEL EXPENSES</t>
  </si>
  <si>
    <t>AIRFARE</t>
  </si>
  <si>
    <t>LODGING</t>
  </si>
  <si>
    <t>MEALS and INCIDENTALS</t>
  </si>
  <si>
    <t>RENTAL CAR / TRANSPORTATION</t>
  </si>
  <si>
    <t>TOTAL PER DIEM PRICE</t>
  </si>
  <si>
    <t>TOTAL TRAVEL PRICE</t>
  </si>
  <si>
    <t>0135</t>
  </si>
  <si>
    <t>Deck guard Rail Renewal</t>
  </si>
  <si>
    <t>N6817126QN020 - USNS ARTIC  Voyage Repair, Limassol, Cyprus.</t>
  </si>
  <si>
    <t>NOT SEPARATELY PRICE</t>
  </si>
  <si>
    <t>0001</t>
  </si>
  <si>
    <t>0001_NSP_TAOE-SCOPE_GENERAL_REQUIREMENTS_AND_DEFINITIONS</t>
  </si>
  <si>
    <t>0002</t>
  </si>
  <si>
    <t>0002_NSP_TAOE-TECHNICAL_AND_MANUFACTURES_REPRESENTATIVE</t>
  </si>
  <si>
    <t>0004</t>
  </si>
  <si>
    <t>0004_NSP_TESTING_AND_QUALITY_ASSURANCE</t>
  </si>
  <si>
    <t>0005</t>
  </si>
  <si>
    <t>0005_NSP_TAOE_SWI_ELECTRICAL_SAFETY_PROCEDURE_REQUIREMENTS</t>
  </si>
  <si>
    <t>0020</t>
  </si>
  <si>
    <t>0020_A_TAOE-SWI-GAS_FREE_CERTIFICATES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</si>
</sst>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164" formatCode="&quot;$&quot;#,##0"/>
    <numFmt numFmtId="165" formatCode="0000"/>
    <numFmt numFmtId="166" formatCode="&quot;$&quot;#,##0.00"/>
    <numFmt numFmtId="167" formatCode="_([$$-409]* #,##0.00_);_([$$-409]* \(#,##0.00\);_([$$-409]* &quot;-&quot;??_);_(@_)"/>
    <numFmt numFmtId="168" formatCode="_([$€-2]\ * #,##0.00_);_([$€-2]\ * \(#,##0.00\);_([$€-2]\ * &quot;-&quot;??_);_(@_)"/>
    <numFmt numFmtId="169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Times New Roman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10" borderId="1" applyProtection="0">
      <alignment horizontal="center"/>
    </xf>
  </cellStyleXfs>
  <cellXfs count="93">
    <xf numFmtId="0" fontId="0" fillId="0" borderId="0" xfId="0"/>
    <xf numFmtId="44" fontId="0" fillId="0" borderId="0" xfId="1" applyFont="1"/>
    <xf numFmtId="0" fontId="0" fillId="2" borderId="1" xfId="0" applyFill="1" applyBorder="1"/>
    <xf numFmtId="0" fontId="0" fillId="0" borderId="0" xfId="0"/>
    <xf numFmtId="0" fontId="2" fillId="2" borderId="0" xfId="0" applyFont="1" applyFill="1"/>
    <xf numFmtId="0" fontId="0" fillId="2" borderId="0" xfId="0" applyFill="1"/>
    <xf numFmtId="44" fontId="0" fillId="2" borderId="0" xfId="1" applyFont="1" applyFill="1"/>
    <xf numFmtId="0" fontId="0" fillId="2" borderId="0" xfId="1" applyNumberFormat="1" applyFont="1" applyFill="1"/>
    <xf numFmtId="0" fontId="0" fillId="0" borderId="0" xfId="1" applyNumberFormat="1" applyFont="1"/>
    <xf numFmtId="0" fontId="1" fillId="3" borderId="1" xfId="1" applyNumberFormat="1" applyFont="1" applyFill="1" applyBorder="1" applyAlignment="1">
      <alignment horizontal="center" vertical="center" wrapText="1"/>
    </xf>
    <xf numFmtId="44" fontId="1" fillId="3" borderId="1" xfId="1" applyFont="1" applyFill="1" applyBorder="1" applyAlignment="1">
      <alignment horizontal="center" vertical="center" wrapText="1"/>
    </xf>
    <xf numFmtId="44" fontId="1" fillId="4" borderId="1" xfId="1" applyFont="1" applyFill="1" applyBorder="1" applyAlignment="1">
      <alignment horizontal="center" vertical="center" wrapText="1"/>
    </xf>
    <xf numFmtId="44" fontId="0" fillId="3" borderId="1" xfId="1" applyFont="1" applyFill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0" fontId="0" fillId="5" borderId="1" xfId="0" applyFill="1" applyBorder="1"/>
    <xf numFmtId="0" fontId="5" fillId="0" borderId="0" xfId="0" applyFont="1" applyAlignment="1"/>
    <xf numFmtId="0" fontId="5" fillId="0" borderId="0" xfId="0" applyFont="1"/>
    <xf numFmtId="44" fontId="1" fillId="0" borderId="1" xfId="1" applyFont="1" applyFill="1" applyBorder="1" applyAlignment="1">
      <alignment horizontal="center" vertical="center" wrapText="1"/>
    </xf>
    <xf numFmtId="44" fontId="0" fillId="0" borderId="1" xfId="1" applyFont="1" applyFill="1" applyBorder="1" applyAlignment="1">
      <alignment horizontal="center" vertical="center"/>
    </xf>
    <xf numFmtId="0" fontId="0" fillId="0" borderId="0" xfId="0" applyFill="1"/>
    <xf numFmtId="0" fontId="1" fillId="3" borderId="1" xfId="0" applyFont="1" applyFill="1" applyBorder="1" applyAlignment="1">
      <alignment horizontal="center" vertical="center"/>
    </xf>
    <xf numFmtId="44" fontId="0" fillId="4" borderId="1" xfId="1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ill="1" applyBorder="1"/>
    <xf numFmtId="165" fontId="0" fillId="0" borderId="1" xfId="0" applyNumberFormat="1" applyFill="1" applyBorder="1" applyAlignment="1">
      <alignment horizontal="left"/>
    </xf>
    <xf numFmtId="37" fontId="0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1" xfId="1" applyFont="1" applyBorder="1"/>
    <xf numFmtId="164" fontId="1" fillId="0" borderId="0" xfId="0" applyNumberFormat="1" applyFont="1" applyFill="1" applyBorder="1" applyAlignment="1">
      <alignment horizontal="center" vertical="center" wrapText="1"/>
    </xf>
    <xf numFmtId="44" fontId="1" fillId="0" borderId="0" xfId="0" applyNumberFormat="1" applyFont="1" applyFill="1" applyBorder="1" applyAlignment="1">
      <alignment horizontal="center" vertical="center" wrapText="1"/>
    </xf>
    <xf numFmtId="44" fontId="1" fillId="5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0" borderId="0" xfId="0" applyFont="1" applyFill="1" applyAlignment="1">
      <alignment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166" fontId="1" fillId="6" borderId="11" xfId="0" applyNumberFormat="1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 wrapText="1"/>
    </xf>
    <xf numFmtId="0" fontId="0" fillId="8" borderId="13" xfId="0" applyFont="1" applyFill="1" applyBorder="1" applyAlignment="1">
      <alignment horizontal="center" vertical="center" wrapText="1"/>
    </xf>
    <xf numFmtId="167" fontId="4" fillId="8" borderId="13" xfId="1" applyNumberFormat="1" applyFont="1" applyFill="1" applyBorder="1" applyAlignment="1">
      <alignment horizontal="center" vertical="center"/>
    </xf>
    <xf numFmtId="167" fontId="3" fillId="8" borderId="1" xfId="4" applyNumberFormat="1" applyFont="1" applyFill="1" applyBorder="1" applyAlignment="1">
      <alignment horizontal="center" vertical="center" wrapText="1"/>
    </xf>
    <xf numFmtId="167" fontId="3" fillId="0" borderId="13" xfId="4" applyNumberFormat="1" applyFont="1" applyBorder="1" applyAlignment="1">
      <alignment horizontal="center" vertical="center" wrapText="1"/>
    </xf>
    <xf numFmtId="168" fontId="9" fillId="6" borderId="11" xfId="1" applyNumberFormat="1" applyFont="1" applyFill="1" applyBorder="1" applyAlignment="1">
      <alignment horizontal="center" vertical="center"/>
    </xf>
    <xf numFmtId="168" fontId="1" fillId="6" borderId="11" xfId="1" applyNumberFormat="1" applyFont="1" applyFill="1" applyBorder="1" applyAlignment="1">
      <alignment horizontal="center" vertical="center" wrapText="1"/>
    </xf>
    <xf numFmtId="168" fontId="1" fillId="6" borderId="11" xfId="4" applyNumberFormat="1" applyFont="1" applyFill="1" applyBorder="1" applyAlignment="1">
      <alignment horizontal="center" vertical="center" wrapText="1"/>
    </xf>
    <xf numFmtId="167" fontId="3" fillId="8" borderId="13" xfId="4" applyNumberFormat="1" applyFont="1" applyFill="1" applyBorder="1" applyAlignment="1">
      <alignment horizontal="center" vertical="center" wrapText="1"/>
    </xf>
    <xf numFmtId="167" fontId="7" fillId="9" borderId="12" xfId="0" applyNumberFormat="1" applyFont="1" applyFill="1" applyBorder="1" applyAlignment="1">
      <alignment horizontal="center" vertical="center"/>
    </xf>
    <xf numFmtId="9" fontId="0" fillId="3" borderId="1" xfId="4" applyFont="1" applyFill="1" applyBorder="1" applyAlignment="1">
      <alignment horizontal="center" vertical="center"/>
    </xf>
    <xf numFmtId="3" fontId="0" fillId="3" borderId="1" xfId="0" applyNumberFormat="1" applyFill="1" applyBorder="1"/>
    <xf numFmtId="3" fontId="0" fillId="4" borderId="1" xfId="1" applyNumberFormat="1" applyFont="1" applyFill="1" applyBorder="1" applyAlignment="1">
      <alignment horizontal="center" vertical="center"/>
    </xf>
    <xf numFmtId="0" fontId="9" fillId="0" borderId="16" xfId="0" applyFont="1" applyBorder="1"/>
    <xf numFmtId="169" fontId="0" fillId="3" borderId="17" xfId="4" applyNumberFormat="1" applyFont="1" applyFill="1" applyBorder="1"/>
    <xf numFmtId="0" fontId="9" fillId="0" borderId="18" xfId="0" applyFont="1" applyBorder="1"/>
    <xf numFmtId="169" fontId="0" fillId="3" borderId="19" xfId="4" applyNumberFormat="1" applyFont="1" applyFill="1" applyBorder="1"/>
    <xf numFmtId="0" fontId="9" fillId="0" borderId="20" xfId="0" applyFont="1" applyBorder="1"/>
    <xf numFmtId="169" fontId="0" fillId="3" borderId="21" xfId="4" applyNumberFormat="1" applyFont="1" applyFill="1" applyBorder="1"/>
    <xf numFmtId="0" fontId="10" fillId="0" borderId="0" xfId="0" applyFont="1" applyAlignment="1">
      <alignment horizontal="center"/>
    </xf>
    <xf numFmtId="49" fontId="11" fillId="10" borderId="1" xfId="5" applyNumberFormat="1">
      <alignment horizontal="center"/>
    </xf>
    <xf numFmtId="49" fontId="11" fillId="10" borderId="1" xfId="5" applyNumberFormat="1" applyBorder="1">
      <alignment horizontal="center"/>
    </xf>
    <xf numFmtId="3" fontId="0" fillId="11" borderId="5" xfId="0" applyNumberFormat="1" applyFill="1" applyBorder="1" applyAlignment="1">
      <alignment horizontal="center" vertical="center"/>
    </xf>
    <xf numFmtId="3" fontId="0" fillId="11" borderId="4" xfId="0" applyNumberFormat="1" applyFill="1" applyBorder="1" applyAlignment="1">
      <alignment horizontal="center" vertical="center"/>
    </xf>
    <xf numFmtId="3" fontId="0" fillId="11" borderId="24" xfId="0" applyNumberFormat="1" applyFill="1" applyBorder="1" applyAlignment="1">
      <alignment horizontal="center" vertical="center"/>
    </xf>
    <xf numFmtId="3" fontId="0" fillId="11" borderId="6" xfId="0" applyNumberFormat="1" applyFill="1" applyBorder="1" applyAlignment="1">
      <alignment horizontal="center" vertical="center"/>
    </xf>
    <xf numFmtId="3" fontId="0" fillId="11" borderId="0" xfId="0" applyNumberFormat="1" applyFill="1" applyBorder="1" applyAlignment="1">
      <alignment horizontal="center" vertical="center"/>
    </xf>
    <xf numFmtId="3" fontId="0" fillId="11" borderId="25" xfId="0" applyNumberFormat="1" applyFill="1" applyBorder="1" applyAlignment="1">
      <alignment horizontal="center" vertical="center"/>
    </xf>
    <xf numFmtId="3" fontId="0" fillId="11" borderId="7" xfId="0" applyNumberFormat="1" applyFill="1" applyBorder="1" applyAlignment="1">
      <alignment horizontal="center" vertical="center"/>
    </xf>
    <xf numFmtId="3" fontId="0" fillId="11" borderId="8" xfId="0" applyNumberFormat="1" applyFill="1" applyBorder="1" applyAlignment="1">
      <alignment horizontal="center" vertical="center"/>
    </xf>
    <xf numFmtId="3" fontId="0" fillId="11" borderId="9" xfId="0" applyNumberFormat="1" applyFill="1" applyBorder="1" applyAlignment="1">
      <alignment horizontal="center" vertical="center"/>
    </xf>
    <xf numFmtId="164" fontId="1" fillId="0" borderId="22" xfId="0" applyNumberFormat="1" applyFont="1" applyFill="1" applyBorder="1" applyAlignment="1">
      <alignment horizontal="center" vertical="center" wrapText="1"/>
    </xf>
    <xf numFmtId="164" fontId="1" fillId="0" borderId="23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164" fontId="1" fillId="5" borderId="3" xfId="0" applyNumberFormat="1" applyFont="1" applyFill="1" applyBorder="1" applyAlignment="1">
      <alignment horizontal="center" vertical="center" wrapText="1"/>
    </xf>
    <xf numFmtId="164" fontId="1" fillId="5" borderId="10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4" fontId="0" fillId="7" borderId="5" xfId="1" applyFont="1" applyFill="1" applyBorder="1" applyAlignment="1">
      <alignment horizontal="center"/>
    </xf>
    <xf numFmtId="44" fontId="0" fillId="7" borderId="4" xfId="1" applyFont="1" applyFill="1" applyBorder="1" applyAlignment="1">
      <alignment horizontal="center"/>
    </xf>
    <xf numFmtId="44" fontId="0" fillId="7" borderId="6" xfId="1" applyFont="1" applyFill="1" applyBorder="1" applyAlignment="1">
      <alignment horizontal="center"/>
    </xf>
    <xf numFmtId="44" fontId="0" fillId="7" borderId="0" xfId="1" applyFont="1" applyFill="1" applyBorder="1" applyAlignment="1">
      <alignment horizontal="center"/>
    </xf>
    <xf numFmtId="44" fontId="0" fillId="7" borderId="7" xfId="1" applyFont="1" applyFill="1" applyBorder="1" applyAlignment="1">
      <alignment horizontal="center"/>
    </xf>
    <xf numFmtId="44" fontId="0" fillId="7" borderId="8" xfId="1" applyFont="1" applyFill="1" applyBorder="1" applyAlignment="1">
      <alignment horizontal="center"/>
    </xf>
    <xf numFmtId="44" fontId="0" fillId="7" borderId="9" xfId="1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12" fillId="0" borderId="26" xfId="0" applyNumberFormat="1" applyFont="1" applyFill="1" applyBorder="1" applyAlignment="1" applyProtection="1">
      <alignment horizontal="left" vertical="top" wrapText="1"/>
    </xf>
    <xf numFmtId="0" fontId="12" fillId="0" borderId="26" xfId="0" applyNumberFormat="1" applyFont="1" applyFill="1" applyBorder="1" applyAlignment="1" applyProtection="1">
      <alignment vertical="top" wrapText="1"/>
    </xf>
    <xf numFmtId="0" fontId="0" fillId="2" borderId="1" xfId="0" applyFill="1" applyBorder="1" applyAlignment="1">
      <alignment wrapText="1"/>
    </xf>
  </cellXfs>
  <cellStyles count="6">
    <cellStyle name="Currency" xfId="1" builtinId="4"/>
    <cellStyle name="Custom_Style4" xfId="5"/>
    <cellStyle name="Normal" xfId="0" builtinId="0"/>
    <cellStyle name="Normal 2" xfId="2"/>
    <cellStyle name="Percent" xfId="4" builtinId="5"/>
    <cellStyle name="Percent 2" xfId="3"/>
  </cellStyles>
  <dxfs count="0"/>
  <tableStyles count="0" defaultTableStyle="TableStyleMedium2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7"/>
  <sheetViews>
    <sheetView tabSelected="1" zoomScale="95" zoomScaleNormal="85" workbookViewId="0">
      <pane ySplit="2" topLeftCell="A3" activePane="bottomLeft" state="frozen"/>
      <selection pane="bottomLeft" activeCell="O7" sqref="O7"/>
    </sheetView>
  </sheetViews>
  <sheetFormatPr defaultRowHeight="15" x14ac:dyDescent="0.25"/>
  <cols>
    <col min="1" max="1" width="13" customWidth="1"/>
    <col min="2" max="2" width="37.140625" bestFit="1" customWidth="1"/>
    <col min="3" max="3" width="13.5703125" style="3" customWidth="1"/>
    <col min="4" max="4" width="14" style="8" bestFit="1" customWidth="1"/>
    <col min="5" max="5" width="14.85546875" style="1" customWidth="1"/>
    <col min="6" max="6" width="19" style="1" customWidth="1"/>
    <col min="7" max="7" width="14.85546875" style="1" customWidth="1"/>
    <col min="8" max="9" width="19" style="1" customWidth="1"/>
    <col min="10" max="10" width="12.42578125" style="8" customWidth="1"/>
    <col min="11" max="13" width="20.42578125" style="1" customWidth="1"/>
  </cols>
  <sheetData>
    <row r="1" spans="1:14" ht="23.25" x14ac:dyDescent="0.35">
      <c r="A1" s="4" t="s">
        <v>49</v>
      </c>
      <c r="B1" s="5"/>
      <c r="C1" s="5"/>
      <c r="D1" s="7"/>
      <c r="E1" s="6"/>
      <c r="F1" s="6"/>
      <c r="G1" s="6"/>
      <c r="H1" s="6"/>
      <c r="I1" s="6"/>
      <c r="J1" s="7"/>
      <c r="K1" s="6"/>
      <c r="L1" s="6"/>
      <c r="M1" s="6"/>
      <c r="N1" s="22"/>
    </row>
    <row r="2" spans="1:14" ht="88.5" customHeight="1" x14ac:dyDescent="0.25">
      <c r="A2" s="24" t="s">
        <v>0</v>
      </c>
      <c r="B2" s="2" t="s">
        <v>1</v>
      </c>
      <c r="C2" s="20" t="s">
        <v>2</v>
      </c>
      <c r="D2" s="9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7" t="s">
        <v>12</v>
      </c>
      <c r="N2" s="22"/>
    </row>
    <row r="3" spans="1:14" x14ac:dyDescent="0.25">
      <c r="A3" s="62" t="s">
        <v>47</v>
      </c>
      <c r="B3" s="2" t="s">
        <v>48</v>
      </c>
      <c r="C3" s="53">
        <v>0</v>
      </c>
      <c r="D3" s="12">
        <v>0</v>
      </c>
      <c r="E3" s="18">
        <f>C3*D3</f>
        <v>0</v>
      </c>
      <c r="F3" s="12">
        <v>0</v>
      </c>
      <c r="G3" s="12">
        <v>0</v>
      </c>
      <c r="H3" s="12">
        <v>0</v>
      </c>
      <c r="I3" s="54">
        <v>0</v>
      </c>
      <c r="J3" s="21">
        <v>0</v>
      </c>
      <c r="K3" s="18">
        <f>J3*I3</f>
        <v>0</v>
      </c>
      <c r="L3" s="13">
        <v>0</v>
      </c>
      <c r="M3" s="18">
        <f>SUM(E3,F3,G3,H3,K3,L3)</f>
        <v>0</v>
      </c>
      <c r="N3" s="22"/>
    </row>
    <row r="4" spans="1:14" s="22" customFormat="1" ht="38.25" x14ac:dyDescent="0.25">
      <c r="A4" s="63" t="s">
        <v>51</v>
      </c>
      <c r="B4" s="91" t="s">
        <v>52</v>
      </c>
      <c r="C4" s="64" t="s">
        <v>50</v>
      </c>
      <c r="D4" s="65"/>
      <c r="E4" s="65"/>
      <c r="F4" s="65"/>
      <c r="G4" s="65"/>
      <c r="H4" s="65"/>
      <c r="I4" s="65"/>
      <c r="J4" s="65"/>
      <c r="K4" s="65"/>
      <c r="L4" s="66"/>
      <c r="M4" s="18"/>
    </row>
    <row r="5" spans="1:14" s="22" customFormat="1" ht="38.25" x14ac:dyDescent="0.25">
      <c r="A5" s="63" t="s">
        <v>53</v>
      </c>
      <c r="B5" s="90" t="s">
        <v>54</v>
      </c>
      <c r="C5" s="67"/>
      <c r="D5" s="68"/>
      <c r="E5" s="68"/>
      <c r="F5" s="68"/>
      <c r="G5" s="68"/>
      <c r="H5" s="68"/>
      <c r="I5" s="68"/>
      <c r="J5" s="68"/>
      <c r="K5" s="68"/>
      <c r="L5" s="69"/>
      <c r="M5" s="18"/>
    </row>
    <row r="6" spans="1:14" s="22" customFormat="1" ht="37.5" customHeight="1" x14ac:dyDescent="0.25">
      <c r="A6" s="63" t="s">
        <v>55</v>
      </c>
      <c r="B6" s="90" t="s">
        <v>56</v>
      </c>
      <c r="C6" s="67"/>
      <c r="D6" s="68"/>
      <c r="E6" s="68"/>
      <c r="F6" s="68"/>
      <c r="G6" s="68"/>
      <c r="H6" s="68"/>
      <c r="I6" s="68"/>
      <c r="J6" s="68"/>
      <c r="K6" s="68"/>
      <c r="L6" s="69"/>
      <c r="M6" s="18"/>
    </row>
    <row r="7" spans="1:14" s="22" customFormat="1" ht="25.5" x14ac:dyDescent="0.25">
      <c r="A7" s="63" t="s">
        <v>57</v>
      </c>
      <c r="B7" s="90" t="s">
        <v>58</v>
      </c>
      <c r="C7" s="67"/>
      <c r="D7" s="68"/>
      <c r="E7" s="68"/>
      <c r="F7" s="68"/>
      <c r="G7" s="68"/>
      <c r="H7" s="68"/>
      <c r="I7" s="68"/>
      <c r="J7" s="68"/>
      <c r="K7" s="68"/>
      <c r="L7" s="69"/>
      <c r="M7" s="18"/>
    </row>
    <row r="8" spans="1:14" s="22" customFormat="1" ht="30" x14ac:dyDescent="0.25">
      <c r="A8" s="63" t="s">
        <v>59</v>
      </c>
      <c r="B8" s="92" t="s">
        <v>60</v>
      </c>
      <c r="C8" s="70"/>
      <c r="D8" s="71"/>
      <c r="E8" s="71"/>
      <c r="F8" s="71"/>
      <c r="G8" s="71"/>
      <c r="H8" s="71"/>
      <c r="I8" s="71"/>
      <c r="J8" s="71"/>
      <c r="K8" s="71"/>
      <c r="L8" s="72"/>
      <c r="M8" s="18"/>
    </row>
    <row r="9" spans="1:14" s="3" customFormat="1" ht="15" customHeight="1" x14ac:dyDescent="0.25">
      <c r="A9" s="14"/>
      <c r="B9" s="75" t="s">
        <v>13</v>
      </c>
      <c r="C9" s="76"/>
      <c r="D9" s="76"/>
      <c r="E9" s="76"/>
      <c r="F9" s="76"/>
      <c r="G9" s="76"/>
      <c r="H9" s="76"/>
      <c r="I9" s="76"/>
      <c r="J9" s="76"/>
      <c r="K9" s="76"/>
      <c r="L9" s="76"/>
      <c r="M9" s="30">
        <f>SUM(M3:M3)</f>
        <v>0</v>
      </c>
      <c r="N9" s="22"/>
    </row>
    <row r="10" spans="1:14" s="22" customFormat="1" ht="30" x14ac:dyDescent="0.25">
      <c r="A10" s="78" t="s">
        <v>14</v>
      </c>
      <c r="B10" s="78"/>
      <c r="C10" s="31" t="s">
        <v>15</v>
      </c>
      <c r="D10" s="32" t="s">
        <v>16</v>
      </c>
      <c r="E10" s="80"/>
      <c r="F10" s="81"/>
      <c r="G10" s="81"/>
      <c r="H10" s="81"/>
      <c r="I10" s="81"/>
      <c r="J10" s="81"/>
      <c r="K10" s="81"/>
      <c r="L10" s="81"/>
      <c r="M10" s="33"/>
    </row>
    <row r="11" spans="1:14" s="22" customFormat="1" x14ac:dyDescent="0.25">
      <c r="A11" s="79" t="s">
        <v>17</v>
      </c>
      <c r="B11" s="79"/>
      <c r="C11" s="25">
        <v>300</v>
      </c>
      <c r="D11" s="12">
        <v>0</v>
      </c>
      <c r="E11" s="82"/>
      <c r="F11" s="83"/>
      <c r="G11" s="83"/>
      <c r="H11" s="83"/>
      <c r="I11" s="83"/>
      <c r="J11" s="83"/>
      <c r="K11" s="83"/>
      <c r="L11" s="83"/>
      <c r="M11" s="27">
        <f>D11*C11</f>
        <v>0</v>
      </c>
    </row>
    <row r="12" spans="1:14" s="22" customFormat="1" x14ac:dyDescent="0.25">
      <c r="A12" s="79" t="s">
        <v>18</v>
      </c>
      <c r="B12" s="79"/>
      <c r="C12" s="18">
        <v>19425</v>
      </c>
      <c r="D12" s="52">
        <v>0</v>
      </c>
      <c r="E12" s="84"/>
      <c r="F12" s="85"/>
      <c r="G12" s="85"/>
      <c r="H12" s="85"/>
      <c r="I12" s="85"/>
      <c r="J12" s="85"/>
      <c r="K12" s="85"/>
      <c r="L12" s="86"/>
      <c r="M12" s="27">
        <f>IF(D12&gt;0,(1+D12)*C12,C12)</f>
        <v>19425</v>
      </c>
    </row>
    <row r="13" spans="1:14" s="22" customFormat="1" ht="15" customHeight="1" x14ac:dyDescent="0.25">
      <c r="A13" s="14"/>
      <c r="B13" s="75" t="s">
        <v>19</v>
      </c>
      <c r="C13" s="76"/>
      <c r="D13" s="76"/>
      <c r="E13" s="76"/>
      <c r="F13" s="76"/>
      <c r="G13" s="76"/>
      <c r="H13" s="76"/>
      <c r="I13" s="76"/>
      <c r="J13" s="76"/>
      <c r="K13" s="76"/>
      <c r="L13" s="77"/>
      <c r="M13" s="30">
        <f>SUM(M12,M11)</f>
        <v>19425</v>
      </c>
    </row>
    <row r="14" spans="1:14" s="22" customFormat="1" ht="15" customHeight="1" x14ac:dyDescent="0.25">
      <c r="A14" s="14"/>
      <c r="B14" s="75" t="s">
        <v>20</v>
      </c>
      <c r="C14" s="76"/>
      <c r="D14" s="76"/>
      <c r="E14" s="76"/>
      <c r="F14" s="76"/>
      <c r="G14" s="76"/>
      <c r="H14" s="76"/>
      <c r="I14" s="76"/>
      <c r="J14" s="76"/>
      <c r="K14" s="76"/>
      <c r="L14" s="77"/>
      <c r="M14" s="30">
        <f>SUM(M13,M9)</f>
        <v>19425</v>
      </c>
    </row>
    <row r="15" spans="1:14" s="19" customFormat="1" ht="15" customHeight="1" thickBot="1" x14ac:dyDescent="0.3">
      <c r="A15" s="23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9"/>
    </row>
    <row r="16" spans="1:14" s="19" customFormat="1" ht="15" customHeight="1" x14ac:dyDescent="0.25">
      <c r="B16" s="73" t="s">
        <v>21</v>
      </c>
      <c r="C16" s="74"/>
      <c r="D16" s="28"/>
      <c r="E16" s="28"/>
      <c r="F16" s="28"/>
      <c r="G16" s="28"/>
      <c r="H16" s="28"/>
      <c r="I16" s="28"/>
      <c r="J16" s="28"/>
      <c r="K16" s="28"/>
      <c r="L16" s="28"/>
      <c r="M16" s="29"/>
    </row>
    <row r="17" spans="1:14" s="19" customFormat="1" ht="15" customHeight="1" x14ac:dyDescent="0.25">
      <c r="B17" s="59" t="s">
        <v>22</v>
      </c>
      <c r="C17" s="60"/>
      <c r="D17" s="28"/>
      <c r="E17" s="28"/>
      <c r="F17" s="28"/>
      <c r="G17" s="28"/>
      <c r="H17" s="28"/>
      <c r="I17" s="28"/>
      <c r="J17" s="28"/>
      <c r="K17" s="28"/>
      <c r="L17" s="28"/>
      <c r="M17" s="29"/>
    </row>
    <row r="18" spans="1:14" s="19" customFormat="1" ht="15" customHeight="1" x14ac:dyDescent="0.25">
      <c r="B18" s="55" t="s">
        <v>23</v>
      </c>
      <c r="C18" s="56"/>
      <c r="D18" s="28"/>
      <c r="E18" s="28"/>
      <c r="F18" s="28"/>
      <c r="G18" s="28"/>
      <c r="H18" s="28"/>
      <c r="I18" s="28"/>
      <c r="J18" s="28"/>
      <c r="K18" s="28"/>
      <c r="L18" s="28"/>
      <c r="M18" s="29"/>
    </row>
    <row r="19" spans="1:14" s="19" customFormat="1" ht="15" customHeight="1" thickBot="1" x14ac:dyDescent="0.3">
      <c r="B19" s="57" t="s">
        <v>24</v>
      </c>
      <c r="C19" s="58"/>
      <c r="D19" s="28"/>
      <c r="E19" s="28"/>
      <c r="F19" s="28"/>
      <c r="G19" s="28"/>
      <c r="H19" s="28"/>
      <c r="I19" s="28"/>
      <c r="J19" s="28"/>
      <c r="K19" s="28"/>
      <c r="L19" s="28"/>
      <c r="M19" s="29"/>
    </row>
    <row r="20" spans="1:14" s="19" customFormat="1" ht="15" customHeight="1" x14ac:dyDescent="0.25">
      <c r="A20" s="23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</row>
    <row r="21" spans="1:14" x14ac:dyDescent="0.25">
      <c r="A21" s="15" t="s">
        <v>25</v>
      </c>
      <c r="B21" s="15"/>
      <c r="C21" s="15"/>
      <c r="D21" s="15"/>
      <c r="E21" s="15"/>
      <c r="F21" s="15"/>
      <c r="G21" s="15"/>
      <c r="H21" s="22"/>
      <c r="I21" s="15"/>
      <c r="J21" s="15"/>
      <c r="K21" s="15"/>
      <c r="L21" s="15"/>
      <c r="M21" s="15"/>
      <c r="N21" s="22"/>
    </row>
    <row r="22" spans="1:14" s="22" customFormat="1" x14ac:dyDescent="0.25">
      <c r="A22" s="15" t="s">
        <v>26</v>
      </c>
      <c r="B22" s="15"/>
      <c r="C22" s="15"/>
      <c r="D22" s="15"/>
      <c r="E22" s="15"/>
      <c r="F22" s="15"/>
      <c r="G22" s="15"/>
      <c r="I22" s="15"/>
      <c r="J22" s="15"/>
      <c r="K22" s="15"/>
      <c r="L22" s="15"/>
      <c r="M22" s="15"/>
    </row>
    <row r="23" spans="1:14" s="22" customFormat="1" x14ac:dyDescent="0.25">
      <c r="A23" s="15" t="s">
        <v>27</v>
      </c>
      <c r="B23" s="15"/>
      <c r="C23" s="15"/>
      <c r="D23" s="15"/>
      <c r="E23" s="15"/>
      <c r="F23" s="15"/>
      <c r="G23" s="15"/>
      <c r="I23" s="15"/>
      <c r="J23" s="15"/>
      <c r="K23" s="15"/>
      <c r="L23" s="15"/>
      <c r="M23" s="15"/>
    </row>
    <row r="24" spans="1:14" x14ac:dyDescent="0.25">
      <c r="A24" s="15" t="s">
        <v>28</v>
      </c>
      <c r="B24" s="15"/>
      <c r="C24" s="15"/>
      <c r="D24" s="15"/>
      <c r="E24" s="15"/>
      <c r="F24" s="15"/>
      <c r="G24" s="15"/>
      <c r="H24" s="22"/>
      <c r="I24" s="15"/>
      <c r="J24" s="15"/>
      <c r="K24" s="15"/>
      <c r="L24" s="15"/>
      <c r="M24" s="15"/>
      <c r="N24" s="22"/>
    </row>
    <row r="25" spans="1:14" x14ac:dyDescent="0.25">
      <c r="A25" s="15" t="s">
        <v>29</v>
      </c>
      <c r="B25" s="22"/>
      <c r="C25" s="22"/>
      <c r="H25" s="22"/>
      <c r="N25" s="22"/>
    </row>
    <row r="26" spans="1:14" x14ac:dyDescent="0.25">
      <c r="A26" s="16" t="s">
        <v>30</v>
      </c>
      <c r="B26" s="22"/>
      <c r="C26" s="22"/>
      <c r="H26" s="22"/>
      <c r="N26" s="22"/>
    </row>
    <row r="27" spans="1:14" x14ac:dyDescent="0.25">
      <c r="A27" s="16" t="s">
        <v>31</v>
      </c>
      <c r="B27" s="22"/>
      <c r="C27" s="22"/>
      <c r="E27" s="22"/>
      <c r="N27" s="22"/>
    </row>
  </sheetData>
  <mergeCells count="9">
    <mergeCell ref="C4:L8"/>
    <mergeCell ref="B16:C16"/>
    <mergeCell ref="B14:L14"/>
    <mergeCell ref="B9:L9"/>
    <mergeCell ref="B13:L13"/>
    <mergeCell ref="A10:B10"/>
    <mergeCell ref="A11:B11"/>
    <mergeCell ref="A12:B12"/>
    <mergeCell ref="E10:L12"/>
  </mergeCells>
  <pageMargins left="0.7" right="0.7" top="0.75" bottom="0.75" header="0.3" footer="0.3"/>
  <pageSetup paperSize="5" scale="47" fitToHeight="0" orientation="landscape" r:id="rId1"/>
  <ignoredErrors>
    <ignoredError sqref="A3:A4 A5:A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80" zoomScaleNormal="80" zoomScaleSheetLayoutView="80" workbookViewId="0">
      <pane ySplit="1" topLeftCell="A2" activePane="bottomLeft" state="frozen"/>
      <selection pane="bottomLeft" activeCell="H13" sqref="H13"/>
    </sheetView>
  </sheetViews>
  <sheetFormatPr defaultRowHeight="15" x14ac:dyDescent="0.25"/>
  <cols>
    <col min="1" max="1" width="49.28515625" style="26" bestFit="1" customWidth="1"/>
    <col min="2" max="2" width="19.28515625" style="26" bestFit="1" customWidth="1"/>
    <col min="3" max="3" width="13" style="26" bestFit="1" customWidth="1"/>
    <col min="4" max="4" width="14.85546875" style="26" customWidth="1"/>
    <col min="5" max="5" width="19.140625" style="26" bestFit="1" customWidth="1"/>
    <col min="6" max="6" width="27" style="26" bestFit="1" customWidth="1"/>
    <col min="7" max="8" width="17.42578125" style="36" bestFit="1" customWidth="1"/>
    <col min="9" max="9" width="15.5703125" style="36" customWidth="1"/>
    <col min="10" max="10" width="12.5703125" style="22" customWidth="1"/>
    <col min="11" max="11" width="21.5703125" style="22" customWidth="1"/>
    <col min="12" max="12" width="13" style="22" bestFit="1" customWidth="1"/>
    <col min="13" max="13" width="8.85546875" style="22" bestFit="1" customWidth="1"/>
    <col min="14" max="16384" width="9.140625" style="22"/>
  </cols>
  <sheetData>
    <row r="1" spans="1:9" ht="18.75" x14ac:dyDescent="0.3">
      <c r="A1" s="34" t="s">
        <v>32</v>
      </c>
      <c r="D1" s="35"/>
      <c r="E1" s="61" t="s">
        <v>33</v>
      </c>
      <c r="I1" s="37"/>
    </row>
    <row r="2" spans="1:9" s="38" customFormat="1" ht="15.75" customHeight="1" thickBot="1" x14ac:dyDescent="0.3">
      <c r="A2" s="26"/>
      <c r="B2" s="26"/>
      <c r="C2" s="26"/>
      <c r="D2" s="26"/>
      <c r="E2" s="26"/>
      <c r="F2" s="26"/>
      <c r="G2" s="36"/>
      <c r="H2" s="36"/>
      <c r="I2" s="36"/>
    </row>
    <row r="3" spans="1:9" ht="27.95" customHeight="1" thickBot="1" x14ac:dyDescent="0.3">
      <c r="A3" s="39" t="s">
        <v>34</v>
      </c>
      <c r="B3" s="39" t="s">
        <v>35</v>
      </c>
      <c r="C3" s="39" t="s">
        <v>36</v>
      </c>
      <c r="D3" s="39" t="s">
        <v>37</v>
      </c>
      <c r="E3" s="40" t="s">
        <v>38</v>
      </c>
      <c r="F3" s="41" t="s">
        <v>39</v>
      </c>
    </row>
    <row r="4" spans="1:9" ht="30" customHeight="1" x14ac:dyDescent="0.25">
      <c r="A4" s="42" t="s">
        <v>40</v>
      </c>
      <c r="B4" s="43"/>
      <c r="C4" s="43"/>
      <c r="D4" s="44"/>
      <c r="E4" s="45">
        <v>0</v>
      </c>
      <c r="F4" s="46">
        <f>D4*E4</f>
        <v>0</v>
      </c>
    </row>
    <row r="5" spans="1:9" ht="15.75" thickBot="1" x14ac:dyDescent="0.3"/>
    <row r="6" spans="1:9" ht="30.75" thickBot="1" x14ac:dyDescent="0.3">
      <c r="B6" s="39" t="s">
        <v>41</v>
      </c>
      <c r="C6" s="47" t="s">
        <v>42</v>
      </c>
      <c r="D6" s="48" t="s">
        <v>43</v>
      </c>
      <c r="E6" s="49" t="s">
        <v>44</v>
      </c>
      <c r="F6" s="48" t="s">
        <v>45</v>
      </c>
    </row>
    <row r="7" spans="1:9" ht="30" customHeight="1" x14ac:dyDescent="0.25">
      <c r="B7" s="44">
        <v>0</v>
      </c>
      <c r="C7" s="44">
        <v>0</v>
      </c>
      <c r="D7" s="44">
        <v>0</v>
      </c>
      <c r="E7" s="50">
        <v>0</v>
      </c>
      <c r="F7" s="46">
        <f>B7+C7+D7+E7</f>
        <v>0</v>
      </c>
    </row>
    <row r="8" spans="1:9" ht="15.75" thickBot="1" x14ac:dyDescent="0.3"/>
    <row r="9" spans="1:9" ht="21" customHeight="1" thickBot="1" x14ac:dyDescent="0.3">
      <c r="B9" s="87" t="s">
        <v>46</v>
      </c>
      <c r="C9" s="88"/>
      <c r="D9" s="88"/>
      <c r="E9" s="89"/>
      <c r="F9" s="51">
        <f>F4+F7</f>
        <v>0</v>
      </c>
    </row>
    <row r="11" spans="1:9" ht="27.95" customHeight="1" x14ac:dyDescent="0.25"/>
  </sheetData>
  <mergeCells count="1">
    <mergeCell ref="B9:E9"/>
  </mergeCells>
  <pageMargins left="0.7" right="0.7" top="0.75" bottom="0.75" header="0.3" footer="0.3"/>
  <pageSetup scale="55" fitToWidth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fe2c5c0-2f03-4d54-9d97-2b7ca5ed0596">
      <Terms xmlns="http://schemas.microsoft.com/office/infopath/2007/PartnerControls"/>
    </lcf76f155ced4ddcb4097134ff3c332f>
    <TaxCatchAll xmlns="5d84b183-8b05-4a94-8c02-27d0921eb529" xsi:nil="true"/>
    <_dlc_DocId xmlns="5d84b183-8b05-4a94-8c02-27d0921eb529">HFTMTEH5WA3R-2133879570-3937868</_dlc_DocId>
    <_dlc_DocIdUrl xmlns="5d84b183-8b05-4a94-8c02-27d0921eb529">
      <Url>https://flankspeed.sharepoint-mil.us/sites/NAVSUP_FLCSI_C200_Naples/_layouts/15/DocIdRedir.aspx?ID=HFTMTEH5WA3R-2133879570-3937868</Url>
      <Description>HFTMTEH5WA3R-2133879570-3937868</Description>
    </_dlc_DocIdUrl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814C8B0878B44A3454517B2DAC93F" ma:contentTypeVersion="15" ma:contentTypeDescription="Create a new document." ma:contentTypeScope="" ma:versionID="f688bb4da2efaf286d2c50c81fa3801e">
  <xsd:schema xmlns:xsd="http://www.w3.org/2001/XMLSchema" xmlns:xs="http://www.w3.org/2001/XMLSchema" xmlns:p="http://schemas.microsoft.com/office/2006/metadata/properties" xmlns:ns1="http://schemas.microsoft.com/sharepoint/v3" xmlns:ns2="5d84b183-8b05-4a94-8c02-27d0921eb529" xmlns:ns3="ffe2c5c0-2f03-4d54-9d97-2b7ca5ed0596" targetNamespace="http://schemas.microsoft.com/office/2006/metadata/properties" ma:root="true" ma:fieldsID="a9aa0006e46c2db80442b2e86776a0b5" ns1:_="" ns2:_="" ns3:_="">
    <xsd:import namespace="http://schemas.microsoft.com/sharepoint/v3"/>
    <xsd:import namespace="5d84b183-8b05-4a94-8c02-27d0921eb529"/>
    <xsd:import namespace="ffe2c5c0-2f03-4d54-9d97-2b7ca5ed059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4b183-8b05-4a94-8c02-27d0921eb5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0edd4812-ad38-4666-be06-732481288bb5}" ma:internalName="TaxCatchAll" ma:showField="CatchAllData" ma:web="5d84b183-8b05-4a94-8c02-27d0921eb5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2c5c0-2f03-4d54-9d97-2b7ca5ed0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FF1819-9DDB-439B-A60B-22D755F238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DBBD13-F1EC-4D12-95B7-61F79E2D2A2A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5d84b183-8b05-4a94-8c02-27d0921eb529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fe2c5c0-2f03-4d54-9d97-2b7ca5ed059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BBDB33D-DBAE-4DBB-BC77-40B6AC61A4C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F92B823-B787-41B4-8B97-A5E221A633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84b183-8b05-4a94-8c02-27d0921eb529"/>
    <ds:schemaRef ds:uri="ffe2c5c0-2f03-4d54-9d97-2b7ca5ed05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J-1 PRICE BREAKDOWN</vt:lpstr>
      <vt:lpstr>J-1 TRAVEL EXPENSES BREAKDOWN</vt:lpstr>
      <vt:lpstr>'J-1 TRAVEL EXPENSES BREAKDOWN'!Print_Area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Corbin, Robert L CIV PSNS&amp;IMF, Code 411</dc:creator>
  <cp:keywords/>
  <dc:description/>
  <cp:lastModifiedBy>Saggese, Carmelita  CIV USN NAVSUP FLCSI NAPLES IT</cp:lastModifiedBy>
  <cp:revision/>
  <dcterms:created xsi:type="dcterms:W3CDTF">2016-03-24T20:53:34Z</dcterms:created>
  <dcterms:modified xsi:type="dcterms:W3CDTF">2026-02-25T09:09:37Z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0x010100F6D814C8B0878B44A3454517B2DAC93F</vt:lpwstr>
  </property>
  <property fmtid="{D5CDD505-2E9C-101B-9397-08002B2CF9AE}" pid="3" name="Order">
    <vt:r8>4843600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  <property fmtid="{D5CDD505-2E9C-101B-9397-08002B2CF9AE}" pid="11" name="_dlc_DocIdItemGuid">
    <vt:lpwstr>a94dc9d3-a61c-400d-bf44-06f84613eb27</vt:lpwstr>
  </property>
</Properties>
</file>