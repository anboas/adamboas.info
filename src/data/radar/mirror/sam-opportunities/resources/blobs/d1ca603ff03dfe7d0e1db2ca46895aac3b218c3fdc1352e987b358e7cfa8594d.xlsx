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1623577216C\Downloads\"/>
    </mc:Choice>
  </mc:AlternateContent>
  <xr:revisionPtr revIDLastSave="0" documentId="8_{D19E8006-88E1-4344-BE18-2DE309BF500E}" xr6:coauthVersionLast="47" xr6:coauthVersionMax="47" xr10:uidLastSave="{00000000-0000-0000-0000-000000000000}"/>
  <bookViews>
    <workbookView xWindow="28680" yWindow="90" windowWidth="29040" windowHeight="15510" activeTab="1" xr2:uid="{00000000-000D-0000-FFFF-FFFF00000000}"/>
  </bookViews>
  <sheets>
    <sheet name="Instructions" sheetId="17" r:id="rId1"/>
    <sheet name="Self Score Sheet" sheetId="14" r:id="rId2"/>
    <sheet name="Sheet1" sheetId="18" r:id="rId3"/>
  </sheets>
  <definedNames>
    <definedName name="_xlnm.Print_Area" localSheetId="1">'Self Score Sheet'!$A:$L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 i="14" l="1"/>
  <c r="G88" i="14"/>
  <c r="G77" i="14"/>
  <c r="G66" i="14"/>
  <c r="G55" i="14"/>
  <c r="E99" i="14"/>
  <c r="E88" i="14"/>
  <c r="E77" i="14"/>
  <c r="E66" i="14"/>
  <c r="E55" i="14"/>
  <c r="F35" i="14"/>
  <c r="F34" i="14"/>
  <c r="F29" i="14"/>
  <c r="J20" i="18" s="1"/>
  <c r="F27" i="14"/>
  <c r="F26" i="14"/>
  <c r="J18" i="18" s="1"/>
  <c r="F25" i="14"/>
  <c r="J17" i="18" s="1"/>
  <c r="F24" i="14"/>
  <c r="J16" i="18" s="1"/>
  <c r="F23" i="14"/>
  <c r="J15" i="18" s="1"/>
  <c r="F22" i="14"/>
  <c r="F21" i="14"/>
  <c r="J13" i="18" s="1"/>
  <c r="F20" i="14"/>
  <c r="F17" i="14"/>
  <c r="J11" i="18" s="1"/>
  <c r="F16" i="14"/>
  <c r="F15" i="14"/>
  <c r="J9" i="18" s="1"/>
  <c r="F14" i="14"/>
  <c r="J8" i="18" s="1"/>
  <c r="F13" i="14"/>
  <c r="F12" i="14"/>
  <c r="J6" i="18" s="1"/>
  <c r="F11" i="14"/>
  <c r="J5" i="18" s="1"/>
  <c r="F10" i="14"/>
  <c r="J4" i="18" s="1"/>
  <c r="F9" i="14"/>
  <c r="J3" i="18" s="1"/>
  <c r="F8" i="14"/>
  <c r="J97" i="14"/>
  <c r="J96" i="14"/>
  <c r="J95" i="14"/>
  <c r="J94" i="14"/>
  <c r="J93" i="14"/>
  <c r="J86" i="14"/>
  <c r="J85" i="14"/>
  <c r="J84" i="14"/>
  <c r="J83" i="14"/>
  <c r="J82" i="14"/>
  <c r="J75" i="14"/>
  <c r="J74" i="14"/>
  <c r="J73" i="14"/>
  <c r="J72" i="14"/>
  <c r="J71" i="14"/>
  <c r="J64" i="14"/>
  <c r="J63" i="14"/>
  <c r="J62" i="14"/>
  <c r="J61" i="14"/>
  <c r="J60" i="14"/>
  <c r="J53" i="14"/>
  <c r="J52" i="14"/>
  <c r="J51" i="14"/>
  <c r="J50" i="14"/>
  <c r="J49" i="14"/>
  <c r="C98" i="14"/>
  <c r="F6" i="18" s="1"/>
  <c r="G6" i="18" s="1"/>
  <c r="C87" i="14"/>
  <c r="F5" i="18" s="1"/>
  <c r="C76" i="14"/>
  <c r="F4" i="18" s="1"/>
  <c r="C65" i="14"/>
  <c r="F3" i="18" s="1"/>
  <c r="C54" i="14"/>
  <c r="F2" i="18" s="1"/>
  <c r="J19" i="18"/>
  <c r="J14" i="18"/>
  <c r="J12" i="18"/>
  <c r="J10" i="18"/>
  <c r="J7" i="18"/>
  <c r="J2" i="18"/>
  <c r="K17" i="18" l="1"/>
  <c r="L17" i="18" s="1"/>
  <c r="J54" i="14"/>
  <c r="K4" i="18"/>
  <c r="L4" i="18" s="1"/>
  <c r="K12" i="18"/>
  <c r="L12" i="18" s="1"/>
  <c r="K20" i="18"/>
  <c r="L20" i="18" s="1"/>
  <c r="K18" i="18"/>
  <c r="L18" i="18" s="1"/>
  <c r="K3" i="18"/>
  <c r="L3" i="18" s="1"/>
  <c r="K5" i="18"/>
  <c r="L5" i="18" s="1"/>
  <c r="K13" i="18"/>
  <c r="L13" i="18" s="1"/>
  <c r="K10" i="18"/>
  <c r="L10" i="18" s="1"/>
  <c r="K19" i="18"/>
  <c r="L19" i="18" s="1"/>
  <c r="K6" i="18"/>
  <c r="L6" i="18" s="1"/>
  <c r="K14" i="18"/>
  <c r="L14" i="18" s="1"/>
  <c r="K7" i="18"/>
  <c r="L7" i="18" s="1"/>
  <c r="K15" i="18"/>
  <c r="L15" i="18" s="1"/>
  <c r="K8" i="18"/>
  <c r="L8" i="18" s="1"/>
  <c r="K16" i="18"/>
  <c r="L16" i="18" s="1"/>
  <c r="K2" i="18"/>
  <c r="L2" i="18" s="1"/>
  <c r="K11" i="18"/>
  <c r="L11" i="18" s="1"/>
  <c r="K9" i="18"/>
  <c r="L9" i="18" s="1"/>
  <c r="G2" i="18"/>
  <c r="G4" i="18"/>
  <c r="G3" i="18"/>
  <c r="G5" i="18"/>
  <c r="J77" i="14" l="1"/>
  <c r="H23" i="14" l="1"/>
  <c r="L23" i="14" s="1"/>
  <c r="C99" i="14"/>
  <c r="C88" i="14"/>
  <c r="C77" i="14"/>
  <c r="C66" i="14"/>
  <c r="C55" i="14"/>
  <c r="D31" i="14"/>
  <c r="E31" i="14"/>
  <c r="G9" i="14"/>
  <c r="K23" i="14"/>
  <c r="J23" i="14"/>
  <c r="J98" i="14" l="1"/>
  <c r="C42" i="14"/>
  <c r="K35" i="14"/>
  <c r="G35" i="14"/>
  <c r="J35" i="14" s="1"/>
  <c r="K34" i="14"/>
  <c r="G34" i="14"/>
  <c r="H34" i="14" s="1"/>
  <c r="L34" i="14" s="1"/>
  <c r="F31" i="14"/>
  <c r="K29" i="14"/>
  <c r="G29" i="14"/>
  <c r="K27" i="14"/>
  <c r="K26" i="14"/>
  <c r="K25" i="14"/>
  <c r="K24" i="14"/>
  <c r="K22" i="14"/>
  <c r="K21" i="14"/>
  <c r="K20" i="14"/>
  <c r="K17" i="14"/>
  <c r="K16" i="14"/>
  <c r="K15" i="14"/>
  <c r="K14" i="14"/>
  <c r="K13" i="14"/>
  <c r="K12" i="14"/>
  <c r="K11" i="14"/>
  <c r="K10" i="14"/>
  <c r="K9" i="14"/>
  <c r="K8" i="14"/>
  <c r="J99" i="14" l="1"/>
  <c r="I99" i="14"/>
  <c r="J29" i="14"/>
  <c r="J34" i="14"/>
  <c r="H35" i="14"/>
  <c r="L35" i="14" s="1"/>
  <c r="G17" i="14" l="1"/>
  <c r="G16" i="14"/>
  <c r="G15" i="14"/>
  <c r="G14" i="14"/>
  <c r="G13" i="14"/>
  <c r="G12" i="14"/>
  <c r="G11" i="14"/>
  <c r="G27" i="14"/>
  <c r="G26" i="14"/>
  <c r="G25" i="14"/>
  <c r="G24" i="14"/>
  <c r="H27" i="14" l="1"/>
  <c r="L27" i="14" s="1"/>
  <c r="J27" i="14"/>
  <c r="H26" i="14"/>
  <c r="L26" i="14" s="1"/>
  <c r="J26" i="14"/>
  <c r="H25" i="14"/>
  <c r="L25" i="14" s="1"/>
  <c r="J25" i="14"/>
  <c r="H24" i="14"/>
  <c r="L24" i="14" s="1"/>
  <c r="J24" i="14"/>
  <c r="H17" i="14"/>
  <c r="L17" i="14" s="1"/>
  <c r="J17" i="14"/>
  <c r="H16" i="14"/>
  <c r="L16" i="14" s="1"/>
  <c r="J16" i="14"/>
  <c r="H15" i="14"/>
  <c r="L15" i="14" s="1"/>
  <c r="J15" i="14"/>
  <c r="H14" i="14"/>
  <c r="L14" i="14" s="1"/>
  <c r="J14" i="14"/>
  <c r="H13" i="14"/>
  <c r="L13" i="14" s="1"/>
  <c r="J13" i="14"/>
  <c r="H12" i="14"/>
  <c r="L12" i="14" s="1"/>
  <c r="J12" i="14"/>
  <c r="H11" i="14"/>
  <c r="L11" i="14" s="1"/>
  <c r="J11" i="14"/>
  <c r="G22" i="14"/>
  <c r="G21" i="14"/>
  <c r="H22" i="14" l="1"/>
  <c r="L22" i="14" s="1"/>
  <c r="J22" i="14"/>
  <c r="H21" i="14"/>
  <c r="L21" i="14" s="1"/>
  <c r="J21" i="14"/>
  <c r="G20" i="14"/>
  <c r="G10" i="14"/>
  <c r="H20" i="14" l="1"/>
  <c r="L20" i="14" s="1"/>
  <c r="J20" i="14"/>
  <c r="H10" i="14"/>
  <c r="L10" i="14" s="1"/>
  <c r="J10" i="14"/>
  <c r="H9" i="14"/>
  <c r="J9" i="14"/>
  <c r="L9" i="14" l="1"/>
  <c r="H29" i="14"/>
  <c r="G8" i="14"/>
  <c r="L29" i="14" l="1"/>
  <c r="J8" i="14"/>
  <c r="H8" i="14"/>
  <c r="L8" i="14" l="1"/>
  <c r="D40" i="14" s="1"/>
  <c r="J65" i="14"/>
  <c r="I66" i="14" l="1"/>
  <c r="J66" i="14" s="1"/>
  <c r="J76" i="14"/>
  <c r="I77" i="14" l="1"/>
  <c r="J87" i="14"/>
  <c r="I55" i="14"/>
  <c r="J55" i="14" s="1"/>
  <c r="I88" i="14" l="1"/>
  <c r="J88" i="14"/>
  <c r="D41" i="14" s="1"/>
  <c r="D42" i="14" l="1"/>
  <c r="D43" i="14" s="1"/>
</calcChain>
</file>

<file path=xl/sharedStrings.xml><?xml version="1.0" encoding="utf-8"?>
<sst xmlns="http://schemas.openxmlformats.org/spreadsheetml/2006/main" count="230" uniqueCount="123">
  <si>
    <t>Instructions</t>
  </si>
  <si>
    <r>
      <t xml:space="preserve">OFFEROR NAME: </t>
    </r>
    <r>
      <rPr>
        <b/>
        <sz val="14"/>
        <color theme="3" tint="0.39997558519241921"/>
        <rFont val="Times New Roman"/>
        <family val="1"/>
      </rPr>
      <t>[FILL IN OFFEROR NAME HERE]</t>
    </r>
  </si>
  <si>
    <t>Section L Paragraph</t>
  </si>
  <si>
    <t xml:space="preserve">Category                                           </t>
  </si>
  <si>
    <t>Maximum Self-Score Points</t>
  </si>
  <si>
    <t>Self-Score Point Multiplication Factor</t>
  </si>
  <si>
    <t xml:space="preserve">Offeror is only to input data into the yellow cells. </t>
  </si>
  <si>
    <t>Offeror's Final Self Score</t>
  </si>
  <si>
    <r>
      <t>Government</t>
    </r>
    <r>
      <rPr>
        <b/>
        <sz val="12"/>
        <rFont val="Times New Roman"/>
        <family val="1"/>
      </rPr>
      <t>-V</t>
    </r>
    <r>
      <rPr>
        <b/>
        <sz val="12"/>
        <color theme="1"/>
        <rFont val="Times New Roman"/>
        <family val="1"/>
      </rPr>
      <t>alidated Score</t>
    </r>
  </si>
  <si>
    <t>Project Management, Development, and Design</t>
  </si>
  <si>
    <t>Mechanical Systems</t>
  </si>
  <si>
    <t>Electrical Systems</t>
  </si>
  <si>
    <t>Facility Renovations</t>
  </si>
  <si>
    <t xml:space="preserve">High pressure duct/piping and valves (≥ 4" Ø, ≥ 4,000psig) </t>
  </si>
  <si>
    <t>Large pressure vessels (≥ 2000psig; ≥ 10K gallons)</t>
  </si>
  <si>
    <t>Desiccant bed air dryers (≤ 300psia and ≥ 200lb/s)</t>
  </si>
  <si>
    <t>Cooling water/raw water pumps (10,000-50,000gpm)</t>
  </si>
  <si>
    <t>Turning vanes for large air ducting (≥ 30ft Ø, 0.5-160psia)</t>
  </si>
  <si>
    <t>Cooling water/raw water filters/strainers, valves (control/process) and distribution lines (≥ 36” Ø)</t>
  </si>
  <si>
    <t>Variable frequency drives for motors (≥ 1000V)</t>
  </si>
  <si>
    <t>Facility Wide Lightning Protection Systems (Facility ≥ 5,000SF)</t>
  </si>
  <si>
    <t>Medium Voltage gas insulated switchgear (≥ 1kV and ≤  35kV)</t>
  </si>
  <si>
    <t>Medium Voltage unit substations (≥ 1kV and ≤  35kV)</t>
  </si>
  <si>
    <t>Hydraulic Systems with high flow and pressure requirements (≥ 100gpm, ≥2000psig)</t>
  </si>
  <si>
    <t>Large Steam Boilers (≥50kpph)</t>
  </si>
  <si>
    <t>CPAR Ratings</t>
  </si>
  <si>
    <t>Exceptional</t>
  </si>
  <si>
    <t>Very Good</t>
  </si>
  <si>
    <t>Satisfactory</t>
  </si>
  <si>
    <t>Marginal</t>
  </si>
  <si>
    <t>Unsatisfactory</t>
  </si>
  <si>
    <t>Subsection Associated with Project</t>
  </si>
  <si>
    <t>Project 1</t>
  </si>
  <si>
    <t>Contract Title</t>
  </si>
  <si>
    <t>Select from Dropdown</t>
  </si>
  <si>
    <t>Quality</t>
  </si>
  <si>
    <t>Management</t>
  </si>
  <si>
    <t>Cost Control</t>
  </si>
  <si>
    <t>Small Business Subcontracting</t>
  </si>
  <si>
    <t>Regulatory Compliance</t>
  </si>
  <si>
    <t>Total Score from Provided Ratings</t>
  </si>
  <si>
    <t>Year</t>
  </si>
  <si>
    <t>Subsections</t>
  </si>
  <si>
    <t>N/A</t>
  </si>
  <si>
    <t>Associated Score</t>
  </si>
  <si>
    <t>""</t>
  </si>
  <si>
    <t>Project 2</t>
  </si>
  <si>
    <t>Project 5</t>
  </si>
  <si>
    <t>Project 4</t>
  </si>
  <si>
    <t>Project 3</t>
  </si>
  <si>
    <t>Offeror's Weighted Score before Bonus</t>
  </si>
  <si>
    <t>Total dollar value of construction services projects supporting DoD Installations.</t>
  </si>
  <si>
    <t>Did Offeror Receive "CPAR For All Categories" Bonus, Points Awarded</t>
  </si>
  <si>
    <t>Average</t>
  </si>
  <si>
    <t>Project Details from Above Subsections</t>
  </si>
  <si>
    <t xml:space="preserve">Unweighted Score </t>
  </si>
  <si>
    <t>Weighted Score</t>
  </si>
  <si>
    <t>Bonus Awarded</t>
  </si>
  <si>
    <t>Schedule</t>
  </si>
  <si>
    <t>Total Self-Score Points</t>
  </si>
  <si>
    <t>WS Number/Project Title</t>
  </si>
  <si>
    <t>M1</t>
  </si>
  <si>
    <t>M2</t>
  </si>
  <si>
    <t>M3</t>
  </si>
  <si>
    <t>M4</t>
  </si>
  <si>
    <t>M5</t>
  </si>
  <si>
    <t>M6</t>
  </si>
  <si>
    <t>M7</t>
  </si>
  <si>
    <t>M8</t>
  </si>
  <si>
    <t>M9</t>
  </si>
  <si>
    <t>M10</t>
  </si>
  <si>
    <t>E1</t>
  </si>
  <si>
    <t>E2</t>
  </si>
  <si>
    <t>E3</t>
  </si>
  <si>
    <t>E4</t>
  </si>
  <si>
    <t>E5</t>
  </si>
  <si>
    <t>E6</t>
  </si>
  <si>
    <t>E7</t>
  </si>
  <si>
    <t>Medium Voltage ducting/vaults/cables (≥ 1kV and ≤  35kV), more than 500 linear feet</t>
  </si>
  <si>
    <t>Air Duct, expansion joints and control/process valves (≥ 36" Ø and 150psig)</t>
  </si>
  <si>
    <t xml:space="preserve">Number of Work Samples that include all labor, materials, equipment, transportation, supervision, and quality control to repair, repair by replace, or installation of the following systems: </t>
  </si>
  <si>
    <t>1. Only input data into the yellow cells of the Self Score Sheet tab.</t>
  </si>
  <si>
    <t>E8</t>
  </si>
  <si>
    <t>High Voltage ducting/vaults/cables (&gt;35kV), more than 500 linear feet</t>
  </si>
  <si>
    <t>Oil or gas circuit breakers (≥ 1000 amp and ≥ 500kV)</t>
  </si>
  <si>
    <t>High Voltage transformers (&gt; 35kV)</t>
  </si>
  <si>
    <t>Chillers and Refrigeration equipment, project sum (≥1,000 refrigeration tons)</t>
  </si>
  <si>
    <t>Acceptable Input (1-60/1-20)</t>
  </si>
  <si>
    <t>3.2.2.1</t>
  </si>
  <si>
    <t>3.2.2.2</t>
  </si>
  <si>
    <t>3.2.2.3</t>
  </si>
  <si>
    <t>3.2.2.4</t>
  </si>
  <si>
    <t>3.2.2.5</t>
  </si>
  <si>
    <t>3.2.2.6</t>
  </si>
  <si>
    <t>Total number of design and construction services on a single contract/TO.</t>
  </si>
  <si>
    <t>Offeror's Bonus Score based off CPARS Data (CPARS Sections Below)</t>
  </si>
  <si>
    <t>CPARS/CPARS Equivalent Data Submission</t>
  </si>
  <si>
    <t>Weight Factor</t>
  </si>
  <si>
    <t>Single Project Weighted Score</t>
  </si>
  <si>
    <t xml:space="preserve">Max Weighted Score </t>
  </si>
  <si>
    <r>
      <t xml:space="preserve">Draft Attachment L-4 HTRO Scoring </t>
    </r>
    <r>
      <rPr>
        <b/>
        <sz val="14"/>
        <rFont val="Times New Roman"/>
        <family val="1"/>
      </rPr>
      <t>Matrix</t>
    </r>
  </si>
  <si>
    <t>FA9101-26-R-B011</t>
  </si>
  <si>
    <t>FARM III</t>
  </si>
  <si>
    <t>Number of Work Samples that include all labor, materials, equipment, transportation, supervision, and quality control to execute a construction service contract by repairing, repair by replacing, or installing at least 5 of 7 Elements listed below: 
-Facility HVAC will include at least 4 of the following items: chillers, Air Handler Units, ducting, boilers,  refrigerant/refrigerant lines, condensers, and compressors
-Facility Fire protection will include at least 3 of the following items: sprinkler systems, heat/smoke detectors, pull stations, fire alarm control panels, notification systems
-Facility Electrical systems will include at least 4 of the following items: facility transformers, power panels, bus bars, circuit breakers/fuses, conduit/conductors, lights/wall plugs, and grounding systems
-Facility Exterior components will include at least 2 of the following items: roofing systems, exterior cladding, windows/doors, and insulation  
-Facility Plumbing systems will include at least 2 of the following items: potable water piping/fittings, sewage piping/fittings, venting, and fixtures
-Facility Communications Systems will include at least 2 of the following items: hardware replacement withing telecommunication rooms/closets, cabling within the facility, wireless network systems, public address systems, and uninterruptible power supplies (UPS)
-Interior Finishes will include at least 3 of the following items: finished flooring, drywall (or other typical wall material) installation/repair, painting, wall paper/coverings, suspended ceiling systems, and systems furniture</t>
  </si>
  <si>
    <t>Offeror's Weighted Score Before CPARS Bonus (Column J Sum)</t>
  </si>
  <si>
    <t>Offeror Self-Score Points: Work performed by Teaming Subcontractor (1-4, 1-5)</t>
  </si>
  <si>
    <t xml:space="preserve">Offeror Proposed Total Self-Score Points                    </t>
  </si>
  <si>
    <t>CPARS Potential Criteria</t>
  </si>
  <si>
    <t>CPARS Criteria Selected</t>
  </si>
  <si>
    <t>Check</t>
  </si>
  <si>
    <t>2. Please insert Offeror's name on Row 4.</t>
  </si>
  <si>
    <t>4. Sum of Work Samples submitted for each Subcategory cannot break the max allowable points (Column F must be less than or equal to Column C for each subcategory).</t>
  </si>
  <si>
    <t xml:space="preserve">5. An Offeror may account for a sum of 20 points across the first three Categories: 3.2.2.1 Mechanical Systems, 3.2.2.2 Electrical Systems, and 3.2.2.3 Facility Renovations.  Please note that points are referencing the value placed by the Offeror in columns D&amp;E, not the score calculated from those entries.  </t>
  </si>
  <si>
    <t>7. All Offerors are to fill in the Project Management, Development, and Design Category (3.2.2.4 and 3.2.2.5) based off the projects/work samples submitted for sections 3.2.2.1-3.2.2.3.</t>
  </si>
  <si>
    <t>11. If an Offeror is able to submit at least one CPARS/CPARS Equivalent response for each of the first three Categories (3.2.2.1 Mechanical Systems, 3.2.2.2 Electrical Systems, 3.2.2.3 Facility Renovations), then the Offeror will receive a double bonus, doubling the points received for all CPAR submissions.</t>
  </si>
  <si>
    <t>10. Points allotted from CPARS/CPARS Equivalent data are considered a bonus score; each entry will produce a calculated percentage bonus based off of the specific Subcategory it is associated with and the Offeror's ratings.</t>
  </si>
  <si>
    <t>Offeror's Initial Unweighted Score</t>
  </si>
  <si>
    <t>Offeror Self-Score Points: Work performed by Prime              (1-4, 1-5)</t>
  </si>
  <si>
    <t>Total Sum of Self-Score Points Selected for Mechanical Systems, Electrical Systems, and Facility Renovation cannot be greater than 20.
Total Sum of Teaming Subcontractor Points (Cell E31) cannot be greater than Total Sum of the Prime's Points (Cell D31).</t>
  </si>
  <si>
    <t>3. Offeror shall fill in Column D "Offeror Self-Score Points: Work performed by Prime"  and Column E "Offeror Self-Score Points: Work performed by Teaming Subcontractor" for the first 5 Categories, 3.2.2.1-3.2.2.5.</t>
  </si>
  <si>
    <t>6. The total number of Work Samples submitted on behalf of a Teaming Subcontractor must be less than or equal to the number of Work Samples submitted for work performed by the Prime (Cell E31 must be less than or equal to Cell D31).</t>
  </si>
  <si>
    <t>8. All Offerors are encouraged to fill out the CPARS/CPARS Equivalent Data Submission Category (3.2.2.6), columns A-I, based off the projects/work samples submitted from Categories 3.2.2.1-3.2.2.3.</t>
  </si>
  <si>
    <t>9. Offerors are allotted a maximum of five CPARS/CPARS Equivalent submissions (3.2.2.6).  It is up to the Offeror to determine best score feasible with the available five submissions. Note that the number of subcontractor CPAR submissions must be less than or equal to the number of CPARs submitted for the Prime.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</si>
</sst>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Times New Roman"/>
      <family val="1"/>
    </font>
    <font>
      <b/>
      <sz val="14"/>
      <color theme="1"/>
      <name val="Times New Roman"/>
      <family val="1"/>
    </font>
    <font>
      <b/>
      <sz val="14"/>
      <color theme="3" tint="0.39997558519241921"/>
      <name val="Times New Roman"/>
      <family val="1"/>
    </font>
    <font>
      <sz val="11"/>
      <name val="Times New Roman"/>
      <family val="1"/>
    </font>
    <font>
      <b/>
      <sz val="14"/>
      <name val="Times New Roman"/>
      <family val="1"/>
    </font>
    <font>
      <sz val="12"/>
      <color theme="1"/>
      <name val="Times New Roman"/>
      <family val="1"/>
    </font>
    <font>
      <b/>
      <sz val="12"/>
      <color theme="4" tint="-0.249977111117893"/>
      <name val="Times New Roman"/>
      <family val="1"/>
    </font>
    <font>
      <b/>
      <i/>
      <sz val="12"/>
      <color theme="4" tint="-0.249977111117893"/>
      <name val="Times New Roman"/>
      <family val="1"/>
    </font>
    <font>
      <b/>
      <sz val="12"/>
      <name val="Times New Roman"/>
      <family val="1"/>
    </font>
    <font>
      <b/>
      <sz val="12"/>
      <color theme="1"/>
      <name val="Times New Roman"/>
      <family val="1"/>
    </font>
    <font>
      <sz val="11"/>
      <color rgb="FF000000"/>
      <name val="Times New Roman"/>
      <family val="1"/>
    </font>
    <font>
      <b/>
      <sz val="11"/>
      <color theme="1"/>
      <name val="Times New Roman"/>
      <family val="1"/>
    </font>
    <font>
      <b/>
      <sz val="16"/>
      <color theme="1"/>
      <name val="Times New Roman"/>
      <family val="1"/>
    </font>
    <font>
      <sz val="11"/>
      <color theme="1"/>
      <name val="Calibri"/>
      <family val="2"/>
      <scheme val="minor"/>
    </font>
    <font>
      <sz val="12"/>
      <name val="Times New Roman"/>
      <family val="1"/>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1"/>
        <bgColor indexed="64"/>
      </patternFill>
    </fill>
    <fill>
      <patternFill patternType="solid">
        <fgColor theme="7" tint="0.59999389629810485"/>
        <bgColor indexed="64"/>
      </patternFill>
    </fill>
    <fill>
      <patternFill patternType="solid">
        <fgColor theme="9"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thin">
        <color indexed="64"/>
      </right>
      <top/>
      <bottom/>
      <diagonal/>
    </border>
    <border>
      <left style="medium">
        <color indexed="64"/>
      </left>
      <right style="thin">
        <color indexed="64"/>
      </right>
      <top/>
      <bottom/>
      <diagonal/>
    </border>
    <border>
      <left style="thin">
        <color indexed="64"/>
      </left>
      <right style="medium">
        <color rgb="FF000000"/>
      </right>
      <top/>
      <bottom/>
      <diagonal/>
    </border>
    <border>
      <left style="medium">
        <color rgb="FF000000"/>
      </left>
      <right style="medium">
        <color indexed="64"/>
      </right>
      <top style="medium">
        <color rgb="FF000000"/>
      </top>
      <bottom/>
      <diagonal/>
    </border>
    <border>
      <left/>
      <right style="thin">
        <color indexed="64"/>
      </right>
      <top style="medium">
        <color rgb="FF000000"/>
      </top>
      <bottom/>
      <diagonal/>
    </border>
    <border>
      <left/>
      <right/>
      <top style="medium">
        <color rgb="FF000000"/>
      </top>
      <bottom/>
      <diagonal/>
    </border>
    <border>
      <left style="medium">
        <color indexed="64"/>
      </left>
      <right style="thin">
        <color indexed="64"/>
      </right>
      <top style="medium">
        <color indexed="64"/>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rgb="FF000000"/>
      </right>
      <top style="thin">
        <color indexed="64"/>
      </top>
      <bottom/>
      <diagonal/>
    </border>
    <border>
      <left style="thin">
        <color indexed="64"/>
      </left>
      <right style="medium">
        <color indexed="64"/>
      </right>
      <top/>
      <bottom/>
      <diagonal/>
    </border>
  </borders>
  <cellStyleXfs count="2">
    <xf numFmtId="0" fontId="0" fillId="0" borderId="0"/>
    <xf numFmtId="9" fontId="14" fillId="0" borderId="0" applyFont="0" applyFill="0" applyBorder="0" applyAlignment="0" applyProtection="0"/>
  </cellStyleXfs>
  <cellXfs count="163">
    <xf numFmtId="0" fontId="0" fillId="0" borderId="0" xfId="0"/>
    <xf numFmtId="0" fontId="0" fillId="0" borderId="0" xfId="0" applyAlignment="1">
      <alignment horizontal="center"/>
    </xf>
    <xf numFmtId="14" fontId="0" fillId="0" borderId="0" xfId="0" applyNumberFormat="1" applyAlignment="1">
      <alignment horizontal="center"/>
    </xf>
    <xf numFmtId="0" fontId="1" fillId="0" borderId="0" xfId="0" applyFont="1"/>
    <xf numFmtId="0" fontId="13" fillId="0" borderId="0" xfId="0" applyFont="1"/>
    <xf numFmtId="1" fontId="0" fillId="0" borderId="0" xfId="0" applyNumberFormat="1" applyAlignment="1">
      <alignment horizontal="center"/>
    </xf>
    <xf numFmtId="0" fontId="1" fillId="5" borderId="0" xfId="0" applyFont="1" applyFill="1"/>
    <xf numFmtId="0" fontId="4" fillId="5" borderId="5" xfId="0" applyFont="1" applyFill="1" applyBorder="1" applyAlignment="1" applyProtection="1">
      <alignment horizontal="center" vertical="center" wrapText="1"/>
      <protection locked="0"/>
    </xf>
    <xf numFmtId="0" fontId="2" fillId="0" borderId="0" xfId="0" applyFont="1" applyFill="1" applyBorder="1" applyAlignment="1"/>
    <xf numFmtId="0" fontId="1" fillId="0" borderId="0" xfId="0" applyFont="1" applyFill="1"/>
    <xf numFmtId="0" fontId="4" fillId="5" borderId="10" xfId="0" applyFont="1" applyFill="1" applyBorder="1" applyAlignment="1" applyProtection="1">
      <alignment horizontal="center" vertical="center" wrapText="1"/>
      <protection locked="0"/>
    </xf>
    <xf numFmtId="1" fontId="0" fillId="0" borderId="0" xfId="0" applyNumberFormat="1"/>
    <xf numFmtId="0" fontId="4" fillId="5" borderId="40" xfId="0" applyFont="1" applyFill="1" applyBorder="1" applyAlignment="1" applyProtection="1">
      <alignment horizontal="center" vertical="center" wrapText="1"/>
      <protection locked="0"/>
    </xf>
    <xf numFmtId="0" fontId="4" fillId="5" borderId="41" xfId="0" applyFont="1" applyFill="1" applyBorder="1" applyAlignment="1" applyProtection="1">
      <alignment horizontal="center" vertical="center" wrapText="1"/>
      <protection locked="0"/>
    </xf>
    <xf numFmtId="0" fontId="4" fillId="5" borderId="13" xfId="0" applyFont="1" applyFill="1" applyBorder="1" applyAlignment="1" applyProtection="1">
      <alignment horizontal="center" vertical="center" wrapText="1"/>
      <protection locked="0"/>
    </xf>
    <xf numFmtId="0" fontId="4" fillId="5" borderId="42" xfId="0" applyFont="1" applyFill="1" applyBorder="1" applyAlignment="1" applyProtection="1">
      <alignment horizontal="center" vertical="center" wrapText="1"/>
      <protection locked="0"/>
    </xf>
    <xf numFmtId="0" fontId="4" fillId="5" borderId="4" xfId="0" applyFont="1" applyFill="1" applyBorder="1" applyAlignment="1" applyProtection="1">
      <alignment horizontal="center" vertical="center" wrapText="1"/>
      <protection locked="0"/>
    </xf>
    <xf numFmtId="0" fontId="4" fillId="5" borderId="29" xfId="0" applyFont="1" applyFill="1" applyBorder="1" applyAlignment="1" applyProtection="1">
      <alignment horizontal="center" vertical="center" wrapText="1"/>
      <protection locked="0"/>
    </xf>
    <xf numFmtId="0" fontId="11" fillId="5" borderId="40" xfId="0" applyFont="1" applyFill="1" applyBorder="1" applyAlignment="1" applyProtection="1">
      <alignment horizontal="center" vertical="center" wrapText="1"/>
      <protection locked="0"/>
    </xf>
    <xf numFmtId="0" fontId="11" fillId="5" borderId="41" xfId="0" applyFont="1" applyFill="1" applyBorder="1" applyAlignment="1" applyProtection="1">
      <alignment horizontal="center" vertical="center" wrapText="1"/>
      <protection locked="0"/>
    </xf>
    <xf numFmtId="0" fontId="11" fillId="5" borderId="13" xfId="0" applyFont="1" applyFill="1" applyBorder="1" applyAlignment="1" applyProtection="1">
      <alignment horizontal="center" vertical="center" wrapText="1"/>
      <protection locked="0"/>
    </xf>
    <xf numFmtId="0" fontId="11" fillId="5" borderId="42" xfId="0" applyFont="1" applyFill="1" applyBorder="1" applyAlignment="1" applyProtection="1">
      <alignment horizontal="center" vertical="center" wrapText="1"/>
      <protection locked="0"/>
    </xf>
    <xf numFmtId="0" fontId="11" fillId="5" borderId="4" xfId="0" applyFont="1" applyFill="1" applyBorder="1" applyAlignment="1" applyProtection="1">
      <alignment horizontal="center" vertical="center" wrapText="1"/>
      <protection locked="0"/>
    </xf>
    <xf numFmtId="0" fontId="11" fillId="5" borderId="29" xfId="0" applyFont="1" applyFill="1" applyBorder="1" applyAlignment="1" applyProtection="1">
      <alignment horizontal="center" vertical="center" wrapText="1"/>
      <protection locked="0"/>
    </xf>
    <xf numFmtId="0" fontId="4" fillId="5" borderId="44" xfId="0" applyFont="1" applyFill="1" applyBorder="1" applyAlignment="1" applyProtection="1">
      <alignment horizontal="center" vertical="center" wrapText="1"/>
      <protection locked="0"/>
    </xf>
    <xf numFmtId="0" fontId="4" fillId="5" borderId="57" xfId="0" applyFont="1" applyFill="1" applyBorder="1" applyAlignment="1" applyProtection="1">
      <alignment horizontal="center" vertical="center" wrapText="1"/>
      <protection locked="0"/>
    </xf>
    <xf numFmtId="0" fontId="4" fillId="5" borderId="36" xfId="0" applyFont="1" applyFill="1" applyBorder="1" applyAlignment="1" applyProtection="1">
      <alignment horizontal="center" vertical="center" wrapText="1"/>
      <protection locked="0"/>
    </xf>
    <xf numFmtId="0" fontId="4" fillId="5" borderId="38" xfId="0" applyFont="1" applyFill="1" applyBorder="1" applyAlignment="1" applyProtection="1">
      <alignment horizontal="center" vertical="center" wrapText="1"/>
      <protection locked="0"/>
    </xf>
    <xf numFmtId="0" fontId="6" fillId="0" borderId="46" xfId="0" applyFont="1" applyBorder="1" applyAlignment="1" applyProtection="1">
      <alignment horizontal="center" vertical="center" wrapText="1"/>
    </xf>
    <xf numFmtId="0" fontId="7" fillId="0" borderId="47" xfId="0" applyFont="1" applyBorder="1" applyAlignment="1" applyProtection="1">
      <alignment horizontal="center" vertical="center" wrapText="1"/>
    </xf>
    <xf numFmtId="0" fontId="7" fillId="0" borderId="48" xfId="0" applyFont="1" applyBorder="1" applyAlignment="1" applyProtection="1">
      <alignment horizontal="center" vertical="center" wrapText="1"/>
    </xf>
    <xf numFmtId="0" fontId="7" fillId="5" borderId="49" xfId="0" applyFont="1" applyFill="1" applyBorder="1" applyAlignment="1" applyProtection="1">
      <alignment horizontal="center" vertical="center" wrapText="1"/>
    </xf>
    <xf numFmtId="0" fontId="7" fillId="5" borderId="24" xfId="0" applyFont="1" applyFill="1" applyBorder="1" applyAlignment="1" applyProtection="1">
      <alignment horizontal="center" vertical="center" wrapText="1"/>
    </xf>
    <xf numFmtId="0" fontId="7" fillId="6" borderId="50" xfId="0" applyFont="1" applyFill="1" applyBorder="1" applyAlignment="1" applyProtection="1">
      <alignment horizontal="center" vertical="center" wrapText="1"/>
    </xf>
    <xf numFmtId="0" fontId="7" fillId="0" borderId="51" xfId="0" applyFont="1" applyBorder="1" applyAlignment="1" applyProtection="1">
      <alignment horizontal="center" vertical="center" wrapText="1"/>
    </xf>
    <xf numFmtId="0" fontId="7" fillId="0" borderId="52" xfId="0" applyFont="1" applyBorder="1" applyAlignment="1" applyProtection="1">
      <alignment horizontal="center" vertical="center" wrapText="1"/>
    </xf>
    <xf numFmtId="0" fontId="7" fillId="6" borderId="53" xfId="0" applyFont="1" applyFill="1" applyBorder="1" applyAlignment="1" applyProtection="1">
      <alignment horizontal="center" vertical="center" wrapText="1"/>
    </xf>
    <xf numFmtId="0" fontId="6" fillId="3" borderId="12" xfId="0" applyFont="1" applyFill="1" applyBorder="1" applyAlignment="1" applyProtection="1">
      <alignment horizontal="center" vertical="center"/>
    </xf>
    <xf numFmtId="0" fontId="9" fillId="3" borderId="9" xfId="0" applyFont="1" applyFill="1" applyBorder="1" applyAlignment="1" applyProtection="1">
      <alignment horizontal="center" vertical="center" wrapText="1"/>
    </xf>
    <xf numFmtId="0" fontId="8" fillId="3" borderId="9" xfId="0" applyFont="1" applyFill="1" applyBorder="1" applyAlignment="1" applyProtection="1">
      <alignment horizontal="center" vertical="center" wrapText="1"/>
    </xf>
    <xf numFmtId="1" fontId="8" fillId="3" borderId="9" xfId="0" applyNumberFormat="1" applyFont="1" applyFill="1" applyBorder="1" applyAlignment="1" applyProtection="1">
      <alignment horizontal="center" vertical="center" wrapText="1"/>
    </xf>
    <xf numFmtId="1" fontId="6" fillId="3" borderId="14" xfId="0" applyNumberFormat="1" applyFont="1" applyFill="1" applyBorder="1" applyAlignment="1" applyProtection="1">
      <alignment vertical="center"/>
    </xf>
    <xf numFmtId="0" fontId="4" fillId="0" borderId="15" xfId="0" applyFont="1" applyBorder="1" applyAlignment="1" applyProtection="1">
      <alignment horizontal="center" vertical="center"/>
    </xf>
    <xf numFmtId="0" fontId="4" fillId="2" borderId="2" xfId="0" applyFont="1" applyFill="1" applyBorder="1" applyAlignment="1" applyProtection="1">
      <alignment horizontal="left" vertical="center" wrapText="1"/>
    </xf>
    <xf numFmtId="0" fontId="4" fillId="4" borderId="2" xfId="0" applyFont="1" applyFill="1" applyBorder="1" applyAlignment="1" applyProtection="1">
      <alignment horizontal="center" vertical="center" wrapText="1"/>
    </xf>
    <xf numFmtId="0" fontId="4" fillId="4" borderId="30" xfId="0" applyFont="1" applyFill="1" applyBorder="1" applyAlignment="1" applyProtection="1">
      <alignment horizontal="center" vertical="center" wrapText="1"/>
    </xf>
    <xf numFmtId="0" fontId="4" fillId="2" borderId="1" xfId="0" applyFont="1" applyFill="1" applyBorder="1" applyAlignment="1" applyProtection="1">
      <alignment horizontal="left" vertical="center" wrapText="1"/>
    </xf>
    <xf numFmtId="0" fontId="4" fillId="0" borderId="8" xfId="0" applyFont="1" applyBorder="1" applyAlignment="1" applyProtection="1">
      <alignment horizontal="center" vertical="center" wrapText="1"/>
    </xf>
    <xf numFmtId="1" fontId="12" fillId="6" borderId="2" xfId="0" applyNumberFormat="1" applyFont="1" applyFill="1" applyBorder="1" applyAlignment="1" applyProtection="1">
      <alignment horizontal="center" vertical="center"/>
    </xf>
    <xf numFmtId="2" fontId="4" fillId="0" borderId="13" xfId="0" applyNumberFormat="1" applyFont="1" applyBorder="1" applyAlignment="1" applyProtection="1">
      <alignment horizontal="center" vertical="center" wrapText="1"/>
    </xf>
    <xf numFmtId="1" fontId="4" fillId="0" borderId="1" xfId="0" applyNumberFormat="1" applyFont="1" applyBorder="1" applyAlignment="1" applyProtection="1">
      <alignment horizontal="center" vertical="center"/>
    </xf>
    <xf numFmtId="1" fontId="4" fillId="0" borderId="2" xfId="0" applyNumberFormat="1" applyFont="1" applyBorder="1" applyAlignment="1" applyProtection="1">
      <alignment horizontal="center" vertical="center"/>
    </xf>
    <xf numFmtId="1" fontId="12" fillId="6" borderId="17" xfId="0" applyNumberFormat="1" applyFont="1" applyFill="1" applyBorder="1" applyAlignment="1" applyProtection="1">
      <alignment horizontal="center" vertical="center"/>
    </xf>
    <xf numFmtId="0" fontId="4" fillId="0" borderId="43" xfId="0" applyFont="1" applyBorder="1" applyAlignment="1" applyProtection="1">
      <alignment horizontal="center" vertical="center"/>
    </xf>
    <xf numFmtId="0" fontId="4" fillId="2" borderId="54" xfId="0" applyFont="1" applyFill="1" applyBorder="1" applyAlignment="1" applyProtection="1">
      <alignment horizontal="left" vertical="center" wrapText="1"/>
    </xf>
    <xf numFmtId="0" fontId="4" fillId="0" borderId="55" xfId="0" applyFont="1" applyBorder="1" applyAlignment="1" applyProtection="1">
      <alignment horizontal="center" vertical="center" wrapText="1"/>
    </xf>
    <xf numFmtId="2" fontId="4" fillId="0" borderId="4" xfId="0" applyNumberFormat="1" applyFont="1" applyBorder="1" applyAlignment="1" applyProtection="1">
      <alignment horizontal="center" vertical="center" wrapText="1"/>
    </xf>
    <xf numFmtId="1" fontId="12" fillId="6" borderId="30" xfId="0" applyNumberFormat="1" applyFont="1" applyFill="1" applyBorder="1" applyAlignment="1" applyProtection="1">
      <alignment horizontal="center" vertical="center"/>
    </xf>
    <xf numFmtId="1" fontId="4" fillId="0" borderId="54" xfId="0" applyNumberFormat="1" applyFont="1" applyBorder="1" applyAlignment="1" applyProtection="1">
      <alignment horizontal="center" vertical="center"/>
    </xf>
    <xf numFmtId="1" fontId="4" fillId="0" borderId="30" xfId="0" applyNumberFormat="1" applyFont="1" applyBorder="1" applyAlignment="1" applyProtection="1">
      <alignment horizontal="center" vertical="center"/>
    </xf>
    <xf numFmtId="1" fontId="12" fillId="6" borderId="56" xfId="0" applyNumberFormat="1" applyFont="1" applyFill="1" applyBorder="1" applyAlignment="1" applyProtection="1">
      <alignment horizontal="center" vertical="center"/>
    </xf>
    <xf numFmtId="0" fontId="4" fillId="0" borderId="11" xfId="0" applyFont="1" applyBorder="1" applyAlignment="1" applyProtection="1">
      <alignment horizontal="center" vertical="center"/>
    </xf>
    <xf numFmtId="0" fontId="4" fillId="4" borderId="27" xfId="0" applyFont="1" applyFill="1" applyBorder="1" applyAlignment="1" applyProtection="1">
      <alignment horizontal="center" vertical="center" wrapText="1"/>
    </xf>
    <xf numFmtId="0" fontId="4" fillId="0" borderId="7" xfId="0" applyFont="1" applyBorder="1" applyAlignment="1" applyProtection="1">
      <alignment vertical="center" wrapText="1"/>
    </xf>
    <xf numFmtId="0" fontId="11" fillId="0" borderId="8" xfId="0" applyFont="1" applyBorder="1" applyAlignment="1" applyProtection="1">
      <alignment horizontal="center" vertical="center" wrapText="1"/>
    </xf>
    <xf numFmtId="2" fontId="1" fillId="0" borderId="11" xfId="0" applyNumberFormat="1" applyFont="1" applyBorder="1" applyAlignment="1" applyProtection="1">
      <alignment horizontal="center" vertical="center"/>
    </xf>
    <xf numFmtId="1" fontId="12" fillId="6" borderId="27" xfId="0" applyNumberFormat="1" applyFont="1" applyFill="1" applyBorder="1" applyAlignment="1" applyProtection="1">
      <alignment horizontal="center" vertical="center"/>
    </xf>
    <xf numFmtId="0" fontId="4" fillId="0" borderId="44" xfId="0" applyFont="1" applyBorder="1" applyAlignment="1" applyProtection="1">
      <alignment horizontal="center" vertical="center"/>
    </xf>
    <xf numFmtId="0" fontId="4" fillId="0" borderId="55" xfId="0" applyFont="1" applyBorder="1" applyAlignment="1" applyProtection="1">
      <alignment vertical="center" wrapText="1"/>
    </xf>
    <xf numFmtId="0" fontId="11" fillId="0" borderId="55" xfId="0" applyFont="1" applyBorder="1" applyAlignment="1" applyProtection="1">
      <alignment horizontal="center" vertical="center" wrapText="1"/>
    </xf>
    <xf numFmtId="2" fontId="1" fillId="0" borderId="44" xfId="0" applyNumberFormat="1" applyFont="1" applyBorder="1" applyAlignment="1" applyProtection="1">
      <alignment horizontal="center" vertical="center"/>
    </xf>
    <xf numFmtId="1" fontId="12" fillId="6" borderId="57" xfId="0" applyNumberFormat="1" applyFont="1" applyFill="1" applyBorder="1" applyAlignment="1" applyProtection="1">
      <alignment horizontal="center" vertical="center"/>
    </xf>
    <xf numFmtId="0" fontId="9" fillId="3" borderId="12" xfId="0" applyFont="1" applyFill="1" applyBorder="1" applyAlignment="1" applyProtection="1">
      <alignment horizontal="center" vertical="center" wrapText="1"/>
    </xf>
    <xf numFmtId="1" fontId="9" fillId="3" borderId="9" xfId="0" applyNumberFormat="1" applyFont="1" applyFill="1" applyBorder="1" applyAlignment="1" applyProtection="1">
      <alignment horizontal="center" vertical="center" wrapText="1"/>
    </xf>
    <xf numFmtId="1" fontId="9" fillId="3" borderId="14" xfId="0" applyNumberFormat="1" applyFont="1" applyFill="1" applyBorder="1" applyAlignment="1" applyProtection="1">
      <alignment horizontal="center" vertical="center" wrapText="1"/>
    </xf>
    <xf numFmtId="0" fontId="4" fillId="0" borderId="30" xfId="0" applyFont="1" applyBorder="1" applyAlignment="1" applyProtection="1">
      <alignment horizontal="left" vertical="center" wrapText="1"/>
    </xf>
    <xf numFmtId="0" fontId="4" fillId="0" borderId="31" xfId="0" applyFont="1" applyBorder="1" applyAlignment="1" applyProtection="1">
      <alignment horizontal="center" vertical="center" wrapText="1"/>
    </xf>
    <xf numFmtId="2" fontId="4" fillId="0" borderId="44" xfId="0" applyNumberFormat="1" applyFont="1" applyBorder="1" applyAlignment="1" applyProtection="1">
      <alignment horizontal="center" vertical="center" wrapText="1"/>
    </xf>
    <xf numFmtId="1" fontId="12" fillId="6" borderId="45" xfId="0" applyNumberFormat="1" applyFont="1" applyFill="1" applyBorder="1" applyAlignment="1" applyProtection="1">
      <alignment horizontal="center" vertical="center"/>
    </xf>
    <xf numFmtId="0" fontId="6" fillId="0" borderId="0" xfId="0" applyFont="1" applyAlignment="1" applyProtection="1">
      <alignment horizontal="center" vertical="center"/>
    </xf>
    <xf numFmtId="0" fontId="7" fillId="0" borderId="2" xfId="0" applyFont="1" applyBorder="1" applyAlignment="1" applyProtection="1">
      <alignment horizontal="center" vertical="center" wrapText="1"/>
    </xf>
    <xf numFmtId="0" fontId="7" fillId="0" borderId="18" xfId="0" applyFont="1" applyBorder="1" applyAlignment="1" applyProtection="1">
      <alignment horizontal="center" vertical="center" wrapText="1"/>
    </xf>
    <xf numFmtId="1" fontId="7" fillId="0" borderId="25" xfId="0" applyNumberFormat="1" applyFont="1" applyFill="1" applyBorder="1" applyAlignment="1" applyProtection="1">
      <alignment horizontal="center" vertical="center" wrapText="1"/>
    </xf>
    <xf numFmtId="1" fontId="7" fillId="0" borderId="14" xfId="0" applyNumberFormat="1" applyFont="1" applyFill="1" applyBorder="1" applyAlignment="1" applyProtection="1">
      <alignment horizontal="center" vertical="center" wrapText="1"/>
    </xf>
    <xf numFmtId="1" fontId="7" fillId="0" borderId="39" xfId="0" applyNumberFormat="1" applyFont="1" applyBorder="1" applyAlignment="1" applyProtection="1">
      <alignment horizontal="center" vertical="center" wrapText="1"/>
    </xf>
    <xf numFmtId="0" fontId="6" fillId="0" borderId="0" xfId="0" applyFont="1" applyAlignment="1" applyProtection="1">
      <alignment vertical="center"/>
    </xf>
    <xf numFmtId="0" fontId="1" fillId="0" borderId="0" xfId="0" applyFont="1" applyAlignment="1" applyProtection="1">
      <alignment horizontal="center"/>
    </xf>
    <xf numFmtId="0" fontId="0" fillId="0" borderId="0" xfId="0" applyAlignment="1" applyProtection="1">
      <alignment horizontal="center"/>
    </xf>
    <xf numFmtId="0" fontId="7" fillId="0" borderId="0" xfId="0" applyFont="1" applyBorder="1" applyAlignment="1" applyProtection="1">
      <alignment horizontal="center" vertical="center" wrapText="1"/>
    </xf>
    <xf numFmtId="0" fontId="8" fillId="3" borderId="12" xfId="0" applyFont="1" applyFill="1" applyBorder="1" applyAlignment="1" applyProtection="1">
      <alignment horizontal="center" vertical="center" wrapText="1"/>
    </xf>
    <xf numFmtId="0" fontId="6" fillId="3" borderId="14" xfId="0" applyFont="1" applyFill="1" applyBorder="1" applyAlignment="1" applyProtection="1">
      <alignment vertical="center"/>
    </xf>
    <xf numFmtId="0" fontId="4" fillId="0" borderId="2" xfId="0" applyFont="1" applyBorder="1" applyAlignment="1" applyProtection="1">
      <alignment horizontal="left" vertical="center" wrapText="1"/>
    </xf>
    <xf numFmtId="0" fontId="4" fillId="0" borderId="7" xfId="0" applyFont="1" applyBorder="1" applyAlignment="1" applyProtection="1">
      <alignment horizontal="center" vertical="center" wrapText="1"/>
    </xf>
    <xf numFmtId="2" fontId="4" fillId="0" borderId="11" xfId="0" applyNumberFormat="1" applyFont="1" applyBorder="1" applyAlignment="1" applyProtection="1">
      <alignment horizontal="center" vertical="center" wrapText="1"/>
    </xf>
    <xf numFmtId="1" fontId="12" fillId="6" borderId="16" xfId="0" applyNumberFormat="1" applyFont="1" applyFill="1" applyBorder="1" applyAlignment="1" applyProtection="1">
      <alignment horizontal="center" vertical="center"/>
    </xf>
    <xf numFmtId="0" fontId="9" fillId="3" borderId="3" xfId="0" applyFont="1" applyFill="1" applyBorder="1" applyAlignment="1" applyProtection="1">
      <alignment horizontal="center" vertical="center" wrapText="1"/>
    </xf>
    <xf numFmtId="0" fontId="6" fillId="0" borderId="0" xfId="0" applyFont="1" applyFill="1" applyBorder="1" applyAlignment="1" applyProtection="1">
      <alignment horizontal="center" vertical="center"/>
    </xf>
    <xf numFmtId="0" fontId="9" fillId="0" borderId="0" xfId="0" applyFont="1" applyFill="1" applyBorder="1" applyAlignment="1" applyProtection="1">
      <alignment horizontal="center" vertical="center" wrapText="1"/>
    </xf>
    <xf numFmtId="0" fontId="8" fillId="0" borderId="0" xfId="0" applyFont="1" applyFill="1" applyBorder="1" applyAlignment="1" applyProtection="1">
      <alignment horizontal="center" vertical="center" wrapText="1"/>
    </xf>
    <xf numFmtId="0" fontId="6" fillId="0" borderId="0" xfId="0" applyFont="1" applyFill="1" applyBorder="1" applyAlignment="1" applyProtection="1">
      <alignment vertical="center"/>
    </xf>
    <xf numFmtId="0" fontId="12" fillId="5" borderId="0" xfId="0" applyFont="1" applyFill="1" applyAlignment="1" applyProtection="1">
      <alignment wrapText="1"/>
    </xf>
    <xf numFmtId="0" fontId="4" fillId="0" borderId="0" xfId="0" applyFont="1" applyAlignment="1" applyProtection="1">
      <alignment horizontal="center" vertical="center" wrapText="1"/>
    </xf>
    <xf numFmtId="0" fontId="4" fillId="0" borderId="0" xfId="0" applyFont="1" applyAlignment="1" applyProtection="1">
      <alignment horizontal="left" vertical="center" wrapText="1"/>
    </xf>
    <xf numFmtId="0" fontId="10" fillId="0" borderId="12" xfId="0" applyFont="1" applyBorder="1" applyAlignment="1" applyProtection="1">
      <alignment vertical="center"/>
    </xf>
    <xf numFmtId="0" fontId="10" fillId="0" borderId="9" xfId="0" applyFont="1" applyBorder="1" applyAlignment="1" applyProtection="1">
      <alignment vertical="center"/>
    </xf>
    <xf numFmtId="3" fontId="10" fillId="0" borderId="6" xfId="0" applyNumberFormat="1" applyFont="1" applyBorder="1" applyAlignment="1" applyProtection="1">
      <alignment vertical="center"/>
    </xf>
    <xf numFmtId="0" fontId="10" fillId="0" borderId="0" xfId="0" applyFont="1" applyFill="1" applyBorder="1" applyAlignment="1" applyProtection="1">
      <alignment vertical="center"/>
    </xf>
    <xf numFmtId="3" fontId="10" fillId="0" borderId="0" xfId="0" applyNumberFormat="1" applyFont="1" applyFill="1" applyBorder="1" applyAlignment="1" applyProtection="1">
      <alignment vertical="center"/>
    </xf>
    <xf numFmtId="0" fontId="10" fillId="0" borderId="9" xfId="0" applyFont="1" applyBorder="1" applyAlignment="1" applyProtection="1">
      <alignment horizontal="center" vertical="center"/>
    </xf>
    <xf numFmtId="0" fontId="10" fillId="0" borderId="0" xfId="0" applyFont="1" applyFill="1" applyBorder="1" applyAlignment="1" applyProtection="1">
      <alignment horizontal="center" vertical="center"/>
    </xf>
    <xf numFmtId="0" fontId="10" fillId="6" borderId="12" xfId="0" applyFont="1" applyFill="1" applyBorder="1" applyAlignment="1" applyProtection="1">
      <alignment vertical="center"/>
    </xf>
    <xf numFmtId="0" fontId="10" fillId="6" borderId="9" xfId="0" applyFont="1" applyFill="1" applyBorder="1" applyAlignment="1" applyProtection="1">
      <alignment vertical="center"/>
    </xf>
    <xf numFmtId="3" fontId="10" fillId="6" borderId="6" xfId="0" applyNumberFormat="1" applyFont="1" applyFill="1" applyBorder="1" applyAlignment="1" applyProtection="1">
      <alignment vertical="center"/>
    </xf>
    <xf numFmtId="0" fontId="10" fillId="0" borderId="6" xfId="0" applyFont="1" applyBorder="1" applyAlignment="1" applyProtection="1">
      <alignment vertical="center"/>
    </xf>
    <xf numFmtId="0" fontId="10" fillId="0" borderId="0" xfId="0" applyFont="1" applyBorder="1" applyAlignment="1" applyProtection="1">
      <alignment vertical="center"/>
    </xf>
    <xf numFmtId="0" fontId="9" fillId="3" borderId="8" xfId="0" applyFont="1" applyFill="1" applyBorder="1" applyAlignment="1" applyProtection="1">
      <alignment horizontal="center" vertical="center"/>
    </xf>
    <xf numFmtId="0" fontId="9" fillId="3" borderId="32" xfId="0" applyFont="1" applyFill="1" applyBorder="1" applyAlignment="1" applyProtection="1">
      <alignment horizontal="center" vertical="center"/>
    </xf>
    <xf numFmtId="0" fontId="8" fillId="0" borderId="19" xfId="0" applyFont="1" applyBorder="1" applyAlignment="1" applyProtection="1">
      <alignment horizontal="center" vertical="center" wrapText="1"/>
    </xf>
    <xf numFmtId="0" fontId="8" fillId="0" borderId="20" xfId="0" applyFont="1" applyBorder="1" applyAlignment="1" applyProtection="1">
      <alignment horizontal="center" vertical="center" wrapText="1"/>
    </xf>
    <xf numFmtId="0" fontId="8" fillId="0" borderId="23" xfId="0" applyFont="1" applyBorder="1" applyAlignment="1" applyProtection="1">
      <alignment vertical="center" wrapText="1"/>
    </xf>
    <xf numFmtId="0" fontId="8" fillId="0" borderId="22" xfId="0" applyFont="1" applyBorder="1" applyAlignment="1" applyProtection="1">
      <alignment horizontal="center" vertical="center" wrapText="1"/>
    </xf>
    <xf numFmtId="0" fontId="8" fillId="0" borderId="23" xfId="0" applyFont="1" applyBorder="1" applyAlignment="1" applyProtection="1">
      <alignment horizontal="center" vertical="center" wrapText="1"/>
    </xf>
    <xf numFmtId="0" fontId="8" fillId="0" borderId="24" xfId="0" applyFont="1" applyBorder="1" applyAlignment="1" applyProtection="1">
      <alignment horizontal="center" vertical="center" wrapText="1"/>
    </xf>
    <xf numFmtId="0" fontId="9" fillId="3" borderId="25" xfId="0" applyFont="1" applyFill="1" applyBorder="1" applyAlignment="1" applyProtection="1">
      <alignment horizontal="center" vertical="center"/>
    </xf>
    <xf numFmtId="0" fontId="9" fillId="3" borderId="21" xfId="0" applyFont="1" applyFill="1" applyBorder="1" applyAlignment="1" applyProtection="1">
      <alignment horizontal="center" vertical="center"/>
    </xf>
    <xf numFmtId="0" fontId="15" fillId="3" borderId="14" xfId="0" applyFont="1" applyFill="1" applyBorder="1" applyAlignment="1" applyProtection="1">
      <alignment horizontal="center" vertical="center"/>
    </xf>
    <xf numFmtId="40" fontId="15" fillId="0" borderId="27" xfId="0" applyNumberFormat="1" applyFont="1" applyBorder="1" applyAlignment="1" applyProtection="1">
      <alignment horizontal="center" vertical="center" wrapText="1"/>
    </xf>
    <xf numFmtId="0" fontId="1" fillId="4" borderId="35" xfId="0" applyFont="1" applyFill="1" applyBorder="1" applyProtection="1"/>
    <xf numFmtId="0" fontId="1" fillId="4" borderId="0" xfId="0" applyFont="1" applyFill="1" applyBorder="1" applyProtection="1"/>
    <xf numFmtId="0" fontId="4" fillId="4" borderId="19" xfId="0" applyFont="1" applyFill="1" applyBorder="1" applyAlignment="1" applyProtection="1">
      <alignment horizontal="center" vertical="center" wrapText="1"/>
    </xf>
    <xf numFmtId="0" fontId="15" fillId="0" borderId="4" xfId="0" applyFont="1" applyBorder="1" applyAlignment="1" applyProtection="1">
      <alignment horizontal="center" vertical="center"/>
    </xf>
    <xf numFmtId="40" fontId="15" fillId="0" borderId="29" xfId="0" applyNumberFormat="1" applyFont="1" applyBorder="1" applyAlignment="1" applyProtection="1">
      <alignment horizontal="center" vertical="center" wrapText="1"/>
    </xf>
    <xf numFmtId="0" fontId="15" fillId="4" borderId="36" xfId="0" applyFont="1" applyFill="1" applyBorder="1" applyAlignment="1" applyProtection="1">
      <alignment horizontal="center" vertical="center"/>
    </xf>
    <xf numFmtId="0" fontId="8" fillId="0" borderId="37" xfId="0" applyFont="1" applyBorder="1" applyAlignment="1" applyProtection="1">
      <alignment horizontal="center" vertical="center" wrapText="1"/>
    </xf>
    <xf numFmtId="0" fontId="8" fillId="0" borderId="37" xfId="0" applyFont="1" applyBorder="1" applyAlignment="1" applyProtection="1">
      <alignment vertical="center" wrapText="1"/>
    </xf>
    <xf numFmtId="9" fontId="8" fillId="0" borderId="37" xfId="1" applyFont="1" applyBorder="1" applyAlignment="1" applyProtection="1">
      <alignment horizontal="center" vertical="center" wrapText="1"/>
    </xf>
    <xf numFmtId="0" fontId="8" fillId="0" borderId="38" xfId="0" applyFont="1" applyBorder="1" applyAlignment="1" applyProtection="1">
      <alignment horizontal="center" vertical="center" wrapText="1"/>
    </xf>
    <xf numFmtId="0" fontId="15" fillId="0" borderId="0" xfId="0" applyFont="1" applyFill="1" applyBorder="1" applyAlignment="1" applyProtection="1">
      <alignment horizontal="center" vertical="center"/>
    </xf>
    <xf numFmtId="0" fontId="8" fillId="0" borderId="0" xfId="0" applyFont="1" applyBorder="1" applyAlignment="1" applyProtection="1">
      <alignment horizontal="center" vertical="center" wrapText="1"/>
    </xf>
    <xf numFmtId="0" fontId="8" fillId="0" borderId="0" xfId="0" applyFont="1" applyBorder="1" applyAlignment="1" applyProtection="1">
      <alignment vertical="center" wrapText="1"/>
    </xf>
    <xf numFmtId="9" fontId="8" fillId="0" borderId="0" xfId="1" applyFont="1" applyBorder="1" applyAlignment="1" applyProtection="1">
      <alignment horizontal="center" vertical="center" wrapText="1"/>
    </xf>
    <xf numFmtId="0" fontId="15" fillId="0" borderId="0" xfId="0" applyFont="1" applyBorder="1" applyAlignment="1" applyProtection="1">
      <alignment horizontal="center" vertical="center"/>
    </xf>
    <xf numFmtId="0" fontId="8" fillId="0" borderId="22" xfId="0" applyFont="1" applyBorder="1" applyAlignment="1" applyProtection="1">
      <alignment vertical="center" wrapText="1"/>
    </xf>
    <xf numFmtId="0" fontId="8" fillId="0" borderId="34" xfId="0" applyFont="1" applyBorder="1" applyAlignment="1" applyProtection="1">
      <alignment horizontal="center" vertical="center" wrapText="1"/>
    </xf>
    <xf numFmtId="0" fontId="15" fillId="3" borderId="26" xfId="0" applyFont="1" applyFill="1" applyBorder="1" applyAlignment="1" applyProtection="1">
      <alignment horizontal="center" vertical="center"/>
    </xf>
    <xf numFmtId="0" fontId="0" fillId="0" borderId="0" xfId="0" applyProtection="1"/>
    <xf numFmtId="0" fontId="6" fillId="3" borderId="7" xfId="0" applyFont="1" applyFill="1" applyBorder="1" applyAlignment="1" applyProtection="1">
      <alignment horizontal="center" vertical="center"/>
    </xf>
    <xf numFmtId="0" fontId="9" fillId="3" borderId="18" xfId="0" applyFont="1" applyFill="1" applyBorder="1" applyAlignment="1" applyProtection="1">
      <alignment horizontal="center" vertical="center" wrapText="1"/>
    </xf>
    <xf numFmtId="0" fontId="8" fillId="3" borderId="18" xfId="0" applyFont="1" applyFill="1" applyBorder="1" applyAlignment="1" applyProtection="1">
      <alignment horizontal="center" vertical="center" wrapText="1"/>
    </xf>
    <xf numFmtId="0" fontId="6" fillId="3" borderId="39" xfId="0" applyFont="1" applyFill="1" applyBorder="1" applyAlignment="1" applyProtection="1">
      <alignment vertical="center"/>
    </xf>
    <xf numFmtId="0" fontId="2" fillId="0" borderId="0" xfId="0" applyFont="1" applyAlignment="1" applyProtection="1">
      <alignment horizontal="center"/>
    </xf>
    <xf numFmtId="0" fontId="2" fillId="5" borderId="0" xfId="0" applyFont="1" applyFill="1" applyBorder="1" applyAlignment="1" applyProtection="1">
      <alignment horizontal="center"/>
      <protection locked="0"/>
    </xf>
    <xf numFmtId="0" fontId="2" fillId="0" borderId="0" xfId="0" applyFont="1" applyBorder="1" applyAlignment="1" applyProtection="1">
      <alignment horizontal="center"/>
    </xf>
    <xf numFmtId="0" fontId="9" fillId="3" borderId="12" xfId="0" applyFont="1" applyFill="1" applyBorder="1" applyAlignment="1" applyProtection="1">
      <alignment horizontal="center" vertical="center"/>
    </xf>
    <xf numFmtId="0" fontId="9" fillId="3" borderId="9" xfId="0" applyFont="1" applyFill="1" applyBorder="1" applyAlignment="1" applyProtection="1">
      <alignment horizontal="center" vertical="center"/>
    </xf>
    <xf numFmtId="0" fontId="9" fillId="3" borderId="14" xfId="0" applyFont="1" applyFill="1" applyBorder="1" applyAlignment="1" applyProtection="1">
      <alignment horizontal="center" vertical="center"/>
    </xf>
    <xf numFmtId="0" fontId="7" fillId="5" borderId="12" xfId="0" applyFont="1" applyFill="1" applyBorder="1" applyAlignment="1" applyProtection="1">
      <alignment horizontal="center" vertical="center" wrapText="1"/>
    </xf>
    <xf numFmtId="0" fontId="7" fillId="5" borderId="9" xfId="0" applyFont="1" applyFill="1" applyBorder="1" applyAlignment="1" applyProtection="1">
      <alignment horizontal="center" vertical="center" wrapText="1"/>
    </xf>
    <xf numFmtId="0" fontId="4" fillId="5" borderId="19" xfId="0" applyFont="1" applyFill="1" applyBorder="1" applyAlignment="1" applyProtection="1">
      <alignment horizontal="center" vertical="center" wrapText="1"/>
      <protection locked="0"/>
    </xf>
    <xf numFmtId="0" fontId="4" fillId="5" borderId="28" xfId="0" applyFont="1" applyFill="1" applyBorder="1" applyAlignment="1" applyProtection="1">
      <alignment horizontal="center" vertical="center" wrapText="1"/>
      <protection locked="0"/>
    </xf>
    <xf numFmtId="0" fontId="4" fillId="5" borderId="10" xfId="0" applyFont="1" applyFill="1" applyBorder="1" applyAlignment="1" applyProtection="1">
      <alignment horizontal="center" vertical="center" wrapText="1"/>
      <protection locked="0"/>
    </xf>
    <xf numFmtId="0" fontId="9" fillId="3" borderId="32" xfId="0" applyFont="1" applyFill="1" applyBorder="1" applyAlignment="1" applyProtection="1">
      <alignment horizontal="center" vertical="center"/>
    </xf>
    <xf numFmtId="0" fontId="9" fillId="3" borderId="33" xfId="0" applyFont="1" applyFill="1" applyBorder="1" applyAlignment="1" applyProtection="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EF3F-9B8B-4EB9-9ABF-1D1FCC7EBE91}">
  <sheetPr>
    <pageSetUpPr fitToPage="1"/>
  </sheetPr>
  <dimension ref="A3:Q15"/>
  <sheetViews>
    <sheetView zoomScaleNormal="100" workbookViewId="0">
      <selection activeCell="A12" sqref="A12"/>
    </sheetView>
  </sheetViews>
  <sheetFormatPr defaultRowHeight="15" x14ac:dyDescent="0.25"/>
  <cols>
    <col min="1" max="1" width="247.85546875" customWidth="1"/>
  </cols>
  <sheetData>
    <row r="3" spans="1:17" ht="20.25" x14ac:dyDescent="0.3">
      <c r="A3" s="4" t="s">
        <v>0</v>
      </c>
      <c r="B3" s="3"/>
      <c r="C3" s="3"/>
      <c r="D3" s="3"/>
      <c r="E3" s="3"/>
      <c r="F3" s="3"/>
      <c r="G3" s="3"/>
      <c r="H3" s="3"/>
      <c r="I3" s="3"/>
      <c r="J3" s="3"/>
      <c r="K3" s="3"/>
      <c r="L3" s="3"/>
      <c r="M3" s="3"/>
      <c r="N3" s="3"/>
      <c r="O3" s="3"/>
      <c r="P3" s="3"/>
      <c r="Q3" s="3"/>
    </row>
    <row r="4" spans="1:17" x14ac:dyDescent="0.25">
      <c r="A4" s="6" t="s">
        <v>81</v>
      </c>
      <c r="B4" s="3"/>
      <c r="C4" s="3"/>
      <c r="D4" s="3"/>
      <c r="E4" s="3"/>
      <c r="F4" s="3"/>
      <c r="G4" s="3"/>
      <c r="H4" s="3"/>
      <c r="I4" s="3"/>
      <c r="J4" s="3"/>
      <c r="K4" s="3"/>
      <c r="L4" s="3"/>
      <c r="M4" s="3"/>
      <c r="N4" s="3"/>
      <c r="O4" s="3"/>
      <c r="P4" s="3"/>
      <c r="Q4" s="3"/>
    </row>
    <row r="5" spans="1:17" x14ac:dyDescent="0.25">
      <c r="A5" s="9" t="s">
        <v>110</v>
      </c>
      <c r="B5" s="3"/>
      <c r="C5" s="3"/>
      <c r="D5" s="3"/>
      <c r="E5" s="3"/>
      <c r="F5" s="3"/>
      <c r="G5" s="3"/>
      <c r="H5" s="3"/>
      <c r="I5" s="3"/>
      <c r="J5" s="3"/>
      <c r="K5" s="3"/>
      <c r="L5" s="3"/>
      <c r="M5" s="3"/>
      <c r="N5" s="3"/>
      <c r="O5" s="3"/>
      <c r="P5" s="3"/>
      <c r="Q5" s="3"/>
    </row>
    <row r="6" spans="1:17" x14ac:dyDescent="0.25">
      <c r="A6" s="9" t="s">
        <v>119</v>
      </c>
      <c r="B6" s="3"/>
      <c r="C6" s="3"/>
      <c r="D6" s="3"/>
      <c r="E6" s="3"/>
      <c r="F6" s="3"/>
      <c r="G6" s="3"/>
      <c r="H6" s="3"/>
      <c r="I6" s="3"/>
      <c r="J6" s="3"/>
      <c r="K6" s="3"/>
      <c r="L6" s="3"/>
      <c r="M6" s="3"/>
      <c r="N6" s="3"/>
      <c r="O6" s="3"/>
      <c r="P6" s="3"/>
      <c r="Q6" s="3"/>
    </row>
    <row r="7" spans="1:17" x14ac:dyDescent="0.25">
      <c r="A7" s="9" t="s">
        <v>111</v>
      </c>
      <c r="B7" s="3"/>
      <c r="C7" s="3"/>
      <c r="D7" s="3"/>
      <c r="E7" s="3"/>
      <c r="F7" s="3"/>
      <c r="G7" s="3"/>
      <c r="H7" s="3"/>
      <c r="I7" s="3"/>
      <c r="J7" s="3"/>
      <c r="K7" s="3"/>
      <c r="L7" s="3"/>
      <c r="M7" s="3"/>
      <c r="N7" s="3"/>
      <c r="O7" s="3"/>
      <c r="P7" s="3"/>
      <c r="Q7" s="3"/>
    </row>
    <row r="8" spans="1:17" x14ac:dyDescent="0.25">
      <c r="A8" s="9" t="s">
        <v>112</v>
      </c>
      <c r="B8" s="3"/>
      <c r="C8" s="3"/>
      <c r="D8" s="3"/>
      <c r="E8" s="3"/>
      <c r="F8" s="3"/>
      <c r="G8" s="3"/>
      <c r="H8" s="3"/>
      <c r="I8" s="3"/>
      <c r="J8" s="3"/>
      <c r="K8" s="3"/>
      <c r="L8" s="3"/>
      <c r="M8" s="3"/>
      <c r="N8" s="3"/>
      <c r="O8" s="3"/>
      <c r="P8" s="3"/>
      <c r="Q8" s="3"/>
    </row>
    <row r="9" spans="1:17" x14ac:dyDescent="0.25">
      <c r="A9" s="9" t="s">
        <v>120</v>
      </c>
      <c r="B9" s="3"/>
      <c r="C9" s="3"/>
      <c r="D9" s="3"/>
      <c r="E9" s="3"/>
      <c r="F9" s="3"/>
      <c r="G9" s="3"/>
      <c r="H9" s="3"/>
      <c r="I9" s="3"/>
      <c r="J9" s="3"/>
      <c r="K9" s="3"/>
      <c r="L9" s="3"/>
      <c r="M9" s="3"/>
      <c r="N9" s="3"/>
      <c r="O9" s="3"/>
      <c r="P9" s="3"/>
      <c r="Q9" s="3"/>
    </row>
    <row r="10" spans="1:17" x14ac:dyDescent="0.25">
      <c r="A10" s="3" t="s">
        <v>113</v>
      </c>
      <c r="B10" s="3"/>
      <c r="C10" s="3"/>
      <c r="D10" s="3"/>
      <c r="E10" s="3"/>
      <c r="F10" s="3"/>
      <c r="G10" s="3"/>
      <c r="H10" s="3"/>
      <c r="I10" s="3"/>
      <c r="J10" s="3"/>
      <c r="K10" s="3"/>
      <c r="L10" s="3"/>
      <c r="M10" s="3"/>
      <c r="N10" s="3"/>
      <c r="O10" s="3"/>
      <c r="P10" s="3"/>
      <c r="Q10" s="3"/>
    </row>
    <row r="11" spans="1:17" x14ac:dyDescent="0.25">
      <c r="A11" s="3" t="s">
        <v>121</v>
      </c>
      <c r="B11" s="3"/>
      <c r="C11" s="3"/>
      <c r="D11" s="3"/>
      <c r="E11" s="3"/>
      <c r="F11" s="3"/>
      <c r="G11" s="3"/>
      <c r="H11" s="3"/>
      <c r="I11" s="3"/>
      <c r="J11" s="3"/>
      <c r="K11" s="3"/>
      <c r="L11" s="3"/>
      <c r="M11" s="3"/>
      <c r="N11" s="3"/>
      <c r="O11" s="3"/>
      <c r="P11" s="3"/>
      <c r="Q11" s="3"/>
    </row>
    <row r="12" spans="1:17" x14ac:dyDescent="0.25">
      <c r="A12" s="3" t="s">
        <v>122</v>
      </c>
      <c r="B12" s="3"/>
      <c r="C12" s="3"/>
      <c r="D12" s="3"/>
      <c r="E12" s="3"/>
      <c r="F12" s="3"/>
      <c r="G12" s="3"/>
      <c r="H12" s="3"/>
      <c r="I12" s="3"/>
      <c r="J12" s="3"/>
      <c r="K12" s="3"/>
      <c r="L12" s="3"/>
      <c r="M12" s="3"/>
      <c r="N12" s="3"/>
      <c r="O12" s="3"/>
      <c r="P12" s="3"/>
      <c r="Q12" s="3"/>
    </row>
    <row r="13" spans="1:17" x14ac:dyDescent="0.25">
      <c r="A13" s="3" t="s">
        <v>115</v>
      </c>
      <c r="B13" s="3"/>
      <c r="C13" s="3"/>
      <c r="D13" s="3"/>
      <c r="E13" s="3"/>
      <c r="F13" s="3"/>
      <c r="G13" s="3"/>
      <c r="H13" s="3"/>
      <c r="I13" s="3"/>
      <c r="J13" s="3"/>
      <c r="K13" s="3"/>
      <c r="L13" s="3"/>
      <c r="M13" s="3"/>
      <c r="N13" s="3"/>
      <c r="O13" s="3"/>
      <c r="P13" s="3"/>
      <c r="Q13" s="3"/>
    </row>
    <row r="14" spans="1:17" x14ac:dyDescent="0.25">
      <c r="A14" s="3" t="s">
        <v>114</v>
      </c>
      <c r="B14" s="3"/>
      <c r="C14" s="3"/>
      <c r="D14" s="3"/>
      <c r="E14" s="3"/>
      <c r="F14" s="3"/>
      <c r="G14" s="3"/>
      <c r="H14" s="3"/>
      <c r="I14" s="3"/>
      <c r="J14" s="3"/>
      <c r="K14" s="3"/>
      <c r="L14" s="3"/>
      <c r="M14" s="3"/>
      <c r="N14" s="3"/>
      <c r="O14" s="3"/>
      <c r="P14" s="3"/>
      <c r="Q14" s="3"/>
    </row>
    <row r="15" spans="1:17" x14ac:dyDescent="0.25">
      <c r="A15" s="3"/>
      <c r="B15" s="3"/>
      <c r="C15" s="3"/>
      <c r="D15" s="3"/>
      <c r="E15" s="3"/>
      <c r="F15" s="3"/>
      <c r="G15" s="3"/>
      <c r="H15" s="3"/>
      <c r="I15" s="3"/>
      <c r="J15" s="3"/>
      <c r="K15" s="3"/>
      <c r="L15" s="3"/>
      <c r="M15" s="3"/>
      <c r="N15" s="3"/>
      <c r="O15" s="3"/>
      <c r="P15" s="3"/>
      <c r="Q15" s="3"/>
    </row>
  </sheetData>
  <sheetProtection algorithmName="SHA-512" hashValue="h41/1BHddh/kxs4pIT5rJnfONZGTeVIbeHnDsJsppFQqqAi+HTYpQXKWyGv1O1Jav3LJQayOtrtSoho8XIy92Q==" saltValue="5/agjolRt0QBJ7pd9aWYZA==" spinCount="100000" sheet="1" objects="1" scenarios="1"/>
  <pageMargins left="0.7" right="0.7" top="0.75" bottom="0.75" header="0.3" footer="0.3"/>
  <pageSetup scale="65" orientation="landscape" horizontalDpi="1200" verticalDpi="1200" r:id="rId1"/>
  <headerFooter>
    <oddHeader>&amp;R&amp;"Times New Roman,Regular"FA8903-24-R-0023
Appendix L-05</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66"/>
  <sheetViews>
    <sheetView tabSelected="1" zoomScaleNormal="100" workbookViewId="0">
      <selection activeCell="E25" sqref="E25"/>
    </sheetView>
  </sheetViews>
  <sheetFormatPr defaultColWidth="9.140625" defaultRowHeight="15" x14ac:dyDescent="0.25"/>
  <cols>
    <col min="1" max="1" width="11.5703125" style="1" customWidth="1"/>
    <col min="2" max="2" width="79" customWidth="1"/>
    <col min="3" max="3" width="14" customWidth="1"/>
    <col min="4" max="4" width="15.42578125" customWidth="1"/>
    <col min="5" max="6" width="15.7109375" customWidth="1"/>
    <col min="7" max="7" width="17.42578125" customWidth="1"/>
    <col min="8" max="8" width="16.42578125" customWidth="1"/>
    <col min="9" max="9" width="16.28515625" customWidth="1"/>
    <col min="10" max="10" width="16.5703125" customWidth="1"/>
    <col min="11" max="11" width="16.28515625" customWidth="1"/>
    <col min="12" max="12" width="16" customWidth="1"/>
    <col min="13" max="13" width="10.42578125" customWidth="1"/>
    <col min="14" max="14" width="9.85546875" customWidth="1"/>
    <col min="15" max="21" width="9.140625" customWidth="1"/>
  </cols>
  <sheetData>
    <row r="1" spans="1:21" ht="18" customHeight="1" x14ac:dyDescent="0.3">
      <c r="A1" s="150" t="s">
        <v>102</v>
      </c>
      <c r="B1" s="150"/>
      <c r="C1" s="150"/>
      <c r="D1" s="150"/>
      <c r="E1" s="150"/>
      <c r="F1" s="150"/>
      <c r="G1" s="150"/>
      <c r="H1" s="150"/>
      <c r="I1" s="150"/>
      <c r="J1" s="150"/>
      <c r="K1" s="150"/>
      <c r="L1" s="150"/>
      <c r="M1" s="1"/>
      <c r="N1" s="1"/>
      <c r="O1" s="1"/>
      <c r="P1" s="1"/>
    </row>
    <row r="2" spans="1:21" ht="18" customHeight="1" x14ac:dyDescent="0.3">
      <c r="A2" s="150" t="s">
        <v>101</v>
      </c>
      <c r="B2" s="150"/>
      <c r="C2" s="150"/>
      <c r="D2" s="150"/>
      <c r="E2" s="150"/>
      <c r="F2" s="150"/>
      <c r="G2" s="150"/>
      <c r="H2" s="150"/>
      <c r="I2" s="150"/>
      <c r="J2" s="150"/>
      <c r="K2" s="150"/>
      <c r="L2" s="150"/>
      <c r="M2" s="1"/>
      <c r="N2" s="1"/>
      <c r="O2" s="1"/>
      <c r="P2" s="1"/>
    </row>
    <row r="3" spans="1:21" ht="18.75" x14ac:dyDescent="0.3">
      <c r="A3" s="152" t="s">
        <v>100</v>
      </c>
      <c r="B3" s="152"/>
      <c r="C3" s="152"/>
      <c r="D3" s="152"/>
      <c r="E3" s="152"/>
      <c r="F3" s="152"/>
      <c r="G3" s="152"/>
      <c r="H3" s="152"/>
      <c r="I3" s="152"/>
      <c r="J3" s="152"/>
      <c r="K3" s="152"/>
      <c r="L3" s="152"/>
      <c r="M3" s="1"/>
      <c r="N3" s="1"/>
      <c r="O3" s="1"/>
      <c r="P3" s="1"/>
    </row>
    <row r="4" spans="1:21" ht="19.5" thickBot="1" x14ac:dyDescent="0.35">
      <c r="A4" s="151" t="s">
        <v>1</v>
      </c>
      <c r="B4" s="151"/>
      <c r="C4" s="151"/>
      <c r="D4" s="151"/>
      <c r="E4" s="151"/>
      <c r="F4" s="151"/>
      <c r="G4" s="151"/>
      <c r="H4" s="151"/>
      <c r="I4" s="151"/>
      <c r="J4" s="151"/>
      <c r="K4" s="151"/>
      <c r="L4" s="151"/>
      <c r="M4" s="8"/>
      <c r="N4" s="8"/>
      <c r="O4" s="1"/>
      <c r="P4" s="1"/>
      <c r="Q4" s="1"/>
      <c r="R4" s="1"/>
      <c r="S4" s="1"/>
      <c r="T4" s="1"/>
      <c r="U4" s="1"/>
    </row>
    <row r="5" spans="1:21" ht="111" thickBot="1" x14ac:dyDescent="0.3">
      <c r="A5" s="28" t="s">
        <v>2</v>
      </c>
      <c r="B5" s="29" t="s">
        <v>3</v>
      </c>
      <c r="C5" s="30" t="s">
        <v>4</v>
      </c>
      <c r="D5" s="31" t="s">
        <v>117</v>
      </c>
      <c r="E5" s="32" t="s">
        <v>105</v>
      </c>
      <c r="F5" s="33" t="s">
        <v>106</v>
      </c>
      <c r="G5" s="34" t="s">
        <v>5</v>
      </c>
      <c r="H5" s="33" t="s">
        <v>116</v>
      </c>
      <c r="I5" s="35" t="s">
        <v>97</v>
      </c>
      <c r="J5" s="35" t="s">
        <v>98</v>
      </c>
      <c r="K5" s="35" t="s">
        <v>99</v>
      </c>
      <c r="L5" s="36" t="s">
        <v>50</v>
      </c>
      <c r="M5" s="1"/>
      <c r="N5" s="1"/>
      <c r="O5" s="1"/>
      <c r="P5" s="1"/>
      <c r="Q5" s="1"/>
      <c r="R5" s="1"/>
      <c r="S5" s="2"/>
      <c r="T5" s="1"/>
    </row>
    <row r="6" spans="1:21" ht="16.5" thickBot="1" x14ac:dyDescent="0.3">
      <c r="A6" s="37"/>
      <c r="B6" s="38" t="s">
        <v>10</v>
      </c>
      <c r="C6" s="38"/>
      <c r="D6" s="38"/>
      <c r="E6" s="38"/>
      <c r="F6" s="39"/>
      <c r="G6" s="39"/>
      <c r="H6" s="40"/>
      <c r="I6" s="40"/>
      <c r="J6" s="40"/>
      <c r="K6" s="40"/>
      <c r="L6" s="41"/>
      <c r="M6" s="1"/>
      <c r="N6" s="1"/>
      <c r="O6" s="1"/>
      <c r="P6" s="1"/>
      <c r="Q6" s="1"/>
      <c r="R6" s="1"/>
      <c r="S6" s="2"/>
      <c r="T6" s="1"/>
    </row>
    <row r="7" spans="1:21" ht="45.75" thickBot="1" x14ac:dyDescent="0.3">
      <c r="A7" s="42" t="s">
        <v>88</v>
      </c>
      <c r="B7" s="43" t="s">
        <v>80</v>
      </c>
      <c r="C7" s="44"/>
      <c r="D7" s="45"/>
      <c r="E7" s="45"/>
      <c r="F7" s="44"/>
      <c r="G7" s="44"/>
      <c r="H7" s="44"/>
      <c r="I7" s="44"/>
      <c r="J7" s="44"/>
      <c r="K7" s="44"/>
      <c r="L7" s="44"/>
      <c r="M7" s="1"/>
      <c r="N7" s="1"/>
      <c r="O7" s="1"/>
      <c r="P7" s="1"/>
      <c r="Q7" s="1"/>
      <c r="R7" s="1"/>
      <c r="S7" s="2"/>
      <c r="T7" s="1"/>
    </row>
    <row r="8" spans="1:21" x14ac:dyDescent="0.25">
      <c r="A8" s="42" t="s">
        <v>61</v>
      </c>
      <c r="B8" s="46" t="s">
        <v>79</v>
      </c>
      <c r="C8" s="47">
        <v>4</v>
      </c>
      <c r="D8" s="12"/>
      <c r="E8" s="13"/>
      <c r="F8" s="48">
        <f>IF(SUM(D8:E8)&gt;C8,"See Instructions", SUM(D8:E8))</f>
        <v>0</v>
      </c>
      <c r="G8" s="49">
        <f t="shared" ref="G8:G17" si="0">1000/C8</f>
        <v>250</v>
      </c>
      <c r="H8" s="48">
        <f t="shared" ref="H8:H14" si="1">F8*G8</f>
        <v>0</v>
      </c>
      <c r="I8" s="50">
        <v>4</v>
      </c>
      <c r="J8" s="51">
        <f t="shared" ref="J8:J17" si="2">G8*I8</f>
        <v>1000</v>
      </c>
      <c r="K8" s="51">
        <f t="shared" ref="K8:K17" si="3">I8*1000</f>
        <v>4000</v>
      </c>
      <c r="L8" s="52">
        <f t="shared" ref="L8:L17" si="4">$H8*$I8</f>
        <v>0</v>
      </c>
      <c r="M8" s="1"/>
      <c r="N8" s="1"/>
      <c r="O8" s="1"/>
      <c r="P8" s="1"/>
      <c r="Q8" s="1"/>
      <c r="R8" s="1"/>
      <c r="S8" s="2"/>
      <c r="T8" s="1"/>
    </row>
    <row r="9" spans="1:21" x14ac:dyDescent="0.25">
      <c r="A9" s="42" t="s">
        <v>62</v>
      </c>
      <c r="B9" s="46" t="s">
        <v>13</v>
      </c>
      <c r="C9" s="47">
        <v>4</v>
      </c>
      <c r="D9" s="14"/>
      <c r="E9" s="15"/>
      <c r="F9" s="48">
        <f t="shared" ref="F9:F17" si="5">IF(SUM(D9:E9)&gt;C9,"See Instructions", SUM(D9:E9))</f>
        <v>0</v>
      </c>
      <c r="G9" s="49">
        <f t="shared" si="0"/>
        <v>250</v>
      </c>
      <c r="H9" s="48">
        <f t="shared" si="1"/>
        <v>0</v>
      </c>
      <c r="I9" s="50">
        <v>7</v>
      </c>
      <c r="J9" s="51">
        <f t="shared" si="2"/>
        <v>1750</v>
      </c>
      <c r="K9" s="51">
        <f t="shared" si="3"/>
        <v>7000</v>
      </c>
      <c r="L9" s="52">
        <f t="shared" si="4"/>
        <v>0</v>
      </c>
      <c r="M9" s="1"/>
      <c r="N9" s="1"/>
      <c r="O9" s="1"/>
      <c r="P9" s="1"/>
      <c r="Q9" s="1"/>
      <c r="R9" s="1"/>
      <c r="S9" s="2"/>
      <c r="T9" s="1"/>
    </row>
    <row r="10" spans="1:21" x14ac:dyDescent="0.25">
      <c r="A10" s="42" t="s">
        <v>63</v>
      </c>
      <c r="B10" s="46" t="s">
        <v>14</v>
      </c>
      <c r="C10" s="47">
        <v>4</v>
      </c>
      <c r="D10" s="14"/>
      <c r="E10" s="15"/>
      <c r="F10" s="48">
        <f t="shared" si="5"/>
        <v>0</v>
      </c>
      <c r="G10" s="49">
        <f t="shared" si="0"/>
        <v>250</v>
      </c>
      <c r="H10" s="48">
        <f t="shared" si="1"/>
        <v>0</v>
      </c>
      <c r="I10" s="50">
        <v>9</v>
      </c>
      <c r="J10" s="51">
        <f t="shared" si="2"/>
        <v>2250</v>
      </c>
      <c r="K10" s="51">
        <f t="shared" si="3"/>
        <v>9000</v>
      </c>
      <c r="L10" s="52">
        <f t="shared" si="4"/>
        <v>0</v>
      </c>
      <c r="M10" s="1"/>
      <c r="N10" s="1"/>
      <c r="O10" s="1"/>
      <c r="P10" s="1"/>
      <c r="Q10" s="1"/>
      <c r="R10" s="1"/>
      <c r="S10" s="2"/>
      <c r="T10" s="1"/>
    </row>
    <row r="11" spans="1:21" x14ac:dyDescent="0.25">
      <c r="A11" s="42" t="s">
        <v>64</v>
      </c>
      <c r="B11" s="46" t="s">
        <v>15</v>
      </c>
      <c r="C11" s="47">
        <v>4</v>
      </c>
      <c r="D11" s="14"/>
      <c r="E11" s="15"/>
      <c r="F11" s="48">
        <f t="shared" si="5"/>
        <v>0</v>
      </c>
      <c r="G11" s="49">
        <f t="shared" si="0"/>
        <v>250</v>
      </c>
      <c r="H11" s="48">
        <f t="shared" si="1"/>
        <v>0</v>
      </c>
      <c r="I11" s="50">
        <v>3</v>
      </c>
      <c r="J11" s="51">
        <f t="shared" si="2"/>
        <v>750</v>
      </c>
      <c r="K11" s="51">
        <f t="shared" si="3"/>
        <v>3000</v>
      </c>
      <c r="L11" s="52">
        <f t="shared" si="4"/>
        <v>0</v>
      </c>
      <c r="M11" s="1"/>
      <c r="N11" s="1"/>
      <c r="O11" s="1"/>
      <c r="P11" s="1"/>
      <c r="Q11" s="1"/>
      <c r="R11" s="1"/>
      <c r="S11" s="2"/>
      <c r="T11" s="1"/>
    </row>
    <row r="12" spans="1:21" x14ac:dyDescent="0.25">
      <c r="A12" s="42" t="s">
        <v>65</v>
      </c>
      <c r="B12" s="46" t="s">
        <v>17</v>
      </c>
      <c r="C12" s="47">
        <v>4</v>
      </c>
      <c r="D12" s="14"/>
      <c r="E12" s="15"/>
      <c r="F12" s="48">
        <f t="shared" si="5"/>
        <v>0</v>
      </c>
      <c r="G12" s="49">
        <f t="shared" si="0"/>
        <v>250</v>
      </c>
      <c r="H12" s="48">
        <f t="shared" si="1"/>
        <v>0</v>
      </c>
      <c r="I12" s="50">
        <v>5</v>
      </c>
      <c r="J12" s="51">
        <f t="shared" si="2"/>
        <v>1250</v>
      </c>
      <c r="K12" s="51">
        <f t="shared" si="3"/>
        <v>5000</v>
      </c>
      <c r="L12" s="52">
        <f t="shared" si="4"/>
        <v>0</v>
      </c>
      <c r="M12" s="1"/>
      <c r="N12" s="1"/>
      <c r="O12" s="1"/>
      <c r="P12" s="1"/>
      <c r="Q12" s="1"/>
      <c r="R12" s="1"/>
      <c r="S12" s="2"/>
      <c r="T12" s="1"/>
    </row>
    <row r="13" spans="1:21" x14ac:dyDescent="0.25">
      <c r="A13" s="42" t="s">
        <v>66</v>
      </c>
      <c r="B13" s="46" t="s">
        <v>16</v>
      </c>
      <c r="C13" s="47">
        <v>4</v>
      </c>
      <c r="D13" s="14"/>
      <c r="E13" s="15"/>
      <c r="F13" s="48">
        <f t="shared" si="5"/>
        <v>0</v>
      </c>
      <c r="G13" s="49">
        <f t="shared" si="0"/>
        <v>250</v>
      </c>
      <c r="H13" s="48">
        <f t="shared" si="1"/>
        <v>0</v>
      </c>
      <c r="I13" s="50">
        <v>8</v>
      </c>
      <c r="J13" s="51">
        <f t="shared" si="2"/>
        <v>2000</v>
      </c>
      <c r="K13" s="51">
        <f t="shared" si="3"/>
        <v>8000</v>
      </c>
      <c r="L13" s="52">
        <f t="shared" si="4"/>
        <v>0</v>
      </c>
      <c r="M13" s="1"/>
      <c r="N13" s="1"/>
      <c r="O13" s="1"/>
      <c r="P13" s="1"/>
      <c r="Q13" s="1"/>
      <c r="R13" s="1"/>
      <c r="S13" s="2"/>
      <c r="T13" s="1"/>
    </row>
    <row r="14" spans="1:21" ht="14.65" customHeight="1" x14ac:dyDescent="0.25">
      <c r="A14" s="42" t="s">
        <v>67</v>
      </c>
      <c r="B14" s="46" t="s">
        <v>18</v>
      </c>
      <c r="C14" s="47">
        <v>4</v>
      </c>
      <c r="D14" s="14"/>
      <c r="E14" s="15"/>
      <c r="F14" s="48">
        <f t="shared" si="5"/>
        <v>0</v>
      </c>
      <c r="G14" s="49">
        <f t="shared" si="0"/>
        <v>250</v>
      </c>
      <c r="H14" s="48">
        <f t="shared" si="1"/>
        <v>0</v>
      </c>
      <c r="I14" s="50">
        <v>7</v>
      </c>
      <c r="J14" s="51">
        <f t="shared" si="2"/>
        <v>1750</v>
      </c>
      <c r="K14" s="51">
        <f t="shared" si="3"/>
        <v>7000</v>
      </c>
      <c r="L14" s="52">
        <f t="shared" si="4"/>
        <v>0</v>
      </c>
      <c r="M14" s="1"/>
      <c r="N14" s="1"/>
      <c r="O14" s="1"/>
      <c r="P14" s="1"/>
      <c r="Q14" s="1"/>
      <c r="R14" s="1"/>
      <c r="S14" s="2"/>
      <c r="T14" s="1"/>
    </row>
    <row r="15" spans="1:21" x14ac:dyDescent="0.25">
      <c r="A15" s="42" t="s">
        <v>68</v>
      </c>
      <c r="B15" s="46" t="s">
        <v>23</v>
      </c>
      <c r="C15" s="47">
        <v>4</v>
      </c>
      <c r="D15" s="14"/>
      <c r="E15" s="15"/>
      <c r="F15" s="48">
        <f t="shared" si="5"/>
        <v>0</v>
      </c>
      <c r="G15" s="49">
        <f t="shared" si="0"/>
        <v>250</v>
      </c>
      <c r="H15" s="48">
        <f t="shared" ref="H15:H17" si="6">F15*G15</f>
        <v>0</v>
      </c>
      <c r="I15" s="50">
        <v>4</v>
      </c>
      <c r="J15" s="51">
        <f t="shared" si="2"/>
        <v>1000</v>
      </c>
      <c r="K15" s="51">
        <f t="shared" si="3"/>
        <v>4000</v>
      </c>
      <c r="L15" s="52">
        <f t="shared" si="4"/>
        <v>0</v>
      </c>
      <c r="M15" s="1"/>
      <c r="N15" s="1"/>
      <c r="O15" s="1"/>
      <c r="P15" s="1"/>
      <c r="Q15" s="1"/>
      <c r="R15" s="1"/>
      <c r="S15" s="2"/>
      <c r="T15" s="1"/>
    </row>
    <row r="16" spans="1:21" x14ac:dyDescent="0.25">
      <c r="A16" s="42" t="s">
        <v>69</v>
      </c>
      <c r="B16" s="46" t="s">
        <v>24</v>
      </c>
      <c r="C16" s="47">
        <v>4</v>
      </c>
      <c r="D16" s="14"/>
      <c r="E16" s="15"/>
      <c r="F16" s="48">
        <f t="shared" si="5"/>
        <v>0</v>
      </c>
      <c r="G16" s="49">
        <f t="shared" si="0"/>
        <v>250</v>
      </c>
      <c r="H16" s="48">
        <f t="shared" si="6"/>
        <v>0</v>
      </c>
      <c r="I16" s="50">
        <v>5</v>
      </c>
      <c r="J16" s="51">
        <f t="shared" si="2"/>
        <v>1250</v>
      </c>
      <c r="K16" s="51">
        <f t="shared" si="3"/>
        <v>5000</v>
      </c>
      <c r="L16" s="52">
        <f t="shared" si="4"/>
        <v>0</v>
      </c>
      <c r="M16" s="1"/>
      <c r="N16" s="1"/>
      <c r="O16" s="1"/>
      <c r="P16" s="1"/>
      <c r="Q16" s="1"/>
      <c r="R16" s="1"/>
      <c r="S16" s="2"/>
      <c r="T16" s="1"/>
    </row>
    <row r="17" spans="1:20" ht="15.75" thickBot="1" x14ac:dyDescent="0.3">
      <c r="A17" s="53" t="s">
        <v>70</v>
      </c>
      <c r="B17" s="54" t="s">
        <v>86</v>
      </c>
      <c r="C17" s="55">
        <v>4</v>
      </c>
      <c r="D17" s="16"/>
      <c r="E17" s="17"/>
      <c r="F17" s="48">
        <f t="shared" si="5"/>
        <v>0</v>
      </c>
      <c r="G17" s="56">
        <f t="shared" si="0"/>
        <v>250</v>
      </c>
      <c r="H17" s="57">
        <f t="shared" si="6"/>
        <v>0</v>
      </c>
      <c r="I17" s="58">
        <v>6</v>
      </c>
      <c r="J17" s="59">
        <f t="shared" si="2"/>
        <v>1500</v>
      </c>
      <c r="K17" s="59">
        <f t="shared" si="3"/>
        <v>6000</v>
      </c>
      <c r="L17" s="60">
        <f t="shared" si="4"/>
        <v>0</v>
      </c>
      <c r="M17" s="1"/>
      <c r="N17" s="1"/>
      <c r="O17" s="1"/>
      <c r="P17" s="1"/>
      <c r="Q17" s="1"/>
      <c r="R17" s="1"/>
      <c r="S17" s="2"/>
      <c r="T17" s="1"/>
    </row>
    <row r="18" spans="1:20" ht="16.5" thickBot="1" x14ac:dyDescent="0.3">
      <c r="A18" s="37"/>
      <c r="B18" s="38" t="s">
        <v>11</v>
      </c>
      <c r="C18" s="38"/>
      <c r="D18" s="38"/>
      <c r="E18" s="38"/>
      <c r="F18" s="39"/>
      <c r="G18" s="39"/>
      <c r="H18" s="40"/>
      <c r="I18" s="40"/>
      <c r="J18" s="40"/>
      <c r="K18" s="40"/>
      <c r="L18" s="41"/>
      <c r="M18" s="1"/>
      <c r="N18" s="1"/>
      <c r="O18" s="1"/>
      <c r="P18" s="1"/>
      <c r="Q18" s="1"/>
      <c r="R18" s="1"/>
      <c r="S18" s="1"/>
      <c r="T18" s="1"/>
    </row>
    <row r="19" spans="1:20" ht="45.75" thickBot="1" x14ac:dyDescent="0.3">
      <c r="A19" s="61" t="s">
        <v>89</v>
      </c>
      <c r="B19" s="43" t="s">
        <v>80</v>
      </c>
      <c r="C19" s="44"/>
      <c r="D19" s="45"/>
      <c r="E19" s="45"/>
      <c r="F19" s="45"/>
      <c r="G19" s="44"/>
      <c r="H19" s="44"/>
      <c r="I19" s="44"/>
      <c r="J19" s="44"/>
      <c r="K19" s="44"/>
      <c r="L19" s="62"/>
      <c r="M19" s="1"/>
      <c r="N19" s="1"/>
      <c r="O19" s="1"/>
      <c r="P19" s="1"/>
      <c r="Q19" s="1"/>
      <c r="R19" s="1"/>
      <c r="S19" s="1"/>
      <c r="T19" s="1"/>
    </row>
    <row r="20" spans="1:20" x14ac:dyDescent="0.25">
      <c r="A20" s="61" t="s">
        <v>71</v>
      </c>
      <c r="B20" s="63" t="s">
        <v>21</v>
      </c>
      <c r="C20" s="64">
        <v>4</v>
      </c>
      <c r="D20" s="18"/>
      <c r="E20" s="19"/>
      <c r="F20" s="48">
        <f t="shared" ref="F20:F27" si="7">IF(SUM(D20:E20)&gt;C20,"See Instructions", SUM(D20:E20))</f>
        <v>0</v>
      </c>
      <c r="G20" s="65">
        <f>1000/C20</f>
        <v>250</v>
      </c>
      <c r="H20" s="48">
        <f t="shared" ref="H20:H27" si="8">F20*G20</f>
        <v>0</v>
      </c>
      <c r="I20" s="51">
        <v>6</v>
      </c>
      <c r="J20" s="51">
        <f t="shared" ref="J20:J27" si="9">G20*I20</f>
        <v>1500</v>
      </c>
      <c r="K20" s="51">
        <f t="shared" ref="K20:K27" si="10">I20*1000</f>
        <v>6000</v>
      </c>
      <c r="L20" s="66">
        <f t="shared" ref="L20:L27" si="11">$H20*$I20</f>
        <v>0</v>
      </c>
      <c r="M20" s="1"/>
      <c r="N20" s="1"/>
      <c r="O20" s="1"/>
      <c r="P20" s="1"/>
      <c r="Q20" s="1"/>
      <c r="R20" s="1"/>
      <c r="S20" s="1"/>
      <c r="T20" s="1"/>
    </row>
    <row r="21" spans="1:20" x14ac:dyDescent="0.25">
      <c r="A21" s="61" t="s">
        <v>72</v>
      </c>
      <c r="B21" s="63" t="s">
        <v>22</v>
      </c>
      <c r="C21" s="64">
        <v>4</v>
      </c>
      <c r="D21" s="20"/>
      <c r="E21" s="21"/>
      <c r="F21" s="48">
        <f t="shared" si="7"/>
        <v>0</v>
      </c>
      <c r="G21" s="65">
        <f>1000/C21</f>
        <v>250</v>
      </c>
      <c r="H21" s="48">
        <f t="shared" si="8"/>
        <v>0</v>
      </c>
      <c r="I21" s="51">
        <v>6</v>
      </c>
      <c r="J21" s="51">
        <f t="shared" si="9"/>
        <v>1500</v>
      </c>
      <c r="K21" s="51">
        <f t="shared" si="10"/>
        <v>6000</v>
      </c>
      <c r="L21" s="66">
        <f t="shared" si="11"/>
        <v>0</v>
      </c>
      <c r="M21" s="1"/>
      <c r="N21" s="1"/>
      <c r="O21" s="1"/>
      <c r="P21" s="1"/>
      <c r="Q21" s="1"/>
      <c r="R21" s="1"/>
      <c r="S21" s="1"/>
      <c r="T21" s="1"/>
    </row>
    <row r="22" spans="1:20" x14ac:dyDescent="0.25">
      <c r="A22" s="61" t="s">
        <v>73</v>
      </c>
      <c r="B22" s="63" t="s">
        <v>78</v>
      </c>
      <c r="C22" s="64">
        <v>4</v>
      </c>
      <c r="D22" s="20"/>
      <c r="E22" s="21"/>
      <c r="F22" s="48">
        <f t="shared" si="7"/>
        <v>0</v>
      </c>
      <c r="G22" s="65">
        <f>1000/C22</f>
        <v>250</v>
      </c>
      <c r="H22" s="48">
        <f t="shared" si="8"/>
        <v>0</v>
      </c>
      <c r="I22" s="51">
        <v>6</v>
      </c>
      <c r="J22" s="51">
        <f t="shared" si="9"/>
        <v>1500</v>
      </c>
      <c r="K22" s="51">
        <f t="shared" si="10"/>
        <v>6000</v>
      </c>
      <c r="L22" s="66">
        <f t="shared" si="11"/>
        <v>0</v>
      </c>
      <c r="M22" s="1"/>
      <c r="N22" s="1"/>
      <c r="O22" s="1"/>
      <c r="P22" s="1"/>
      <c r="Q22" s="1"/>
      <c r="R22" s="1"/>
      <c r="S22" s="1"/>
      <c r="T22" s="1"/>
    </row>
    <row r="23" spans="1:20" x14ac:dyDescent="0.25">
      <c r="A23" s="61" t="s">
        <v>74</v>
      </c>
      <c r="B23" s="63" t="s">
        <v>83</v>
      </c>
      <c r="C23" s="64">
        <v>4</v>
      </c>
      <c r="D23" s="20"/>
      <c r="E23" s="21"/>
      <c r="F23" s="48">
        <f t="shared" si="7"/>
        <v>0</v>
      </c>
      <c r="G23" s="65">
        <v>250</v>
      </c>
      <c r="H23" s="48">
        <f t="shared" ref="H23" si="12">F23*G23</f>
        <v>0</v>
      </c>
      <c r="I23" s="51">
        <v>8</v>
      </c>
      <c r="J23" s="51">
        <f t="shared" ref="J23" si="13">G23*I23</f>
        <v>2000</v>
      </c>
      <c r="K23" s="51">
        <f t="shared" ref="K23" si="14">I23*1000</f>
        <v>8000</v>
      </c>
      <c r="L23" s="66">
        <f t="shared" si="11"/>
        <v>0</v>
      </c>
      <c r="M23" s="1"/>
      <c r="N23" s="1"/>
      <c r="O23" s="1"/>
      <c r="P23" s="1"/>
      <c r="Q23" s="1"/>
      <c r="R23" s="1"/>
      <c r="S23" s="1"/>
      <c r="T23" s="1"/>
    </row>
    <row r="24" spans="1:20" x14ac:dyDescent="0.25">
      <c r="A24" s="61" t="s">
        <v>75</v>
      </c>
      <c r="B24" s="63" t="s">
        <v>85</v>
      </c>
      <c r="C24" s="64">
        <v>4</v>
      </c>
      <c r="D24" s="20"/>
      <c r="E24" s="21"/>
      <c r="F24" s="48">
        <f t="shared" si="7"/>
        <v>0</v>
      </c>
      <c r="G24" s="65">
        <f>1000/C24</f>
        <v>250</v>
      </c>
      <c r="H24" s="48">
        <f t="shared" si="8"/>
        <v>0</v>
      </c>
      <c r="I24" s="51">
        <v>8</v>
      </c>
      <c r="J24" s="51">
        <f t="shared" si="9"/>
        <v>2000</v>
      </c>
      <c r="K24" s="51">
        <f t="shared" si="10"/>
        <v>8000</v>
      </c>
      <c r="L24" s="66">
        <f t="shared" si="11"/>
        <v>0</v>
      </c>
      <c r="M24" s="1"/>
      <c r="N24" s="1"/>
      <c r="O24" s="1"/>
      <c r="P24" s="1"/>
      <c r="Q24" s="1"/>
      <c r="R24" s="1"/>
      <c r="S24" s="1"/>
      <c r="T24" s="1"/>
    </row>
    <row r="25" spans="1:20" x14ac:dyDescent="0.25">
      <c r="A25" s="61" t="s">
        <v>76</v>
      </c>
      <c r="B25" s="63" t="s">
        <v>84</v>
      </c>
      <c r="C25" s="64">
        <v>4</v>
      </c>
      <c r="D25" s="20"/>
      <c r="E25" s="21"/>
      <c r="F25" s="48">
        <f t="shared" si="7"/>
        <v>0</v>
      </c>
      <c r="G25" s="65">
        <f>1000/C25</f>
        <v>250</v>
      </c>
      <c r="H25" s="48">
        <f t="shared" si="8"/>
        <v>0</v>
      </c>
      <c r="I25" s="51">
        <v>8</v>
      </c>
      <c r="J25" s="51">
        <f t="shared" si="9"/>
        <v>2000</v>
      </c>
      <c r="K25" s="51">
        <f t="shared" si="10"/>
        <v>8000</v>
      </c>
      <c r="L25" s="66">
        <f t="shared" si="11"/>
        <v>0</v>
      </c>
      <c r="M25" s="1"/>
      <c r="N25" s="1"/>
      <c r="O25" s="1"/>
      <c r="P25" s="1"/>
      <c r="Q25" s="1"/>
      <c r="R25" s="1"/>
      <c r="S25" s="1"/>
      <c r="T25" s="1"/>
    </row>
    <row r="26" spans="1:20" x14ac:dyDescent="0.25">
      <c r="A26" s="61" t="s">
        <v>77</v>
      </c>
      <c r="B26" s="63" t="s">
        <v>19</v>
      </c>
      <c r="C26" s="64">
        <v>4</v>
      </c>
      <c r="D26" s="20"/>
      <c r="E26" s="21"/>
      <c r="F26" s="48">
        <f t="shared" si="7"/>
        <v>0</v>
      </c>
      <c r="G26" s="65">
        <f>1000/C26</f>
        <v>250</v>
      </c>
      <c r="H26" s="48">
        <f t="shared" si="8"/>
        <v>0</v>
      </c>
      <c r="I26" s="51">
        <v>5</v>
      </c>
      <c r="J26" s="51">
        <f t="shared" si="9"/>
        <v>1250</v>
      </c>
      <c r="K26" s="51">
        <f t="shared" si="10"/>
        <v>5000</v>
      </c>
      <c r="L26" s="66">
        <f t="shared" si="11"/>
        <v>0</v>
      </c>
      <c r="M26" s="1"/>
      <c r="N26" s="1"/>
      <c r="O26" s="1"/>
      <c r="P26" s="1"/>
      <c r="Q26" s="1"/>
      <c r="R26" s="1"/>
      <c r="S26" s="1"/>
      <c r="T26" s="1"/>
    </row>
    <row r="27" spans="1:20" ht="15.75" thickBot="1" x14ac:dyDescent="0.3">
      <c r="A27" s="67" t="s">
        <v>82</v>
      </c>
      <c r="B27" s="68" t="s">
        <v>20</v>
      </c>
      <c r="C27" s="69">
        <v>4</v>
      </c>
      <c r="D27" s="22"/>
      <c r="E27" s="23"/>
      <c r="F27" s="48">
        <f t="shared" si="7"/>
        <v>0</v>
      </c>
      <c r="G27" s="70">
        <f>1000/C27</f>
        <v>250</v>
      </c>
      <c r="H27" s="57">
        <f t="shared" si="8"/>
        <v>0</v>
      </c>
      <c r="I27" s="59">
        <v>4</v>
      </c>
      <c r="J27" s="59">
        <f t="shared" si="9"/>
        <v>1000</v>
      </c>
      <c r="K27" s="59">
        <f t="shared" si="10"/>
        <v>4000</v>
      </c>
      <c r="L27" s="71">
        <f t="shared" si="11"/>
        <v>0</v>
      </c>
      <c r="M27" s="1"/>
      <c r="N27" s="1"/>
      <c r="O27" s="1"/>
      <c r="P27" s="5"/>
      <c r="Q27" s="5"/>
      <c r="R27" s="5"/>
      <c r="S27" s="1"/>
      <c r="T27" s="1"/>
    </row>
    <row r="28" spans="1:20" ht="16.5" thickBot="1" x14ac:dyDescent="0.3">
      <c r="A28" s="72"/>
      <c r="B28" s="38" t="s">
        <v>12</v>
      </c>
      <c r="C28" s="38"/>
      <c r="D28" s="38"/>
      <c r="E28" s="38"/>
      <c r="F28" s="38"/>
      <c r="G28" s="38"/>
      <c r="H28" s="73"/>
      <c r="I28" s="73"/>
      <c r="J28" s="73"/>
      <c r="K28" s="73"/>
      <c r="L28" s="74"/>
      <c r="M28" s="1"/>
      <c r="N28" s="1"/>
      <c r="O28" s="1"/>
      <c r="P28" s="1"/>
      <c r="Q28" s="1"/>
      <c r="R28" s="1"/>
      <c r="S28" s="1"/>
      <c r="T28" s="1"/>
    </row>
    <row r="29" spans="1:20" ht="295.35000000000002" customHeight="1" thickBot="1" x14ac:dyDescent="0.3">
      <c r="A29" s="53" t="s">
        <v>90</v>
      </c>
      <c r="B29" s="75" t="s">
        <v>103</v>
      </c>
      <c r="C29" s="76">
        <v>5</v>
      </c>
      <c r="D29" s="24"/>
      <c r="E29" s="25"/>
      <c r="F29" s="48">
        <f>IF(SUM(D29:E29)&gt;C29,"See Instructions", SUM(D29:E29))</f>
        <v>0</v>
      </c>
      <c r="G29" s="77">
        <f>1250/C29</f>
        <v>250</v>
      </c>
      <c r="H29" s="57">
        <f>F29*G29</f>
        <v>0</v>
      </c>
      <c r="I29" s="59">
        <v>7</v>
      </c>
      <c r="J29" s="59">
        <f>G29*I29</f>
        <v>1750</v>
      </c>
      <c r="K29" s="59">
        <f>I29*1250</f>
        <v>8750</v>
      </c>
      <c r="L29" s="78">
        <f>$H29*$I29</f>
        <v>0</v>
      </c>
      <c r="M29" s="1"/>
      <c r="N29" s="1"/>
      <c r="O29" s="1"/>
      <c r="P29" s="1"/>
      <c r="Q29" s="1"/>
      <c r="R29" s="1"/>
      <c r="S29" s="1"/>
      <c r="T29" s="1"/>
    </row>
    <row r="30" spans="1:20" ht="16.5" thickBot="1" x14ac:dyDescent="0.3">
      <c r="A30" s="72"/>
      <c r="B30" s="38"/>
      <c r="C30" s="38"/>
      <c r="D30" s="38"/>
      <c r="E30" s="38"/>
      <c r="F30" s="38"/>
      <c r="G30" s="38"/>
      <c r="H30" s="73"/>
      <c r="I30" s="73"/>
      <c r="J30" s="73"/>
      <c r="K30" s="73"/>
      <c r="L30" s="74"/>
      <c r="M30" s="1"/>
      <c r="N30" s="1"/>
      <c r="O30" s="1"/>
      <c r="P30" s="1"/>
      <c r="Q30" s="1"/>
      <c r="R30" s="1"/>
      <c r="S30" s="1"/>
      <c r="T30" s="1"/>
    </row>
    <row r="31" spans="1:20" ht="63.75" thickBot="1" x14ac:dyDescent="0.3">
      <c r="A31" s="79"/>
      <c r="B31" s="80" t="s">
        <v>118</v>
      </c>
      <c r="C31" s="81" t="s">
        <v>59</v>
      </c>
      <c r="D31" s="82">
        <f>SUM(D8:D17,D20:D27,D29)</f>
        <v>0</v>
      </c>
      <c r="E31" s="83">
        <f>SUM(E8:E17,E20:E27,E29)</f>
        <v>0</v>
      </c>
      <c r="F31" s="84">
        <f>SUM(F8:F17,F20:F27,F29)</f>
        <v>0</v>
      </c>
      <c r="G31" s="85"/>
      <c r="H31" s="86"/>
      <c r="I31" s="85"/>
      <c r="J31" s="85"/>
      <c r="K31" s="85"/>
      <c r="L31" s="87"/>
      <c r="M31" s="1"/>
      <c r="N31" s="1"/>
      <c r="O31" s="1"/>
      <c r="P31" s="1"/>
      <c r="Q31" s="1"/>
      <c r="R31" s="1"/>
      <c r="S31" s="1"/>
    </row>
    <row r="32" spans="1:20" ht="16.5" thickBot="1" x14ac:dyDescent="0.3">
      <c r="A32" s="79"/>
      <c r="B32" s="88"/>
      <c r="C32" s="88"/>
      <c r="D32" s="88"/>
      <c r="E32" s="88"/>
      <c r="F32" s="88"/>
      <c r="G32" s="85"/>
      <c r="H32" s="86"/>
      <c r="I32" s="85"/>
      <c r="J32" s="85"/>
      <c r="K32" s="85"/>
      <c r="L32" s="87"/>
      <c r="M32" s="1"/>
      <c r="N32" s="1"/>
      <c r="O32" s="1"/>
      <c r="P32" s="1"/>
      <c r="Q32" s="1"/>
      <c r="R32" s="1"/>
      <c r="S32" s="1"/>
    </row>
    <row r="33" spans="1:20" ht="30.95" customHeight="1" thickBot="1" x14ac:dyDescent="0.3">
      <c r="A33" s="37"/>
      <c r="B33" s="38" t="s">
        <v>9</v>
      </c>
      <c r="C33" s="38"/>
      <c r="D33" s="156" t="s">
        <v>87</v>
      </c>
      <c r="E33" s="157"/>
      <c r="F33" s="89"/>
      <c r="G33" s="39"/>
      <c r="H33" s="39"/>
      <c r="I33" s="39"/>
      <c r="J33" s="39"/>
      <c r="K33" s="39"/>
      <c r="L33" s="90"/>
      <c r="M33" s="1"/>
      <c r="N33" s="1"/>
      <c r="O33" s="1"/>
      <c r="P33" s="1"/>
      <c r="Q33" s="1"/>
      <c r="R33" s="1"/>
      <c r="S33" s="2"/>
      <c r="T33" s="1"/>
    </row>
    <row r="34" spans="1:20" x14ac:dyDescent="0.25">
      <c r="A34" s="42" t="s">
        <v>91</v>
      </c>
      <c r="B34" s="91" t="s">
        <v>51</v>
      </c>
      <c r="C34" s="92">
        <v>60</v>
      </c>
      <c r="D34" s="12"/>
      <c r="E34" s="13"/>
      <c r="F34" s="48">
        <f>IF(SUM(D34:E34)&gt;C34,"See Instructions", SUM(D34:E34))</f>
        <v>0</v>
      </c>
      <c r="G34" s="93">
        <f>1000/C34</f>
        <v>16.666666666666668</v>
      </c>
      <c r="H34" s="48">
        <f>F34*G34</f>
        <v>0</v>
      </c>
      <c r="I34" s="51">
        <v>3</v>
      </c>
      <c r="J34" s="51">
        <f>G34*I34</f>
        <v>50</v>
      </c>
      <c r="K34" s="51">
        <f>I34*1000</f>
        <v>3000</v>
      </c>
      <c r="L34" s="94">
        <f>$H34*$I34</f>
        <v>0</v>
      </c>
      <c r="M34" s="1"/>
      <c r="N34" s="1"/>
      <c r="O34" s="1"/>
      <c r="P34" s="1"/>
      <c r="Q34" s="1"/>
      <c r="R34" s="1"/>
      <c r="S34" s="2"/>
      <c r="T34" s="1"/>
    </row>
    <row r="35" spans="1:20" ht="15.75" thickBot="1" x14ac:dyDescent="0.3">
      <c r="A35" s="53" t="s">
        <v>92</v>
      </c>
      <c r="B35" s="75" t="s">
        <v>94</v>
      </c>
      <c r="C35" s="76">
        <v>20</v>
      </c>
      <c r="D35" s="26"/>
      <c r="E35" s="27"/>
      <c r="F35" s="48">
        <f>IF(SUM(D35:E35)&gt;C35,"See Instructions", SUM(D35:E35))</f>
        <v>0</v>
      </c>
      <c r="G35" s="77">
        <f>1000/C35</f>
        <v>50</v>
      </c>
      <c r="H35" s="57">
        <f>F35*G35</f>
        <v>0</v>
      </c>
      <c r="I35" s="59">
        <v>3</v>
      </c>
      <c r="J35" s="59">
        <f>G35*I35</f>
        <v>150</v>
      </c>
      <c r="K35" s="59">
        <f>I35*1000</f>
        <v>3000</v>
      </c>
      <c r="L35" s="78">
        <f>$H35*$I35</f>
        <v>0</v>
      </c>
      <c r="M35" s="1"/>
      <c r="N35" s="1"/>
      <c r="O35" s="1"/>
      <c r="P35" s="1"/>
      <c r="Q35" s="1"/>
      <c r="R35" s="1"/>
      <c r="S35" s="2"/>
      <c r="T35" s="1"/>
    </row>
    <row r="36" spans="1:20" ht="16.5" thickBot="1" x14ac:dyDescent="0.3">
      <c r="A36" s="37"/>
      <c r="B36" s="38"/>
      <c r="C36" s="38"/>
      <c r="D36" s="95"/>
      <c r="E36" s="95"/>
      <c r="F36" s="39"/>
      <c r="G36" s="39"/>
      <c r="H36" s="39"/>
      <c r="I36" s="39"/>
      <c r="J36" s="39"/>
      <c r="K36" s="39"/>
      <c r="L36" s="90"/>
      <c r="M36" s="1"/>
      <c r="N36" s="1"/>
      <c r="O36" s="1"/>
      <c r="P36" s="1"/>
      <c r="Q36" s="1"/>
      <c r="R36" s="1"/>
      <c r="S36" s="1"/>
    </row>
    <row r="37" spans="1:20" ht="15.75" x14ac:dyDescent="0.25">
      <c r="A37" s="96"/>
      <c r="B37" s="97"/>
      <c r="C37" s="97"/>
      <c r="D37" s="97"/>
      <c r="E37" s="97"/>
      <c r="F37" s="98"/>
      <c r="G37" s="98"/>
      <c r="H37" s="98"/>
      <c r="I37" s="98"/>
      <c r="J37" s="98"/>
      <c r="K37" s="98"/>
      <c r="L37" s="99"/>
      <c r="M37" s="1"/>
      <c r="N37" s="1"/>
      <c r="O37" s="1"/>
      <c r="P37" s="1"/>
      <c r="Q37" s="1"/>
      <c r="R37" s="1"/>
      <c r="S37" s="1"/>
    </row>
    <row r="38" spans="1:20" ht="15.75" x14ac:dyDescent="0.25">
      <c r="A38" s="79"/>
      <c r="B38" s="100" t="s">
        <v>6</v>
      </c>
      <c r="C38" s="101"/>
      <c r="D38" s="101"/>
      <c r="E38" s="101"/>
      <c r="F38" s="101"/>
      <c r="G38" s="85"/>
      <c r="H38" s="86"/>
      <c r="I38" s="85"/>
      <c r="J38" s="85"/>
      <c r="K38" s="86"/>
      <c r="L38" s="87"/>
      <c r="M38" s="1"/>
      <c r="N38" s="1"/>
      <c r="O38" s="1"/>
      <c r="P38" s="1"/>
      <c r="Q38" s="1"/>
      <c r="R38" s="1"/>
      <c r="S38" s="1"/>
    </row>
    <row r="39" spans="1:20" ht="16.5" thickBot="1" x14ac:dyDescent="0.3">
      <c r="A39" s="86"/>
      <c r="B39" s="102"/>
      <c r="C39" s="101"/>
      <c r="D39" s="101"/>
      <c r="E39" s="101"/>
      <c r="F39" s="101"/>
      <c r="G39" s="85"/>
      <c r="H39" s="86"/>
      <c r="I39" s="85"/>
      <c r="J39" s="85"/>
      <c r="K39" s="86"/>
      <c r="L39" s="87"/>
      <c r="M39" s="1"/>
      <c r="N39" s="1"/>
      <c r="O39" s="1"/>
      <c r="P39" s="1"/>
      <c r="Q39" s="1"/>
      <c r="R39" s="1"/>
      <c r="S39" s="1"/>
    </row>
    <row r="40" spans="1:20" ht="16.5" thickBot="1" x14ac:dyDescent="0.3">
      <c r="A40" s="86"/>
      <c r="B40" s="103" t="s">
        <v>104</v>
      </c>
      <c r="C40" s="104"/>
      <c r="D40" s="105">
        <f>IF(F31&gt;20,"Contractor has provided too many work samples.", IF(E31&gt;D31, "Contractor has submitted more Work Samples for Teaming Subcontractors than allowable.", SUM(L8:L17,L20:L27,L29,L34:L35)))</f>
        <v>0</v>
      </c>
      <c r="E40" s="106"/>
      <c r="F40" s="107"/>
      <c r="G40" s="86"/>
      <c r="H40" s="86"/>
      <c r="I40" s="86"/>
      <c r="J40" s="86"/>
      <c r="K40" s="86"/>
      <c r="L40" s="87"/>
      <c r="M40" s="1"/>
      <c r="N40" s="1"/>
      <c r="O40" s="1"/>
      <c r="P40" s="1"/>
      <c r="Q40" s="1"/>
      <c r="R40" s="1"/>
      <c r="S40" s="1"/>
    </row>
    <row r="41" spans="1:20" ht="16.5" thickBot="1" x14ac:dyDescent="0.3">
      <c r="A41" s="86"/>
      <c r="B41" s="103" t="s">
        <v>95</v>
      </c>
      <c r="C41" s="104"/>
      <c r="D41" s="105">
        <f>IF(OR($F$31&gt;20, $E$31&gt;$D$31), "Error, see note in Cell D31", SUM(J55,J66,J77,J88,J99))</f>
        <v>0</v>
      </c>
      <c r="E41" s="106"/>
      <c r="F41" s="107"/>
      <c r="G41" s="86"/>
      <c r="H41" s="86"/>
      <c r="I41" s="86"/>
      <c r="J41" s="86"/>
      <c r="K41" s="86"/>
      <c r="L41" s="87"/>
      <c r="M41" s="1"/>
      <c r="N41" s="1"/>
      <c r="O41" s="1"/>
      <c r="P41" s="1"/>
      <c r="Q41" s="1"/>
      <c r="R41" s="1"/>
      <c r="S41" s="1"/>
    </row>
    <row r="42" spans="1:20" ht="16.5" thickBot="1" x14ac:dyDescent="0.3">
      <c r="A42" s="86"/>
      <c r="B42" s="103" t="s">
        <v>52</v>
      </c>
      <c r="C42" s="108" t="str">
        <f>_xlfn.IFNA(IF(AND(MATCH("M",Sheet1!G2:G6,0),MATCH("E",Sheet1!G2:G6,0),MATCH("3",Sheet1!G2:G6,0)),"Yes","No"),"No")</f>
        <v>No</v>
      </c>
      <c r="D42" s="105">
        <f>IF(OR($F$31&gt;20, $E$31&gt;$D$31), "Error, see note in Cell D31", IF(C42="Yes", D41, ))</f>
        <v>0</v>
      </c>
      <c r="E42" s="109"/>
      <c r="F42" s="107"/>
      <c r="G42" s="86"/>
      <c r="H42" s="86"/>
      <c r="I42" s="86"/>
      <c r="J42" s="86"/>
      <c r="K42" s="86"/>
      <c r="L42" s="87"/>
      <c r="M42" s="1"/>
      <c r="N42" s="1"/>
      <c r="O42" s="1"/>
      <c r="P42" s="1"/>
      <c r="Q42" s="1"/>
      <c r="R42" s="1"/>
      <c r="S42" s="1"/>
    </row>
    <row r="43" spans="1:20" ht="16.5" thickBot="1" x14ac:dyDescent="0.3">
      <c r="A43" s="86"/>
      <c r="B43" s="110" t="s">
        <v>7</v>
      </c>
      <c r="C43" s="111"/>
      <c r="D43" s="112">
        <f>IF(OR($F$31&gt;20, $E$31&gt;$D$31), "Error, see note in Cell D31", SUM(D40:D42))</f>
        <v>0</v>
      </c>
      <c r="E43" s="106"/>
      <c r="F43" s="107"/>
      <c r="G43" s="86"/>
      <c r="H43" s="86"/>
      <c r="I43" s="86"/>
      <c r="J43" s="86"/>
      <c r="K43" s="86"/>
      <c r="L43" s="87"/>
      <c r="M43" s="1"/>
      <c r="N43" s="1"/>
      <c r="O43" s="1"/>
      <c r="P43" s="1"/>
      <c r="Q43" s="1"/>
      <c r="R43" s="1"/>
      <c r="S43" s="1"/>
    </row>
    <row r="44" spans="1:20" ht="16.5" thickBot="1" x14ac:dyDescent="0.3">
      <c r="A44" s="86"/>
      <c r="B44" s="103" t="s">
        <v>8</v>
      </c>
      <c r="C44" s="104"/>
      <c r="D44" s="113"/>
      <c r="E44" s="106"/>
      <c r="F44" s="106"/>
      <c r="G44" s="86"/>
      <c r="H44" s="86"/>
      <c r="I44" s="86"/>
      <c r="J44" s="86"/>
      <c r="K44" s="86"/>
      <c r="L44" s="87"/>
      <c r="M44" s="1"/>
      <c r="N44" s="1"/>
      <c r="O44" s="1"/>
      <c r="P44" s="1"/>
      <c r="Q44" s="1"/>
      <c r="R44" s="1"/>
      <c r="S44" s="1"/>
    </row>
    <row r="45" spans="1:20" ht="15.75" x14ac:dyDescent="0.25">
      <c r="A45" s="86"/>
      <c r="B45" s="114"/>
      <c r="C45" s="114"/>
      <c r="D45" s="114"/>
      <c r="E45" s="114"/>
      <c r="F45" s="114"/>
      <c r="G45" s="86"/>
      <c r="H45" s="86"/>
      <c r="I45" s="86"/>
      <c r="J45" s="86"/>
      <c r="K45" s="86"/>
      <c r="L45" s="87"/>
      <c r="M45" s="1"/>
      <c r="N45" s="1"/>
      <c r="O45" s="1"/>
      <c r="P45" s="1"/>
      <c r="Q45" s="1"/>
      <c r="R45" s="1"/>
      <c r="S45" s="1"/>
    </row>
    <row r="46" spans="1:20" ht="16.5" thickBot="1" x14ac:dyDescent="0.3">
      <c r="A46" s="115" t="s">
        <v>93</v>
      </c>
      <c r="B46" s="116" t="s">
        <v>96</v>
      </c>
      <c r="C46" s="161"/>
      <c r="D46" s="161"/>
      <c r="E46" s="161"/>
      <c r="F46" s="161"/>
      <c r="G46" s="161"/>
      <c r="H46" s="161"/>
      <c r="I46" s="161"/>
      <c r="J46" s="162"/>
      <c r="K46" s="87"/>
      <c r="L46" s="87"/>
      <c r="M46" s="1"/>
      <c r="N46" s="1"/>
      <c r="O46" s="1"/>
      <c r="P46" s="1"/>
      <c r="Q46" s="1"/>
      <c r="R46" s="1"/>
      <c r="S46" s="1"/>
      <c r="T46" s="1"/>
    </row>
    <row r="47" spans="1:20" ht="48" thickBot="1" x14ac:dyDescent="0.3">
      <c r="A47" s="117" t="s">
        <v>32</v>
      </c>
      <c r="B47" s="118" t="s">
        <v>33</v>
      </c>
      <c r="C47" s="119" t="s">
        <v>31</v>
      </c>
      <c r="D47" s="120" t="s">
        <v>35</v>
      </c>
      <c r="E47" s="120" t="s">
        <v>36</v>
      </c>
      <c r="F47" s="120" t="s">
        <v>37</v>
      </c>
      <c r="G47" s="120" t="s">
        <v>38</v>
      </c>
      <c r="H47" s="121" t="s">
        <v>39</v>
      </c>
      <c r="I47" s="122" t="s">
        <v>58</v>
      </c>
      <c r="J47" s="122" t="s">
        <v>40</v>
      </c>
      <c r="K47" s="87"/>
      <c r="L47" s="87"/>
      <c r="M47" s="1"/>
      <c r="N47" s="1"/>
      <c r="O47" s="1"/>
      <c r="P47" s="1"/>
      <c r="Q47" s="1"/>
      <c r="R47" s="1"/>
      <c r="S47" s="1"/>
      <c r="T47" s="1"/>
    </row>
    <row r="48" spans="1:20" ht="16.5" thickBot="1" x14ac:dyDescent="0.3">
      <c r="A48" s="123" t="s">
        <v>41</v>
      </c>
      <c r="B48" s="124" t="s">
        <v>60</v>
      </c>
      <c r="C48" s="153" t="s">
        <v>34</v>
      </c>
      <c r="D48" s="154"/>
      <c r="E48" s="154"/>
      <c r="F48" s="154"/>
      <c r="G48" s="154"/>
      <c r="H48" s="154"/>
      <c r="I48" s="155"/>
      <c r="J48" s="125"/>
      <c r="K48" s="87"/>
      <c r="L48" s="87"/>
      <c r="M48" s="1"/>
      <c r="N48" s="1"/>
      <c r="O48" s="1"/>
      <c r="P48" s="1"/>
      <c r="Q48" s="1"/>
      <c r="R48" s="1"/>
      <c r="S48" s="1"/>
      <c r="T48" s="1"/>
    </row>
    <row r="49" spans="1:20" ht="16.5" thickBot="1" x14ac:dyDescent="0.3">
      <c r="A49" s="7"/>
      <c r="B49" s="158"/>
      <c r="C49" s="159"/>
      <c r="D49" s="10"/>
      <c r="E49" s="10"/>
      <c r="F49" s="10"/>
      <c r="G49" s="10"/>
      <c r="H49" s="10"/>
      <c r="I49" s="10"/>
      <c r="J49" s="126">
        <f>_xlfn.IFNA(SUM(VLOOKUP(D49,Sheet1!$A$2:$B$8,2,FALSE),VLOOKUP(E49,Sheet1!$A$2:$B$8,2,FALSE),VLOOKUP(F49,Sheet1!$A$2:$B$8,2,FALSE),VLOOKUP(G49,Sheet1!$A$2:$B$8,2,FALSE),VLOOKUP(H49,Sheet1!$A$2:$B$8,2,FALSE),VLOOKUP(I49,Sheet1!$A$2:$B$8,2,FALSE))/(6-COUNTIF('Self Score Sheet'!D49:I49,"N/A")-COUNTBLANK('Self Score Sheet'!D49:I49)), 0)</f>
        <v>0</v>
      </c>
      <c r="K49" s="87"/>
      <c r="L49" s="87"/>
      <c r="M49" s="1"/>
      <c r="N49" s="1"/>
      <c r="O49" s="1"/>
      <c r="P49" s="1"/>
      <c r="Q49" s="1"/>
      <c r="R49" s="1"/>
      <c r="S49" s="1"/>
      <c r="T49" s="1"/>
    </row>
    <row r="50" spans="1:20" ht="16.5" thickBot="1" x14ac:dyDescent="0.3">
      <c r="A50" s="7"/>
      <c r="B50" s="159"/>
      <c r="C50" s="159"/>
      <c r="D50" s="7"/>
      <c r="E50" s="7"/>
      <c r="F50" s="7"/>
      <c r="G50" s="7"/>
      <c r="H50" s="7"/>
      <c r="I50" s="7"/>
      <c r="J50" s="126">
        <f>_xlfn.IFNA(SUM(VLOOKUP(D50,Sheet1!$A$2:$B$8,2,FALSE),VLOOKUP(E50,Sheet1!$A$2:$B$8,2,FALSE),VLOOKUP(F50,Sheet1!$A$2:$B$8,2,FALSE),VLOOKUP(G50,Sheet1!$A$2:$B$8,2,FALSE),VLOOKUP(H50,Sheet1!$A$2:$B$8,2,FALSE),VLOOKUP(I50,Sheet1!$A$2:$B$8,2,FALSE))/(6-COUNTIF('Self Score Sheet'!D50:I50,"N/A")-COUNTBLANK('Self Score Sheet'!D50:I50)), 0)</f>
        <v>0</v>
      </c>
      <c r="K50" s="87"/>
      <c r="L50" s="87"/>
      <c r="M50" s="1"/>
      <c r="N50" s="1"/>
      <c r="O50" s="1"/>
      <c r="P50" s="1"/>
      <c r="Q50" s="1"/>
      <c r="R50" s="1"/>
      <c r="S50" s="1"/>
      <c r="T50" s="1"/>
    </row>
    <row r="51" spans="1:20" ht="16.5" thickBot="1" x14ac:dyDescent="0.3">
      <c r="A51" s="7"/>
      <c r="B51" s="159"/>
      <c r="C51" s="159"/>
      <c r="D51" s="7"/>
      <c r="E51" s="7"/>
      <c r="F51" s="7"/>
      <c r="G51" s="7"/>
      <c r="H51" s="7"/>
      <c r="I51" s="7"/>
      <c r="J51" s="126">
        <f>_xlfn.IFNA(SUM(VLOOKUP(D51,Sheet1!$A$2:$B$8,2,FALSE),VLOOKUP(E51,Sheet1!$A$2:$B$8,2,FALSE),VLOOKUP(F51,Sheet1!$A$2:$B$8,2,FALSE),VLOOKUP(G51,Sheet1!$A$2:$B$8,2,FALSE),VLOOKUP(H51,Sheet1!$A$2:$B$8,2,FALSE),VLOOKUP(I51,Sheet1!$A$2:$B$8,2,FALSE))/(6-COUNTIF('Self Score Sheet'!D51:I51,"N/A")-COUNTBLANK('Self Score Sheet'!D51:I51)), 0)</f>
        <v>0</v>
      </c>
      <c r="K51" s="87"/>
      <c r="L51" s="87"/>
      <c r="M51" s="1"/>
      <c r="N51" s="1"/>
      <c r="O51" s="1"/>
      <c r="P51" s="1"/>
      <c r="Q51" s="1"/>
      <c r="R51" s="1"/>
      <c r="S51" s="1"/>
      <c r="T51" s="1"/>
    </row>
    <row r="52" spans="1:20" ht="16.5" thickBot="1" x14ac:dyDescent="0.3">
      <c r="A52" s="7"/>
      <c r="B52" s="159"/>
      <c r="C52" s="159"/>
      <c r="D52" s="7"/>
      <c r="E52" s="7"/>
      <c r="F52" s="7"/>
      <c r="G52" s="7"/>
      <c r="H52" s="7"/>
      <c r="I52" s="7"/>
      <c r="J52" s="126">
        <f>_xlfn.IFNA(SUM(VLOOKUP(D52,Sheet1!$A$2:$B$8,2,FALSE),VLOOKUP(E52,Sheet1!$A$2:$B$8,2,FALSE),VLOOKUP(F52,Sheet1!$A$2:$B$8,2,FALSE),VLOOKUP(G52,Sheet1!$A$2:$B$8,2,FALSE),VLOOKUP(H52,Sheet1!$A$2:$B$8,2,FALSE),VLOOKUP(I52,Sheet1!$A$2:$B$8,2,FALSE))/(6-COUNTIF('Self Score Sheet'!D52:I52,"N/A")-COUNTBLANK('Self Score Sheet'!D52:I52)), 0)</f>
        <v>0</v>
      </c>
      <c r="K52" s="87"/>
      <c r="L52" s="87"/>
      <c r="M52" s="1"/>
      <c r="N52" s="1"/>
      <c r="O52" s="1"/>
      <c r="P52" s="1"/>
      <c r="Q52" s="1"/>
      <c r="R52" s="1"/>
      <c r="S52" s="1"/>
      <c r="T52" s="1"/>
    </row>
    <row r="53" spans="1:20" ht="16.5" thickBot="1" x14ac:dyDescent="0.3">
      <c r="A53" s="7"/>
      <c r="B53" s="160"/>
      <c r="C53" s="160"/>
      <c r="D53" s="7"/>
      <c r="E53" s="7"/>
      <c r="F53" s="7"/>
      <c r="G53" s="7"/>
      <c r="H53" s="7"/>
      <c r="I53" s="7"/>
      <c r="J53" s="126">
        <f>_xlfn.IFNA(SUM(VLOOKUP(D53,Sheet1!$A$2:$B$8,2,FALSE),VLOOKUP(E53,Sheet1!$A$2:$B$8,2,FALSE),VLOOKUP(F53,Sheet1!$A$2:$B$8,2,FALSE),VLOOKUP(G53,Sheet1!$A$2:$B$8,2,FALSE),VLOOKUP(H53,Sheet1!$A$2:$B$8,2,FALSE),VLOOKUP(I53,Sheet1!$A$2:$B$8,2,FALSE))/(6-COUNTIF('Self Score Sheet'!D53:I53,"N/A")-COUNTBLANK('Self Score Sheet'!D53:I53)), 0)</f>
        <v>0</v>
      </c>
      <c r="K53" s="87"/>
      <c r="L53" s="87"/>
      <c r="M53" s="1"/>
      <c r="N53" s="1"/>
      <c r="O53" s="1"/>
      <c r="P53" s="1"/>
      <c r="Q53" s="1"/>
      <c r="R53" s="1"/>
      <c r="S53" s="1"/>
      <c r="T53" s="1"/>
    </row>
    <row r="54" spans="1:20" ht="15.75" x14ac:dyDescent="0.25">
      <c r="A54" s="127"/>
      <c r="B54" s="128"/>
      <c r="C54" s="128">
        <f>C49</f>
        <v>0</v>
      </c>
      <c r="D54" s="129"/>
      <c r="E54" s="129"/>
      <c r="F54" s="129"/>
      <c r="G54" s="129"/>
      <c r="H54" s="129"/>
      <c r="I54" s="130" t="s">
        <v>53</v>
      </c>
      <c r="J54" s="131">
        <f>IF(SUM(J49:J53)=0,0,SUM(J49:J53)/COUNTIF(J49:J53,"&lt;&gt;0"))</f>
        <v>0</v>
      </c>
      <c r="K54" s="87"/>
      <c r="L54" s="87"/>
      <c r="M54" s="1"/>
      <c r="N54" s="1"/>
      <c r="O54" s="1"/>
      <c r="P54" s="1"/>
      <c r="Q54" s="1"/>
      <c r="R54" s="1"/>
      <c r="S54" s="1"/>
      <c r="T54" s="1"/>
    </row>
    <row r="55" spans="1:20" ht="46.35" customHeight="1" thickBot="1" x14ac:dyDescent="0.3">
      <c r="A55" s="132"/>
      <c r="B55" s="133" t="s">
        <v>54</v>
      </c>
      <c r="C55" s="134" t="str">
        <f>IF(LEFT(C49,1)="M", "Mechanical Systems",IF(LEFT(C49,1)="E","Electrical Systems",IF(LEFT(C49,1)="2","Facility Renovations","")))</f>
        <v/>
      </c>
      <c r="D55" s="134" t="s">
        <v>55</v>
      </c>
      <c r="E55" s="133" t="str">
        <f>_xlfn.IFNA(VLOOKUP(C49,$A$8:$G$29,7,FALSE),"")</f>
        <v/>
      </c>
      <c r="F55" s="133" t="s">
        <v>56</v>
      </c>
      <c r="G55" s="133" t="str">
        <f>_xlfn.IFNA(VLOOKUP(C49,$A$8:$J$29,10,FALSE),"")</f>
        <v/>
      </c>
      <c r="H55" s="133" t="s">
        <v>57</v>
      </c>
      <c r="I55" s="135">
        <f>J54/100</f>
        <v>0</v>
      </c>
      <c r="J55" s="136" t="str">
        <f>_xlfn.IFNA(IF(VLOOKUP(C49,Sheet1!$I$2:$L$20,4,FALSE)&lt;0,"Error: Please check selected subcategory.",IF(AND(C49&lt;&gt;"",J54&lt;&gt;0),I55*G55,0)),"")</f>
        <v/>
      </c>
      <c r="K55" s="87"/>
      <c r="L55" s="87"/>
      <c r="M55" s="1"/>
      <c r="N55" s="1"/>
      <c r="O55" s="1"/>
      <c r="P55" s="1"/>
      <c r="Q55" s="1"/>
      <c r="R55" s="1"/>
      <c r="S55" s="1"/>
      <c r="T55" s="1"/>
    </row>
    <row r="56" spans="1:20" ht="15.75" x14ac:dyDescent="0.25">
      <c r="A56" s="137"/>
      <c r="B56" s="138"/>
      <c r="C56" s="139"/>
      <c r="D56" s="139"/>
      <c r="E56" s="138"/>
      <c r="F56" s="138"/>
      <c r="G56" s="138"/>
      <c r="H56" s="138"/>
      <c r="I56" s="140"/>
      <c r="J56" s="138"/>
      <c r="K56" s="87"/>
      <c r="L56" s="87"/>
      <c r="M56" s="1"/>
      <c r="N56" s="1"/>
      <c r="O56" s="1"/>
      <c r="P56" s="1"/>
      <c r="Q56" s="1"/>
      <c r="R56" s="1"/>
      <c r="S56" s="1"/>
      <c r="T56" s="1"/>
    </row>
    <row r="57" spans="1:20" ht="16.5" thickBot="1" x14ac:dyDescent="0.3">
      <c r="A57" s="141"/>
      <c r="B57" s="141"/>
      <c r="C57" s="141"/>
      <c r="D57" s="141"/>
      <c r="E57" s="141"/>
      <c r="F57" s="141"/>
      <c r="G57" s="141"/>
      <c r="H57" s="141"/>
      <c r="I57" s="141"/>
      <c r="J57" s="141"/>
      <c r="K57" s="87"/>
      <c r="L57" s="87"/>
      <c r="M57" s="1"/>
      <c r="N57" s="1"/>
      <c r="O57" s="1"/>
      <c r="P57" s="1"/>
      <c r="Q57" s="1"/>
      <c r="R57" s="1"/>
      <c r="S57" s="1"/>
      <c r="T57" s="1"/>
    </row>
    <row r="58" spans="1:20" ht="48" thickBot="1" x14ac:dyDescent="0.3">
      <c r="A58" s="117" t="s">
        <v>46</v>
      </c>
      <c r="B58" s="118" t="s">
        <v>33</v>
      </c>
      <c r="C58" s="142" t="s">
        <v>31</v>
      </c>
      <c r="D58" s="142" t="s">
        <v>35</v>
      </c>
      <c r="E58" s="120" t="s">
        <v>36</v>
      </c>
      <c r="F58" s="120" t="s">
        <v>37</v>
      </c>
      <c r="G58" s="120" t="s">
        <v>38</v>
      </c>
      <c r="H58" s="120" t="s">
        <v>39</v>
      </c>
      <c r="I58" s="120" t="s">
        <v>58</v>
      </c>
      <c r="J58" s="143" t="s">
        <v>40</v>
      </c>
      <c r="K58" s="87"/>
      <c r="L58" s="87"/>
      <c r="M58" s="1"/>
      <c r="N58" s="1"/>
      <c r="O58" s="1"/>
      <c r="P58" s="1"/>
      <c r="Q58" s="1"/>
      <c r="R58" s="1"/>
      <c r="S58" s="1"/>
      <c r="T58" s="1"/>
    </row>
    <row r="59" spans="1:20" ht="16.5" thickBot="1" x14ac:dyDescent="0.3">
      <c r="A59" s="123" t="s">
        <v>41</v>
      </c>
      <c r="B59" s="124" t="s">
        <v>60</v>
      </c>
      <c r="C59" s="153" t="s">
        <v>34</v>
      </c>
      <c r="D59" s="154"/>
      <c r="E59" s="154"/>
      <c r="F59" s="154"/>
      <c r="G59" s="154"/>
      <c r="H59" s="154"/>
      <c r="I59" s="155"/>
      <c r="J59" s="144"/>
      <c r="K59" s="87"/>
      <c r="L59" s="87"/>
      <c r="M59" s="1"/>
      <c r="N59" s="1"/>
      <c r="O59" s="1"/>
      <c r="P59" s="1"/>
      <c r="Q59" s="1"/>
      <c r="R59" s="1"/>
      <c r="S59" s="1"/>
      <c r="T59" s="1"/>
    </row>
    <row r="60" spans="1:20" ht="16.5" thickBot="1" x14ac:dyDescent="0.3">
      <c r="A60" s="7"/>
      <c r="B60" s="158"/>
      <c r="C60" s="158"/>
      <c r="D60" s="10"/>
      <c r="E60" s="10"/>
      <c r="F60" s="10"/>
      <c r="G60" s="10"/>
      <c r="H60" s="10"/>
      <c r="I60" s="10"/>
      <c r="J60" s="126">
        <f>_xlfn.IFNA(SUM(VLOOKUP(D60,Sheet1!$A$2:$B$8,2,FALSE),VLOOKUP(E60,Sheet1!$A$2:$B$8,2,FALSE),VLOOKUP(F60,Sheet1!$A$2:$B$8,2,FALSE),VLOOKUP(G60,Sheet1!$A$2:$B$8,2,FALSE),VLOOKUP(H60,Sheet1!$A$2:$B$8,2,FALSE),VLOOKUP(I60,Sheet1!$A$2:$B$8,2,FALSE))/(6-COUNTIF('Self Score Sheet'!D60:I60,"N/A")-COUNTBLANK('Self Score Sheet'!D60:I60)), 0)</f>
        <v>0</v>
      </c>
      <c r="K60" s="87"/>
      <c r="L60" s="87"/>
      <c r="M60" s="1"/>
      <c r="N60" s="1"/>
      <c r="O60" s="1"/>
      <c r="P60" s="1"/>
      <c r="Q60" s="1"/>
      <c r="R60" s="1"/>
      <c r="S60" s="1"/>
      <c r="T60" s="1"/>
    </row>
    <row r="61" spans="1:20" ht="16.5" thickBot="1" x14ac:dyDescent="0.3">
      <c r="A61" s="7"/>
      <c r="B61" s="159"/>
      <c r="C61" s="159"/>
      <c r="D61" s="7"/>
      <c r="E61" s="7"/>
      <c r="F61" s="7"/>
      <c r="G61" s="7"/>
      <c r="H61" s="7"/>
      <c r="I61" s="7"/>
      <c r="J61" s="126">
        <f>_xlfn.IFNA(SUM(VLOOKUP(D61,Sheet1!$A$2:$B$8,2,FALSE),VLOOKUP(E61,Sheet1!$A$2:$B$8,2,FALSE),VLOOKUP(F61,Sheet1!$A$2:$B$8,2,FALSE),VLOOKUP(G61,Sheet1!$A$2:$B$8,2,FALSE),VLOOKUP(H61,Sheet1!$A$2:$B$8,2,FALSE),VLOOKUP(I61,Sheet1!$A$2:$B$8,2,FALSE))/(6-COUNTIF('Self Score Sheet'!D61:I61,"N/A")-COUNTBLANK('Self Score Sheet'!D61:I61)), 0)</f>
        <v>0</v>
      </c>
      <c r="K61" s="87"/>
      <c r="L61" s="87"/>
      <c r="M61" s="1"/>
      <c r="N61" s="1"/>
      <c r="O61" s="1"/>
      <c r="P61" s="1"/>
      <c r="Q61" s="1"/>
      <c r="R61" s="1"/>
      <c r="S61" s="1"/>
      <c r="T61" s="1"/>
    </row>
    <row r="62" spans="1:20" ht="16.5" thickBot="1" x14ac:dyDescent="0.3">
      <c r="A62" s="7"/>
      <c r="B62" s="159"/>
      <c r="C62" s="159"/>
      <c r="D62" s="7"/>
      <c r="E62" s="7"/>
      <c r="F62" s="7"/>
      <c r="G62" s="7"/>
      <c r="H62" s="7"/>
      <c r="I62" s="7"/>
      <c r="J62" s="126">
        <f>_xlfn.IFNA(SUM(VLOOKUP(D62,Sheet1!$A$2:$B$8,2,FALSE),VLOOKUP(E62,Sheet1!$A$2:$B$8,2,FALSE),VLOOKUP(F62,Sheet1!$A$2:$B$8,2,FALSE),VLOOKUP(G62,Sheet1!$A$2:$B$8,2,FALSE),VLOOKUP(H62,Sheet1!$A$2:$B$8,2,FALSE),VLOOKUP(I62,Sheet1!$A$2:$B$8,2,FALSE))/(6-COUNTIF('Self Score Sheet'!D62:I62,"N/A")-COUNTBLANK('Self Score Sheet'!D62:I62)), 0)</f>
        <v>0</v>
      </c>
      <c r="K62" s="87"/>
      <c r="L62" s="87"/>
      <c r="M62" s="1"/>
      <c r="N62" s="1"/>
      <c r="O62" s="1"/>
      <c r="P62" s="1"/>
      <c r="Q62" s="1"/>
      <c r="R62" s="1"/>
      <c r="S62" s="1"/>
      <c r="T62" s="1"/>
    </row>
    <row r="63" spans="1:20" ht="16.5" thickBot="1" x14ac:dyDescent="0.3">
      <c r="A63" s="7"/>
      <c r="B63" s="159"/>
      <c r="C63" s="159"/>
      <c r="D63" s="7"/>
      <c r="E63" s="7"/>
      <c r="F63" s="7"/>
      <c r="G63" s="7"/>
      <c r="H63" s="7"/>
      <c r="I63" s="7"/>
      <c r="J63" s="126">
        <f>_xlfn.IFNA(SUM(VLOOKUP(D63,Sheet1!$A$2:$B$8,2,FALSE),VLOOKUP(E63,Sheet1!$A$2:$B$8,2,FALSE),VLOOKUP(F63,Sheet1!$A$2:$B$8,2,FALSE),VLOOKUP(G63,Sheet1!$A$2:$B$8,2,FALSE),VLOOKUP(H63,Sheet1!$A$2:$B$8,2,FALSE),VLOOKUP(I63,Sheet1!$A$2:$B$8,2,FALSE))/(6-COUNTIF('Self Score Sheet'!D63:I63,"N/A")-COUNTBLANK('Self Score Sheet'!D63:I63)), 0)</f>
        <v>0</v>
      </c>
      <c r="K63" s="87"/>
      <c r="L63" s="87"/>
      <c r="M63" s="1"/>
      <c r="N63" s="1"/>
      <c r="O63" s="1"/>
      <c r="P63" s="1"/>
      <c r="Q63" s="1"/>
      <c r="R63" s="1"/>
      <c r="S63" s="1"/>
      <c r="T63" s="1"/>
    </row>
    <row r="64" spans="1:20" ht="16.5" thickBot="1" x14ac:dyDescent="0.3">
      <c r="A64" s="7"/>
      <c r="B64" s="160"/>
      <c r="C64" s="160"/>
      <c r="D64" s="7"/>
      <c r="E64" s="7"/>
      <c r="F64" s="7"/>
      <c r="G64" s="7"/>
      <c r="H64" s="7"/>
      <c r="I64" s="7"/>
      <c r="J64" s="126">
        <f>_xlfn.IFNA(SUM(VLOOKUP(D64,Sheet1!$A$2:$B$8,2,FALSE),VLOOKUP(E64,Sheet1!$A$2:$B$8,2,FALSE),VLOOKUP(F64,Sheet1!$A$2:$B$8,2,FALSE),VLOOKUP(G64,Sheet1!$A$2:$B$8,2,FALSE),VLOOKUP(H64,Sheet1!$A$2:$B$8,2,FALSE),VLOOKUP(I64,Sheet1!$A$2:$B$8,2,FALSE))/(6-COUNTIF('Self Score Sheet'!D64:I64,"N/A")-COUNTBLANK('Self Score Sheet'!D64:I64)), 0)</f>
        <v>0</v>
      </c>
      <c r="K64" s="87"/>
      <c r="L64" s="87"/>
      <c r="M64" s="1"/>
      <c r="N64" s="1"/>
      <c r="O64" s="1"/>
      <c r="P64" s="1"/>
      <c r="Q64" s="1"/>
      <c r="R64" s="1"/>
      <c r="S64" s="1"/>
      <c r="T64" s="1"/>
    </row>
    <row r="65" spans="1:20" ht="15.75" x14ac:dyDescent="0.25">
      <c r="A65" s="127"/>
      <c r="B65" s="128"/>
      <c r="C65" s="128">
        <f>C60</f>
        <v>0</v>
      </c>
      <c r="D65" s="129"/>
      <c r="E65" s="129"/>
      <c r="F65" s="129"/>
      <c r="G65" s="129"/>
      <c r="H65" s="129"/>
      <c r="I65" s="130" t="s">
        <v>53</v>
      </c>
      <c r="J65" s="131">
        <f>IF(SUM(J60:J64)=0,0,SUM(J60:J64)/COUNTIF(J60:J64,"&lt;&gt;0"))</f>
        <v>0</v>
      </c>
      <c r="K65" s="87"/>
      <c r="L65" s="87"/>
      <c r="M65" s="1"/>
      <c r="N65" s="1"/>
      <c r="O65" s="1"/>
      <c r="P65" s="1"/>
      <c r="Q65" s="1"/>
      <c r="R65" s="1"/>
      <c r="S65" s="1"/>
      <c r="T65" s="1"/>
    </row>
    <row r="66" spans="1:20" ht="46.35" customHeight="1" thickBot="1" x14ac:dyDescent="0.3">
      <c r="A66" s="132"/>
      <c r="B66" s="133" t="s">
        <v>54</v>
      </c>
      <c r="C66" s="134" t="str">
        <f>IF(LEFT(C60,1)="M", "Mechanical Systems",IF(LEFT(C60,1)="E","Electrical Systems",IF(LEFT(C60,1)="2","Facility Renovations","")))</f>
        <v/>
      </c>
      <c r="D66" s="134" t="s">
        <v>55</v>
      </c>
      <c r="E66" s="133" t="str">
        <f>_xlfn.IFNA(VLOOKUP(C60,$A$8:$G$29,7,FALSE),"")</f>
        <v/>
      </c>
      <c r="F66" s="133" t="s">
        <v>56</v>
      </c>
      <c r="G66" s="133" t="str">
        <f>_xlfn.IFNA(VLOOKUP(C60,$A$8:$J$29,10,FALSE),"")</f>
        <v/>
      </c>
      <c r="H66" s="133" t="s">
        <v>57</v>
      </c>
      <c r="I66" s="135">
        <f>J65/100</f>
        <v>0</v>
      </c>
      <c r="J66" s="136" t="str">
        <f>_xlfn.IFNA(IF(VLOOKUP(C60,Sheet1!$I$2:$L$20,4,FALSE)&lt;0,"Error: Please check selected subcategory.",IF(AND(C60&lt;&gt;"",J65&lt;&gt;0),I66*G66,0)),"")</f>
        <v/>
      </c>
      <c r="K66" s="87"/>
      <c r="L66" s="87"/>
      <c r="M66" s="1"/>
      <c r="N66" s="1"/>
      <c r="O66" s="1"/>
      <c r="P66" s="1"/>
      <c r="Q66" s="1"/>
      <c r="R66" s="1"/>
      <c r="S66" s="1"/>
      <c r="T66" s="1"/>
    </row>
    <row r="67" spans="1:20" x14ac:dyDescent="0.25">
      <c r="A67" s="87"/>
      <c r="B67" s="145"/>
      <c r="C67" s="145"/>
      <c r="D67" s="145"/>
      <c r="E67" s="87"/>
      <c r="F67" s="87"/>
      <c r="G67" s="87"/>
      <c r="H67" s="87"/>
      <c r="I67" s="87"/>
      <c r="J67" s="87"/>
      <c r="K67" s="87"/>
      <c r="L67" s="87"/>
      <c r="M67" s="1"/>
      <c r="N67" s="1"/>
      <c r="O67" s="1"/>
      <c r="P67" s="1"/>
      <c r="Q67" s="1"/>
      <c r="R67" s="1"/>
      <c r="S67" s="1"/>
      <c r="T67" s="1"/>
    </row>
    <row r="68" spans="1:20" ht="15.75" thickBot="1" x14ac:dyDescent="0.3">
      <c r="A68" s="87"/>
      <c r="B68" s="145"/>
      <c r="C68" s="145"/>
      <c r="D68" s="145"/>
      <c r="E68" s="87"/>
      <c r="F68" s="87"/>
      <c r="G68" s="87"/>
      <c r="H68" s="87"/>
      <c r="I68" s="87"/>
      <c r="J68" s="87"/>
      <c r="K68" s="87"/>
      <c r="L68" s="87"/>
      <c r="M68" s="1"/>
      <c r="N68" s="1"/>
      <c r="O68" s="1"/>
      <c r="P68" s="1"/>
      <c r="Q68" s="1"/>
      <c r="R68" s="1"/>
      <c r="S68" s="1"/>
      <c r="T68" s="1"/>
    </row>
    <row r="69" spans="1:20" ht="48" thickBot="1" x14ac:dyDescent="0.3">
      <c r="A69" s="117" t="s">
        <v>49</v>
      </c>
      <c r="B69" s="118" t="s">
        <v>33</v>
      </c>
      <c r="C69" s="142" t="s">
        <v>31</v>
      </c>
      <c r="D69" s="142" t="s">
        <v>35</v>
      </c>
      <c r="E69" s="120" t="s">
        <v>36</v>
      </c>
      <c r="F69" s="120" t="s">
        <v>37</v>
      </c>
      <c r="G69" s="120" t="s">
        <v>38</v>
      </c>
      <c r="H69" s="121" t="s">
        <v>39</v>
      </c>
      <c r="I69" s="122" t="s">
        <v>58</v>
      </c>
      <c r="J69" s="122" t="s">
        <v>40</v>
      </c>
      <c r="K69" s="87"/>
      <c r="L69" s="87"/>
      <c r="M69" s="1"/>
      <c r="N69" s="1"/>
      <c r="O69" s="1"/>
      <c r="P69" s="1"/>
      <c r="Q69" s="1"/>
      <c r="R69" s="1"/>
      <c r="S69" s="1"/>
      <c r="T69" s="1"/>
    </row>
    <row r="70" spans="1:20" ht="16.5" thickBot="1" x14ac:dyDescent="0.3">
      <c r="A70" s="123" t="s">
        <v>41</v>
      </c>
      <c r="B70" s="124" t="s">
        <v>60</v>
      </c>
      <c r="C70" s="153" t="s">
        <v>34</v>
      </c>
      <c r="D70" s="154"/>
      <c r="E70" s="154"/>
      <c r="F70" s="154"/>
      <c r="G70" s="154"/>
      <c r="H70" s="154"/>
      <c r="I70" s="155"/>
      <c r="J70" s="144"/>
      <c r="K70" s="87"/>
      <c r="L70" s="87"/>
      <c r="M70" s="1"/>
      <c r="N70" s="1"/>
      <c r="O70" s="1"/>
      <c r="P70" s="1"/>
      <c r="Q70" s="1"/>
      <c r="R70" s="1"/>
      <c r="S70" s="1"/>
      <c r="T70" s="1"/>
    </row>
    <row r="71" spans="1:20" ht="16.5" thickBot="1" x14ac:dyDescent="0.3">
      <c r="A71" s="7"/>
      <c r="B71" s="158"/>
      <c r="C71" s="158"/>
      <c r="D71" s="10"/>
      <c r="E71" s="10"/>
      <c r="F71" s="10"/>
      <c r="G71" s="10"/>
      <c r="H71" s="10"/>
      <c r="I71" s="10"/>
      <c r="J71" s="126">
        <f>_xlfn.IFNA(SUM(VLOOKUP(D71,Sheet1!$A$2:$B$8,2,FALSE),VLOOKUP(E71,Sheet1!$A$2:$B$8,2,FALSE),VLOOKUP(F71,Sheet1!$A$2:$B$8,2,FALSE),VLOOKUP(G71,Sheet1!$A$2:$B$8,2,FALSE),VLOOKUP(H71,Sheet1!$A$2:$B$8,2,FALSE),VLOOKUP(I71,Sheet1!$A$2:$B$8,2,FALSE))/(6-COUNTIF('Self Score Sheet'!D71:I71,"N/A")-COUNTBLANK('Self Score Sheet'!D71:I71)), 0)</f>
        <v>0</v>
      </c>
      <c r="K71" s="87"/>
      <c r="L71" s="87"/>
      <c r="M71" s="1"/>
      <c r="N71" s="1"/>
      <c r="O71" s="1"/>
      <c r="P71" s="1"/>
      <c r="Q71" s="1"/>
      <c r="R71" s="1"/>
      <c r="S71" s="1"/>
      <c r="T71" s="1"/>
    </row>
    <row r="72" spans="1:20" ht="16.5" thickBot="1" x14ac:dyDescent="0.3">
      <c r="A72" s="7"/>
      <c r="B72" s="159"/>
      <c r="C72" s="159"/>
      <c r="D72" s="7"/>
      <c r="E72" s="7"/>
      <c r="F72" s="7"/>
      <c r="G72" s="7"/>
      <c r="H72" s="7"/>
      <c r="I72" s="7"/>
      <c r="J72" s="126">
        <f>_xlfn.IFNA(SUM(VLOOKUP(D72,Sheet1!$A$2:$B$8,2,FALSE),VLOOKUP(E72,Sheet1!$A$2:$B$8,2,FALSE),VLOOKUP(F72,Sheet1!$A$2:$B$8,2,FALSE),VLOOKUP(G72,Sheet1!$A$2:$B$8,2,FALSE),VLOOKUP(H72,Sheet1!$A$2:$B$8,2,FALSE),VLOOKUP(I72,Sheet1!$A$2:$B$8,2,FALSE))/(6-COUNTIF('Self Score Sheet'!D72:I72,"N/A")-COUNTBLANK('Self Score Sheet'!D72:I72)), 0)</f>
        <v>0</v>
      </c>
      <c r="K72" s="87"/>
      <c r="L72" s="87"/>
      <c r="M72" s="1"/>
      <c r="N72" s="1"/>
      <c r="O72" s="1"/>
      <c r="P72" s="1"/>
      <c r="Q72" s="1"/>
      <c r="R72" s="1"/>
      <c r="S72" s="1"/>
      <c r="T72" s="1"/>
    </row>
    <row r="73" spans="1:20" ht="16.5" thickBot="1" x14ac:dyDescent="0.3">
      <c r="A73" s="7"/>
      <c r="B73" s="159"/>
      <c r="C73" s="159"/>
      <c r="D73" s="7"/>
      <c r="E73" s="7"/>
      <c r="F73" s="7"/>
      <c r="G73" s="7"/>
      <c r="H73" s="7"/>
      <c r="I73" s="7"/>
      <c r="J73" s="126">
        <f>_xlfn.IFNA(SUM(VLOOKUP(D73,Sheet1!$A$2:$B$8,2,FALSE),VLOOKUP(E73,Sheet1!$A$2:$B$8,2,FALSE),VLOOKUP(F73,Sheet1!$A$2:$B$8,2,FALSE),VLOOKUP(G73,Sheet1!$A$2:$B$8,2,FALSE),VLOOKUP(H73,Sheet1!$A$2:$B$8,2,FALSE),VLOOKUP(I73,Sheet1!$A$2:$B$8,2,FALSE))/(6-COUNTIF('Self Score Sheet'!D73:I73,"N/A")-COUNTBLANK('Self Score Sheet'!D73:I73)), 0)</f>
        <v>0</v>
      </c>
      <c r="K73" s="87"/>
      <c r="L73" s="87"/>
      <c r="M73" s="1"/>
      <c r="N73" s="1"/>
      <c r="O73" s="1"/>
      <c r="P73" s="1"/>
      <c r="Q73" s="1"/>
      <c r="R73" s="1"/>
      <c r="S73" s="1"/>
      <c r="T73" s="1"/>
    </row>
    <row r="74" spans="1:20" ht="16.5" thickBot="1" x14ac:dyDescent="0.3">
      <c r="A74" s="7"/>
      <c r="B74" s="159"/>
      <c r="C74" s="159"/>
      <c r="D74" s="7"/>
      <c r="E74" s="7"/>
      <c r="F74" s="7"/>
      <c r="G74" s="7"/>
      <c r="H74" s="7"/>
      <c r="I74" s="7"/>
      <c r="J74" s="126">
        <f>_xlfn.IFNA(SUM(VLOOKUP(D74,Sheet1!$A$2:$B$8,2,FALSE),VLOOKUP(E74,Sheet1!$A$2:$B$8,2,FALSE),VLOOKUP(F74,Sheet1!$A$2:$B$8,2,FALSE),VLOOKUP(G74,Sheet1!$A$2:$B$8,2,FALSE),VLOOKUP(H74,Sheet1!$A$2:$B$8,2,FALSE),VLOOKUP(I74,Sheet1!$A$2:$B$8,2,FALSE))/(6-COUNTIF('Self Score Sheet'!D74:I74,"N/A")-COUNTBLANK('Self Score Sheet'!D74:I74)), 0)</f>
        <v>0</v>
      </c>
      <c r="K74" s="87"/>
      <c r="L74" s="87"/>
      <c r="M74" s="1"/>
      <c r="N74" s="1"/>
      <c r="O74" s="1"/>
      <c r="P74" s="1"/>
      <c r="Q74" s="1"/>
      <c r="R74" s="1"/>
      <c r="S74" s="1"/>
      <c r="T74" s="1"/>
    </row>
    <row r="75" spans="1:20" ht="16.5" thickBot="1" x14ac:dyDescent="0.3">
      <c r="A75" s="7"/>
      <c r="B75" s="160"/>
      <c r="C75" s="160"/>
      <c r="D75" s="7"/>
      <c r="E75" s="7"/>
      <c r="F75" s="7"/>
      <c r="G75" s="7"/>
      <c r="H75" s="7"/>
      <c r="I75" s="7"/>
      <c r="J75" s="126">
        <f>_xlfn.IFNA(SUM(VLOOKUP(D75,Sheet1!$A$2:$B$8,2,FALSE),VLOOKUP(E75,Sheet1!$A$2:$B$8,2,FALSE),VLOOKUP(F75,Sheet1!$A$2:$B$8,2,FALSE),VLOOKUP(G75,Sheet1!$A$2:$B$8,2,FALSE),VLOOKUP(H75,Sheet1!$A$2:$B$8,2,FALSE),VLOOKUP(I75,Sheet1!$A$2:$B$8,2,FALSE))/(6-COUNTIF('Self Score Sheet'!D75:I75,"N/A")-COUNTBLANK('Self Score Sheet'!D75:I75)), 0)</f>
        <v>0</v>
      </c>
      <c r="K75" s="87"/>
      <c r="L75" s="87"/>
      <c r="M75" s="1"/>
      <c r="N75" s="1"/>
      <c r="O75" s="1"/>
      <c r="P75" s="1"/>
      <c r="Q75" s="1"/>
      <c r="R75" s="1"/>
      <c r="S75" s="1"/>
      <c r="T75" s="1"/>
    </row>
    <row r="76" spans="1:20" ht="15.75" x14ac:dyDescent="0.25">
      <c r="A76" s="127"/>
      <c r="B76" s="128"/>
      <c r="C76" s="128">
        <f>C71</f>
        <v>0</v>
      </c>
      <c r="D76" s="129"/>
      <c r="E76" s="129"/>
      <c r="F76" s="129"/>
      <c r="G76" s="129"/>
      <c r="H76" s="129"/>
      <c r="I76" s="130" t="s">
        <v>53</v>
      </c>
      <c r="J76" s="131">
        <f>IF(SUM(J71:J75)=0,0,SUM(J71:J75)/COUNTIF(J71:J75,"&lt;&gt;0"))</f>
        <v>0</v>
      </c>
      <c r="K76" s="87"/>
      <c r="L76" s="87"/>
      <c r="M76" s="1"/>
      <c r="N76" s="1"/>
      <c r="O76" s="1"/>
      <c r="P76" s="1"/>
      <c r="Q76" s="1"/>
      <c r="R76" s="1"/>
      <c r="S76" s="1"/>
      <c r="T76" s="1"/>
    </row>
    <row r="77" spans="1:20" ht="46.35" customHeight="1" thickBot="1" x14ac:dyDescent="0.3">
      <c r="A77" s="132"/>
      <c r="B77" s="133" t="s">
        <v>54</v>
      </c>
      <c r="C77" s="134" t="str">
        <f>IF(LEFT(C71,1)="M", "Mechanical Systems",IF(LEFT(C71,1)="E","Electrical Systems",IF(LEFT(C71,1)="2","Facility Renovations","")))</f>
        <v/>
      </c>
      <c r="D77" s="134" t="s">
        <v>55</v>
      </c>
      <c r="E77" s="133" t="str">
        <f>_xlfn.IFNA(VLOOKUP(C71,$A$8:$G$29,7,FALSE),"")</f>
        <v/>
      </c>
      <c r="F77" s="133" t="s">
        <v>56</v>
      </c>
      <c r="G77" s="133" t="str">
        <f>_xlfn.IFNA(VLOOKUP(C71,$A$8:$J$29,10,FALSE),"")</f>
        <v/>
      </c>
      <c r="H77" s="133" t="s">
        <v>57</v>
      </c>
      <c r="I77" s="135">
        <f>J76/100</f>
        <v>0</v>
      </c>
      <c r="J77" s="136" t="str">
        <f>_xlfn.IFNA(IF(VLOOKUP(C71,Sheet1!$I$2:$L$20,4,FALSE)&lt;0,"Error: Please check selected subcategory.",IF(AND(C71&lt;&gt;"",J76&lt;&gt;0),I77*G77,0)),"")</f>
        <v/>
      </c>
      <c r="K77" s="87"/>
      <c r="L77" s="87"/>
      <c r="M77" s="1"/>
      <c r="N77" s="1"/>
      <c r="O77" s="1"/>
      <c r="P77" s="1"/>
      <c r="Q77" s="1"/>
      <c r="R77" s="1"/>
      <c r="S77" s="1"/>
      <c r="T77" s="1"/>
    </row>
    <row r="78" spans="1:20" x14ac:dyDescent="0.25">
      <c r="A78" s="87"/>
      <c r="B78" s="145"/>
      <c r="C78" s="145"/>
      <c r="D78" s="145"/>
      <c r="E78" s="87"/>
      <c r="F78" s="87"/>
      <c r="G78" s="87"/>
      <c r="H78" s="87"/>
      <c r="I78" s="87"/>
      <c r="J78" s="87"/>
      <c r="K78" s="87"/>
      <c r="L78" s="87"/>
      <c r="M78" s="1"/>
      <c r="N78" s="1"/>
      <c r="O78" s="1"/>
      <c r="P78" s="1"/>
      <c r="Q78" s="1"/>
      <c r="R78" s="1"/>
      <c r="S78" s="1"/>
      <c r="T78" s="1"/>
    </row>
    <row r="79" spans="1:20" ht="15.75" thickBot="1" x14ac:dyDescent="0.3">
      <c r="A79" s="87"/>
      <c r="B79" s="145"/>
      <c r="C79" s="145"/>
      <c r="D79" s="145"/>
      <c r="E79" s="87"/>
      <c r="F79" s="87"/>
      <c r="G79" s="87"/>
      <c r="H79" s="87"/>
      <c r="I79" s="87"/>
      <c r="J79" s="87"/>
      <c r="K79" s="87"/>
      <c r="L79" s="87"/>
      <c r="M79" s="1"/>
      <c r="N79" s="1"/>
      <c r="O79" s="1"/>
      <c r="P79" s="1"/>
      <c r="Q79" s="1"/>
      <c r="R79" s="1"/>
      <c r="S79" s="1"/>
      <c r="T79" s="1"/>
    </row>
    <row r="80" spans="1:20" ht="48" thickBot="1" x14ac:dyDescent="0.3">
      <c r="A80" s="117" t="s">
        <v>48</v>
      </c>
      <c r="B80" s="118" t="s">
        <v>33</v>
      </c>
      <c r="C80" s="142" t="s">
        <v>31</v>
      </c>
      <c r="D80" s="142" t="s">
        <v>35</v>
      </c>
      <c r="E80" s="120" t="s">
        <v>36</v>
      </c>
      <c r="F80" s="120" t="s">
        <v>37</v>
      </c>
      <c r="G80" s="120" t="s">
        <v>38</v>
      </c>
      <c r="H80" s="121" t="s">
        <v>39</v>
      </c>
      <c r="I80" s="122" t="s">
        <v>58</v>
      </c>
      <c r="J80" s="122" t="s">
        <v>40</v>
      </c>
      <c r="K80" s="87"/>
      <c r="L80" s="87"/>
      <c r="M80" s="1"/>
      <c r="N80" s="1"/>
      <c r="O80" s="1"/>
      <c r="P80" s="1"/>
      <c r="Q80" s="1"/>
      <c r="R80" s="1"/>
      <c r="S80" s="1"/>
      <c r="T80" s="1"/>
    </row>
    <row r="81" spans="1:20" ht="16.5" thickBot="1" x14ac:dyDescent="0.3">
      <c r="A81" s="123" t="s">
        <v>41</v>
      </c>
      <c r="B81" s="124" t="s">
        <v>60</v>
      </c>
      <c r="C81" s="153" t="s">
        <v>34</v>
      </c>
      <c r="D81" s="154"/>
      <c r="E81" s="154"/>
      <c r="F81" s="154"/>
      <c r="G81" s="154"/>
      <c r="H81" s="154"/>
      <c r="I81" s="155"/>
      <c r="J81" s="144"/>
      <c r="K81" s="87"/>
      <c r="L81" s="87"/>
      <c r="M81" s="1"/>
      <c r="N81" s="1"/>
      <c r="O81" s="1"/>
      <c r="P81" s="1"/>
      <c r="Q81" s="1"/>
      <c r="R81" s="1"/>
      <c r="S81" s="1"/>
      <c r="T81" s="1"/>
    </row>
    <row r="82" spans="1:20" ht="16.5" thickBot="1" x14ac:dyDescent="0.3">
      <c r="A82" s="7"/>
      <c r="B82" s="158"/>
      <c r="C82" s="158"/>
      <c r="D82" s="10"/>
      <c r="E82" s="10"/>
      <c r="F82" s="10"/>
      <c r="G82" s="10"/>
      <c r="H82" s="10"/>
      <c r="I82" s="10"/>
      <c r="J82" s="126">
        <f>_xlfn.IFNA(SUM(VLOOKUP(D82,Sheet1!$A$2:$B$8,2,FALSE),VLOOKUP(E82,Sheet1!$A$2:$B$8,2,FALSE),VLOOKUP(F82,Sheet1!$A$2:$B$8,2,FALSE),VLOOKUP(G82,Sheet1!$A$2:$B$8,2,FALSE),VLOOKUP(H82,Sheet1!$A$2:$B$8,2,FALSE),VLOOKUP(I82,Sheet1!$A$2:$B$8,2,FALSE))/(6-COUNTIF('Self Score Sheet'!D82:I82,"N/A")-COUNTBLANK('Self Score Sheet'!D82:I82)), 0)</f>
        <v>0</v>
      </c>
      <c r="K82" s="87"/>
      <c r="L82" s="87"/>
      <c r="M82" s="1"/>
      <c r="N82" s="1"/>
      <c r="O82" s="1"/>
      <c r="P82" s="1"/>
      <c r="Q82" s="1"/>
      <c r="R82" s="1"/>
      <c r="S82" s="1"/>
      <c r="T82" s="1"/>
    </row>
    <row r="83" spans="1:20" ht="16.5" thickBot="1" x14ac:dyDescent="0.3">
      <c r="A83" s="7"/>
      <c r="B83" s="159"/>
      <c r="C83" s="159"/>
      <c r="D83" s="7"/>
      <c r="E83" s="7"/>
      <c r="F83" s="7"/>
      <c r="G83" s="7"/>
      <c r="H83" s="7"/>
      <c r="I83" s="7"/>
      <c r="J83" s="126">
        <f>_xlfn.IFNA(SUM(VLOOKUP(D83,Sheet1!$A$2:$B$8,2,FALSE),VLOOKUP(E83,Sheet1!$A$2:$B$8,2,FALSE),VLOOKUP(F83,Sheet1!$A$2:$B$8,2,FALSE),VLOOKUP(G83,Sheet1!$A$2:$B$8,2,FALSE),VLOOKUP(H83,Sheet1!$A$2:$B$8,2,FALSE),VLOOKUP(I83,Sheet1!$A$2:$B$8,2,FALSE))/(6-COUNTIF('Self Score Sheet'!D83:I83,"N/A")-COUNTBLANK('Self Score Sheet'!D83:I83)), 0)</f>
        <v>0</v>
      </c>
      <c r="K83" s="87"/>
      <c r="L83" s="87"/>
      <c r="M83" s="1"/>
      <c r="N83" s="1"/>
      <c r="O83" s="1"/>
      <c r="P83" s="1"/>
      <c r="Q83" s="1"/>
      <c r="R83" s="1"/>
      <c r="S83" s="1"/>
      <c r="T83" s="1"/>
    </row>
    <row r="84" spans="1:20" ht="16.5" thickBot="1" x14ac:dyDescent="0.3">
      <c r="A84" s="7"/>
      <c r="B84" s="159"/>
      <c r="C84" s="159"/>
      <c r="D84" s="7"/>
      <c r="E84" s="7"/>
      <c r="F84" s="7"/>
      <c r="G84" s="7"/>
      <c r="H84" s="7"/>
      <c r="I84" s="7"/>
      <c r="J84" s="126">
        <f>_xlfn.IFNA(SUM(VLOOKUP(D84,Sheet1!$A$2:$B$8,2,FALSE),VLOOKUP(E84,Sheet1!$A$2:$B$8,2,FALSE),VLOOKUP(F84,Sheet1!$A$2:$B$8,2,FALSE),VLOOKUP(G84,Sheet1!$A$2:$B$8,2,FALSE),VLOOKUP(H84,Sheet1!$A$2:$B$8,2,FALSE),VLOOKUP(I84,Sheet1!$A$2:$B$8,2,FALSE))/(6-COUNTIF('Self Score Sheet'!D84:I84,"N/A")-COUNTBLANK('Self Score Sheet'!D84:I84)), 0)</f>
        <v>0</v>
      </c>
      <c r="K84" s="87"/>
      <c r="L84" s="87"/>
      <c r="M84" s="1"/>
      <c r="N84" s="1"/>
      <c r="O84" s="1"/>
      <c r="P84" s="1"/>
      <c r="Q84" s="1"/>
      <c r="R84" s="1"/>
      <c r="S84" s="1"/>
      <c r="T84" s="1"/>
    </row>
    <row r="85" spans="1:20" ht="16.5" thickBot="1" x14ac:dyDescent="0.3">
      <c r="A85" s="7"/>
      <c r="B85" s="159"/>
      <c r="C85" s="159"/>
      <c r="D85" s="7"/>
      <c r="E85" s="7"/>
      <c r="F85" s="7"/>
      <c r="G85" s="7"/>
      <c r="H85" s="7"/>
      <c r="I85" s="7"/>
      <c r="J85" s="126">
        <f>_xlfn.IFNA(SUM(VLOOKUP(D85,Sheet1!$A$2:$B$8,2,FALSE),VLOOKUP(E85,Sheet1!$A$2:$B$8,2,FALSE),VLOOKUP(F85,Sheet1!$A$2:$B$8,2,FALSE),VLOOKUP(G85,Sheet1!$A$2:$B$8,2,FALSE),VLOOKUP(H85,Sheet1!$A$2:$B$8,2,FALSE),VLOOKUP(I85,Sheet1!$A$2:$B$8,2,FALSE))/(6-COUNTIF('Self Score Sheet'!D85:I85,"N/A")-COUNTBLANK('Self Score Sheet'!D85:I85)), 0)</f>
        <v>0</v>
      </c>
      <c r="K85" s="87"/>
      <c r="L85" s="87"/>
      <c r="M85" s="1"/>
      <c r="N85" s="1"/>
      <c r="O85" s="1"/>
      <c r="P85" s="1"/>
      <c r="Q85" s="1"/>
      <c r="R85" s="1"/>
      <c r="S85" s="1"/>
      <c r="T85" s="1"/>
    </row>
    <row r="86" spans="1:20" ht="16.5" thickBot="1" x14ac:dyDescent="0.3">
      <c r="A86" s="7"/>
      <c r="B86" s="160"/>
      <c r="C86" s="160"/>
      <c r="D86" s="7"/>
      <c r="E86" s="7"/>
      <c r="F86" s="7"/>
      <c r="G86" s="7"/>
      <c r="H86" s="7"/>
      <c r="I86" s="7"/>
      <c r="J86" s="126">
        <f>_xlfn.IFNA(SUM(VLOOKUP(D86,Sheet1!$A$2:$B$8,2,FALSE),VLOOKUP(E86,Sheet1!$A$2:$B$8,2,FALSE),VLOOKUP(F86,Sheet1!$A$2:$B$8,2,FALSE),VLOOKUP(G86,Sheet1!$A$2:$B$8,2,FALSE),VLOOKUP(H86,Sheet1!$A$2:$B$8,2,FALSE),VLOOKUP(I86,Sheet1!$A$2:$B$8,2,FALSE))/(6-COUNTIF('Self Score Sheet'!D86:I86,"N/A")-COUNTBLANK('Self Score Sheet'!D86:I86)), 0)</f>
        <v>0</v>
      </c>
      <c r="K86" s="87"/>
      <c r="L86" s="87"/>
      <c r="M86" s="1"/>
      <c r="N86" s="1"/>
      <c r="O86" s="1"/>
      <c r="P86" s="1"/>
      <c r="Q86" s="1"/>
      <c r="R86" s="1"/>
      <c r="S86" s="1"/>
      <c r="T86" s="1"/>
    </row>
    <row r="87" spans="1:20" ht="15.75" x14ac:dyDescent="0.25">
      <c r="A87" s="127"/>
      <c r="B87" s="128"/>
      <c r="C87" s="128">
        <f>C82</f>
        <v>0</v>
      </c>
      <c r="D87" s="129"/>
      <c r="E87" s="129"/>
      <c r="F87" s="129"/>
      <c r="G87" s="129"/>
      <c r="H87" s="129"/>
      <c r="I87" s="130" t="s">
        <v>53</v>
      </c>
      <c r="J87" s="131">
        <f>IF(SUM(J82:J86)=0,0,SUM(J82:J86)/COUNTIF(J82:J86,"&lt;&gt;0"))</f>
        <v>0</v>
      </c>
      <c r="K87" s="87"/>
      <c r="L87" s="87"/>
      <c r="M87" s="1"/>
      <c r="N87" s="1"/>
      <c r="O87" s="1"/>
      <c r="P87" s="1"/>
      <c r="Q87" s="1"/>
      <c r="R87" s="1"/>
      <c r="S87" s="1"/>
      <c r="T87" s="1"/>
    </row>
    <row r="88" spans="1:20" ht="46.35" customHeight="1" thickBot="1" x14ac:dyDescent="0.3">
      <c r="A88" s="132"/>
      <c r="B88" s="133" t="s">
        <v>54</v>
      </c>
      <c r="C88" s="134" t="str">
        <f>IF(LEFT(C82,1)="M", "Mechanical Systems",IF(LEFT(C82,1)="E","Electrical Systems",IF(LEFT(C82,1)="2","Facility Renovations","")))</f>
        <v/>
      </c>
      <c r="D88" s="134" t="s">
        <v>55</v>
      </c>
      <c r="E88" s="133" t="str">
        <f>_xlfn.IFNA(VLOOKUP(C82,$A$8:$G$29,7,FALSE),"")</f>
        <v/>
      </c>
      <c r="F88" s="133" t="s">
        <v>56</v>
      </c>
      <c r="G88" s="133" t="str">
        <f>_xlfn.IFNA(VLOOKUP(C82,$A$8:$J$29,10,FALSE),"")</f>
        <v/>
      </c>
      <c r="H88" s="133" t="s">
        <v>57</v>
      </c>
      <c r="I88" s="135">
        <f>J87/100</f>
        <v>0</v>
      </c>
      <c r="J88" s="136" t="str">
        <f>_xlfn.IFNA(IF(VLOOKUP(C82,Sheet1!$I$2:$L$20,4,FALSE)&lt;0,"Error: Please check selected subcategory.",IF(AND(C82&lt;&gt;"",J87&lt;&gt;0),I88*G88,0)),"")</f>
        <v/>
      </c>
      <c r="K88" s="87"/>
      <c r="L88" s="87"/>
      <c r="M88" s="1"/>
      <c r="N88" s="1"/>
      <c r="O88" s="1"/>
      <c r="P88" s="1"/>
      <c r="Q88" s="1"/>
      <c r="R88" s="1"/>
      <c r="S88" s="1"/>
      <c r="T88" s="1"/>
    </row>
    <row r="89" spans="1:20" x14ac:dyDescent="0.25">
      <c r="A89" s="87"/>
      <c r="B89" s="145"/>
      <c r="C89" s="145"/>
      <c r="D89" s="145"/>
      <c r="E89" s="87"/>
      <c r="F89" s="87"/>
      <c r="G89" s="87"/>
      <c r="H89" s="87"/>
      <c r="I89" s="87"/>
      <c r="J89" s="87"/>
      <c r="K89" s="87"/>
      <c r="L89" s="87"/>
      <c r="M89" s="1"/>
      <c r="N89" s="1"/>
      <c r="O89" s="1"/>
      <c r="P89" s="1"/>
      <c r="Q89" s="1"/>
      <c r="R89" s="1"/>
      <c r="S89" s="1"/>
      <c r="T89" s="1"/>
    </row>
    <row r="90" spans="1:20" ht="15.75" thickBot="1" x14ac:dyDescent="0.3">
      <c r="A90" s="87"/>
      <c r="B90" s="145"/>
      <c r="C90" s="145"/>
      <c r="D90" s="145"/>
      <c r="E90" s="87"/>
      <c r="F90" s="87"/>
      <c r="G90" s="87"/>
      <c r="H90" s="87"/>
      <c r="I90" s="87"/>
      <c r="J90" s="87"/>
      <c r="K90" s="87"/>
      <c r="L90" s="87"/>
      <c r="M90" s="1"/>
      <c r="N90" s="1"/>
      <c r="O90" s="1"/>
      <c r="P90" s="1"/>
      <c r="Q90" s="1"/>
      <c r="R90" s="1"/>
      <c r="S90" s="1"/>
      <c r="T90" s="1"/>
    </row>
    <row r="91" spans="1:20" ht="48" thickBot="1" x14ac:dyDescent="0.3">
      <c r="A91" s="117" t="s">
        <v>47</v>
      </c>
      <c r="B91" s="118" t="s">
        <v>33</v>
      </c>
      <c r="C91" s="142" t="s">
        <v>31</v>
      </c>
      <c r="D91" s="142" t="s">
        <v>35</v>
      </c>
      <c r="E91" s="120" t="s">
        <v>36</v>
      </c>
      <c r="F91" s="120" t="s">
        <v>37</v>
      </c>
      <c r="G91" s="120" t="s">
        <v>38</v>
      </c>
      <c r="H91" s="121" t="s">
        <v>39</v>
      </c>
      <c r="I91" s="122" t="s">
        <v>58</v>
      </c>
      <c r="J91" s="122" t="s">
        <v>40</v>
      </c>
      <c r="K91" s="87"/>
      <c r="L91" s="87"/>
      <c r="M91" s="1"/>
      <c r="N91" s="1"/>
      <c r="O91" s="1"/>
      <c r="P91" s="1"/>
      <c r="Q91" s="1"/>
      <c r="R91" s="1"/>
      <c r="S91" s="1"/>
      <c r="T91" s="1"/>
    </row>
    <row r="92" spans="1:20" ht="16.5" thickBot="1" x14ac:dyDescent="0.3">
      <c r="A92" s="123" t="s">
        <v>41</v>
      </c>
      <c r="B92" s="124" t="s">
        <v>60</v>
      </c>
      <c r="C92" s="153" t="s">
        <v>34</v>
      </c>
      <c r="D92" s="154"/>
      <c r="E92" s="154"/>
      <c r="F92" s="154"/>
      <c r="G92" s="154"/>
      <c r="H92" s="154"/>
      <c r="I92" s="155"/>
      <c r="J92" s="144"/>
      <c r="K92" s="87"/>
      <c r="L92" s="87"/>
      <c r="M92" s="1"/>
      <c r="N92" s="1"/>
      <c r="O92" s="1"/>
      <c r="P92" s="1"/>
      <c r="Q92" s="1"/>
      <c r="R92" s="1"/>
      <c r="S92" s="1"/>
      <c r="T92" s="1"/>
    </row>
    <row r="93" spans="1:20" ht="16.5" thickBot="1" x14ac:dyDescent="0.3">
      <c r="A93" s="7"/>
      <c r="B93" s="158"/>
      <c r="C93" s="158"/>
      <c r="D93" s="10"/>
      <c r="E93" s="10"/>
      <c r="F93" s="10"/>
      <c r="G93" s="10"/>
      <c r="H93" s="10"/>
      <c r="I93" s="10"/>
      <c r="J93" s="126">
        <f>_xlfn.IFNA(SUM(VLOOKUP(D93,Sheet1!$A$2:$B$8,2,FALSE),VLOOKUP(E93,Sheet1!$A$2:$B$8,2,FALSE),VLOOKUP(F93,Sheet1!$A$2:$B$8,2,FALSE),VLOOKUP(G93,Sheet1!$A$2:$B$8,2,FALSE),VLOOKUP(H93,Sheet1!$A$2:$B$8,2,FALSE),VLOOKUP(I93,Sheet1!$A$2:$B$8,2,FALSE))/(6-COUNTIF('Self Score Sheet'!D93:I93,"N/A")-COUNTBLANK('Self Score Sheet'!D93:I93)), 0)</f>
        <v>0</v>
      </c>
      <c r="K93" s="87"/>
      <c r="L93" s="87"/>
      <c r="M93" s="1"/>
      <c r="N93" s="1"/>
      <c r="O93" s="1"/>
      <c r="P93" s="1"/>
      <c r="Q93" s="1"/>
      <c r="R93" s="1"/>
      <c r="S93" s="1"/>
      <c r="T93" s="1"/>
    </row>
    <row r="94" spans="1:20" ht="16.5" thickBot="1" x14ac:dyDescent="0.3">
      <c r="A94" s="7"/>
      <c r="B94" s="159"/>
      <c r="C94" s="159"/>
      <c r="D94" s="7"/>
      <c r="E94" s="7"/>
      <c r="F94" s="7"/>
      <c r="G94" s="7"/>
      <c r="H94" s="7"/>
      <c r="I94" s="7"/>
      <c r="J94" s="126">
        <f>_xlfn.IFNA(SUM(VLOOKUP(D94,Sheet1!$A$2:$B$8,2,FALSE),VLOOKUP(E94,Sheet1!$A$2:$B$8,2,FALSE),VLOOKUP(F94,Sheet1!$A$2:$B$8,2,FALSE),VLOOKUP(G94,Sheet1!$A$2:$B$8,2,FALSE),VLOOKUP(H94,Sheet1!$A$2:$B$8,2,FALSE),VLOOKUP(I94,Sheet1!$A$2:$B$8,2,FALSE))/(6-COUNTIF('Self Score Sheet'!D94:I94,"N/A")-COUNTBLANK('Self Score Sheet'!D94:I94)), 0)</f>
        <v>0</v>
      </c>
      <c r="K94" s="87"/>
      <c r="L94" s="87"/>
      <c r="M94" s="1"/>
      <c r="N94" s="1"/>
      <c r="O94" s="1"/>
      <c r="P94" s="1"/>
      <c r="Q94" s="1"/>
      <c r="R94" s="1"/>
      <c r="S94" s="1"/>
      <c r="T94" s="1"/>
    </row>
    <row r="95" spans="1:20" ht="16.5" thickBot="1" x14ac:dyDescent="0.3">
      <c r="A95" s="7"/>
      <c r="B95" s="159"/>
      <c r="C95" s="159"/>
      <c r="D95" s="7"/>
      <c r="E95" s="7"/>
      <c r="F95" s="7"/>
      <c r="G95" s="7"/>
      <c r="H95" s="7"/>
      <c r="I95" s="7"/>
      <c r="J95" s="126">
        <f>_xlfn.IFNA(SUM(VLOOKUP(D95,Sheet1!$A$2:$B$8,2,FALSE),VLOOKUP(E95,Sheet1!$A$2:$B$8,2,FALSE),VLOOKUP(F95,Sheet1!$A$2:$B$8,2,FALSE),VLOOKUP(G95,Sheet1!$A$2:$B$8,2,FALSE),VLOOKUP(H95,Sheet1!$A$2:$B$8,2,FALSE),VLOOKUP(I95,Sheet1!$A$2:$B$8,2,FALSE))/(6-COUNTIF('Self Score Sheet'!D95:I95,"N/A")-COUNTBLANK('Self Score Sheet'!D95:I95)), 0)</f>
        <v>0</v>
      </c>
      <c r="K95" s="87"/>
      <c r="L95" s="87"/>
      <c r="M95" s="1"/>
      <c r="N95" s="1"/>
      <c r="O95" s="1"/>
      <c r="P95" s="1"/>
      <c r="Q95" s="1"/>
      <c r="R95" s="1"/>
      <c r="S95" s="1"/>
      <c r="T95" s="1"/>
    </row>
    <row r="96" spans="1:20" ht="16.5" thickBot="1" x14ac:dyDescent="0.3">
      <c r="A96" s="7"/>
      <c r="B96" s="159"/>
      <c r="C96" s="159"/>
      <c r="D96" s="7"/>
      <c r="E96" s="7"/>
      <c r="F96" s="7"/>
      <c r="G96" s="7"/>
      <c r="H96" s="7"/>
      <c r="I96" s="7"/>
      <c r="J96" s="126">
        <f>_xlfn.IFNA(SUM(VLOOKUP(D96,Sheet1!$A$2:$B$8,2,FALSE),VLOOKUP(E96,Sheet1!$A$2:$B$8,2,FALSE),VLOOKUP(F96,Sheet1!$A$2:$B$8,2,FALSE),VLOOKUP(G96,Sheet1!$A$2:$B$8,2,FALSE),VLOOKUP(H96,Sheet1!$A$2:$B$8,2,FALSE),VLOOKUP(I96,Sheet1!$A$2:$B$8,2,FALSE))/(6-COUNTIF('Self Score Sheet'!D96:I96,"N/A")-COUNTBLANK('Self Score Sheet'!D96:I96)), 0)</f>
        <v>0</v>
      </c>
      <c r="K96" s="87"/>
      <c r="L96" s="87"/>
      <c r="M96" s="1"/>
      <c r="N96" s="1"/>
      <c r="O96" s="1"/>
      <c r="P96" s="1"/>
      <c r="Q96" s="1"/>
      <c r="R96" s="1"/>
      <c r="S96" s="1"/>
      <c r="T96" s="1"/>
    </row>
    <row r="97" spans="1:20" ht="16.5" thickBot="1" x14ac:dyDescent="0.3">
      <c r="A97" s="7"/>
      <c r="B97" s="160"/>
      <c r="C97" s="160"/>
      <c r="D97" s="7"/>
      <c r="E97" s="7"/>
      <c r="F97" s="7"/>
      <c r="G97" s="7"/>
      <c r="H97" s="7"/>
      <c r="I97" s="7"/>
      <c r="J97" s="126">
        <f>_xlfn.IFNA(SUM(VLOOKUP(D97,Sheet1!$A$2:$B$8,2,FALSE),VLOOKUP(E97,Sheet1!$A$2:$B$8,2,FALSE),VLOOKUP(F97,Sheet1!$A$2:$B$8,2,FALSE),VLOOKUP(G97,Sheet1!$A$2:$B$8,2,FALSE),VLOOKUP(H97,Sheet1!$A$2:$B$8,2,FALSE),VLOOKUP(I97,Sheet1!$A$2:$B$8,2,FALSE))/(6-COUNTIF('Self Score Sheet'!D97:I97,"N/A")-COUNTBLANK('Self Score Sheet'!D97:I97)), 0)</f>
        <v>0</v>
      </c>
      <c r="K97" s="87"/>
      <c r="L97" s="87"/>
      <c r="M97" s="1"/>
      <c r="N97" s="1"/>
      <c r="O97" s="1"/>
      <c r="P97" s="1"/>
      <c r="Q97" s="1"/>
      <c r="R97" s="1"/>
      <c r="S97" s="1"/>
      <c r="T97" s="1"/>
    </row>
    <row r="98" spans="1:20" ht="15.75" x14ac:dyDescent="0.25">
      <c r="A98" s="127"/>
      <c r="B98" s="128"/>
      <c r="C98" s="128">
        <f>C93</f>
        <v>0</v>
      </c>
      <c r="D98" s="129"/>
      <c r="E98" s="129"/>
      <c r="F98" s="129"/>
      <c r="G98" s="129"/>
      <c r="H98" s="129"/>
      <c r="I98" s="130" t="s">
        <v>53</v>
      </c>
      <c r="J98" s="131">
        <f>IF(SUM(J93:J97)=0,0,SUM(J93:J97)/COUNTIF(J93:J97,"&lt;&gt;0"))</f>
        <v>0</v>
      </c>
      <c r="K98" s="87"/>
      <c r="L98" s="87"/>
      <c r="M98" s="1"/>
      <c r="N98" s="1"/>
      <c r="O98" s="1"/>
      <c r="P98" s="1"/>
      <c r="Q98" s="1"/>
      <c r="R98" s="1"/>
      <c r="S98" s="1"/>
      <c r="T98" s="1"/>
    </row>
    <row r="99" spans="1:20" ht="46.35" customHeight="1" thickBot="1" x14ac:dyDescent="0.3">
      <c r="A99" s="132"/>
      <c r="B99" s="133" t="s">
        <v>54</v>
      </c>
      <c r="C99" s="134" t="str">
        <f>IF(LEFT(C93,1)="M", "Mechanical Systems",IF(LEFT(C93,1)="E","Electrical Systems",IF(LEFT(C93,1)="2","Facility Renovations","")))</f>
        <v/>
      </c>
      <c r="D99" s="134" t="s">
        <v>55</v>
      </c>
      <c r="E99" s="133" t="str">
        <f>_xlfn.IFNA(VLOOKUP(C93,$A$8:$G$29,7,FALSE),"")</f>
        <v/>
      </c>
      <c r="F99" s="133" t="s">
        <v>56</v>
      </c>
      <c r="G99" s="133" t="str">
        <f>_xlfn.IFNA(VLOOKUP(C93,$A$8:$J$29,10,FALSE),"")</f>
        <v/>
      </c>
      <c r="H99" s="133" t="s">
        <v>57</v>
      </c>
      <c r="I99" s="135">
        <f>J98/100</f>
        <v>0</v>
      </c>
      <c r="J99" s="136" t="str">
        <f>_xlfn.IFNA(IF(VLOOKUP(C93,Sheet1!$I$2:$L$20,4,FALSE)&lt;0,"Error: Please check selected subcategory.",IF(AND(C93&lt;&gt;"",J98&lt;&gt;0),I99*G99,0)),"")</f>
        <v/>
      </c>
      <c r="K99" s="87"/>
      <c r="L99" s="87"/>
      <c r="M99" s="1"/>
      <c r="N99" s="1"/>
      <c r="O99" s="1"/>
      <c r="P99" s="1"/>
      <c r="Q99" s="1"/>
      <c r="R99" s="1"/>
      <c r="S99" s="1"/>
      <c r="T99" s="1"/>
    </row>
    <row r="100" spans="1:20" ht="15.75" x14ac:dyDescent="0.25">
      <c r="A100" s="146"/>
      <c r="B100" s="147"/>
      <c r="C100" s="147"/>
      <c r="D100" s="148"/>
      <c r="E100" s="148"/>
      <c r="F100" s="148"/>
      <c r="G100" s="148"/>
      <c r="H100" s="148"/>
      <c r="I100" s="148"/>
      <c r="J100" s="149"/>
      <c r="K100" s="87"/>
      <c r="L100" s="87"/>
      <c r="M100" s="1"/>
      <c r="N100" s="1"/>
      <c r="O100" s="1"/>
      <c r="P100" s="1"/>
      <c r="Q100" s="1"/>
      <c r="R100" s="1"/>
      <c r="S100" s="1"/>
      <c r="T100" s="1"/>
    </row>
    <row r="101" spans="1:20" x14ac:dyDescent="0.25">
      <c r="G101" s="1"/>
      <c r="H101" s="1"/>
      <c r="I101" s="1"/>
      <c r="J101" s="1"/>
      <c r="K101" s="1"/>
      <c r="L101" s="1"/>
      <c r="M101" s="1"/>
      <c r="N101" s="1"/>
      <c r="O101" s="1"/>
      <c r="P101" s="1"/>
      <c r="Q101" s="1"/>
      <c r="R101" s="1"/>
      <c r="S101" s="1"/>
      <c r="T101" s="1"/>
    </row>
    <row r="102" spans="1:20" x14ac:dyDescent="0.25">
      <c r="G102" s="1"/>
      <c r="H102" s="1"/>
      <c r="I102" s="1"/>
      <c r="J102" s="1"/>
      <c r="K102" s="1"/>
      <c r="L102" s="1"/>
      <c r="M102" s="1"/>
      <c r="N102" s="1"/>
      <c r="O102" s="1"/>
      <c r="P102" s="1"/>
      <c r="Q102" s="1"/>
      <c r="R102" s="1"/>
      <c r="S102" s="1"/>
      <c r="T102" s="1"/>
    </row>
    <row r="103" spans="1:20" x14ac:dyDescent="0.25">
      <c r="G103" s="1"/>
      <c r="H103" s="1"/>
      <c r="I103" s="1"/>
      <c r="J103" s="1"/>
      <c r="K103" s="1"/>
      <c r="L103" s="1"/>
      <c r="M103" s="1"/>
      <c r="N103" s="1"/>
      <c r="O103" s="1"/>
      <c r="P103" s="1"/>
      <c r="Q103" s="1"/>
      <c r="R103" s="1"/>
      <c r="S103" s="1"/>
      <c r="T103" s="1"/>
    </row>
    <row r="104" spans="1:20" x14ac:dyDescent="0.25">
      <c r="G104" s="1"/>
      <c r="H104" s="1"/>
      <c r="I104" s="1"/>
      <c r="J104" s="1"/>
      <c r="K104" s="1"/>
      <c r="L104" s="1"/>
      <c r="M104" s="1"/>
      <c r="N104" s="1"/>
      <c r="O104" s="1"/>
      <c r="P104" s="1"/>
      <c r="Q104" s="1"/>
      <c r="R104" s="1"/>
      <c r="S104" s="1"/>
      <c r="T104" s="1"/>
    </row>
    <row r="105" spans="1:20" x14ac:dyDescent="0.25">
      <c r="G105" s="1"/>
      <c r="H105" s="1"/>
      <c r="I105" s="1"/>
      <c r="J105" s="1"/>
      <c r="K105" s="1"/>
      <c r="L105" s="1"/>
      <c r="M105" s="1"/>
      <c r="N105" s="1"/>
      <c r="O105" s="1"/>
      <c r="P105" s="1"/>
      <c r="Q105" s="1"/>
      <c r="R105" s="1"/>
      <c r="S105" s="1"/>
      <c r="T105" s="1"/>
    </row>
    <row r="106" spans="1:20" x14ac:dyDescent="0.25">
      <c r="G106" s="1"/>
      <c r="H106" s="1"/>
      <c r="I106" s="1"/>
      <c r="J106" s="1"/>
      <c r="K106" s="1"/>
      <c r="L106" s="1"/>
      <c r="M106" s="1"/>
      <c r="N106" s="1"/>
      <c r="O106" s="1"/>
      <c r="P106" s="1"/>
      <c r="Q106" s="1"/>
      <c r="R106" s="1"/>
      <c r="S106" s="1"/>
      <c r="T106" s="1"/>
    </row>
    <row r="107" spans="1:20" x14ac:dyDescent="0.25">
      <c r="G107" s="1"/>
      <c r="H107" s="1"/>
      <c r="I107" s="1"/>
      <c r="J107" s="1"/>
      <c r="K107" s="1"/>
      <c r="L107" s="1"/>
      <c r="M107" s="1"/>
      <c r="N107" s="1"/>
      <c r="O107" s="1"/>
      <c r="P107" s="1"/>
      <c r="Q107" s="1"/>
      <c r="R107" s="1"/>
      <c r="S107" s="1"/>
      <c r="T107" s="1"/>
    </row>
    <row r="108" spans="1:20" x14ac:dyDescent="0.25">
      <c r="G108" s="1"/>
      <c r="H108" s="1"/>
      <c r="I108" s="1"/>
      <c r="J108" s="1"/>
      <c r="K108" s="1"/>
      <c r="L108" s="1"/>
      <c r="M108" s="1"/>
      <c r="N108" s="1"/>
      <c r="O108" s="1"/>
      <c r="P108" s="1"/>
      <c r="Q108" s="1"/>
      <c r="R108" s="1"/>
      <c r="S108" s="1"/>
      <c r="T108" s="1"/>
    </row>
    <row r="109" spans="1:20" x14ac:dyDescent="0.25">
      <c r="G109" s="1"/>
      <c r="H109" s="1"/>
      <c r="I109" s="1"/>
      <c r="J109" s="1"/>
      <c r="K109" s="1"/>
      <c r="L109" s="1"/>
      <c r="M109" s="1"/>
      <c r="N109" s="1"/>
      <c r="O109" s="1"/>
      <c r="P109" s="1"/>
      <c r="Q109" s="1"/>
      <c r="R109" s="1"/>
      <c r="S109" s="1"/>
      <c r="T109" s="1"/>
    </row>
    <row r="110" spans="1:20" x14ac:dyDescent="0.25">
      <c r="G110" s="1"/>
      <c r="H110" s="1"/>
      <c r="I110" s="1"/>
      <c r="J110" s="1"/>
      <c r="K110" s="1"/>
      <c r="L110" s="1"/>
      <c r="M110" s="1"/>
      <c r="N110" s="1"/>
      <c r="O110" s="1"/>
      <c r="P110" s="1"/>
      <c r="Q110" s="1"/>
      <c r="R110" s="1"/>
      <c r="S110" s="1"/>
      <c r="T110" s="1"/>
    </row>
    <row r="111" spans="1:20" x14ac:dyDescent="0.25">
      <c r="G111" s="1"/>
      <c r="H111" s="1"/>
      <c r="I111" s="1"/>
      <c r="J111" s="1"/>
      <c r="K111" s="1"/>
      <c r="L111" s="1"/>
      <c r="M111" s="1"/>
      <c r="N111" s="1"/>
      <c r="O111" s="1"/>
      <c r="P111" s="1"/>
      <c r="Q111" s="1"/>
      <c r="R111" s="1"/>
      <c r="S111" s="1"/>
      <c r="T111" s="1"/>
    </row>
    <row r="112" spans="1:20" x14ac:dyDescent="0.25">
      <c r="G112" s="1"/>
      <c r="H112" s="1"/>
      <c r="I112" s="1"/>
      <c r="J112" s="1"/>
      <c r="K112" s="1"/>
      <c r="L112" s="1"/>
      <c r="M112" s="1"/>
      <c r="N112" s="1"/>
      <c r="O112" s="1"/>
      <c r="P112" s="1"/>
      <c r="Q112" s="1"/>
      <c r="R112" s="1"/>
      <c r="S112" s="1"/>
      <c r="T112" s="1"/>
    </row>
    <row r="113" spans="7:20" x14ac:dyDescent="0.25">
      <c r="G113" s="1"/>
      <c r="H113" s="1"/>
      <c r="I113" s="1"/>
      <c r="J113" s="1"/>
      <c r="K113" s="1"/>
      <c r="L113" s="1"/>
      <c r="M113" s="1"/>
      <c r="N113" s="1"/>
      <c r="O113" s="1"/>
      <c r="P113" s="1"/>
      <c r="Q113" s="1"/>
      <c r="R113" s="1"/>
      <c r="S113" s="1"/>
      <c r="T113" s="1"/>
    </row>
    <row r="114" spans="7:20" x14ac:dyDescent="0.25">
      <c r="G114" s="1"/>
      <c r="H114" s="1"/>
      <c r="I114" s="1"/>
      <c r="J114" s="1"/>
      <c r="K114" s="1"/>
      <c r="L114" s="1"/>
      <c r="M114" s="1"/>
      <c r="N114" s="1"/>
      <c r="O114" s="1"/>
      <c r="P114" s="1"/>
      <c r="Q114" s="1"/>
      <c r="R114" s="1"/>
      <c r="S114" s="1"/>
      <c r="T114" s="1"/>
    </row>
    <row r="115" spans="7:20" x14ac:dyDescent="0.25">
      <c r="G115" s="1"/>
      <c r="H115" s="1"/>
      <c r="I115" s="1"/>
      <c r="J115" s="1"/>
      <c r="K115" s="1"/>
      <c r="L115" s="1"/>
      <c r="M115" s="1"/>
      <c r="N115" s="1"/>
      <c r="O115" s="1"/>
      <c r="P115" s="1"/>
      <c r="Q115" s="1"/>
      <c r="R115" s="1"/>
      <c r="S115" s="1"/>
      <c r="T115" s="1"/>
    </row>
    <row r="116" spans="7:20" x14ac:dyDescent="0.25">
      <c r="G116" s="1"/>
      <c r="H116" s="1"/>
      <c r="I116" s="1"/>
      <c r="J116" s="1"/>
      <c r="K116" s="1"/>
      <c r="L116" s="1"/>
      <c r="M116" s="1"/>
      <c r="N116" s="1"/>
      <c r="O116" s="1"/>
      <c r="P116" s="1"/>
      <c r="Q116" s="1"/>
      <c r="R116" s="1"/>
      <c r="S116" s="1"/>
      <c r="T116" s="1"/>
    </row>
    <row r="117" spans="7:20" x14ac:dyDescent="0.25">
      <c r="G117" s="1"/>
      <c r="H117" s="1"/>
      <c r="I117" s="1"/>
      <c r="J117" s="1"/>
      <c r="K117" s="1"/>
      <c r="L117" s="1"/>
      <c r="M117" s="1"/>
      <c r="N117" s="1"/>
      <c r="O117" s="1"/>
      <c r="P117" s="1"/>
      <c r="Q117" s="1"/>
      <c r="R117" s="1"/>
      <c r="S117" s="1"/>
      <c r="T117" s="1"/>
    </row>
    <row r="118" spans="7:20" x14ac:dyDescent="0.25">
      <c r="G118" s="1"/>
      <c r="H118" s="1"/>
      <c r="I118" s="1"/>
      <c r="J118" s="1"/>
      <c r="K118" s="1"/>
      <c r="L118" s="1"/>
      <c r="M118" s="1"/>
      <c r="N118" s="1"/>
      <c r="O118" s="1"/>
      <c r="P118" s="1"/>
      <c r="Q118" s="1"/>
      <c r="R118" s="1"/>
      <c r="S118" s="1"/>
      <c r="T118" s="1"/>
    </row>
    <row r="119" spans="7:20" x14ac:dyDescent="0.25">
      <c r="G119" s="1"/>
      <c r="H119" s="1"/>
      <c r="I119" s="1"/>
      <c r="J119" s="1"/>
      <c r="K119" s="1"/>
      <c r="L119" s="1"/>
      <c r="M119" s="1"/>
      <c r="N119" s="1"/>
      <c r="O119" s="1"/>
      <c r="P119" s="1"/>
      <c r="Q119" s="1"/>
      <c r="R119" s="1"/>
      <c r="S119" s="1"/>
      <c r="T119" s="1"/>
    </row>
    <row r="120" spans="7:20" x14ac:dyDescent="0.25">
      <c r="G120" s="1"/>
      <c r="H120" s="1"/>
      <c r="I120" s="1"/>
      <c r="J120" s="1"/>
      <c r="K120" s="1"/>
      <c r="L120" s="1"/>
      <c r="M120" s="1"/>
      <c r="N120" s="1"/>
      <c r="O120" s="1"/>
      <c r="P120" s="1"/>
      <c r="Q120" s="1"/>
      <c r="R120" s="1"/>
      <c r="S120" s="1"/>
      <c r="T120" s="1"/>
    </row>
    <row r="121" spans="7:20" x14ac:dyDescent="0.25">
      <c r="G121" s="1"/>
      <c r="H121" s="1"/>
      <c r="I121" s="1"/>
      <c r="J121" s="1"/>
      <c r="K121" s="1"/>
      <c r="L121" s="1"/>
      <c r="M121" s="1"/>
      <c r="N121" s="1"/>
      <c r="O121" s="1"/>
      <c r="P121" s="1"/>
      <c r="Q121" s="1"/>
      <c r="R121" s="1"/>
      <c r="S121" s="1"/>
      <c r="T121" s="1"/>
    </row>
    <row r="122" spans="7:20" x14ac:dyDescent="0.25">
      <c r="G122" s="1"/>
      <c r="H122" s="1"/>
      <c r="I122" s="1"/>
      <c r="J122" s="1"/>
      <c r="K122" s="1"/>
      <c r="L122" s="1"/>
      <c r="M122" s="1"/>
      <c r="N122" s="1"/>
      <c r="O122" s="1"/>
      <c r="P122" s="1"/>
      <c r="Q122" s="1"/>
      <c r="R122" s="1"/>
      <c r="S122" s="1"/>
      <c r="T122" s="1"/>
    </row>
    <row r="123" spans="7:20" x14ac:dyDescent="0.25">
      <c r="G123" s="1"/>
      <c r="H123" s="1"/>
      <c r="I123" s="1"/>
      <c r="J123" s="1"/>
      <c r="K123" s="1"/>
      <c r="L123" s="1"/>
      <c r="M123" s="1"/>
      <c r="N123" s="1"/>
      <c r="O123" s="1"/>
      <c r="P123" s="1"/>
      <c r="Q123" s="1"/>
      <c r="R123" s="1"/>
      <c r="S123" s="1"/>
      <c r="T123" s="1"/>
    </row>
    <row r="124" spans="7:20" x14ac:dyDescent="0.25">
      <c r="G124" s="1"/>
      <c r="H124" s="1"/>
      <c r="I124" s="1"/>
      <c r="J124" s="1"/>
      <c r="K124" s="1"/>
      <c r="L124" s="1"/>
      <c r="M124" s="1"/>
      <c r="N124" s="1"/>
      <c r="O124" s="1"/>
      <c r="P124" s="1"/>
      <c r="Q124" s="1"/>
      <c r="R124" s="1"/>
      <c r="S124" s="1"/>
      <c r="T124" s="1"/>
    </row>
    <row r="125" spans="7:20" x14ac:dyDescent="0.25">
      <c r="G125" s="1"/>
      <c r="H125" s="1"/>
      <c r="I125" s="1"/>
      <c r="J125" s="1"/>
      <c r="K125" s="1"/>
      <c r="L125" s="1"/>
      <c r="M125" s="1"/>
      <c r="N125" s="1"/>
      <c r="O125" s="1"/>
      <c r="P125" s="1"/>
      <c r="Q125" s="1"/>
      <c r="R125" s="1"/>
      <c r="S125" s="1"/>
      <c r="T125" s="1"/>
    </row>
    <row r="126" spans="7:20" x14ac:dyDescent="0.25">
      <c r="G126" s="1"/>
      <c r="H126" s="1"/>
      <c r="I126" s="1"/>
      <c r="J126" s="1"/>
      <c r="K126" s="1"/>
      <c r="L126" s="1"/>
      <c r="M126" s="1"/>
      <c r="N126" s="1"/>
      <c r="O126" s="1"/>
      <c r="P126" s="1"/>
      <c r="Q126" s="1"/>
      <c r="R126" s="1"/>
      <c r="S126" s="1"/>
      <c r="T126" s="1"/>
    </row>
    <row r="127" spans="7:20" x14ac:dyDescent="0.25">
      <c r="G127" s="1"/>
      <c r="H127" s="1"/>
      <c r="I127" s="1"/>
      <c r="J127" s="1"/>
      <c r="K127" s="1"/>
      <c r="L127" s="1"/>
      <c r="M127" s="1"/>
      <c r="N127" s="1"/>
      <c r="O127" s="1"/>
      <c r="P127" s="1"/>
      <c r="Q127" s="1"/>
      <c r="R127" s="1"/>
      <c r="S127" s="1"/>
      <c r="T127" s="1"/>
    </row>
    <row r="128" spans="7:20" x14ac:dyDescent="0.25">
      <c r="G128" s="1"/>
      <c r="H128" s="1"/>
      <c r="I128" s="1"/>
      <c r="J128" s="1"/>
      <c r="K128" s="1"/>
      <c r="L128" s="1"/>
      <c r="M128" s="1"/>
      <c r="N128" s="1"/>
      <c r="O128" s="1"/>
      <c r="P128" s="1"/>
      <c r="Q128" s="1"/>
      <c r="R128" s="1"/>
      <c r="S128" s="1"/>
      <c r="T128" s="1"/>
    </row>
    <row r="129" spans="7:20" x14ac:dyDescent="0.25">
      <c r="G129" s="1"/>
      <c r="H129" s="1"/>
      <c r="I129" s="1"/>
      <c r="J129" s="1"/>
      <c r="K129" s="1"/>
      <c r="L129" s="1"/>
      <c r="M129" s="1"/>
      <c r="N129" s="1"/>
      <c r="O129" s="1"/>
      <c r="P129" s="1"/>
      <c r="Q129" s="1"/>
      <c r="R129" s="1"/>
      <c r="S129" s="1"/>
      <c r="T129" s="1"/>
    </row>
    <row r="130" spans="7:20" x14ac:dyDescent="0.25">
      <c r="G130" s="1"/>
      <c r="H130" s="1"/>
      <c r="I130" s="1"/>
      <c r="J130" s="1"/>
      <c r="K130" s="1"/>
      <c r="L130" s="1"/>
      <c r="M130" s="1"/>
      <c r="N130" s="1"/>
      <c r="O130" s="1"/>
      <c r="P130" s="1"/>
      <c r="Q130" s="1"/>
      <c r="R130" s="1"/>
      <c r="S130" s="1"/>
      <c r="T130" s="1"/>
    </row>
    <row r="131" spans="7:20" x14ac:dyDescent="0.25">
      <c r="G131" s="1"/>
      <c r="H131" s="1"/>
      <c r="I131" s="1"/>
      <c r="J131" s="1"/>
      <c r="K131" s="1"/>
      <c r="L131" s="1"/>
      <c r="M131" s="1"/>
      <c r="N131" s="1"/>
      <c r="O131" s="1"/>
      <c r="P131" s="1"/>
      <c r="Q131" s="1"/>
      <c r="R131" s="1"/>
      <c r="S131" s="1"/>
      <c r="T131" s="1"/>
    </row>
    <row r="132" spans="7:20" x14ac:dyDescent="0.25">
      <c r="G132" s="1"/>
      <c r="H132" s="1"/>
      <c r="I132" s="1"/>
      <c r="J132" s="1"/>
      <c r="K132" s="1"/>
      <c r="L132" s="1"/>
      <c r="M132" s="1"/>
      <c r="N132" s="1"/>
      <c r="O132" s="1"/>
      <c r="P132" s="1"/>
      <c r="Q132" s="1"/>
      <c r="R132" s="1"/>
      <c r="S132" s="1"/>
      <c r="T132" s="1"/>
    </row>
    <row r="133" spans="7:20" x14ac:dyDescent="0.25">
      <c r="G133" s="1"/>
      <c r="H133" s="1"/>
      <c r="I133" s="1"/>
      <c r="J133" s="1"/>
      <c r="K133" s="1"/>
      <c r="L133" s="1"/>
      <c r="M133" s="1"/>
      <c r="N133" s="1"/>
      <c r="O133" s="1"/>
      <c r="P133" s="1"/>
      <c r="Q133" s="1"/>
      <c r="R133" s="1"/>
      <c r="S133" s="1"/>
      <c r="T133" s="1"/>
    </row>
    <row r="134" spans="7:20" x14ac:dyDescent="0.25">
      <c r="G134" s="1"/>
      <c r="H134" s="1"/>
      <c r="I134" s="1"/>
      <c r="J134" s="1"/>
      <c r="K134" s="1"/>
      <c r="L134" s="1"/>
      <c r="M134" s="1"/>
      <c r="N134" s="1"/>
      <c r="O134" s="1"/>
      <c r="P134" s="1"/>
      <c r="Q134" s="1"/>
      <c r="R134" s="1"/>
      <c r="S134" s="1"/>
      <c r="T134" s="1"/>
    </row>
    <row r="135" spans="7:20" x14ac:dyDescent="0.25">
      <c r="G135" s="1"/>
      <c r="H135" s="1"/>
      <c r="I135" s="1"/>
      <c r="J135" s="1"/>
      <c r="K135" s="1"/>
      <c r="L135" s="1"/>
      <c r="M135" s="1"/>
      <c r="N135" s="1"/>
      <c r="O135" s="1"/>
      <c r="P135" s="1"/>
      <c r="Q135" s="1"/>
      <c r="R135" s="1"/>
      <c r="S135" s="1"/>
      <c r="T135" s="1"/>
    </row>
    <row r="136" spans="7:20" x14ac:dyDescent="0.25">
      <c r="G136" s="1"/>
      <c r="H136" s="1"/>
      <c r="I136" s="1"/>
      <c r="J136" s="1"/>
      <c r="K136" s="1"/>
      <c r="L136" s="1"/>
      <c r="M136" s="1"/>
      <c r="N136" s="1"/>
      <c r="O136" s="1"/>
      <c r="P136" s="1"/>
      <c r="Q136" s="1"/>
      <c r="R136" s="1"/>
      <c r="S136" s="1"/>
      <c r="T136" s="1"/>
    </row>
    <row r="137" spans="7:20" x14ac:dyDescent="0.25">
      <c r="G137" s="1"/>
      <c r="H137" s="1"/>
      <c r="I137" s="1"/>
      <c r="J137" s="1"/>
      <c r="K137" s="1"/>
      <c r="L137" s="1"/>
      <c r="M137" s="1"/>
      <c r="N137" s="1"/>
      <c r="O137" s="1"/>
      <c r="P137" s="1"/>
      <c r="Q137" s="1"/>
      <c r="R137" s="1"/>
      <c r="S137" s="1"/>
      <c r="T137" s="1"/>
    </row>
    <row r="138" spans="7:20" x14ac:dyDescent="0.25">
      <c r="G138" s="1"/>
      <c r="H138" s="1"/>
      <c r="I138" s="1"/>
      <c r="J138" s="1"/>
      <c r="K138" s="1"/>
      <c r="L138" s="1"/>
      <c r="M138" s="1"/>
      <c r="N138" s="1"/>
      <c r="O138" s="1"/>
      <c r="P138" s="1"/>
      <c r="Q138" s="1"/>
      <c r="R138" s="1"/>
      <c r="S138" s="1"/>
      <c r="T138" s="1"/>
    </row>
    <row r="139" spans="7:20" x14ac:dyDescent="0.25">
      <c r="G139" s="1"/>
      <c r="H139" s="1"/>
      <c r="I139" s="1"/>
      <c r="J139" s="1"/>
      <c r="K139" s="1"/>
      <c r="L139" s="1"/>
      <c r="M139" s="1"/>
      <c r="N139" s="1"/>
      <c r="O139" s="1"/>
      <c r="P139" s="1"/>
      <c r="Q139" s="1"/>
      <c r="R139" s="1"/>
      <c r="S139" s="1"/>
      <c r="T139" s="1"/>
    </row>
    <row r="140" spans="7:20" x14ac:dyDescent="0.25">
      <c r="G140" s="1"/>
      <c r="H140" s="1"/>
      <c r="I140" s="1"/>
      <c r="J140" s="1"/>
      <c r="K140" s="1"/>
      <c r="L140" s="1"/>
      <c r="M140" s="1"/>
      <c r="N140" s="1"/>
      <c r="O140" s="1"/>
      <c r="P140" s="1"/>
      <c r="Q140" s="1"/>
      <c r="R140" s="1"/>
      <c r="S140" s="1"/>
      <c r="T140" s="1"/>
    </row>
    <row r="141" spans="7:20" x14ac:dyDescent="0.25">
      <c r="G141" s="1"/>
      <c r="H141" s="1"/>
      <c r="I141" s="1"/>
      <c r="J141" s="1"/>
      <c r="K141" s="1"/>
      <c r="L141" s="1"/>
      <c r="M141" s="1"/>
      <c r="N141" s="1"/>
      <c r="O141" s="1"/>
      <c r="P141" s="1"/>
      <c r="Q141" s="1"/>
      <c r="R141" s="1"/>
      <c r="S141" s="1"/>
      <c r="T141" s="1"/>
    </row>
    <row r="142" spans="7:20" x14ac:dyDescent="0.25">
      <c r="G142" s="1"/>
      <c r="H142" s="1"/>
      <c r="I142" s="1"/>
      <c r="J142" s="1"/>
      <c r="K142" s="1"/>
      <c r="L142" s="1"/>
      <c r="M142" s="1"/>
      <c r="N142" s="1"/>
      <c r="O142" s="1"/>
      <c r="P142" s="1"/>
      <c r="Q142" s="1"/>
      <c r="R142" s="1"/>
      <c r="S142" s="1"/>
      <c r="T142" s="1"/>
    </row>
    <row r="143" spans="7:20" x14ac:dyDescent="0.25">
      <c r="G143" s="1"/>
      <c r="H143" s="1"/>
      <c r="I143" s="1"/>
      <c r="J143" s="1"/>
      <c r="K143" s="1"/>
      <c r="L143" s="1"/>
      <c r="M143" s="1"/>
      <c r="N143" s="1"/>
      <c r="O143" s="1"/>
      <c r="P143" s="1"/>
      <c r="Q143" s="1"/>
      <c r="R143" s="1"/>
      <c r="S143" s="1"/>
      <c r="T143" s="1"/>
    </row>
    <row r="144" spans="7:20" x14ac:dyDescent="0.25">
      <c r="G144" s="1"/>
      <c r="H144" s="1"/>
      <c r="I144" s="1"/>
      <c r="J144" s="1"/>
      <c r="K144" s="1"/>
      <c r="L144" s="1"/>
      <c r="M144" s="1"/>
      <c r="N144" s="1"/>
      <c r="O144" s="1"/>
      <c r="P144" s="1"/>
      <c r="Q144" s="1"/>
      <c r="R144" s="1"/>
      <c r="S144" s="1"/>
      <c r="T144" s="1"/>
    </row>
    <row r="145" spans="7:20" x14ac:dyDescent="0.25">
      <c r="G145" s="1"/>
      <c r="H145" s="1"/>
      <c r="I145" s="1"/>
      <c r="J145" s="1"/>
      <c r="K145" s="1"/>
      <c r="L145" s="1"/>
      <c r="M145" s="1"/>
      <c r="N145" s="1"/>
      <c r="O145" s="1"/>
      <c r="P145" s="1"/>
      <c r="Q145" s="1"/>
      <c r="R145" s="1"/>
      <c r="S145" s="1"/>
      <c r="T145" s="1"/>
    </row>
    <row r="146" spans="7:20" x14ac:dyDescent="0.25">
      <c r="G146" s="1"/>
      <c r="H146" s="1"/>
      <c r="I146" s="1"/>
      <c r="J146" s="1"/>
      <c r="K146" s="1"/>
      <c r="L146" s="1"/>
      <c r="M146" s="1"/>
      <c r="N146" s="1"/>
      <c r="O146" s="1"/>
      <c r="P146" s="1"/>
      <c r="Q146" s="1"/>
      <c r="R146" s="1"/>
      <c r="S146" s="1"/>
      <c r="T146" s="1"/>
    </row>
    <row r="147" spans="7:20" x14ac:dyDescent="0.25">
      <c r="G147" s="1"/>
      <c r="H147" s="1"/>
      <c r="I147" s="1"/>
      <c r="J147" s="1"/>
      <c r="K147" s="1"/>
      <c r="L147" s="1"/>
      <c r="M147" s="1"/>
      <c r="N147" s="1"/>
      <c r="O147" s="1"/>
      <c r="P147" s="1"/>
      <c r="Q147" s="1"/>
      <c r="R147" s="1"/>
      <c r="S147" s="1"/>
      <c r="T147" s="1"/>
    </row>
    <row r="148" spans="7:20" x14ac:dyDescent="0.25">
      <c r="G148" s="1"/>
      <c r="H148" s="1"/>
      <c r="I148" s="1"/>
      <c r="J148" s="1"/>
      <c r="K148" s="1"/>
      <c r="L148" s="1"/>
      <c r="M148" s="1"/>
      <c r="N148" s="1"/>
      <c r="O148" s="1"/>
      <c r="P148" s="1"/>
      <c r="Q148" s="1"/>
      <c r="R148" s="1"/>
      <c r="S148" s="1"/>
      <c r="T148" s="1"/>
    </row>
    <row r="149" spans="7:20" x14ac:dyDescent="0.25">
      <c r="G149" s="1"/>
      <c r="H149" s="1"/>
      <c r="I149" s="1"/>
      <c r="J149" s="1"/>
      <c r="K149" s="1"/>
      <c r="L149" s="1"/>
      <c r="M149" s="1"/>
      <c r="N149" s="1"/>
      <c r="O149" s="1"/>
      <c r="P149" s="1"/>
      <c r="Q149" s="1"/>
      <c r="R149" s="1"/>
      <c r="S149" s="1"/>
      <c r="T149" s="1"/>
    </row>
    <row r="150" spans="7:20" x14ac:dyDescent="0.25">
      <c r="G150" s="1"/>
      <c r="H150" s="1"/>
      <c r="I150" s="1"/>
      <c r="J150" s="1"/>
      <c r="K150" s="1"/>
      <c r="L150" s="1"/>
      <c r="M150" s="1"/>
      <c r="N150" s="1"/>
      <c r="O150" s="1"/>
      <c r="P150" s="1"/>
      <c r="Q150" s="1"/>
      <c r="R150" s="1"/>
      <c r="S150" s="1"/>
      <c r="T150" s="1"/>
    </row>
    <row r="151" spans="7:20" x14ac:dyDescent="0.25">
      <c r="G151" s="1"/>
      <c r="H151" s="1"/>
      <c r="I151" s="1"/>
      <c r="J151" s="1"/>
      <c r="K151" s="1"/>
      <c r="L151" s="1"/>
      <c r="M151" s="1"/>
      <c r="N151" s="1"/>
      <c r="O151" s="1"/>
      <c r="P151" s="1"/>
      <c r="Q151" s="1"/>
      <c r="R151" s="1"/>
      <c r="S151" s="1"/>
      <c r="T151" s="1"/>
    </row>
    <row r="152" spans="7:20" x14ac:dyDescent="0.25">
      <c r="G152" s="1"/>
      <c r="H152" s="1"/>
      <c r="I152" s="1"/>
      <c r="J152" s="1"/>
      <c r="K152" s="1"/>
      <c r="L152" s="1"/>
      <c r="M152" s="1"/>
      <c r="N152" s="1"/>
      <c r="O152" s="1"/>
      <c r="P152" s="1"/>
      <c r="Q152" s="1"/>
      <c r="R152" s="1"/>
      <c r="S152" s="1"/>
      <c r="T152" s="1"/>
    </row>
    <row r="153" spans="7:20" x14ac:dyDescent="0.25">
      <c r="G153" s="1"/>
      <c r="H153" s="1"/>
      <c r="I153" s="1"/>
      <c r="J153" s="1"/>
      <c r="K153" s="1"/>
      <c r="L153" s="1"/>
      <c r="M153" s="1"/>
      <c r="N153" s="1"/>
      <c r="O153" s="1"/>
      <c r="P153" s="1"/>
      <c r="Q153" s="1"/>
      <c r="R153" s="1"/>
      <c r="S153" s="1"/>
      <c r="T153" s="1"/>
    </row>
    <row r="154" spans="7:20" x14ac:dyDescent="0.25">
      <c r="G154" s="1"/>
      <c r="H154" s="1"/>
      <c r="I154" s="1"/>
      <c r="J154" s="1"/>
      <c r="K154" s="1"/>
      <c r="L154" s="1"/>
      <c r="M154" s="1"/>
      <c r="N154" s="1"/>
      <c r="O154" s="1"/>
      <c r="P154" s="1"/>
      <c r="Q154" s="1"/>
      <c r="R154" s="1"/>
      <c r="S154" s="1"/>
      <c r="T154" s="1"/>
    </row>
    <row r="155" spans="7:20" x14ac:dyDescent="0.25">
      <c r="G155" s="1"/>
      <c r="H155" s="1"/>
      <c r="I155" s="1"/>
      <c r="J155" s="1"/>
      <c r="K155" s="1"/>
      <c r="L155" s="1"/>
      <c r="M155" s="1"/>
      <c r="N155" s="1"/>
      <c r="O155" s="1"/>
      <c r="P155" s="1"/>
      <c r="Q155" s="1"/>
      <c r="R155" s="1"/>
      <c r="S155" s="1"/>
      <c r="T155" s="1"/>
    </row>
    <row r="156" spans="7:20" x14ac:dyDescent="0.25">
      <c r="G156" s="1"/>
      <c r="I156" s="1"/>
      <c r="J156" s="1"/>
      <c r="K156" s="1"/>
      <c r="L156" s="1"/>
      <c r="M156" s="1"/>
      <c r="N156" s="1"/>
      <c r="O156" s="1"/>
      <c r="P156" s="1"/>
      <c r="Q156" s="1"/>
      <c r="R156" s="1"/>
      <c r="S156" s="1"/>
      <c r="T156" s="1"/>
    </row>
    <row r="157" spans="7:20" x14ac:dyDescent="0.25">
      <c r="G157" s="1"/>
      <c r="I157" s="1"/>
      <c r="J157" s="1"/>
      <c r="K157" s="1"/>
      <c r="L157" s="1"/>
      <c r="M157" s="1"/>
      <c r="N157" s="1"/>
      <c r="O157" s="1"/>
      <c r="P157" s="1"/>
      <c r="Q157" s="1"/>
      <c r="R157" s="1"/>
      <c r="S157" s="1"/>
      <c r="T157" s="1"/>
    </row>
    <row r="158" spans="7:20" x14ac:dyDescent="0.25">
      <c r="G158" s="1"/>
      <c r="I158" s="1"/>
      <c r="J158" s="1"/>
      <c r="K158" s="1"/>
      <c r="L158" s="1"/>
      <c r="M158" s="1"/>
      <c r="N158" s="1"/>
      <c r="O158" s="1"/>
      <c r="P158" s="1"/>
      <c r="Q158" s="1"/>
      <c r="R158" s="1"/>
      <c r="S158" s="1"/>
      <c r="T158" s="1"/>
    </row>
    <row r="159" spans="7:20" x14ac:dyDescent="0.25">
      <c r="G159" s="1"/>
      <c r="I159" s="1"/>
      <c r="J159" s="1"/>
      <c r="K159" s="1"/>
      <c r="L159" s="1"/>
      <c r="M159" s="1"/>
      <c r="N159" s="1"/>
      <c r="O159" s="1"/>
      <c r="P159" s="1"/>
      <c r="Q159" s="1"/>
      <c r="R159" s="1"/>
      <c r="S159" s="1"/>
      <c r="T159" s="1"/>
    </row>
    <row r="160" spans="7:20" x14ac:dyDescent="0.25">
      <c r="G160" s="1"/>
      <c r="I160" s="1"/>
      <c r="J160" s="1"/>
      <c r="K160" s="1"/>
      <c r="L160" s="1"/>
      <c r="M160" s="1"/>
      <c r="N160" s="1"/>
      <c r="O160" s="1"/>
      <c r="P160" s="1"/>
      <c r="Q160" s="1"/>
      <c r="R160" s="1"/>
      <c r="S160" s="1"/>
      <c r="T160" s="1"/>
    </row>
    <row r="161" spans="7:20" x14ac:dyDescent="0.25">
      <c r="G161" s="1"/>
      <c r="I161" s="1"/>
      <c r="J161" s="1"/>
      <c r="K161" s="1"/>
      <c r="L161" s="1"/>
      <c r="M161" s="1"/>
      <c r="N161" s="1"/>
      <c r="O161" s="1"/>
      <c r="P161" s="1"/>
      <c r="Q161" s="1"/>
      <c r="R161" s="1"/>
      <c r="S161" s="2"/>
      <c r="T161" s="2"/>
    </row>
    <row r="162" spans="7:20" x14ac:dyDescent="0.25">
      <c r="G162" s="1"/>
      <c r="I162" s="1"/>
      <c r="J162" s="1"/>
      <c r="K162" s="1"/>
      <c r="L162" s="1"/>
      <c r="M162" s="1"/>
      <c r="N162" s="1"/>
      <c r="O162" s="1"/>
      <c r="P162" s="1"/>
      <c r="Q162" s="1"/>
      <c r="R162" s="1"/>
      <c r="S162" s="2"/>
      <c r="T162" s="1"/>
    </row>
    <row r="163" spans="7:20" x14ac:dyDescent="0.25">
      <c r="G163" s="1"/>
      <c r="I163" s="1"/>
      <c r="J163" s="1"/>
      <c r="K163" s="1"/>
      <c r="L163" s="1"/>
      <c r="M163" s="1"/>
      <c r="N163" s="1"/>
      <c r="O163" s="1"/>
      <c r="P163" s="1"/>
      <c r="Q163" s="1"/>
      <c r="R163" s="1"/>
      <c r="S163" s="2"/>
      <c r="T163" s="1"/>
    </row>
    <row r="164" spans="7:20" x14ac:dyDescent="0.25">
      <c r="G164" s="1"/>
      <c r="I164" s="1"/>
      <c r="J164" s="1"/>
      <c r="K164" s="1"/>
      <c r="L164" s="1"/>
      <c r="M164" s="1"/>
      <c r="N164" s="1"/>
      <c r="O164" s="1"/>
      <c r="P164" s="1"/>
      <c r="Q164" s="1"/>
      <c r="R164" s="1"/>
      <c r="S164" s="1"/>
      <c r="T164" s="1"/>
    </row>
    <row r="165" spans="7:20" x14ac:dyDescent="0.25">
      <c r="G165" s="1"/>
      <c r="I165" s="1"/>
      <c r="J165" s="1"/>
      <c r="K165" s="1"/>
      <c r="L165" s="1"/>
      <c r="M165" s="1"/>
      <c r="N165" s="1"/>
      <c r="O165" s="1"/>
      <c r="P165" s="1"/>
      <c r="Q165" s="1"/>
      <c r="R165" s="1"/>
    </row>
    <row r="166" spans="7:20" x14ac:dyDescent="0.25">
      <c r="G166" s="1"/>
      <c r="I166" s="1"/>
      <c r="J166" s="1"/>
      <c r="K166" s="1"/>
      <c r="L166" s="1"/>
    </row>
  </sheetData>
  <sheetProtection algorithmName="SHA-512" hashValue="m+Ae809CTUjcwvw5hJ1UizZELE/v5843cmBeSxVIW0MAC8ZXvzjj7mw1CsGbHccvmV+uwn7M0mXcVq+1pgtWQg==" saltValue="/3C1abNnlrflBcBx9u+FoQ==" spinCount="100000" sheet="1" objects="1" scenarios="1"/>
  <dataConsolidate/>
  <mergeCells count="21">
    <mergeCell ref="B82:B86"/>
    <mergeCell ref="C82:C86"/>
    <mergeCell ref="C92:I92"/>
    <mergeCell ref="B93:B97"/>
    <mergeCell ref="C93:C97"/>
    <mergeCell ref="A1:L1"/>
    <mergeCell ref="A4:L4"/>
    <mergeCell ref="A3:L3"/>
    <mergeCell ref="A2:L2"/>
    <mergeCell ref="C81:I81"/>
    <mergeCell ref="D33:E33"/>
    <mergeCell ref="B60:B64"/>
    <mergeCell ref="C60:C64"/>
    <mergeCell ref="C70:I70"/>
    <mergeCell ref="B71:B75"/>
    <mergeCell ref="C71:C75"/>
    <mergeCell ref="C46:J46"/>
    <mergeCell ref="C48:I48"/>
    <mergeCell ref="B49:B53"/>
    <mergeCell ref="C49:C53"/>
    <mergeCell ref="C59:I59"/>
  </mergeCells>
  <phoneticPr fontId="16" type="noConversion"/>
  <dataValidations count="5">
    <dataValidation type="whole" operator="lessThanOrEqual" allowBlank="1" showInputMessage="1" showErrorMessage="1" sqref="F19 F38:F39 F7" xr:uid="{77705BE8-8F73-4D08-8758-74FEB0ADE9FB}">
      <formula1>C7</formula1>
    </dataValidation>
    <dataValidation type="custom" operator="lessThan" allowBlank="1" showErrorMessage="1" errorTitle="Total Self-Score Error" error="Total Self-Score Points is greater than 20.  Please revise column D Rows 8-28 so that sum is no greater than 20. " sqref="D31:F31" xr:uid="{1C641D50-A3A5-49AF-BE09-26BDA1AF5E80}">
      <formula1>D31&lt;=20</formula1>
    </dataValidation>
    <dataValidation type="list" allowBlank="1" showInputMessage="1" showErrorMessage="1" sqref="H20:H27" xr:uid="{3F7960D0-43FF-4678-8753-3EA16527DB8E}">
      <formula1>"0,250,500,750,900,1000"</formula1>
    </dataValidation>
    <dataValidation type="whole" operator="lessThanOrEqual" allowBlank="1" showInputMessage="1" showErrorMessage="1" sqref="A49:A53 A93:A97 A82:A86 A71:A75 A60:A64" xr:uid="{FC3946E2-1EFC-4C8B-A644-3FCF7D671C44}">
      <formula1>XFD48</formula1>
    </dataValidation>
    <dataValidation type="whole" allowBlank="1" showInputMessage="1" showErrorMessage="1" errorTitle="Incorrect Input" error="Input is unacceptable, please try again. " sqref="D8:E17 D20:E27 D29:E29 D34:E35" xr:uid="{C96F0D0C-7487-4246-A55A-CA003D1C41A3}">
      <formula1>0</formula1>
      <formula2>$C8</formula2>
    </dataValidation>
  </dataValidations>
  <pageMargins left="7.9062499999999994E-2" right="0.7" top="0.75" bottom="0.75" header="0" footer="0"/>
  <pageSetup paperSize="5" scale="77" fitToHeight="0" orientation="landscape" r:id="rId1"/>
  <extLst>
    <ext xmlns:x14="http://schemas.microsoft.com/office/spreadsheetml/2009/9/main" uri="{CCE6A557-97BC-4b89-ADB6-D9C93CAAB3DF}">
      <x14:dataValidations xmlns:xm="http://schemas.microsoft.com/office/excel/2006/main" count="2">
        <x14:dataValidation type="list" operator="lessThanOrEqual" allowBlank="1" showInputMessage="1" showErrorMessage="1" xr:uid="{384AF387-91B1-452A-8361-D4E98EB637EA}">
          <x14:formula1>
            <xm:f>Sheet1!$A$2:$A$7</xm:f>
          </x14:formula1>
          <xm:sqref>D60:I64 D71:I75 D49:I53 D82:I86 D93:I97</xm:sqref>
        </x14:dataValidation>
        <x14:dataValidation type="list" allowBlank="1" showInputMessage="1" showErrorMessage="1" xr:uid="{8CFFA695-8E2E-44A9-B226-80FBEB84F75C}">
          <x14:formula1>
            <xm:f>Sheet1!$D$2:$D$20</xm:f>
          </x14:formula1>
          <xm:sqref>C49:C53 C60:C64 C71:C75 C82:C86 C93:C97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7B51-D9E9-4206-9C42-A0E963A8F6CF}">
  <dimension ref="A1:L20"/>
  <sheetViews>
    <sheetView zoomScaleNormal="100" workbookViewId="0">
      <selection activeCell="L24" sqref="L24"/>
    </sheetView>
  </sheetViews>
  <sheetFormatPr defaultRowHeight="15" x14ac:dyDescent="0.25"/>
  <cols>
    <col min="1" max="1" width="14.28515625" customWidth="1"/>
  </cols>
  <sheetData>
    <row r="1" spans="1:12" x14ac:dyDescent="0.25">
      <c r="A1" t="s">
        <v>25</v>
      </c>
      <c r="B1" t="s">
        <v>44</v>
      </c>
      <c r="D1" t="s">
        <v>42</v>
      </c>
      <c r="F1" t="s">
        <v>108</v>
      </c>
      <c r="I1" t="s">
        <v>107</v>
      </c>
      <c r="L1" t="s">
        <v>109</v>
      </c>
    </row>
    <row r="2" spans="1:12" x14ac:dyDescent="0.25">
      <c r="A2" t="s">
        <v>26</v>
      </c>
      <c r="B2">
        <v>50</v>
      </c>
      <c r="D2" t="s">
        <v>61</v>
      </c>
      <c r="F2">
        <f>'Self Score Sheet'!C54</f>
        <v>0</v>
      </c>
      <c r="G2" t="str">
        <f>LEFT(F2,1)</f>
        <v>0</v>
      </c>
      <c r="I2" t="s">
        <v>61</v>
      </c>
      <c r="J2" s="11">
        <f>'Self Score Sheet'!F8</f>
        <v>0</v>
      </c>
      <c r="K2">
        <f>COUNTIF($F$2:$F$6,I2)</f>
        <v>0</v>
      </c>
      <c r="L2" s="11">
        <f>J2-K2</f>
        <v>0</v>
      </c>
    </row>
    <row r="3" spans="1:12" x14ac:dyDescent="0.25">
      <c r="A3" t="s">
        <v>27</v>
      </c>
      <c r="B3">
        <v>40</v>
      </c>
      <c r="D3" t="s">
        <v>62</v>
      </c>
      <c r="F3">
        <f>'Self Score Sheet'!C65</f>
        <v>0</v>
      </c>
      <c r="G3" t="str">
        <f>LEFT(F3,1)</f>
        <v>0</v>
      </c>
      <c r="I3" t="s">
        <v>62</v>
      </c>
      <c r="J3" s="11">
        <f>'Self Score Sheet'!F9</f>
        <v>0</v>
      </c>
      <c r="K3">
        <f t="shared" ref="K3:K20" si="0">COUNTIF($F$2:$F$6,I3)</f>
        <v>0</v>
      </c>
      <c r="L3" s="11">
        <f t="shared" ref="L3:L20" si="1">J3-K3</f>
        <v>0</v>
      </c>
    </row>
    <row r="4" spans="1:12" x14ac:dyDescent="0.25">
      <c r="A4" t="s">
        <v>28</v>
      </c>
      <c r="B4">
        <v>20</v>
      </c>
      <c r="D4" t="s">
        <v>63</v>
      </c>
      <c r="F4">
        <f>'Self Score Sheet'!C76</f>
        <v>0</v>
      </c>
      <c r="G4" t="str">
        <f>LEFT(F4,1)</f>
        <v>0</v>
      </c>
      <c r="I4" t="s">
        <v>63</v>
      </c>
      <c r="J4" s="11">
        <f>'Self Score Sheet'!F10</f>
        <v>0</v>
      </c>
      <c r="K4">
        <f t="shared" si="0"/>
        <v>0</v>
      </c>
      <c r="L4" s="11">
        <f t="shared" si="1"/>
        <v>0</v>
      </c>
    </row>
    <row r="5" spans="1:12" x14ac:dyDescent="0.25">
      <c r="A5" t="s">
        <v>29</v>
      </c>
      <c r="B5">
        <v>0</v>
      </c>
      <c r="D5" t="s">
        <v>64</v>
      </c>
      <c r="F5">
        <f>'Self Score Sheet'!C87</f>
        <v>0</v>
      </c>
      <c r="G5" t="str">
        <f>LEFT(F5,1)</f>
        <v>0</v>
      </c>
      <c r="I5" t="s">
        <v>64</v>
      </c>
      <c r="J5" s="11">
        <f>'Self Score Sheet'!F11</f>
        <v>0</v>
      </c>
      <c r="K5">
        <f t="shared" si="0"/>
        <v>0</v>
      </c>
      <c r="L5" s="11">
        <f t="shared" si="1"/>
        <v>0</v>
      </c>
    </row>
    <row r="6" spans="1:12" x14ac:dyDescent="0.25">
      <c r="A6" t="s">
        <v>30</v>
      </c>
      <c r="B6">
        <v>-5</v>
      </c>
      <c r="D6" t="s">
        <v>65</v>
      </c>
      <c r="F6">
        <f>'Self Score Sheet'!C98</f>
        <v>0</v>
      </c>
      <c r="G6" t="str">
        <f>LEFT(F6,1)</f>
        <v>0</v>
      </c>
      <c r="I6" t="s">
        <v>65</v>
      </c>
      <c r="J6" s="11">
        <f>'Self Score Sheet'!F12</f>
        <v>0</v>
      </c>
      <c r="K6">
        <f t="shared" si="0"/>
        <v>0</v>
      </c>
      <c r="L6" s="11">
        <f t="shared" si="1"/>
        <v>0</v>
      </c>
    </row>
    <row r="7" spans="1:12" x14ac:dyDescent="0.25">
      <c r="A7" t="s">
        <v>43</v>
      </c>
      <c r="B7">
        <v>0</v>
      </c>
      <c r="D7" t="s">
        <v>66</v>
      </c>
      <c r="I7" t="s">
        <v>66</v>
      </c>
      <c r="J7" s="11">
        <f>'Self Score Sheet'!F13</f>
        <v>0</v>
      </c>
      <c r="K7">
        <f t="shared" si="0"/>
        <v>0</v>
      </c>
      <c r="L7" s="11">
        <f t="shared" si="1"/>
        <v>0</v>
      </c>
    </row>
    <row r="8" spans="1:12" x14ac:dyDescent="0.25">
      <c r="A8" t="s">
        <v>45</v>
      </c>
      <c r="B8">
        <v>0</v>
      </c>
      <c r="D8" t="s">
        <v>67</v>
      </c>
      <c r="I8" t="s">
        <v>67</v>
      </c>
      <c r="J8" s="11">
        <f>'Self Score Sheet'!F14</f>
        <v>0</v>
      </c>
      <c r="K8">
        <f t="shared" si="0"/>
        <v>0</v>
      </c>
      <c r="L8" s="11">
        <f t="shared" si="1"/>
        <v>0</v>
      </c>
    </row>
    <row r="9" spans="1:12" x14ac:dyDescent="0.25">
      <c r="D9" t="s">
        <v>68</v>
      </c>
      <c r="I9" t="s">
        <v>68</v>
      </c>
      <c r="J9" s="11">
        <f>'Self Score Sheet'!F15</f>
        <v>0</v>
      </c>
      <c r="K9">
        <f t="shared" si="0"/>
        <v>0</v>
      </c>
      <c r="L9" s="11">
        <f t="shared" si="1"/>
        <v>0</v>
      </c>
    </row>
    <row r="10" spans="1:12" x14ac:dyDescent="0.25">
      <c r="D10" t="s">
        <v>69</v>
      </c>
      <c r="I10" t="s">
        <v>69</v>
      </c>
      <c r="J10" s="11">
        <f>'Self Score Sheet'!F16</f>
        <v>0</v>
      </c>
      <c r="K10">
        <f t="shared" si="0"/>
        <v>0</v>
      </c>
      <c r="L10" s="11">
        <f t="shared" si="1"/>
        <v>0</v>
      </c>
    </row>
    <row r="11" spans="1:12" x14ac:dyDescent="0.25">
      <c r="D11" t="s">
        <v>70</v>
      </c>
      <c r="I11" t="s">
        <v>70</v>
      </c>
      <c r="J11" s="11">
        <f>'Self Score Sheet'!F17</f>
        <v>0</v>
      </c>
      <c r="K11">
        <f t="shared" si="0"/>
        <v>0</v>
      </c>
      <c r="L11" s="11">
        <f t="shared" si="1"/>
        <v>0</v>
      </c>
    </row>
    <row r="12" spans="1:12" x14ac:dyDescent="0.25">
      <c r="D12" t="s">
        <v>71</v>
      </c>
      <c r="I12" t="s">
        <v>71</v>
      </c>
      <c r="J12" s="11">
        <f>'Self Score Sheet'!F20</f>
        <v>0</v>
      </c>
      <c r="K12">
        <f t="shared" si="0"/>
        <v>0</v>
      </c>
      <c r="L12" s="11">
        <f t="shared" si="1"/>
        <v>0</v>
      </c>
    </row>
    <row r="13" spans="1:12" x14ac:dyDescent="0.25">
      <c r="D13" t="s">
        <v>72</v>
      </c>
      <c r="I13" t="s">
        <v>72</v>
      </c>
      <c r="J13" s="11">
        <f>'Self Score Sheet'!F21</f>
        <v>0</v>
      </c>
      <c r="K13">
        <f t="shared" si="0"/>
        <v>0</v>
      </c>
      <c r="L13" s="11">
        <f t="shared" si="1"/>
        <v>0</v>
      </c>
    </row>
    <row r="14" spans="1:12" x14ac:dyDescent="0.25">
      <c r="D14" t="s">
        <v>73</v>
      </c>
      <c r="I14" t="s">
        <v>73</v>
      </c>
      <c r="J14" s="11">
        <f>'Self Score Sheet'!F22</f>
        <v>0</v>
      </c>
      <c r="K14">
        <f t="shared" si="0"/>
        <v>0</v>
      </c>
      <c r="L14" s="11">
        <f t="shared" si="1"/>
        <v>0</v>
      </c>
    </row>
    <row r="15" spans="1:12" x14ac:dyDescent="0.25">
      <c r="D15" t="s">
        <v>74</v>
      </c>
      <c r="I15" t="s">
        <v>74</v>
      </c>
      <c r="J15" s="11">
        <f>'Self Score Sheet'!F23</f>
        <v>0</v>
      </c>
      <c r="K15">
        <f t="shared" si="0"/>
        <v>0</v>
      </c>
      <c r="L15" s="11">
        <f t="shared" si="1"/>
        <v>0</v>
      </c>
    </row>
    <row r="16" spans="1:12" x14ac:dyDescent="0.25">
      <c r="D16" t="s">
        <v>75</v>
      </c>
      <c r="I16" t="s">
        <v>75</v>
      </c>
      <c r="J16" s="11">
        <f>'Self Score Sheet'!F24</f>
        <v>0</v>
      </c>
      <c r="K16">
        <f t="shared" si="0"/>
        <v>0</v>
      </c>
      <c r="L16" s="11">
        <f t="shared" si="1"/>
        <v>0</v>
      </c>
    </row>
    <row r="17" spans="4:12" x14ac:dyDescent="0.25">
      <c r="D17" t="s">
        <v>76</v>
      </c>
      <c r="I17" t="s">
        <v>76</v>
      </c>
      <c r="J17" s="11">
        <f>'Self Score Sheet'!F25</f>
        <v>0</v>
      </c>
      <c r="K17">
        <f t="shared" si="0"/>
        <v>0</v>
      </c>
      <c r="L17" s="11">
        <f t="shared" si="1"/>
        <v>0</v>
      </c>
    </row>
    <row r="18" spans="4:12" x14ac:dyDescent="0.25">
      <c r="D18" t="s">
        <v>77</v>
      </c>
      <c r="I18" t="s">
        <v>77</v>
      </c>
      <c r="J18" s="11">
        <f>'Self Score Sheet'!F26</f>
        <v>0</v>
      </c>
      <c r="K18">
        <f t="shared" si="0"/>
        <v>0</v>
      </c>
      <c r="L18" s="11">
        <f t="shared" si="1"/>
        <v>0</v>
      </c>
    </row>
    <row r="19" spans="4:12" x14ac:dyDescent="0.25">
      <c r="D19" t="s">
        <v>82</v>
      </c>
      <c r="I19" t="s">
        <v>82</v>
      </c>
      <c r="J19" s="11">
        <f>'Self Score Sheet'!F27</f>
        <v>0</v>
      </c>
      <c r="K19">
        <f t="shared" si="0"/>
        <v>0</v>
      </c>
      <c r="L19" s="11">
        <f t="shared" si="1"/>
        <v>0</v>
      </c>
    </row>
    <row r="20" spans="4:12" x14ac:dyDescent="0.25">
      <c r="D20" t="s">
        <v>90</v>
      </c>
      <c r="I20" t="s">
        <v>90</v>
      </c>
      <c r="J20" s="11">
        <f>'Self Score Sheet'!F29</f>
        <v>0</v>
      </c>
      <c r="K20">
        <f t="shared" si="0"/>
        <v>0</v>
      </c>
      <c r="L20" s="11">
        <f t="shared" si="1"/>
        <v>0</v>
      </c>
    </row>
  </sheetData>
  <sheetProtection algorithmName="SHA-512" hashValue="d2XpqKvL0LLkPErbafnNAt1ccTfHYnZidGvUwNowql4NYqfaLpOVwnLS34Kl+hSXzff+O0mqVWrEkxFqdpGBFg==" saltValue="FqJkJrI0GxO+w1WzMKlAyg=="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54f43609-bfb8-4f43-92bd-c77e33fbcae8">5A4XY3N4XKMN-1397078464-344</_dlc_DocId>
    <_dlc_DocIdUrl xmlns="54f43609-bfb8-4f43-92bd-c77e33fbcae8">
      <Url>https://usaf.dps.mil/teams/KTFSO0066/1186246/_layouts/15/DocIdRedir.aspx?ID=5A4XY3N4XKMN-1397078464-344</Url>
      <Description>5A4XY3N4XKMN-1397078464-344</Description>
    </_dlc_DocIdUrl>
    <ECFActionDescription xmlns="54f43609-bfb8-4f43-92bd-c77e33fbcae8" xsi:nil="true"/>
    <ECFActionIsPartitioned xmlns="54f43609-bfb8-4f43-92bd-c77e33fbcae8" xsi:nil="true"/>
    <ECFApplicationEnvironment xmlns="54f43609-bfb8-4f43-92bd-c77e33fbcae8">VanaQA</ECFApplicationEnvironment>
    <ECFActionBuyers xmlns="54f43609-bfb8-4f43-92bd-c77e33fbcae8">
      <UserInfo>
        <DisplayName/>
        <AccountId xsi:nil="true"/>
        <AccountType/>
      </UserInfo>
    </ECFActionBuyers>
    <ECFActionStatus xmlns="54f43609-bfb8-4f43-92bd-c77e33fbcae8" xsi:nil="true"/>
    <ECFApplicationVersion xmlns="54f43609-bfb8-4f43-92bd-c77e33fbcae8">5.0.0</ECFApplicationVersion>
    <ECFActionParentID xmlns="54f43609-bfb8-4f43-92bd-c77e33fbcae8" xsi:nil="true"/>
    <ECFActionSolicitationNumber xmlns="54f43609-bfb8-4f43-92bd-c77e33fbcae8" xsi:nil="true"/>
    <ECFActionPrimaryCO xmlns="54f43609-bfb8-4f43-92bd-c77e33fbcae8">
      <UserInfo>
        <DisplayName/>
        <AccountId xsi:nil="true"/>
        <AccountType/>
      </UserInfo>
    </ECFActionPrimaryCO>
    <ECFActionID xmlns="54f43609-bfb8-4f43-92bd-c77e33fbcae8" xsi:nil="true"/>
    <ECFActionOfficeID xmlns="54f43609-bfb8-4f43-92bd-c77e33fbcae8" xsi:nil="true"/>
    <ECFActionPrimaryCloseOutCO xmlns="54f43609-bfb8-4f43-92bd-c77e33fbcae8">
      <UserInfo>
        <DisplayName/>
        <AccountId xsi:nil="true"/>
        <AccountType/>
      </UserInfo>
    </ECFActionPrimaryCloseOutCO>
    <ECFActionCOs xmlns="54f43609-bfb8-4f43-92bd-c77e33fbcae8">
      <UserInfo>
        <DisplayName/>
        <AccountId xsi:nil="true"/>
        <AccountType/>
      </UserInfo>
    </ECFActionCOs>
    <ECFActionPurchaseReqNumbers xmlns="54f43609-bfb8-4f43-92bd-c77e33fbcae8" xsi:nil="true"/>
    <ECFActionName xmlns="54f43609-bfb8-4f43-92bd-c77e33fbcae8" xsi:nil="true"/>
    <ECFActionPrimaryBuyer xmlns="54f43609-bfb8-4f43-92bd-c77e33fbcae8">
      <UserInfo>
        <DisplayName/>
        <AccountId xsi:nil="true"/>
        <AccountType/>
      </UserInfo>
    </ECFActionPrimaryBuyer>
    <ECFActionPrimaryCloseOutBuyer xmlns="54f43609-bfb8-4f43-92bd-c77e33fbcae8">
      <UserInfo>
        <DisplayName/>
        <AccountId xsi:nil="true"/>
        <AccountType/>
      </UserInfo>
    </ECFActionPrimaryCloseOutBuyer>
    <ECFActionNumber xmlns="54f43609-bfb8-4f43-92bd-c77e33fbcae8" xsi:nil="true"/>
    <ECFActionCreateDate xmlns="54f43609-bfb8-4f43-92bd-c77e33fbca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ECFDocument" ma:contentTypeID="0x0101008993E5614F939D4AA0D8891E24147781006DEF8555681FB947A7AB41431A3AC7C5" ma:contentTypeVersion="3" ma:contentTypeDescription="Create a new document." ma:contentTypeScope="" ma:versionID="b42be669520d6e933ed42f4ca30e61e9">
  <xsd:schema xmlns:xsd="http://www.w3.org/2001/XMLSchema" xmlns:xs="http://www.w3.org/2001/XMLSchema" xmlns:p="http://schemas.microsoft.com/office/2006/metadata/properties" xmlns:ns1="http://schemas.microsoft.com/sharepoint/v3" xmlns:ns2="54f43609-bfb8-4f43-92bd-c77e33fbcae8" targetNamespace="http://schemas.microsoft.com/office/2006/metadata/properties" ma:root="true" ma:fieldsID="650d3b76871aac768274ff5de6184be8" ns1:_="" ns2:_="">
    <xsd:import namespace="http://schemas.microsoft.com/sharepoint/v3"/>
    <xsd:import namespace="54f43609-bfb8-4f43-92bd-c77e33fbcae8"/>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f43609-bfb8-4f43-92bd-c77e33fbcae8"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0D6817-2481-48EA-A506-5E3CAB1CDD54}">
  <ds:schemaRefs>
    <ds:schemaRef ds:uri="http://schemas.microsoft.com/sharepoint/v3"/>
    <ds:schemaRef ds:uri="http://schemas.microsoft.com/office/2006/documentManagement/types"/>
    <ds:schemaRef ds:uri="http://purl.org/dc/elements/1.1/"/>
    <ds:schemaRef ds:uri="http://purl.org/dc/terms/"/>
    <ds:schemaRef ds:uri="http://schemas.microsoft.com/office/infopath/2007/PartnerControls"/>
    <ds:schemaRef ds:uri="54f43609-bfb8-4f43-92bd-c77e33fbcae8"/>
    <ds:schemaRef ds:uri="http://www.w3.org/XML/1998/namespace"/>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7FB222EF-9663-4199-B83D-2392E8F0F3E0}">
  <ds:schemaRefs>
    <ds:schemaRef ds:uri="http://schemas.microsoft.com/sharepoint/v3/contenttype/forms"/>
  </ds:schemaRefs>
</ds:datastoreItem>
</file>

<file path=customXml/itemProps3.xml><?xml version="1.0" encoding="utf-8"?>
<ds:datastoreItem xmlns:ds="http://schemas.openxmlformats.org/officeDocument/2006/customXml" ds:itemID="{29715723-7258-4924-8733-8DFA0C5EED6B}">
  <ds:schemaRefs>
    <ds:schemaRef ds:uri="http://schemas.microsoft.com/sharepoint/events"/>
  </ds:schemaRefs>
</ds:datastoreItem>
</file>

<file path=customXml/itemProps4.xml><?xml version="1.0" encoding="utf-8"?>
<ds:datastoreItem xmlns:ds="http://schemas.openxmlformats.org/officeDocument/2006/customXml" ds:itemID="{E9109423-120C-476F-BCA2-2CEE7D0537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4f43609-bfb8-4f43-92bd-c77e33fbca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Self Score Sheet</vt:lpstr>
      <vt:lpstr>Sheet1</vt:lpstr>
      <vt:lpstr>'Self Score Sheet'!Print_Area</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GARVIN, JEREMY J GS-12 USAF AFMC AFLCMC/AZS</dc:creator>
  <cp:keywords/>
  <dc:description/>
  <cp:lastModifiedBy>WAGGONER, ANDREW C CIV USAF AFMC AFTC/PZI</cp:lastModifiedBy>
  <cp:revision/>
  <cp:lastPrinted>2024-07-24T21:02:34Z</cp:lastPrinted>
  <dcterms:created xsi:type="dcterms:W3CDTF">2018-01-02T18:08:37Z</dcterms:created>
  <dcterms:modified xsi:type="dcterms:W3CDTF">2026-03-10T18:34:09Z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0x0101008993E5614F939D4AA0D8891E24147781006DEF8555681FB947A7AB41431A3AC7C5</vt:lpwstr>
  </property>
  <property fmtid="{D5CDD505-2E9C-101B-9397-08002B2CF9AE}" pid="3" name="_dlc_DocIdItemGuid">
    <vt:lpwstr>ef3ca454-4f48-45d8-b659-7e15018cfdad</vt:lpwstr>
  </property>
</Properties>
</file>